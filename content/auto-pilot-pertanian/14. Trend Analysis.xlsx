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4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5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13.bin" ContentType="application/vnd.openxmlformats-officedocument.spreadsheetml.customProperty"/>
  <Override PartName="/xl/drawings/drawing7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ckfe1\OneDrive - Novartis Pharma AG\06 DHBW Excel\Webinar\SimpleSlides\Templates\17 Trend Analysis\"/>
    </mc:Choice>
  </mc:AlternateContent>
  <xr:revisionPtr revIDLastSave="7" documentId="6_{9E993A96-333F-453B-B24D-0B8B917FD790}" xr6:coauthVersionLast="44" xr6:coauthVersionMax="44" xr10:uidLastSave="{2B1AB87D-535C-4961-80FF-36A77435295F}"/>
  <bookViews>
    <workbookView xWindow="-28920" yWindow="-120" windowWidth="29040" windowHeight="15840" xr2:uid="{C847D5C7-2547-42E4-8108-276969EC79D5}"/>
  </bookViews>
  <sheets>
    <sheet name="Introduction" sheetId="144" r:id="rId1"/>
    <sheet name="Mapping" sheetId="136" r:id="rId2"/>
    <sheet name="Bridges for Trends" sheetId="139" r:id="rId3"/>
    <sheet name="Sales Data" sheetId="135" r:id="rId4"/>
    <sheet name="Units sold" sheetId="138" r:id="rId5"/>
    <sheet name="Summary" sheetId="96" r:id="rId6"/>
    <sheet name="Chairs" sheetId="141" r:id="rId7"/>
    <sheet name="Tables" sheetId="140" r:id="rId8"/>
    <sheet name="Kitchen" sheetId="142" r:id="rId9"/>
    <sheet name="Accessories" sheetId="143" r:id="rId10"/>
  </sheets>
  <externalReferences>
    <externalReference r:id="rId11"/>
    <externalReference r:id="rId12"/>
    <externalReference r:id="rId13"/>
  </externalReferences>
  <definedNames>
    <definedName name="__FPMExcelClient_CellBasedFunctionStatus" localSheetId="9" hidden="1">"1_1_2_2_2_2"</definedName>
    <definedName name="__FPMExcelClient_CellBasedFunctionStatus" localSheetId="6" hidden="1">"1_1_2_2_2_2"</definedName>
    <definedName name="__FPMExcelClient_CellBasedFunctionStatus" localSheetId="8" hidden="1">"1_1_2_2_2_2"</definedName>
    <definedName name="__FPMExcelClient_CellBasedFunctionStatus" localSheetId="5" hidden="1">"2_1_2_2_2_2"</definedName>
    <definedName name="__FPMExcelClient_CellBasedFunctionStatus" localSheetId="7" hidden="1">"1_1_2_2_2_2"</definedName>
    <definedName name="_aaa1" hidden="1">{#N/A,#N/A,FALSE,"Antony Financials";#N/A,#N/A,FALSE,"Cowboy Financials";#N/A,#N/A,FALSE,"Combined";#N/A,#N/A,FALSE,"Valuematrix";#N/A,#N/A,FALSE,"DCFAntony";#N/A,#N/A,FALSE,"DCFCowboy";#N/A,#N/A,FALSE,"DCFCombined"}</definedName>
    <definedName name="_xlnm._FilterDatabase" localSheetId="3" hidden="1">'Sales Data'!$A$1:$E$145</definedName>
    <definedName name="_xlnm._FilterDatabase" localSheetId="4" hidden="1">'Units sold'!$A$1:$E$1154</definedName>
    <definedName name="_GSRATES_1" hidden="1">"H2002123120021231CADUSD1000001"</definedName>
    <definedName name="_GSRATES_10" hidden="1">"CF3000012002093020020101"</definedName>
    <definedName name="_GSRATES_11" hidden="1">"CF300001Invalid 20030930"</definedName>
    <definedName name="_GSRATES_12" hidden="1">"CT30000120030930        "</definedName>
    <definedName name="_GSRATES_13" hidden="1">"CT30000120030930        "</definedName>
    <definedName name="_GSRATES_2" hidden="1">"CT30000120030630        "</definedName>
    <definedName name="_GSRATES_3" hidden="1">"CF3000012003063020030101"</definedName>
    <definedName name="_GSRATES_4" hidden="1">"CT3000012003063020030101"</definedName>
    <definedName name="_GSRATES_5" hidden="1">"CF3000012002123120020101"</definedName>
    <definedName name="_GSRATES_6" hidden="1">"CF3000012002063020020101"</definedName>
    <definedName name="_GSRATES_7" hidden="1">"CF3000012003063020030101"</definedName>
    <definedName name="_GSRATES_8" hidden="1">"CF3000012003093020030101"</definedName>
    <definedName name="_GSRATES_9" hidden="1">"CF3000012002123120020101"</definedName>
    <definedName name="_GSRATES_COUNT" hidden="1">7</definedName>
    <definedName name="_GSRATES_COUNT1" hidden="1">13</definedName>
    <definedName name="_GSRATESR_1" hidden="1">#REF!</definedName>
    <definedName name="_GSRATESR_10" hidden="1">#REF!</definedName>
    <definedName name="_GSRATESR_11" hidden="1">#REF!</definedName>
    <definedName name="_GSRATESR_12" hidden="1">#REF!</definedName>
    <definedName name="_GSRATESR_13" hidden="1">#REF!</definedName>
    <definedName name="_GSRATESR_2" hidden="1">'[1]Exchange Rates'!#REF!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SRATESR_9" hidden="1">#REF!</definedName>
    <definedName name="a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AAA_DOCTOPS" hidden="1">"AAA_SET"</definedName>
    <definedName name="AAA_duser" hidden="1">"OFF"</definedName>
    <definedName name="AAA_u999998" hidden="1">"nlfoote@970721231427"</definedName>
    <definedName name="AAA_u999999" hidden="1">"nlfoote@970721231348"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f" hidden="1">{#N/A,#N/A,FALSE,"CreditStat";#N/A,#N/A,FALSE,"SPbrkup";#N/A,#N/A,FALSE,"MerSPsyn";#N/A,#N/A,FALSE,"MerSPwKCsyn";#N/A,#N/A,FALSE,"MerSPwKCsyn (2)";#N/A,#N/A,FALSE,"CreditStat (2)"}</definedName>
    <definedName name="adfdaf" hidden="1">{"standalone1",#N/A,FALSE,"DCFBase";"standalone2",#N/A,FALSE,"DCFBase"}</definedName>
    <definedName name="asdf" hidden="1">{"mgmt forecast",#N/A,FALSE,"Mgmt Forecast";"dcf table",#N/A,FALSE,"Mgmt Forecast";"sensitivity",#N/A,FALSE,"Mgmt Forecast";"table inputs",#N/A,FALSE,"Mgmt Forecast";"calculations",#N/A,FALSE,"Mgmt Forecast"}</definedName>
    <definedName name="asdfa" hidden="1">{#N/A,#N/A,FALSE,"Antony Financials";#N/A,#N/A,FALSE,"Cowboy Financials";#N/A,#N/A,FALSE,"Combined";#N/A,#N/A,FALSE,"Valuematrix";#N/A,#N/A,FALSE,"DCFAntony";#N/A,#N/A,FALSE,"DCFCowboy";#N/A,#N/A,FALSE,"DCFCombined"}</definedName>
    <definedName name="asdfaa" hidden="1">{#N/A,#N/A,FALSE,"Antony Financials";#N/A,#N/A,FALSE,"Cowboy Financials";#N/A,#N/A,FALSE,"Combined";#N/A,#N/A,FALSE,"Valuematrix";#N/A,#N/A,FALSE,"DCFAntony";#N/A,#N/A,FALSE,"DCFCowboy";#N/A,#N/A,FALSE,"DCFCombined"}</definedName>
    <definedName name="asdfasdf" hidden="1">{#N/A,#N/A,FALSE,"CreditStat";#N/A,#N/A,FALSE,"SPbrkup";#N/A,#N/A,FALSE,"MerSPsyn";#N/A,#N/A,FALSE,"MerSPwKCsyn";#N/A,#N/A,FALSE,"MerSPwKCsyn (2)";#N/A,#N/A,FALSE,"CreditStat (2)"}</definedName>
    <definedName name="asdff" hidden="1">{"standalone1",#N/A,FALSE,"DCFBase";"standalone2",#N/A,FALSE,"DCFBase"}</definedName>
    <definedName name="asdfsad" hidden="1">{#N/A,#N/A,FALSE,"Antony Financials";#N/A,#N/A,FALSE,"Cowboy Financials";#N/A,#N/A,FALSE,"Combined";#N/A,#N/A,FALSE,"Valuematrix";#N/A,#N/A,FALSE,"DCFAntony";#N/A,#N/A,FALSE,"DCFCowboy";#N/A,#N/A,FALSE,"DCFCombined"}</definedName>
    <definedName name="b" hidden="1">{#N/A,#N/A,FALSE,"Antony Financials";#N/A,#N/A,FALSE,"Cowboy Financials";#N/A,#N/A,FALSE,"Combined";#N/A,#N/A,FALSE,"Valuematrix";#N/A,#N/A,FALSE,"DCFAntony";#N/A,#N/A,FALSE,"DCFCowboy";#N/A,#N/A,FALSE,"DCFCombined"}</definedName>
    <definedName name="BEx000LSA58I0IWZ17LCYWEGHIO5" hidden="1">[2]Table!$E$22:$F$47</definedName>
    <definedName name="BEx000R2I3UWQWJZSYB7KOQMQPDA" hidden="1">[2]Table!$I$7:$J$7</definedName>
    <definedName name="BEx001CNWHJ5RULCSFM36ZCGJ1UH" hidden="1">[2]Table!$F$11:$G$11</definedName>
    <definedName name="BEx0041RNVGGN8SKGQTWHTVAGKBV" hidden="1">[2]Graph!$I$6:$J$6</definedName>
    <definedName name="BEx004791UAJIJSN57OT7YBLNP82" hidden="1">[2]Table!$H$2:$I$2</definedName>
    <definedName name="BEx007Y0VDCA29110X8V69LMNDYD" hidden="1">[2]Table!$I$11:$J$11</definedName>
    <definedName name="BEx008P2NVFDLBHL7IZ5WTMVOQ1F" hidden="1">[2]Table!$H$1</definedName>
    <definedName name="BEx009G00IN0JUIAQ4WE9NHTMQE2" hidden="1">[2]Table!$I$8:$J$8</definedName>
    <definedName name="BEx00DXTY2JDVGWQKV8H7FG4SV30" hidden="1">[2]Table!$F$11:$G$11</definedName>
    <definedName name="BEx00EJEU3M3FDUNODFYWUMUXY2N" hidden="1">[2]Table!$I$11:$J$11</definedName>
    <definedName name="BEx00GHLTYRH5N2S6P78YW1CD30N" hidden="1">[2]Table!$F$11:$G$11</definedName>
    <definedName name="BEx00IVXXXF5LGQYVVT4PH73HAWV" hidden="1">[2]Table!$F$9:$G$9</definedName>
    <definedName name="BEx00J6L4N3WDFUWI1GNCD89U2A5" hidden="1">[2]Graph!$I$10:$J$10</definedName>
    <definedName name="BEx00JC31DY11L45SEU4B10BIN6W" hidden="1">[2]Table!$K$2</definedName>
    <definedName name="BEx00KZHZBHP3TDV1YMX4B19B95O" hidden="1">[2]Table!$H$1</definedName>
    <definedName name="BEx00OKSZSGHTDKDQL9EXYP1CM83" hidden="1">[2]Graph!$C$15:$D$16</definedName>
    <definedName name="BEx00U9SHQ0NHO9GPJITAMG5T4E9" hidden="1">[2]Graph!$F$10:$G$10</definedName>
    <definedName name="BEx00XVFG7W4U2VKSP4ZDMNOJ18B" hidden="1">[2]Table!$I$1:$K$1</definedName>
    <definedName name="BEx0157PI59873EI82NI1JTHR3PF" hidden="1">[2]Table!$I$7:$J$7</definedName>
    <definedName name="BEx01A0BQT1XGE0LAWP0EA2JT03O" hidden="1">[2]Table!$F$8:$G$8</definedName>
    <definedName name="BEx01B7I2A7FYD88QKGB9QYFUS14" hidden="1">[2]Table!$J$2:$J$2</definedName>
    <definedName name="BEx01HY6E3GJ66ABU5ABN26V6Q13" hidden="1">[2]Table!$G$2</definedName>
    <definedName name="BEx01L8V0NPH9QO4RG4RA7FYZ7SA" hidden="1">[2]Table!$K$7:$L$7</definedName>
    <definedName name="BEx01PW5YQKEGAR8JDDI5OARYXDF" hidden="1">[2]Table!$F$9:$G$9</definedName>
    <definedName name="BEx01S511BL31BWBOIPJQ6ACJWNA" hidden="1">[2]Table!$F$9:$G$9</definedName>
    <definedName name="BEx01T1EVAEW9BLAP4L6II4G6OC4" hidden="1">[2]Graph!$F$9:$G$9</definedName>
    <definedName name="BEx01X35DZBL50I19K4ZSW4F1ESH" hidden="1">[2]Graph!$I$10:$J$10</definedName>
    <definedName name="BEx01XJ94SHJ1YQ7ORPW0RQGKI2H" hidden="1">[2]Table!$F$11:$G$11</definedName>
    <definedName name="BEx01ZMS93XSSL49VVAYPB3DFEJ2" hidden="1">[2]Graph!$C$15:$D$31</definedName>
    <definedName name="BEx02OT37B6LB1ZJ4SEM3N4AS1EW" hidden="1">[2]Graph!$I$11:$J$11</definedName>
    <definedName name="BEx02SEL3Z1QWGAHXDPUA9WLTTPS" hidden="1">[2]Table!$F$11:$G$11</definedName>
    <definedName name="BEx02Y3KJZH5BGDM9QEZ1PVVI114" hidden="1">[2]Table!$F$8:$G$8</definedName>
    <definedName name="BEx02YP4NF9R312RHK9GPY3Q0HSB" hidden="1">[2]Table!$H$1</definedName>
    <definedName name="BEx0313GRLLASDTVPW5DHTXHE74M" hidden="1">[2]Table!$I$6:$J$6</definedName>
    <definedName name="BEx040GNGACOQI5MY5X2NE42ZWDU" hidden="1">[2]Graph!$I$8:$J$8</definedName>
    <definedName name="BEx1F0SOZ3H5XUHXD7O01TCR8T6J" hidden="1">[2]Table!$F$10:$G$10</definedName>
    <definedName name="BEx1F9HL824UCNCVZ2U62J4KZCX8" hidden="1">[2]Table!$F$7:$G$7</definedName>
    <definedName name="BEx1FEVSJKTI1Q1Z874QZVFSJSVA" hidden="1">[2]Table!$I$6:$J$6</definedName>
    <definedName name="BEx1FGDRUHHLI1GBHELT4PK0LY4V" hidden="1">[2]Table!$I$9:$J$9</definedName>
    <definedName name="BEx1FJZ7GKO99IYTP6GGGF7EUL3Z" hidden="1">[2]Table!$I$7:$J$7</definedName>
    <definedName name="BEx1FMOBYMS6DYKXLKWCWW28C7BB" hidden="1">[2]Graph!$I$6:$J$6</definedName>
    <definedName name="BEx1FZV2CM77TBH1R6YYV9P06KA2" hidden="1">[2]Table!$F$9:$G$9</definedName>
    <definedName name="BEx1G4NPBB3M4VXAYPYV49VERRXQ" hidden="1">[2]Table!$K$10:$L$10</definedName>
    <definedName name="BEx1G59AY8195JTUM6P18VXUFJ3E" hidden="1">[2]Table!$F$9:$G$9</definedName>
    <definedName name="BEx1G5ELJEV5PHUNBWSWXGC8S50G" hidden="1">[2]Table!$I$6:$J$6</definedName>
    <definedName name="BEx1GACQL91IG43LSU6M1F2TWPZN" hidden="1">[2]Graph!$I$9:$J$9</definedName>
    <definedName name="BEx1GB92OWY6P3B3Z6EYFUUWMITG" hidden="1">[2]Graph!$I$6:$J$6</definedName>
    <definedName name="BEx1GDY6DBAS9HTLJ7BVT1X5VH0Z" hidden="1">[2]Table!$F$10:$G$10</definedName>
    <definedName name="BEx1GF5CDHCHM7WRVI9PM0FB8E6L" hidden="1">[2]Table!$K$2</definedName>
    <definedName name="BEx1GGCI36ZQBSP86RRQLYHSQV7M" hidden="1">[2]Table!$I$6:$J$6</definedName>
    <definedName name="BEx1GVMRHFXUP6XYYY9NR12PV5TF" hidden="1">[2]Table!$F$8:$G$8</definedName>
    <definedName name="BEx1H1XD7U83A7SSVKFIVULINBO1" hidden="1">[2]Table!$I$11:$J$11</definedName>
    <definedName name="BEx1H6KIT7BHUH6MDDWC935V9N47" hidden="1">[2]Table!$I$8:$J$8</definedName>
    <definedName name="BEx1H6KJBJWGYQKKMYC7CS7Q3E9P" hidden="1">[2]Graph!$F$6:$G$6</definedName>
    <definedName name="BEx1H87XRCJ78YZQFXZ78RS4DUKX" hidden="1">[2]Table!$F$10:$G$10</definedName>
    <definedName name="BEx1HDGOOJ3SKHYMWUZJ1P0RQZ9N" hidden="1">[2]Table!$H$2:$I$2</definedName>
    <definedName name="BEx1HDM5ZXSJG6JQEMSFV52PZ10V" hidden="1">[2]Table!$I$9:$J$9</definedName>
    <definedName name="BEx1HETBBZVN5F43LKOFMC4QB0CR" hidden="1">[2]Table!$F$9:$G$9</definedName>
    <definedName name="BEx1HGM2TBFL6UBVA6E4PKNSPI96" hidden="1">[2]Graph!$F$11:$G$11</definedName>
    <definedName name="BEx1HGWNWPLNXICOTP90TKQVVE4E" hidden="1">[2]Table!$H$2:$I$2</definedName>
    <definedName name="BEx1HIPLJZABY0EMUOTZN0EQMDPU" hidden="1">[2]Table!$F$7:$G$7</definedName>
    <definedName name="BEx1HO94JIRX219MPWMB5E5XZ04X" hidden="1">[2]Table!$F$10:$G$10</definedName>
    <definedName name="BEx1HQNF6KHM21E3XLW0NMSSEI9S" hidden="1">[2]Table!$F$9:$G$9</definedName>
    <definedName name="BEx1HSG6AVHYLP97WOM7ZL5E8BWL" hidden="1">[2]Table!$I$6:$J$6</definedName>
    <definedName name="BEx1HUEDPGNES4AP3T4VVWPMHF4Z" hidden="1">[2]Table!$K$7:$L$7</definedName>
    <definedName name="BEx1HZSKV08ZKAVQOJL822VHJF7H" hidden="1">[2]Table!$F$9:$G$9</definedName>
    <definedName name="BEx1I2C762TIXWZVWUJK7HNQ8KN8" hidden="1">[2]Table!$F$15:$F$16</definedName>
    <definedName name="BEx1I38LBZSH2UZJIZXAE5XOUU55" hidden="1">[2]Graph!$I$9:$J$9</definedName>
    <definedName name="BEx1I4QKTILCKZUSOJCVZN7SNHL5" hidden="1">[2]Table!$F$6:$G$6</definedName>
    <definedName name="BEx1IGQ5B697MNDOE06MVSR0H58E" hidden="1">[2]Table!$F$11:$G$11</definedName>
    <definedName name="BEx1IKRPW8MLB9Y485M1TL2IT9SH" hidden="1">[2]Table!$F$15</definedName>
    <definedName name="BEx1IP48ICV4DWEV62RPMABJKWHM" hidden="1">[2]Table!$J$1</definedName>
    <definedName name="BEx1IZLQA5V6S7UI3PMMF0IEI57G" hidden="1">[2]Table!$K$8:$L$8</definedName>
    <definedName name="BEx1J0CSSHDJGBJUHVOEMCF2P4DL" hidden="1">[2]Table!$I$9:$J$9</definedName>
    <definedName name="BEx1J7E8VCGLPYU82QXVUG5N3ZAI" hidden="1">[2]Table!$C$15:$D$20</definedName>
    <definedName name="BEx1JGE2YQWH8S25USOY08XVGO0D" hidden="1">[2]Table!$I$10:$J$10</definedName>
    <definedName name="BEx1JKKZSJ7DI4PTFVI9VVFMB1X2" hidden="1">[2]Table!$F$6:$G$6</definedName>
    <definedName name="BEx1JUBQFRVMASSFK4B3V0AD7YP9" hidden="1">[2]Table!$I$7:$J$7</definedName>
    <definedName name="BEx1JXBM5W4YRWNQ0P95QQS6JWD6" hidden="1">[2]Table!$I$6:$J$6</definedName>
    <definedName name="BEx1K59HAW3AQ56OP5CQS22FLAN3" hidden="1">[2]Table!$H$2:$I$2</definedName>
    <definedName name="BEx1KGY9QEHZ9QSARMQUTQKRK4UX" hidden="1">[2]Table!$I$8:$J$8</definedName>
    <definedName name="BEx1KKP1ELIF2UII2FWVGL7M1X7J" hidden="1">[2]Table!$F$10:$G$10</definedName>
    <definedName name="BEx1KUVWMB0QCWA3RBE4CADFVRIS" hidden="1">[2]Table!$F$15</definedName>
    <definedName name="BEx1L2OG1SDFK2TPXELJ77YP4NI2" hidden="1">[2]Table!$I$7:$J$7</definedName>
    <definedName name="BEx1L412CVL85SP9VGQCARZU3JQR" hidden="1">[2]Table!$F$6:$G$6</definedName>
    <definedName name="BEx1L6Q60MWRDJB4L20LK0XPA0Z2" hidden="1">[2]Table!$I$9:$J$9</definedName>
    <definedName name="BEx1L9Q2ZZLP1IN5C8MRWLJS5HM8" hidden="1">[2]Table!$K$11:$L$11</definedName>
    <definedName name="BEx1LD63FP2Z4BR9TKSHOZW9KKZ5" hidden="1">[2]Table!$G$2</definedName>
    <definedName name="BEx1LDMB9RW982DUILM2WPT5VWQ3" hidden="1">[2]Table!$H$2:$I$2</definedName>
    <definedName name="BEx1LPWIUAXYEIGACQOIKL5RERB6" hidden="1">[2]Table!$K$6:$L$6</definedName>
    <definedName name="BEx1LRPGDQCOEMW8YT80J1XCDCIV" hidden="1">[2]Table!$F$6:$G$6</definedName>
    <definedName name="BEx1LRUSJW4JG54X07QWD9R27WV9" hidden="1">[2]Table!$H$1</definedName>
    <definedName name="BEx1LVG86EOH6NTN1LBWZ35D56FR" hidden="1">[2]Table!$F$9:$G$9</definedName>
    <definedName name="BEx1M0ZREP4Z3K2I9CE0HNS1GI2S" hidden="1">[2]Table!$I$7:$J$7</definedName>
    <definedName name="BEx1M1G0GAXDAB0MYR9Z99ZHPE2U" hidden="1">[2]Table!$C$15:$D$30</definedName>
    <definedName name="BEx1M1LD2GR81CBN8RNCRDZSN1NZ" hidden="1">[2]Table!$C$15:$D$31</definedName>
    <definedName name="BEx1M1WBK5T0LP1AK2JYV6W87ID6" hidden="1">[2]Table!$F$10:$G$10</definedName>
    <definedName name="BEx1M3JJGKF1YALMTNWMK99YH9FT" hidden="1">[2]Graph!$F$8:$G$8</definedName>
    <definedName name="BEx1M51HHDYGIT8PON7U8ICL2S95" hidden="1">[2]Table!$F$10:$G$10</definedName>
    <definedName name="BEx1M6U95BMQYSWSUX7T8PAI100N" hidden="1">[2]Table!$K$10:$L$10</definedName>
    <definedName name="BEx1M81DXQZG258T6TO8FMUDAIAA" hidden="1">[2]Graph!$F$11:$G$11</definedName>
    <definedName name="BEx1MDAAML22Z9VCEDSGRTE9F6OD" hidden="1">[2]Table!$F$15</definedName>
    <definedName name="BEx1MEBZTWO6XAWNC9Z6T7VUC26Q" hidden="1">[2]Graph!$I$8:$J$8</definedName>
    <definedName name="BEx1MES4LMPD884GSCQLW3WQI7F5" hidden="1">[2]Table!$I$8:$J$8</definedName>
    <definedName name="BEx1MHH7CQRGP2THTLNBK9KBM2CZ" hidden="1">[2]Table!$F$15:$G$26</definedName>
    <definedName name="BEx1MMQ3H3E9MBH330J6MD3EP8AD" hidden="1">[2]Graph!$F$11:$G$11</definedName>
    <definedName name="BEx1MTRKKVCHOZ0YGID6HZ49LJTO" hidden="1">[2]Table!$C$15:$D$20</definedName>
    <definedName name="BEx1MV475RY0QNM5NM3QYDZNCD26" hidden="1">[2]Table!$C$15:$D$31</definedName>
    <definedName name="BEx1MWRGMQ2OMNVC8G2QDEEVOGKI" hidden="1">[2]Table!$K$6:$L$6</definedName>
    <definedName name="BEx1MY9EWI8J9KQ3F239NIHPYFL8" hidden="1">[2]Table!$I$8:$J$8</definedName>
    <definedName name="BEx1N0IFWPSL686RSLZTZA4KIY2A" hidden="1">[2]Graph!$F$8:$G$8</definedName>
    <definedName name="BEx1ND8VUYBMAXGZDWU791JDD4F0" hidden="1">[2]Table!$I$9:$I$10</definedName>
    <definedName name="BEx1NM34KQTO1LDNSAFD1L82UZFG" hidden="1">[2]Table!$F$15</definedName>
    <definedName name="BEx1NO6TXZVOGCUWCCRTXRXWW0XL" hidden="1">[2]Table!$I$10:$J$10</definedName>
    <definedName name="BEx1NS8EU5P9FQV3S0WRTXI5L361" hidden="1">[2]Table!$F$7:$G$7</definedName>
    <definedName name="BEx1NUBX5VUYZFKQH69FN6BTLWCR" hidden="1">[2]Table!$I$7:$J$7</definedName>
    <definedName name="BEx1NYO9WAPD06ZLLGZCB6RJYLLD" hidden="1">[2]Table!$I$9:$J$9</definedName>
    <definedName name="BEx1NZ4K1L8UON80Y2A4RASKWGNP" hidden="1">[2]Table!$F$15:$G$16</definedName>
    <definedName name="BEx1NZKMVR58LLHZJA5AMRHXCVR3" hidden="1">[2]Table!$H$1</definedName>
    <definedName name="BEx1O0XA02OXBEY6AAS94L6P1KSR" hidden="1">[2]Graph!$I$7:$J$7</definedName>
    <definedName name="BEx1OG7JIDKICUAXVS54J2N69AQ6" hidden="1">[2]Table!$K$7:$L$7</definedName>
    <definedName name="BEx1OLAZ915OGYWP0QP1QQWDLCRX" hidden="1">[2]Table!$I$6:$J$6</definedName>
    <definedName name="BEx1OO5ER042IS6IC4TLDI75JNVH" hidden="1">[2]Table!$G$2</definedName>
    <definedName name="BEx1ORLK4X0TCNCBM5J2GGESD8IK" hidden="1">[2]Table!$F$6:$G$6</definedName>
    <definedName name="BEx1OS74854QZOZ87VVDCSJZV001" hidden="1">[2]Table!$I$6:$J$6</definedName>
    <definedName name="BEx1OSN8LCT11OWTZXJSW9WXTRC7" hidden="1">[2]Table!$I$15:$Z$3002</definedName>
    <definedName name="BEx1OTE54CBSUT8FWKRALEDCUWN4" hidden="1">[2]Table!$F$11:$G$11</definedName>
    <definedName name="BEx1OTUF6UYXYO01QOWKSNAP3F2O" hidden="1">[2]Table!$I$6:$J$6</definedName>
    <definedName name="BEx1OVSMPADTX95QUOX34KZQ8EDY" hidden="1">[2]Table!$I$11:$J$11</definedName>
    <definedName name="BEx1OX544IO9FQJI7YYQGZCEHB3O" hidden="1">[2]Table!$I$8:$J$8</definedName>
    <definedName name="BEx1OY6SVEUT2EQ26P7EKEND342G" hidden="1">[2]Table!$I$9:$J$9</definedName>
    <definedName name="BEx1OYN1LPIPI12O9G6F7QAOS9T4" hidden="1">[2]Table!$I$7:$J$7</definedName>
    <definedName name="BEx1P0508XLI18B1PZ170M7UA7T9" hidden="1">[2]Table!$K$9:$L$9</definedName>
    <definedName name="BEx1P0VV75VP00EDB6E83P66XT99" hidden="1">[2]Table!$F$7:$G$7</definedName>
    <definedName name="BEx1P1HHKJA799O3YZXQAX6KFH58" hidden="1">[2]Table!$F$6:$G$6</definedName>
    <definedName name="BEx1P2JAJTG9FONS894QO5O0626Y" hidden="1">[2]Table!$F$7:$G$7</definedName>
    <definedName name="BEx1P34W467WGPOXPK292QFJIPHJ" hidden="1">[2]Table!$H$2:$I$2</definedName>
    <definedName name="BEx1P7MQPEQEXO17GFRGMA0UWBL0" hidden="1">[2]Table!$F$10:$G$10</definedName>
    <definedName name="BEx1P7S1J4TKGVJ43C2Q2R3M9WRB" hidden="1">[2]Table!$I$6:$J$6</definedName>
    <definedName name="BEx1PA11BLPVZM8RC5BL46WX8YB5" hidden="1">[2]Table!$F$8:$G$8</definedName>
    <definedName name="BEx1PBZ4BEFIPGMQXT9T8S4PZ2IM" hidden="1">[2]Table!$F$10:$G$10</definedName>
    <definedName name="BEx1PGRQJMUGTSHYGUKOPUG6I1Y9" hidden="1">[2]Table!$G$2</definedName>
    <definedName name="BEx1PLF2CFSXBZPVI6CJ534EIJDN" hidden="1">[2]Table!$I$8:$J$8</definedName>
    <definedName name="BEx1PMWZB2DO6EM9BKLUICZJ65HD" hidden="1">[2]Table!$I$10:$J$10</definedName>
    <definedName name="BEx1PUK1AG0D759TLE7Y5QC3J1CU" hidden="1">[2]Table!$I$10:$J$10</definedName>
    <definedName name="BEx1PXUPD5XRUU2SPVGZCRNTWS98" hidden="1">[2]Graph!$F$8:$G$8</definedName>
    <definedName name="BEx1QA54J2A4I7IBQR19BTY28ZMR" hidden="1">[2]Table!$I$10:$J$10</definedName>
    <definedName name="BEx1QGQHVTDVPB5H297YWROHSFU6" hidden="1">[2]Table!$G$1:$G$1</definedName>
    <definedName name="BEx1QJQDRP2762SC2AG9GNAAW4HU" hidden="1">[2]Table!$K$7:$L$7</definedName>
    <definedName name="BEx1QLJ5ES14CML0REN6GVZH8CZ6" hidden="1">[2]Table!$I$10:$J$10</definedName>
    <definedName name="BEx1QMQAHG3KQUK59DVM68SWKZIZ" hidden="1">[2]Table!$I$10:$J$10</definedName>
    <definedName name="BEx1QYPUWJKLVL8Y8LV1W0YHVN6Y" hidden="1">[2]Table!$F$15:$G$26</definedName>
    <definedName name="BEx1QZGQQZQLJXX6TFZ0DGXGHMJH" hidden="1">[2]Table!$K$8:$L$8</definedName>
    <definedName name="BEx1R02C8KNH9YXA8P430NC2J4P0" hidden="1">[2]Graph!$F$11:$G$11</definedName>
    <definedName name="BEx1R1EYVTPJMOX2V0R2J1E6LP5G" hidden="1">[2]Table!$I$10:$J$10</definedName>
    <definedName name="BEx1R9YFKJCMSEST8OVCAO5E47FO" hidden="1">[2]Table!$F$9:$G$9</definedName>
    <definedName name="BEx1RBGC06B3T52OIC0EQ1KGVP1I" hidden="1">[2]Table!$F$10:$G$10</definedName>
    <definedName name="BEx1RRC7X4NI1CU4EO5XYE2GVARJ" hidden="1">[2]Table!$I$11:$J$11</definedName>
    <definedName name="BEx1RTQINL9JOKUMQFNW6A49AR2G" hidden="1">[2]Table!$C$15:$D$31</definedName>
    <definedName name="BEx1RZA1NCGT832L7EMR7GMF588W" hidden="1">[2]Table!$I$10:$J$10</definedName>
    <definedName name="BEx1S0MOOGSSYT24R5GZFG5GMGFR" hidden="1">[2]Graph!$I$10:$J$10</definedName>
    <definedName name="BEx1S0XGIPUSZQUCSGWSK10GKW7Y" hidden="1">[2]Table!$F$8:$G$8</definedName>
    <definedName name="BEx1S782O9IJX8ADH1YM5SD4JVWY" hidden="1">[2]Table!$F$7:$G$7</definedName>
    <definedName name="BEx1S7O4FLEEWF2ZVO9U1HSKA2OY" hidden="1">[2]Table!$I$6:$J$6</definedName>
    <definedName name="BEx1S9MDF5GRFTLGET3N5Y0TR8DS" hidden="1">[2]Table!$I$8:$I$9</definedName>
    <definedName name="BEx1SI5TUWH543O1KMLISIPUL258" hidden="1">[2]Table!$I$7:$J$7</definedName>
    <definedName name="BEx1SK3U02H0RGKEYXW7ZMCEOF3V" hidden="1">[2]Table!$E$2:$F$2</definedName>
    <definedName name="BEx1SSNEZINBJT29QVS62VS1THT4" hidden="1">[2]Table!$F$9:$G$9</definedName>
    <definedName name="BEx1SVNCHNANBJIDIQVB8AFK4HAN" hidden="1">[2]Table!$H$1</definedName>
    <definedName name="BEx1T7SCX7KK0ROG334AKM67Y8WU" hidden="1">[2]Graph!$F$10:$G$10</definedName>
    <definedName name="BEx1TDXHP01D7WO9IBGOC663FAXS" hidden="1">[2]Table!$F$10:$G$10</definedName>
    <definedName name="BEx1TJ0WLS9O7KNSGIPWTYHDYI1D" hidden="1">[2]Table!$C$15:$D$20</definedName>
    <definedName name="BEx1TK2LZ2XNH1YU4VVSDRH4HS0M" hidden="1">[2]Table!$I$9:$J$9</definedName>
    <definedName name="BEx1TNTKITTEKOJ5Q0RUF0799ZGD" hidden="1">[2]Graph!$F$10:$G$10</definedName>
    <definedName name="BEx1TZ220O3WIGKMU06G4AZCLN90" hidden="1">[2]Table!$I$15</definedName>
    <definedName name="BEx1U1WP5XHFKISD5NU268W96SVS" hidden="1">[2]Table!$G$2:$G$2</definedName>
    <definedName name="BEx1U5CO6FFRTKU18P76HLREY6RU" hidden="1">[2]Graph!$C$15:$D$31</definedName>
    <definedName name="BEx1U7WFO8OZKB1EBF4H386JW91L" hidden="1">[2]Table!$I$9:$J$9</definedName>
    <definedName name="BEx1U87938YR9N6HYI24KVBKLOS3" hidden="1">[2]Table!$G$2</definedName>
    <definedName name="BEx1UECC97STOFB03808EZI7OEVG" hidden="1">[2]Graph!$I$9:$J$9</definedName>
    <definedName name="BEx1UI8N9KTCPSOJ7RDW0T8UEBNP" hidden="1">[2]Table!$F$10:$G$10</definedName>
    <definedName name="BEx1UML0HHJFHA5TBOYQ24I3RV1W" hidden="1">[2]Table!$F$6:$G$6</definedName>
    <definedName name="BEx1UUDIQPZ23XQ79GUL0RAWRSCK" hidden="1">[2]Table!$I$7:$J$7</definedName>
    <definedName name="BEx1VIY9SQLRESD11CC4PHYT0XSG" hidden="1">[2]Table!$H$2:$I$2</definedName>
    <definedName name="BEx1VMEFZ8TABY4GI5DIV4BQX5M8" hidden="1">[2]Table!$F$15:$G$26</definedName>
    <definedName name="BEx1VQQSB5BKTBE7EAFXSN31CNVX" hidden="1">[2]Graph!$F$9:$G$9</definedName>
    <definedName name="BEx1W8FDLOFGE28JXY6J54MICRMP" hidden="1">[2]Graph!$I$11:$J$11</definedName>
    <definedName name="BEx1WBVKHKOMBQXP4ZWNG4CJMMTX" hidden="1">[2]Table!$F$11:$G$11</definedName>
    <definedName name="BEx1WGYTKZZIPM1577W5FEYKFH3V" hidden="1">[2]Table!$F$15:$J$20</definedName>
    <definedName name="BEx1WHPURIV3D3PTJJ359H1OP7ZV" hidden="1">[2]Table!$H$1</definedName>
    <definedName name="BEx1WLWY2CR1WRD694JJSWSDFAIR" hidden="1">[2]Table!$I$7:$J$7</definedName>
    <definedName name="BEx1WR0D41MR174LBF3P9E3K0J51" hidden="1">[2]Table!$F$7:$G$7</definedName>
    <definedName name="BEx1WU09CIHOI0L84XXCKC501H1F" hidden="1">[2]Graph!$F$9:$G$9</definedName>
    <definedName name="BEx1WUB1FAS5PHU33TJ60SUHR618" hidden="1">[2]Table!$I$8:$J$8</definedName>
    <definedName name="BEx1WX04G0INSPPG9NTNR3DYR6PZ" hidden="1">[2]Table!$I$11:$J$11</definedName>
    <definedName name="BEx1X3LHU9DPG01VWX2IF65TRATF" hidden="1">[2]Table!$F$8:$G$8</definedName>
    <definedName name="BEx1XAC764T6BHLBEHY0U1R8E7CD" hidden="1">[2]Table!$F$8:$G$8</definedName>
    <definedName name="BEx1XL4MZ7C80495GHQRWOBS16PQ" hidden="1">[2]Table!$F$6:$G$6</definedName>
    <definedName name="BEx1XN86QZPXEC2550TP8XT6SWZX" hidden="1">[2]Graph!$F$9:$G$9</definedName>
    <definedName name="BEx1XSMCNXXE87BFI1E8DKO4RJM3" hidden="1">[2]Table!$F$10:$G$10</definedName>
    <definedName name="BEx1XU4BH51ML2QQDLEYTVTSZZYY" hidden="1">[2]Table!$I$8:$J$8</definedName>
    <definedName name="BEx1Y2IGS2K95E1M51PEF9KJZ0KB" hidden="1">[2]Table!$F$15</definedName>
    <definedName name="BEx1YJLFDHRDQ8XJW26S09F64AIK" hidden="1">[2]Table!$I$7:$J$7</definedName>
    <definedName name="BEx1YKHSW5HDSZLEI6ETN0XC509V" hidden="1">[2]Graph!$I$8:$J$8</definedName>
    <definedName name="BEx1Z0Z8HTMDH681AVGMLL76BHR4" hidden="1">[2]Graph!$F$7:$G$7</definedName>
    <definedName name="BEx1Z2RYHSVD1H37817SN93VMURZ" hidden="1">[2]Table!$F$7:$G$7</definedName>
    <definedName name="BEx3A27MH3K8JVJ0E1L75KB3DFRF" hidden="1">[2]Graph!$C$15:$D$31</definedName>
    <definedName name="BEx3AMAKWI6458B67VKZO56MCNJW" hidden="1">[2]Table!$H$2:$I$2</definedName>
    <definedName name="BEx3AOOVM42G82TNF53W0EKXLUSI" hidden="1">[2]Table!$H$1</definedName>
    <definedName name="BEx3BNR9ES4KY7Q1DK83KC5NDGL8" hidden="1">[2]Table!$E$2:$F$2</definedName>
    <definedName name="BEx3BQR5VZXNQ4H949ORM8ESU3B3" hidden="1">[2]Table!$C$15:$D$19</definedName>
    <definedName name="BEx3BX71Z1T3H97PR3J8EB2BOQRT" hidden="1">[2]Table!$I$8:$J$8</definedName>
    <definedName name="BEx3BYP0FG369M7G3JEFLMMXAKTS" hidden="1">[2]Table!$F$9:$G$9</definedName>
    <definedName name="BEx3C5ACPKV4XIAY0LO077TCRNLJ" hidden="1">[2]Graph!$F$6:$G$6</definedName>
    <definedName name="BEx3CBKXPIN2XM7QJNI7O0MB70AR" hidden="1">[2]Graph!$F$8:$G$8</definedName>
    <definedName name="BEx3CJIYFRN547SOBMSNV5M9BHWF" hidden="1">[2]Table!$C$15:$D$29</definedName>
    <definedName name="BEx3CKFCCPZZ6ROLAT5C1DZNIC1U" hidden="1">[2]Table!$H$2:$I$2</definedName>
    <definedName name="BEx3CO0SVO4WLH0DO43DCHYDTH1P" hidden="1">[2]Table!$F$15</definedName>
    <definedName name="BEx3CTV4WZO1M5ORPS3KBHKJSP2A" hidden="1">[2]Table!$I$10:$J$10</definedName>
    <definedName name="BEx3D1YG3IUPK8T85WDW3CSRSWTA" hidden="1">[2]Table!$G$2</definedName>
    <definedName name="BEx3D35KVB55GTY44YX4O9YGEVQI" hidden="1">[2]Graph!$I$10:$J$10</definedName>
    <definedName name="BEx3D5PESTF01783N1LIOYO0YEYD" hidden="1">[2]Graph!$C$15:$D$30</definedName>
    <definedName name="BEx3D6AUC4R1SWMYK2FESYBLHQCJ" hidden="1">[2]Table!$F$9:$G$9</definedName>
    <definedName name="BEx3D6R3LMQ79XJYPGPSPPP9REPF" hidden="1">[2]Table!$K$8:$L$8</definedName>
    <definedName name="BEx3D7SXLTRKKR159MK62C9TJBAF" hidden="1">[2]Table!$F$15:$S$20</definedName>
    <definedName name="BEx3D9G6QTSPF9UYI4X0XY0VE896" hidden="1">[2]Table!$F$6:$G$6</definedName>
    <definedName name="BEx3DCQU9PBRXIMLO62KS5RLH447" hidden="1">[2]Table!$I$11:$J$11</definedName>
    <definedName name="BEx3DNU2CDYEE3BXM5FC20YEDXGN" hidden="1">[2]Table!$K$10:$L$10</definedName>
    <definedName name="BEx3DVMNJ0YGICCJE0NAZ3KFKTD8" hidden="1">[2]Graph!$I$7:$J$7</definedName>
    <definedName name="BEx3DXVHBB474DPRAACPT34MCVKF" hidden="1">[2]Table!$I$15:$I$17</definedName>
    <definedName name="BEx3E22INXU2VKWET4AVSBR8WAD6" hidden="1">[2]Graph!$F$7:$G$7</definedName>
    <definedName name="BEx3EF99FD6QNNCNOKDEE67JHTUJ" hidden="1">[2]Table!$I$9:$J$9</definedName>
    <definedName name="BEx3EHCSERZ2O2OAG8Y95UPG2IY9" hidden="1">[2]Table!$H$1</definedName>
    <definedName name="BEx3EJR3TCJDYS7ZXNDS5N9KTGIK" hidden="1">[2]Table!$F$8:$G$8</definedName>
    <definedName name="BEx3ELJTTBS6P05CNISMGOJOA60V" hidden="1">[2]Table!$I$9:$J$9</definedName>
    <definedName name="BEx3EOUJL2JYDPHTFU5UNSOCQ3GT" hidden="1">[2]Table!$F$9:$G$9</definedName>
    <definedName name="BEx3EQSLJBDDJRHNX19PBFCKNY2I" hidden="1">[2]Table!$F$11:$G$11</definedName>
    <definedName name="BEx3EVFXCBZ739Z2L3TJQ382TEEO" hidden="1">[2]Table!$F$15</definedName>
    <definedName name="BEx3FG4DPAPTA9PM2Q6BMWI6BIHV" hidden="1">[2]Graph!$F$10:$G$10</definedName>
    <definedName name="BEx3FHMD1P5XBCH23ZKIFO6ZTCNB" hidden="1">[2]Table!$I$6:$J$6</definedName>
    <definedName name="BEx3FI2G3YYIACQHXNXEA15M8ZK5" hidden="1">[2]Table!$F$11:$G$11</definedName>
    <definedName name="BEx3FJKEBMAMR6ALAHY0TC6R1NMQ" hidden="1">[2]Table!$F$7:$G$7</definedName>
    <definedName name="BEx3FQWNDWW7P4WUVL4MZ4ZEHY3Q" hidden="1">[2]Table!$H$1:$H$1</definedName>
    <definedName name="BEx3FR251HFU7A33PU01SJUENL2B" hidden="1">[2]Table!$K$2</definedName>
    <definedName name="BEx3FWWL20OSGP8SNWN174FC5EDY" hidden="1">[2]Table!$F$8:$G$8</definedName>
    <definedName name="BEx3FX7EJL47JSLSWP3EOC265WAE" hidden="1">[2]Table!$C$15:$D$20</definedName>
    <definedName name="BEx3G201R8NLJ6FIHO2QS0SW9QVV" hidden="1">[2]Table!$H$2:$I$2</definedName>
    <definedName name="BEx3G2LL2II66XY5YCDPG4JE13A3" hidden="1">[2]Table!$F$9:$G$9</definedName>
    <definedName name="BEx3G2WA0DTYY9D8AGHHOBTPE2B2" hidden="1">[2]Table!$F$7:$G$7</definedName>
    <definedName name="BEx3G8FY85SUKO01ZJQZYO51EA75" hidden="1">[2]Graph!$I$9:$J$9</definedName>
    <definedName name="BEx3GCXR6IAS0B6WJ03GJVH7CO52" hidden="1">[2]Table!$F$15</definedName>
    <definedName name="BEx3GDZH5KHUU0C7RY1PDVGKTH8E" hidden="1">[2]Graph!$C$15:$D$29</definedName>
    <definedName name="BEx3GEVV18SEQDI1JGY7EN6D1GT1" hidden="1">[2]Table!$H$1</definedName>
    <definedName name="BEx3GKFH64MKQX61S7DYTZ15JCPY" hidden="1">[2]Table!$G$2</definedName>
    <definedName name="BEx3GMJ1Y6UU02DLRL0QXCEKDA6C" hidden="1">[2]Table!$C$15:$D$20</definedName>
    <definedName name="BEx3GN4LY0135CBDIN1TU2UEODGF" hidden="1">[2]Table!$I$10:$J$10</definedName>
    <definedName name="BEx3GPDH2AH4QKT4OOSN563XUHBD" hidden="1">[2]Table!$I$9:$J$9</definedName>
    <definedName name="BEx3GQ9U1YLIDRUCV89MWDRBUV8Z" hidden="1">[2]Graph!$C$15:$D$29</definedName>
    <definedName name="BEx3GQ9V1DONRHIKU8HGIPUP1EGT" hidden="1">[2]Graph!$I$7:$J$7</definedName>
    <definedName name="BEx3GU62ZFH2P6I2V4GZ41EBL54R" hidden="1">[2]Table!$I$6:$J$6</definedName>
    <definedName name="BEx3GWPX17D0JF5TS64T7KK67LT4" hidden="1">[2]Table!$K$11:$L$11</definedName>
    <definedName name="BEx3H5UX2GZFZZT657YR76RHW5I6" hidden="1">[2]Table!$C$15:$D$20</definedName>
    <definedName name="BEx3HPN0YJJ467LIWVJZY7A7ZH6J" hidden="1">[2]Table!$F$7:$G$7</definedName>
    <definedName name="BEx3HWJ5SQSD2CVCQNR183X44FR8" hidden="1">[2]Table!$H$2:$I$2</definedName>
    <definedName name="BEx3I09YVXO0G4X7KGSA4WGORM35" hidden="1">[2]Table!$F$6:$G$6</definedName>
    <definedName name="BEx3I1BTBHRP8ECBR2EXXBWR7UFC" hidden="1">[2]Graph!$C$15:$D$31</definedName>
    <definedName name="BEx3I4RSAHXXVC1ES2IV7X46B17T" hidden="1">[2]Table!$I$8:$J$8</definedName>
    <definedName name="BEx3I764FJ07QYI8YJLC5U478B03" hidden="1">[2]Graph!$I$8:$J$8</definedName>
    <definedName name="BEx3ICF1GY8HQEBIU9S43PDJ90BX" hidden="1">[2]Table!$F$6:$G$6</definedName>
    <definedName name="BEx3IMLPLFDY04Z6ON69TCWA33TL" hidden="1">[2]Graph!$F$8:$G$8</definedName>
    <definedName name="BEx3IOJX6MOHMI1F6EJ6QR2U3QQV" hidden="1">[2]Table!$I$10:$J$10</definedName>
    <definedName name="BEx3IP5IQZEDRLU5ONME5RYPKGBL" hidden="1">[2]Table!$F$10:$G$10</definedName>
    <definedName name="BEx3IVAMS3OZR2ZOUMN73RWN0UCR" hidden="1">[2]Table!$I$11:$J$11</definedName>
    <definedName name="BEx3IWN8YPN2XHSCISQB9608ZLOD" hidden="1">[2]Graph!$F$6:$G$6</definedName>
    <definedName name="BEx3IYAH2DEBFWO8F94H4MXE3RLY" hidden="1">[2]Table!$C$15:$D$20</definedName>
    <definedName name="BEx3IZXXSYEW50379N2EAFWO8DZV" hidden="1">[2]Table!$H$1</definedName>
    <definedName name="BEx3J1AER474MOJIPE6KA6OO0X83" hidden="1">[2]Table!$K$11:$L$11</definedName>
    <definedName name="BEx3J1VZVGTKT4ATPO9O5JCSFTTR" hidden="1">[2]Table!$I$9:$J$9</definedName>
    <definedName name="BEx3J2XUDDF0SSPYVBJC3N2BVRNR" hidden="1">[2]Graph!$F$6:$G$6</definedName>
    <definedName name="BEx3J98FLMR841B4ZZB6GY308D1L" hidden="1">[2]Table!$K$9:$L$9</definedName>
    <definedName name="BEx3JC2TY7JNAAC3L7QHVPQXLGQ8" hidden="1">[2]Table!$I$11:$J$11</definedName>
    <definedName name="BEx3JOTH3QF9NV828Z89JSOWL2P8" hidden="1">[2]Graph!$F$7:$G$7</definedName>
    <definedName name="BEx3JWB8EIB42E4QPNP0F6ZKJHSM" hidden="1">[2]Graph!$F$11:$G$11</definedName>
    <definedName name="BEx3JX23SYDIGOGM4Y0CQFBW8ZBV" hidden="1">[2]Table!$F$8:$G$8</definedName>
    <definedName name="BEx3JXCXCVBZJGV5VEG9MJEI01AL" hidden="1">[2]Table!$I$7:$J$7</definedName>
    <definedName name="BEx3JYK2N7X59TPJSKYZ77ENY8SS" hidden="1">[2]Table!$I$6:$J$6</definedName>
    <definedName name="BEx3JZAXL8KNT6BS2DKSBQW8WFTT" hidden="1">[2]Graph!$I$10:$J$10</definedName>
    <definedName name="BEx3K4EDOWPILWGN73AKAVIU797E" hidden="1">[2]Table!$C$15:$D$29</definedName>
    <definedName name="BEx3K4EII7GU1CG0BN7UL15M6J8Z" hidden="1">[2]Table!$H$1</definedName>
    <definedName name="BEx3K4ZXQUQ2KYZF74B84SO48XMW" hidden="1">[2]Table!$I$9:$J$9</definedName>
    <definedName name="BEx3KAJM7SZLJAX091QX340QRLO6" hidden="1">[2]Table!$F$7:$G$7</definedName>
    <definedName name="BEx3KEFXUCVNVPH7KSEGAZYX13B5" hidden="1">[2]Table!$F$6:$G$6</definedName>
    <definedName name="BEx3KFXUAF6YXAA47B7Q6X9B3VGB" hidden="1">[2]Table!$I$10:$J$10</definedName>
    <definedName name="BEx3KHL3OLHUAK6MMIOXUBP47F6U" hidden="1">[2]Table!$I$8:$J$8</definedName>
    <definedName name="BEx3KIXQYOGMPK4WJJAVBRX4NR28" hidden="1">[2]Table!$H$1</definedName>
    <definedName name="BEx3KJOMVOSFZVJUL3GKCNP6DQDS" hidden="1">[2]Table!$F$6:$G$6</definedName>
    <definedName name="BEx3KP2VRBMORK0QEAZUYCXL3DHJ" hidden="1">[2]Table!$I$6:$J$6</definedName>
    <definedName name="BEx3KTFEEPYOUGJGMWJAIOXPBFK6" hidden="1">[2]Table!$F$6:$G$6</definedName>
    <definedName name="BEx3L4IN3LI4C26SITKTGAH27CDU" hidden="1">[2]Table!$F$15</definedName>
    <definedName name="BEx3L4YQ0J7ZU0M5QM6YIPCEYC9K" hidden="1">[2]Table!$H$1</definedName>
    <definedName name="BEx3L60DJOR7NQN42G7YSAODP1EX" hidden="1">[2]Table!$I$7:$J$7</definedName>
    <definedName name="BEx3L7D0PI38HWZ7VADU16C9E33D" hidden="1">[2]Table!$I$7:$J$7</definedName>
    <definedName name="BEx3L9WT886UPC0M8AH5Y82YAB1H" hidden="1">[2]Graph!$I$6:$J$6</definedName>
    <definedName name="BEx3LM1PR4Y7KINKMTMKR984GX8Q" hidden="1">[2]Table!$I$8:$J$8</definedName>
    <definedName name="BEx3LO587CEW41AXYA84RGEZR2HA" hidden="1">[2]Table!$I$6:$J$6</definedName>
    <definedName name="BEx3LPCEZ1C0XEKNCM3YT09JWCUO" hidden="1">[2]Table!$I$10:$J$10</definedName>
    <definedName name="BEx3LRQPBEYUQ8NMLL8AOZ2SXLOI" hidden="1">[2]Graph!$F$9:$G$9</definedName>
    <definedName name="BEx3M1MR1K1NQD03H74BFWOK4MWQ" hidden="1">[2]Table!$F$15</definedName>
    <definedName name="BEx3M4H77MYUKOOD31H9F80NMVK8" hidden="1">[2]Table!$H$2:$I$2</definedName>
    <definedName name="BEx3M9VFX329PZWYC4DMZ6P3W9R2" hidden="1">[2]Table!$F$8:$G$8</definedName>
    <definedName name="BEx3MCQ0VEBV0CZXDS505L38EQ8N" hidden="1">[2]Table!$I$11:$J$11</definedName>
    <definedName name="BEx3MEYV5LQY0BAL7V3CFAFVOM3T" hidden="1">[2]Table!$I$9:$J$9</definedName>
    <definedName name="BEx3MREOFWJQEYMCMBL7ZE06NBN6" hidden="1">[2]Table!$G$2</definedName>
    <definedName name="BEx3MUELJ3JPL48O0GO7E3S1HWLE" hidden="1">[2]Table!$C$15:$D$30</definedName>
    <definedName name="BEx3N1QTH2DYLZZG0F1ADOEE3HDB" hidden="1">[2]Table!$J$2:$J$2</definedName>
    <definedName name="BEx3N6JH6US4LJL3G4JDZAX3LWUJ" hidden="1">[2]Table!$K$8:$L$8</definedName>
    <definedName name="BEx3N7VYL8CCBFTRFOA6W3BWAQJ0" hidden="1">[2]Graph!$I$8:$J$8</definedName>
    <definedName name="BEx3NB1BW59TPNFKAT876KIZOVFR" hidden="1">[2]Table!$I$8:$J$8</definedName>
    <definedName name="BEx3NMKN8CVYL3EJ0LWW42CACI3J" hidden="1">[2]Table!$C$15:$D$31</definedName>
    <definedName name="BEx3NMQ4BVC94728AUM7CCX7UHTU" hidden="1">[2]Table!$F$15</definedName>
    <definedName name="BEx3NPVCD9QV72BQFTNSPRMRE157" hidden="1">[2]Table!$I$6:$J$6</definedName>
    <definedName name="BEx3NR2I4OUFP3Z2QZEDU2PIFIDI" hidden="1">[2]Table!$F$10:$G$10</definedName>
    <definedName name="BEx3NZRECDF636NOWROGRTYVE9WU" hidden="1">[2]Table!$F$7:$G$7</definedName>
    <definedName name="BEx3O19B8FTTAPVT5DZXQGQXWFR8" hidden="1">[2]Table!$F$15</definedName>
    <definedName name="BEx3O4UT9DBQXCJSSMBBK0ZOU6HB" hidden="1">[2]Table!$I$10:$J$10</definedName>
    <definedName name="BEx3O85IKWARA6NCJOLRBRJFMEWW" hidden="1">[2]Table!#REF!</definedName>
    <definedName name="BEx3OC73LJEQR5XWZ9G4GF70HO45" hidden="1">[2]Table!$I$6:$J$6</definedName>
    <definedName name="BEx3OJZSCGFRW7SVGBFI0X9DNVMM" hidden="1">[2]Table!$H$2:$I$2</definedName>
    <definedName name="BEx3OK5349EJ2XRYXV7W13YG9FSL" hidden="1">[2]Graph!$C$15:$D$29</definedName>
    <definedName name="BEx3OSDPC76YELEXOE4HPHR08Z63" hidden="1">[2]Graph!$F$6:$G$6</definedName>
    <definedName name="BEx3OV8BH6PYNZT7C246LOAU9SVX" hidden="1">[2]Table!$F$9:$G$9</definedName>
    <definedName name="BEx3OX11VVZET0TPHVVVD7E2FKOC" hidden="1">[2]Table!$H$2:$I$2</definedName>
    <definedName name="BEx3OXRYJZUEY6E72UJU0PHLMYAR" hidden="1">[2]Table!$F$7:$G$7</definedName>
    <definedName name="BEx3P54EFPJ9XERKXPZGLNSLQXCN" hidden="1">[2]Graph!$I$7:$J$7</definedName>
    <definedName name="BEx3P59TTRSGQY888P5C1O7M2PQT" hidden="1">[2]Table!$F$7:$G$7</definedName>
    <definedName name="BEx3PDT8GNPWLLN02IH1XPV90XYK" hidden="1">[2]Table!$F$7:$G$7</definedName>
    <definedName name="BEx3PH99MLZU1LB38QDL3NELDJBG" hidden="1">[2]Graph!$I$8:$J$8</definedName>
    <definedName name="BEx3PHUUYUTD7DCGG4QQBZ5UFFXX" hidden="1">[2]Table!$I$15:$I$17</definedName>
    <definedName name="BEx3PKEMDW8KZEP11IL927C5O7I2" hidden="1">[2]Table!$F$15</definedName>
    <definedName name="BEx3PM1VKLOHKK6H7H3DBXO6FICM" hidden="1">[2]Graph!$I$8:$J$8</definedName>
    <definedName name="BEx3PMNG53Z5HY138H99QOMTX8W3" hidden="1">[2]Table!$I$6:$J$6</definedName>
    <definedName name="BEx3PP1RRSFZ8UC0JC9R91W6LNKW" hidden="1">[2]Table!$I$7:$J$7</definedName>
    <definedName name="BEx3PPNDD7L6SUISGSI2D375NSCH" hidden="1">[2]Graph!$I$10:$J$10</definedName>
    <definedName name="BEx3PQZZ6L9TOCDKNGIDPO8Y2G54" hidden="1">[2]Graph!$F$10:$G$10</definedName>
    <definedName name="BEx3PTZRNIYGJYUV7CCH503WYPC9" hidden="1">[2]Table!$I$8:$J$8</definedName>
    <definedName name="BEx3PVXYZC8WB9ZJE7OCKUXZ46EA" hidden="1">[2]Table!$H$2:$I$2</definedName>
    <definedName name="BEx3Q0VWPU5EQECK7MQ47TYJ3SWW" hidden="1">[2]Table!$F$15</definedName>
    <definedName name="BEx3Q3QHHJB3PUJIXDIL8G6EHCRE" hidden="1">[2]Graph!$F$7:$G$7</definedName>
    <definedName name="BEx3Q7BZ9PUXK2RLIOFSIS9AHU1B" hidden="1">[2]Table!$F$9:$G$9</definedName>
    <definedName name="BEx3Q8J42S9VU6EAN2Y28MR6DF88" hidden="1">[2]Table!$I$9:$J$9</definedName>
    <definedName name="BEx3Q9QA35ZVN9VVHN81BBIVN881" hidden="1">[2]Graph!$I$10:$J$10</definedName>
    <definedName name="BEx3QD0XYUEL1G6J200V2STCORG5" hidden="1">[2]Graph!$I$11:$J$11</definedName>
    <definedName name="BEx3QEDFOYFY5NBTININ5W4RLD4Q" hidden="1">[2]Table!$F$11:$G$11</definedName>
    <definedName name="BEx3QIKJ3U962US1Q564NZDLU8LD" hidden="1">[2]Table!$F$6:$G$6</definedName>
    <definedName name="BEx3QN7SC1JPQABFYJF6K81J8AXI" hidden="1">[2]Table!$K$8:$L$8</definedName>
    <definedName name="BEx3QR9D45DHW50VQ7Y3Q1AXPOB9" hidden="1">[2]Table!$F$10:$G$10</definedName>
    <definedName name="BEx3QSWSPC81QKTHAH3RT52923SH" hidden="1">[2]Table!$I$10:$J$10</definedName>
    <definedName name="BEx3QSWT2S5KWG6U2V9711IYDQBM" hidden="1">[2]Table!$K$2</definedName>
    <definedName name="BEx3QVGG7Q2X4HZHJAM35A8T3VR7" hidden="1">[2]Table!$I$9:$J$9</definedName>
    <definedName name="BEx3R0937WQD8JU6SAIVNZ72D3GZ" hidden="1">[2]Table!$H$1:$H$1</definedName>
    <definedName name="BEx3R0JUB9YN8PHPPQTAMIT1IHWK" hidden="1">[2]Table!$F$10:$G$10</definedName>
    <definedName name="BEx3R21TTFSKSKIWQRH6N975QRX9" hidden="1">[2]Table!$F$6:$G$6</definedName>
    <definedName name="BEx3R5CHA6IRCXTT5NY3Y434JEMV" hidden="1">[2]Table!$I$6:$J$6</definedName>
    <definedName name="BEx3R81NFRO7M81VHVKOBFT0QBIL" hidden="1">[2]Table!$I$11:$J$11</definedName>
    <definedName name="BEx3RHC2ZD5UFS6QD4OPFCNNMWH1" hidden="1">[2]Table!$C$15:$D$20</definedName>
    <definedName name="BEx3RQ10QIWBAPHALAA91BUUCM2X" hidden="1">[2]Table!$H$2:$I$2</definedName>
    <definedName name="BEx3RUTM1OP6BX5V4J2ZCFRU5HAY" hidden="1">[2]Table!$I$6:$J$6</definedName>
    <definedName name="BEx3RV4E1WT43SZBUN09RTB8EK1O" hidden="1">[2]Table!$F$6:$G$6</definedName>
    <definedName name="BEx3RXYU0QLFXSFTM5EB20GD03W5" hidden="1">[2]Table!$I$6:$J$6</definedName>
    <definedName name="BEx3RYKLC3QQO3XTUN7BEW2AQL98" hidden="1">[2]Table!$F$6:$G$6</definedName>
    <definedName name="BEx3S2WXUEQA8PLX4U6G9LJB63ZN" hidden="1">[2]Graph!$F$9:$G$9</definedName>
    <definedName name="BEx3SICJ45BYT6FHBER86PJT25FC" hidden="1">[2]Table!$I$11:$J$11</definedName>
    <definedName name="BEx3SK59R66WM42P689NUJLPWI5X" hidden="1">[2]Graph!$I$9:$J$9</definedName>
    <definedName name="BEx3SMUCMJVGQ2H4EHQI5ZFHEF0P" hidden="1">[2]Table!$F$7:$G$7</definedName>
    <definedName name="BEx3SN56F03CPDRDA7LZ763V0N4I" hidden="1">[2]Table!$F$10:$G$10</definedName>
    <definedName name="BEx3SPE6N1ORXPRCDL3JPZD73Z9F" hidden="1">[2]Table!$F$10:$G$10</definedName>
    <definedName name="BEx3ST4Y5OZXSIK7V846SMFT5B23" hidden="1">[2]Graph!$I$7:$J$7</definedName>
    <definedName name="BEx3SWQG9ED1M1Q5D63K0HZ15GQG" hidden="1">[2]Graph!$C$15:$D$29</definedName>
    <definedName name="BEx3SXC0XBJCNYID54BXZZ7KXPO8" hidden="1">[2]Table!$G$2:$G$2</definedName>
    <definedName name="BEx3SYDOJ179367PC80P3OUE10WA" hidden="1">[2]Table!$C$15:$D$31</definedName>
    <definedName name="BEx3T29ZTULQE0OMSMWUMZDU9ZZ0" hidden="1">[2]Table!$F$9:$G$9</definedName>
    <definedName name="BEx3T311L2LO001C4HOAHGI0SEGW" hidden="1">[2]Graph!$I$8:$J$8</definedName>
    <definedName name="BEx3T6MJ1QDJ929WMUDVZ0O3UW0Y" hidden="1">[2]Table!$K$2</definedName>
    <definedName name="BEx3TG7QMMEAEEYAL42RHZZG0440" hidden="1">[2]Table!$K$7:$L$7</definedName>
    <definedName name="BEx3TO09F9SV99SJXCUC1B49RVCJ" hidden="1">[2]Graph!$F$8:$G$8</definedName>
    <definedName name="BEx3TPCSI16OAB2L9M9IULQMQ9J9" hidden="1">[2]Table!$F$7:$G$7</definedName>
    <definedName name="BEx3TUAVFP3D3D42BAUO354TZB5U" hidden="1">[2]Table!$I$10:$J$10</definedName>
    <definedName name="BEx3U2JIRYNZBNOCXKBFCRTD3LHB" hidden="1">[2]Table!$I$11:$J$11</definedName>
    <definedName name="BEx3U352SU9YM9PRDVSMJ9CS4RJI" hidden="1">[2]Graph!$I$7:$J$7</definedName>
    <definedName name="BEx3U64YUOZ419BAJS2W78UMATAW" hidden="1">[2]Table!$I$7:$J$7</definedName>
    <definedName name="BEx3U94WCEA5DKMWBEX1GU0LKYG2" hidden="1">[2]Table!$I$9:$J$9</definedName>
    <definedName name="BEx3U9VZ8SQVYS6ZA038J7AP7ZGW" hidden="1">[2]Table!$F$9:$G$9</definedName>
    <definedName name="BEx3UGBU5LQRDMBWEIVPYA2X6SV5" hidden="1">[2]Table!$I$11:$J$11</definedName>
    <definedName name="BEx3UIQ5WRJBGNTFCCLOR4N7B1OQ" hidden="1">[2]Table!$H$2:$I$2</definedName>
    <definedName name="BEx3UJBQWUJW9KX0PXKZ4TRHMR71" hidden="1">[2]Graph!$F$10:$G$10</definedName>
    <definedName name="BEx3UJMIX2NUSSWGMSI25A5DM4CH" hidden="1">[2]Table!$I$7:$J$7</definedName>
    <definedName name="BEx3UKOCOQG7S1YQ436S997K1KWV" hidden="1">[2]Table!$I$6:$J$6</definedName>
    <definedName name="BEx3UNTKMPYDF02UIRN4WQ2LI3U1" hidden="1">[2]Graph!$F$6:$G$6</definedName>
    <definedName name="BEx3UWIHK7ZG4YKKA960638RH5B1" hidden="1">[2]Table!$C$15:$D$30</definedName>
    <definedName name="BEx3UYM19VIXLA0EU7LB9NHA77PB" hidden="1">[2]Table!$F$6:$G$6</definedName>
    <definedName name="BEx3V6EJO8BG91O9M5DVBLNPDBKG" hidden="1">[2]Graph!$I$10:$J$10</definedName>
    <definedName name="BEx3VML7CG70HPISMVYIUEN3711Q" hidden="1">[2]Table!$H$2:$I$2</definedName>
    <definedName name="BEx56ZID5H04P9AIYLP1OASFGV56" hidden="1">[2]Table!$F$11:$G$11</definedName>
    <definedName name="BEx5802QAJKNHFBFPTR0PSRHQPJE" hidden="1">[2]Graph!$F$7:$G$7</definedName>
    <definedName name="BEx587EYSS57E3PI8DT973HLJM9E" hidden="1">[2]Table!$I$11:$J$11</definedName>
    <definedName name="BEx587KFQ3VKCOCY1SA5F24PQGUI" hidden="1">[2]Table!$F$11:$G$11</definedName>
    <definedName name="BEx58BM2CSAQ8B220W3TYEZYXGL7" hidden="1">[2]Table!$K$10:$L$10</definedName>
    <definedName name="BEx58DK9GX1OJTLDQEVVZJA91EEN" hidden="1">[2]Table!$I$6:$J$6</definedName>
    <definedName name="BEx58FCZ72Z4CSSPRJGKHSVMHADS" hidden="1">[2]Graph!$F$7:$G$7</definedName>
    <definedName name="BEx58INO142HY040DB8ZZ4WTZHFW" hidden="1">[2]Table!$C$40:$D$50</definedName>
    <definedName name="BEx58O780PQ05NF0Z1SKKRB3N099" hidden="1">[2]Table!$F$7:$G$7</definedName>
    <definedName name="BEx58VE5AXKDP853GU6FRMMYOFZ8" hidden="1">[2]Table!$F$7:$G$7</definedName>
    <definedName name="BEx58XHO7ZULLF2EUD7YIS0MGQJ5" hidden="1">[2]Table!$C$15:$D$20</definedName>
    <definedName name="BEx591ZJ14LAJI4Q8DU3CQQBHZDV" hidden="1">[2]Graph!$I$10:$J$10</definedName>
    <definedName name="BEx59BA1KH3RG6K1LHL7YS2VB79N" hidden="1">[2]Table!$F$11:$G$11</definedName>
    <definedName name="BEx59E9WABJP2TN71QAIKK79HPK9" hidden="1">[2]Table!$I$8:$J$8</definedName>
    <definedName name="BEx59EKORTUX6VTV71YV9CLSMDYE" hidden="1">[2]Table!$F$6:$G$6</definedName>
    <definedName name="BEx59M2FJM4T5UR0DVS6WEKTTLPB" hidden="1">[2]Table!$C$15:$D$30</definedName>
    <definedName name="BEx59P7MAPNU129ZTC5H3EH892G1" hidden="1">[2]Table!$F$15</definedName>
    <definedName name="BEx59QV2U1HAAR29EVJPZRVF1SDY" hidden="1">[2]Table!$I$6:$J$6</definedName>
    <definedName name="BEx59WPJZYWUOEGJHPOVM5ETCM6G" hidden="1">[2]Graph!$I$6:$J$6</definedName>
    <definedName name="BEx5A0R3QB73XALT5ZZQMVNNLL0I" hidden="1">[2]Table!$F$7:$G$7</definedName>
    <definedName name="BEx5A11WZRQSIE089QE119AOX9ZG" hidden="1">[2]Table!$I$7:$J$7</definedName>
    <definedName name="BEx5A53I4OI80LV9DRIR9EFD2XUD" hidden="1">[2]Graph!$F$8:$G$8</definedName>
    <definedName name="BEx5A7CIGCOTHJKHGUBDZG91JGPZ" hidden="1">[2]Table!$F$11:$G$11</definedName>
    <definedName name="BEx5A8UFLT2SWVSG5COFA9B8P376" hidden="1">[2]Table!$F$10:$G$10</definedName>
    <definedName name="BEx5AA720QK8ABBLERCO7CGCVW4W" hidden="1">[2]Table!$F$9:$G$9</definedName>
    <definedName name="BEx5ACAHJPLAS35SPSXQ88PJYGPI" hidden="1">[2]Graph!$F$8:$G$8</definedName>
    <definedName name="BEx5AFFTN3IXIBHDKM0FYC4OFL1S" hidden="1">[2]Table!$G$2</definedName>
    <definedName name="BEx5ALKY18DTFZ0CK5ZLUVG6LTVW" hidden="1">[2]Graph!$F$8:$G$8</definedName>
    <definedName name="BEx5ANDOOW91YBCYUL4H4JOJKCSS" hidden="1">[2]Graph!$I$6:$J$6</definedName>
    <definedName name="BEx5ANTY0YFINNPQD3JCWAM7MAZA" hidden="1">[2]Table!$F$15</definedName>
    <definedName name="BEx5AOFIO8KVRHIZ1RII337AA8ML" hidden="1">[2]Table!$I$7:$J$7</definedName>
    <definedName name="BEx5APRZ66L5BWHFE8E4YYNEDTI4" hidden="1">[2]Table!$G$2</definedName>
    <definedName name="BEx5AU4ISCYIRP0Q71J6BRRCHVCF" hidden="1">[2]Table!$I$11:$J$11</definedName>
    <definedName name="BEx5AWYXG8U336HYLBTNP4LN3MNR" hidden="1">[2]Table!$F$10:$G$10</definedName>
    <definedName name="BEx5B15ZEFCQKZ46SBE1IKBUD466" hidden="1">[2]Table!$I$6:$J$6</definedName>
    <definedName name="BEx5B4RHHX0J1BF2FZKEA0SPP29O" hidden="1">[2]Table!$I$8:$J$8</definedName>
    <definedName name="BEx5B5YMSWP0OVI5CIQRP5V18D0C" hidden="1">[2]Table!$I$8:$J$8</definedName>
    <definedName name="BEx5B69E9AFKSNAS8FVI4XL12LX2" hidden="1">[2]Table!$F$15:$G$22</definedName>
    <definedName name="BEx5B825RW35M5H0UB2IZGGRS4ER" hidden="1">[2]Table!$F$15</definedName>
    <definedName name="BEx5BA5NSIT4Q2SJ3X58M4LXJQ5W" hidden="1">[2]Table!$I$10:$J$10</definedName>
    <definedName name="BEx5BAWPMY0TL684WDXX6KKJLRCN" hidden="1">[2]Table!$F$10:$G$10</definedName>
    <definedName name="BEx5BBI61U4Y65GD0ARMTALPP7SJ" hidden="1">[2]Table!$F$9:$G$9</definedName>
    <definedName name="BEx5BESZC5H329SKHGJOHZFILYJJ" hidden="1">[2]Table!$I$6:$J$6</definedName>
    <definedName name="BEx5BHSQ42B50IU1TEQFUXFX9XQD" hidden="1">[2]Table!$C$15:$D$20</definedName>
    <definedName name="BEx5BKSM4UN4C1DM3EYKM79MRC5K" hidden="1">[2]Table!$F$6:$G$6</definedName>
    <definedName name="BEx5BLZSHTK49R7RJSJ0Y595EFVJ" hidden="1">[2]Table!$C$15:$D$31</definedName>
    <definedName name="BEx5BNN8NPH9KVOBARB9CDD9WLB6" hidden="1">[2]Table!$F$9:$G$9</definedName>
    <definedName name="BEx5BPL91MF6FOG6VGDIYVECUYY4" hidden="1">[2]Graph!$F$10:$G$10</definedName>
    <definedName name="BEx5BQN48A0P0HALA6YWGQLFIY7R" hidden="1">[2]Graph!$F$9:$G$9</definedName>
    <definedName name="BEx5BYFMZ80TDDN2EZO8CF39AIAC" hidden="1">[2]Table!$F$15</definedName>
    <definedName name="BEx5BYVQBY69VEU44IP4YFX7TIYK" hidden="1">[2]Table!$K$2:$K$2</definedName>
    <definedName name="BEx5C14QL269S7BCUU0DYK9P5ADV" hidden="1">[2]Table!$I$6:$J$6</definedName>
    <definedName name="BEx5C2BWFW6SHZBFDEISKGXHZCQW" hidden="1">[2]Table!$I$8:$J$8</definedName>
    <definedName name="BEx5C49ZFH8TO9ZU55729C3F7XG7" hidden="1">[2]Table!$F$9:$G$9</definedName>
    <definedName name="BEx5C8GZQK13G60ZM70P63I5OS0L" hidden="1">[2]Table!$F$10:$G$10</definedName>
    <definedName name="BEx5C97XRIX64060ONJZSKQL89SY" hidden="1">[2]Table!$I$15:$J$25</definedName>
    <definedName name="BEx5CAPTVN2NBT3UOMA1UFAL1C2R" hidden="1">[2]Table!$I$6:$J$6</definedName>
    <definedName name="BEx5CDF4VDPYYLKD2L0QCFM64HPE" hidden="1">[2]Table!$F$15</definedName>
    <definedName name="BEx5CEM3SYF9XP0ZZVE0GEPCLV3F" hidden="1">[2]Table!$I$10:$J$10</definedName>
    <definedName name="BEx5CFYQ0F1Z6P8SCVJ0I3UPVFE4" hidden="1">[2]Table!$C$15:$D$20</definedName>
    <definedName name="BEx5CK5TPBWD0OP9WQ8QP7KQMOOV" hidden="1">[2]Table!$K$6:$L$6</definedName>
    <definedName name="BEx5CNR9ZYFH7VDST1YKR6JOAOVD" hidden="1">[2]Graph!$I$8:$J$8</definedName>
    <definedName name="BEx5COIC29V0PKD6RM6HL0IYDTFW" hidden="1">[2]Table!$I$7:$J$7</definedName>
    <definedName name="BEx5CP3QGEO2NXPEBWWPPSXP77RD" hidden="1">[2]Graph!$I$9:$J$9</definedName>
    <definedName name="BEx5CPEKNSJORIPFQC2E1LTRYY8L" hidden="1">[2]Table!$I$7:$J$7</definedName>
    <definedName name="BEx5CQR6PPHZ1S1UI8J4XM1TRDYC" hidden="1">[2]Graph!$I$6:$J$6</definedName>
    <definedName name="BEx5CSUOL05D8PAM2TRDA9VRJT1O" hidden="1">[2]Table!$I$10:$J$10</definedName>
    <definedName name="BEx5CUNFOO4YDFJ22HCMI2QKIGKM" hidden="1">[2]Table!$F$10:$G$10</definedName>
    <definedName name="BEx5D01N23XUY4JR7GY1FDMK9I84" hidden="1">[2]Graph!$F$10:$G$10</definedName>
    <definedName name="BEx5D8L47OF0WHBPFWXGZINZWUBZ" hidden="1">[2]Table!$I$10:$J$10</definedName>
    <definedName name="BEx5DAJAHQ2SKUPCKSCR3PYML67L" hidden="1">[2]Table!$I$8:$J$8</definedName>
    <definedName name="BEx5DC18JM1KJCV44PF18E0LNRKA" hidden="1">[2]Table!$F$8:$G$8</definedName>
    <definedName name="BEx5DJDJ38YGPSDEXNFSL4B6UGGU" hidden="1">[2]Table!$J$2</definedName>
    <definedName name="BEx5DJIZBTNS011R9IIG2OQ2L6ZX" hidden="1">[2]Table!$H$2:$I$2</definedName>
    <definedName name="BEx5DZUYLXKQ0QBW6AVYZ0JHK7KQ" hidden="1">[2]Table!$H$1:$H$1</definedName>
    <definedName name="BEx5E05PMQM06PABERYFJ8YWB0NQ" hidden="1">[2]Table!$L$2</definedName>
    <definedName name="BEx5E123OLO9WQUOIRIDJ967KAGK" hidden="1">[2]Table!$F$15</definedName>
    <definedName name="BEx5E1ID5KHP3LX0GCE7YF81W1FS" hidden="1">[2]Table!$I$6:$J$6</definedName>
    <definedName name="BEx5E2UU5NES6W779W2OZTZOB4O7" hidden="1">[2]Table!$I$10:$J$10</definedName>
    <definedName name="BEx5EE3DIPA9C3V3O20W88PWY7W1" hidden="1">[2]Graph!$F$6:$G$6</definedName>
    <definedName name="BEx5EH39U5NQHJZYTEQGJ4IJLSV3" hidden="1">[2]Table!$I$8:$J$8</definedName>
    <definedName name="BEx5EKJF2IVBBAQ2M65T6RVP5Y30" hidden="1">[2]Table!$K$10:$L$10</definedName>
    <definedName name="BEx5ELQL9B0VR6UT18KP11DHOTFX" hidden="1">[2]Table!$I$10:$J$10</definedName>
    <definedName name="BEx5ER4TJTFPN7IB1MNEB1ZFR5M6" hidden="1">[2]Table!$H$2:$I$2</definedName>
    <definedName name="BEx5F165QO31XG48ER2D8RCSJORB" hidden="1">[2]Table!$F$9:$G$9</definedName>
    <definedName name="BEx5F6V72QTCK7O39Y59R0EVM6CW" hidden="1">[2]Table!$I$8:$J$8</definedName>
    <definedName name="BEx5F9V2VMX72QTEB0ACVU89ZY1L" hidden="1">[2]Table!$I$7:$J$7</definedName>
    <definedName name="BEx5FENQ0AX0X2VCJK4VMJ8LS2I9" hidden="1">[2]Table!$F$9:$G$9</definedName>
    <definedName name="BEx5FGLQVACD5F5YZG4DGSCHCGO2" hidden="1">[2]Table!$H$2:$I$2</definedName>
    <definedName name="BEx5FJ5JMC10RMRW1FKGWNFEV435" hidden="1">[2]Table!$F$11:$G$11</definedName>
    <definedName name="BEx5FLJWHLW3BTZILDPN5NMA449V" hidden="1">[2]Table!$I$6:$J$6</definedName>
    <definedName name="BEx5FNI2O10YN2SI1NO4X5GP3GTF" hidden="1">[2]Table!$F$10:$G$10</definedName>
    <definedName name="BEx5FO8YRFSZCG3L608EHIHIHFY4" hidden="1">[2]Table!$H$1</definedName>
    <definedName name="BEx5FQNA6V4CNYSH013K45RI4BCV" hidden="1">[2]Table!$F$8:$G$8</definedName>
    <definedName name="BEx5FTCEIIRM9OOPXK6PB2KJSLTA" hidden="1">[2]Graph!$C$15:$D$29</definedName>
    <definedName name="BEx5FVQPPEU32CPNV9RRQ9MNLLVE" hidden="1">[2]Table!$H$2:$I$2</definedName>
    <definedName name="BEx5FZC6N2YGQTNF0RXL6O3CJ0FH" hidden="1">[2]Table!$I$8:$J$8</definedName>
    <definedName name="BEx5G1A8TFN4C4QII35U9DKYNIS8" hidden="1">[2]Table!$C$15:$D$20</definedName>
    <definedName name="BEx5G1L0QO91KEPDMV1D8OT4BT73" hidden="1">[2]Table!$I$6:$J$6</definedName>
    <definedName name="BEx5G86DZL1VYUX6KWODAP3WFAWP" hidden="1">[2]Table!$E$2:$F$2</definedName>
    <definedName name="BEx5G8BV2GIOCM3C7IUFK8L04A6M" hidden="1">[2]Table!$I$11:$J$11</definedName>
    <definedName name="BEx5G8H70AOIQNK90C2VU5BAF8TV" hidden="1">[2]Graph!$I$10:$J$10</definedName>
    <definedName name="BEx5GCZ0C345KDMHWUQ1BXSA1CQ9" hidden="1">[2]Graph!$C$15:$D$31</definedName>
    <definedName name="BEx5GE66YNPSS5MSPTBXLYLNUHSJ" hidden="1">[2]Graph!$I$6:$J$6</definedName>
    <definedName name="BEx5GFIT81HCS8FYRYS532IENL46" hidden="1">[2]Table!$J$2:$J$2</definedName>
    <definedName name="BEx5GID9MVBUPFFT9M8K8B5MO9NV" hidden="1">[2]Table!$F$15:$G$16</definedName>
    <definedName name="BEx5GL2CVWMY3S947ALVPBQG1W21" hidden="1">[2]Graph!$F$8:$G$8</definedName>
    <definedName name="BEx5GN0EWA9SCQDPQ7NTUQH82QVK" hidden="1">[2]Table!$F$6:$G$6</definedName>
    <definedName name="BEx5GNBCU4WZ74I0UXFL9ZG2XSGJ" hidden="1">[2]Table!$F$6:$G$6</definedName>
    <definedName name="BEx5GS9BV5BKVO1NC58KEOT5378X" hidden="1">[2]Table!$F$11:$G$11</definedName>
    <definedName name="BEx5GT5PB17R2GKX3F4H7WWN4M94" hidden="1">[2]Graph!$I$7:$J$7</definedName>
    <definedName name="BEx5GUCTYC7QCWGWU5BTO7Y7HDZX" hidden="1">[2]Table!$I$6:$J$6</definedName>
    <definedName name="BEx5GYUPJULJQ624TEESYFG1NFOH" hidden="1">[2]Table!$I$9:$J$9</definedName>
    <definedName name="BEx5GZR2KDETMC7ZPNE1YU6YELWI" hidden="1">[2]Graph!$I$9:$J$9</definedName>
    <definedName name="BEx5H0NEE0AIN5E2UHJ9J9ISU9N1" hidden="1">[2]Table!$F$8:$G$8</definedName>
    <definedName name="BEx5H1UJSEUQM2K8QHQXO5THVHSO" hidden="1">[2]Table!$F$9:$G$9</definedName>
    <definedName name="BEx5H8QQ8NFE45U83433PZIYC5GO" hidden="1">[2]Table!$F$8:$G$8</definedName>
    <definedName name="BEx5HAOT9XWUF7XIFRZZS8B9F5TZ" hidden="1">[2]Table!$K$2</definedName>
    <definedName name="BEx5HFHMABAT0H9KKS754X4T304E" hidden="1">[2]Table!$I$11:$J$11</definedName>
    <definedName name="BEx5HGDZ7MX1S3KNXLRL9WU565V4" hidden="1">[2]Table!$F$11:$G$11</definedName>
    <definedName name="BEx5HJDP3BUH8Z1EQB2EBK9I1AB4" hidden="1">[2]Table!$F$10:$G$10</definedName>
    <definedName name="BEx5HJZ9FAVNZSSBTAYRPZDYM9NU" hidden="1">[2]Table!$F$8:$G$8</definedName>
    <definedName name="BEx5HTF9BC6WOSR6ZXO7A48QGJG9" hidden="1">[2]Graph!$C$15:$D$31</definedName>
    <definedName name="BEx5HZ9JMKHNLFWLVUB1WP5B39BL" hidden="1">[2]Table!$F$10:$G$10</definedName>
    <definedName name="BEx5I0RIX9HQRRUWWU6PJAQSU08Z" hidden="1">[2]Table!$I$7:$J$7</definedName>
    <definedName name="BEx5I244LQHZTF3XI66J8705R9XX" hidden="1">[2]Table!$C$15:$D$20</definedName>
    <definedName name="BEx5I3B4OHOD6SAPLK3PZDRO1GYC" hidden="1">[2]Graph!$F$9:$G$9</definedName>
    <definedName name="BEx5I4CZWURJPJZH95QO8E7MXFWV" hidden="1">[2]Graph!$I$9:$J$9</definedName>
    <definedName name="BEx5I8PBP4LIXDGID5BP0THLO0AQ" hidden="1">[2]Table!$C$15:$D$19</definedName>
    <definedName name="BEx5I8USVUB3JP4S9OXGMZVMOQXR" hidden="1">[2]Table!$G$2</definedName>
    <definedName name="BEx5I9GDQSYIAL65UQNDMNFQCS9Y" hidden="1">[2]Table!$I$11:$J$11</definedName>
    <definedName name="BEx5IAYC5A49GWCB30LOEW4RJLTH" hidden="1">[2]Table!$I$10:$J$10</definedName>
    <definedName name="BEx5IBUPG9AWNW5PK7JGRGEJ4OLM" hidden="1">[2]Table!$H$2:$I$2</definedName>
    <definedName name="BEx5ILFZXHHBHD8BR2O4PTPMXU0M" hidden="1">[2]Table!$G$2:$G$2</definedName>
    <definedName name="BEx5IQ34QOLNVITVCV8PULT0DI30" hidden="1">[2]Table!$I$11:$J$11</definedName>
    <definedName name="BEx5J0FFP1KS4NGY20AEJI8VREEA" hidden="1">[2]Table!$I$9:$J$9</definedName>
    <definedName name="BEx5JF3ZXLDIS8VNKDCY7ZI7H1CI" hidden="1">[2]Table!$F$11:$G$11</definedName>
    <definedName name="BEx5JHCZJ8G6OOOW6EF3GABXKH6F" hidden="1">[2]Table!$H$1</definedName>
    <definedName name="BEx5JHYKFH731QFL6NAB373S0EBO" hidden="1">[2]Table!$G$2</definedName>
    <definedName name="BEx5JJB6W446THXQCRUKD3I7RKLP" hidden="1">[2]Table!$F$8:$G$8</definedName>
    <definedName name="BEx5JKYGE4QK3JAGMF3DOOTJJMQK" hidden="1">[2]Graph!$I$7:$J$7</definedName>
    <definedName name="BEx5JNCT8Z7XSSPD5EMNAJELCU2V" hidden="1">[2]Table!$C$15:$D$20</definedName>
    <definedName name="BEx5JP02DZ97IB62ITCKG1MMWBKN" hidden="1">[2]Graph!$F$11:$G$11</definedName>
    <definedName name="BEx5K08PYKE6JOKBYIB006TX619P" hidden="1">[2]Table!$F$9:$G$9</definedName>
    <definedName name="BEx5K1AKPNBF18M8BS3MHI13PF7R" hidden="1">[2]Graph!$I$9:$J$9</definedName>
    <definedName name="BEx5K21HQCDNYPG2QWFOVS99PE4A" hidden="1">[2]Graph!$C$15:$D$29</definedName>
    <definedName name="BEx5K51DSERT1TR7B4A29R41W4NX" hidden="1">[2]Table!$I$7:$J$7</definedName>
    <definedName name="BEx5KCJ4JCAHU2E4LCLVKFWL64CX" hidden="1">[2]Graph!$F$10:$G$10</definedName>
    <definedName name="BEx5KM9PJMIQFJSBANJO5FVW3Z28" hidden="1">[2]Graph!$I$9:$J$9</definedName>
    <definedName name="BEx5KOO1FHA4BJJBZGOZKTK8PRRN" hidden="1">[2]Graph!$F$7:$G$7</definedName>
    <definedName name="BEx5KRIL3PFC9PIM7NQWA09TEQWG" hidden="1">[2]Graph!$F$11:$G$11</definedName>
    <definedName name="BEx5KTBC16N4DX66GBYP1DDW4W97" hidden="1">[2]Table!$J$2</definedName>
    <definedName name="BEx5KYER580I4T7WTLMUN7NLNP5K" hidden="1">[2]Table!$F$10:$G$10</definedName>
    <definedName name="BEx5KYERJQBLO6MY1QG8T789AKTY" hidden="1">[2]Table!$C$15:$D$31</definedName>
    <definedName name="BEx5L31XTF35LWDSY2KMF9S7Y7CU" hidden="1">[2]Table!$I$11:$J$11</definedName>
    <definedName name="BEx5LHLB3M6K4ZKY2F42QBZT30ZH" hidden="1">[2]Table!$I$9:$J$9</definedName>
    <definedName name="BEx5LRMNU3HXIE1BUMDHRU31F7JJ" hidden="1">[2]Table!$F$6:$G$6</definedName>
    <definedName name="BEx5LSJ1LPUAX3ENSPECWPG4J7D1" hidden="1">[2]Table!$H$1</definedName>
    <definedName name="BEx5LWQ2YRWKLHNPUOX7A77685LZ" hidden="1">[2]Graph!$I$6:$J$6</definedName>
    <definedName name="BEx5LXGYT0E8WNQ0EO50SPMU7P3G" hidden="1">[2]Table!$I$8:$J$8</definedName>
    <definedName name="BEx5M3X14ZXIZ7NHZ6IDNETC1RD4" hidden="1">[2]Table!$G$1:$G$1</definedName>
    <definedName name="BEx5M7T5JER9G2MLDH3G50GCW8PO" hidden="1">[2]Graph!$F$7:$G$7</definedName>
    <definedName name="BEx5MB9BR71LZDG7XXQ2EO58JC5F" hidden="1">[2]Table!$H$2:$I$2</definedName>
    <definedName name="BEx5MEK0PPFRKUY7E1JKV52MJF25" hidden="1">[2]Table!$L$2:$L$2</definedName>
    <definedName name="BEx5MLQZM68YQSKARVWTTPINFQ2C" hidden="1">[2]Table!#REF!</definedName>
    <definedName name="BEx5MV1FFL33NJFDVSPFP11LI1GQ" hidden="1">[2]Graph!$C$15:$D$31</definedName>
    <definedName name="BEx5MVXTKNBXHNWTL43C670E4KXC" hidden="1">[2]Table!$F$15</definedName>
    <definedName name="BEx5MWOP05TUW9VTKYAD0IJ9FIJN" hidden="1">[2]Table!$F$11:$G$11</definedName>
    <definedName name="BEx5N82PKS5FJL6CJ8VZGYO3SYID" hidden="1">[2]Table!$I$8:$J$8</definedName>
    <definedName name="BEx5NA68N6FJFX9UJXK4M14U487F" hidden="1">[2]Table!$F$6:$G$6</definedName>
    <definedName name="BEx5NIKBG2GDJOYGE3WCXKU7YY51" hidden="1">[2]Table!$I$6:$J$6</definedName>
    <definedName name="BEx5NUEM24ZED9VYADF1LHA31YNV" hidden="1">[2]Graph!$I$10:$J$10</definedName>
    <definedName name="BEx5NV06L5J5IMKGOMGKGJ4PBZCD" hidden="1">[2]Table!$H$1</definedName>
    <definedName name="BEx5NZSSQ6PY99ZX2D7Q9IGOR34W" hidden="1">[2]Table!$F$10:$G$10</definedName>
    <definedName name="BEx5O3ZUQ2OARA1CDOZ3NC4UE5AA" hidden="1">[2]Table!$F$11:$G$11</definedName>
    <definedName name="BEx5OAFS0NJ2CB86A02E1JYHMLQ1" hidden="1">[2]Table!$I$6:$J$6</definedName>
    <definedName name="BEx5OF2WHOV8S7C2QQ22SGYFJD87" hidden="1">[2]Graph!$F$6:$G$6</definedName>
    <definedName name="BEx5OFDVMFGADEE7DG5JGKY6FQ6D" hidden="1">[2]Table!$F$15:$F$16</definedName>
    <definedName name="BEx5OG4RPU8W1ETWDWM234NYYYEN" hidden="1">[2]Table!$F$8:$G$8</definedName>
    <definedName name="BEx5OH6LH2NQ8GTBSCC9HUF0A7J3" hidden="1">[2]Graph!$C$15:$D$31</definedName>
    <definedName name="BEx5OHXI4R617RH4NY6VKOI4ZRA2" hidden="1">[2]Graph!$I$11:$J$11</definedName>
    <definedName name="BEx5OK6CP7AQ76X5S6ZXS6ES9WJ1" hidden="1">[2]Table!$C$202:$D$250</definedName>
    <definedName name="BEx5OKRY18FT4SR3G56NL6BDIH6W" hidden="1">[2]Graph!$F$9:$G$9</definedName>
    <definedName name="BEx5OP9Y43F99O2IT69MKCCXGL61" hidden="1">[2]Table!$F$9:$G$9</definedName>
    <definedName name="BEx5OXIKDIYQDT89AL1I005KPLFQ" hidden="1">[2]Graph!$I$11:$J$11</definedName>
    <definedName name="BEx5OZGM9UNP8A9XXIFAO2U6DVWW" hidden="1">[2]Table!$C$15:$D$30</definedName>
    <definedName name="BEx5PBR0LNXXO12CFNPD6PKSVMR6" hidden="1">[2]Table!$H$1</definedName>
    <definedName name="BEx5PFCH6QVS8CGKGY6LD1XXW0PG" hidden="1">[2]Table!$I$15</definedName>
    <definedName name="BEx5PFN93ZG41K1ZZD0WT3LBXZB6" hidden="1">[2]Table!$F$8:$G$8</definedName>
    <definedName name="BEx5PHG040UB6SAJGMT6H4JLV2O8" hidden="1">[2]Graph!$C$15:$D$29</definedName>
    <definedName name="BEx5PHWB2C0D5QLP3BZIP3UO7DIZ" hidden="1">[2]Table!$I$6:$J$6</definedName>
    <definedName name="BEx5PJP02W68K2E46L5C5YBSNU6T" hidden="1">[2]Table!$H$2:$I$2</definedName>
    <definedName name="BEx5PLCA8DOMAU315YCS5275L2HS" hidden="1">[2]Table!$I$11:$J$11</definedName>
    <definedName name="BEx5PRXMZ5M65Z732WNNGV564C2J" hidden="1">[2]Table!$I$9:$J$9</definedName>
    <definedName name="BEx5PYJ1M7KNW4566RAPKTK159HP" hidden="1">[2]Graph!$F$11:$G$11</definedName>
    <definedName name="BEx5Q60QU3BCFNVV3HWQW5W2W7LR" hidden="1">[2]Table!$I$6:$J$6</definedName>
    <definedName name="BEx5QPSW4IPLH50WSR87HRER05RF" hidden="1">[2]Table!$F$10:$G$10</definedName>
    <definedName name="BEx73V0EP8EMNRC3EZJJKKVKWQVB" hidden="1">[2]Table!$I$7:$J$7</definedName>
    <definedName name="BEx741WJHIJVXUX131SBXTVW8D71" hidden="1">[2]Table!$G$2</definedName>
    <definedName name="BEx746ZZ73QHTXKD87X7R3HKC2KM" hidden="1">[2]Graph!$C$15:$D$29</definedName>
    <definedName name="BEx74IZJLRUQ03RCK06W91H2260J" hidden="1">[2]Graph!$I$11:$J$11</definedName>
    <definedName name="BEx74O2YZMK3WWOO79I5I8MQQ2A8" hidden="1">[2]Table!$C$202:$D$250</definedName>
    <definedName name="BEx74Q6H3O7133AWQXWC21MI2UFT" hidden="1">[2]Table!$I$6:$J$6</definedName>
    <definedName name="BEx74W6BJ8ENO3J25WNM5H5APKA3" hidden="1">[2]Table!$H$1</definedName>
    <definedName name="BEx74ZH0CU5922O4QDQV4IISGHDX" hidden="1">[2]Table!$F$10:$G$10</definedName>
    <definedName name="BEx755GRRD9BL27YHLH5QWIYLWB7" hidden="1">[2]Table!$F$7:$G$7</definedName>
    <definedName name="BEx757V2Y1MABX1LL3P2FKB70RWR" hidden="1">[2]Table!$F$10:$G$10</definedName>
    <definedName name="BEx757V4HY4OAGXYAJGM7RJQE3NM" hidden="1">[2]Graph!$I$7:$J$7</definedName>
    <definedName name="BEx759D1D5SXS5ELLZVBI0SXYUNF" hidden="1">[2]Table!$I$10:$J$10</definedName>
    <definedName name="BEx759NU0FI2GCU2HKJQ3B75MDQT" hidden="1">[2]Table!$F$8:$G$8</definedName>
    <definedName name="BEx75BGL4B587TM29E78APZYJUTT" hidden="1">[2]Graph!$I$8:$J$8</definedName>
    <definedName name="BEx75GJZSZHUDN6OOAGQYFUDA2LP" hidden="1">[2]Table!$F$11:$G$11</definedName>
    <definedName name="BEx75HGCCV5K4UCJWYV8EV9AG5YT" hidden="1">[2]Table!$F$8:$G$8</definedName>
    <definedName name="BEx75MJT47XEWZSLZAG6IUOQKXIX" hidden="1">[2]Graph!$F$7:$G$7</definedName>
    <definedName name="BEx75PZT8TY5P13U978NVBUXKHT4" hidden="1">[2]Table!$F$8:$G$8</definedName>
    <definedName name="BEx75T55F7GML8V1DMWL26WRT006" hidden="1">[2]Table!$F$10:$G$10</definedName>
    <definedName name="BEx75VJGR07JY6UUWURQ4PJ29UKC" hidden="1">[2]Table!$F$6:$G$6</definedName>
    <definedName name="BEx7624UN69PXJA5BK2AYZ0B0K1J" hidden="1">[2]Table!$I$8:$J$8</definedName>
    <definedName name="BEx76DO6PMOU0OYWNVXAQRGUT2L1" hidden="1">[2]Table!$C$34:$D$40</definedName>
    <definedName name="BEx76LGPF2X8A5LLYNG0LEHUA02Y" hidden="1">[2]Table!$I$11:$J$11</definedName>
    <definedName name="BEx76MD2CM6VAU7GHJH1YA5QEHY3" hidden="1">[2]Graph!$I$6:$J$6</definedName>
    <definedName name="BEx76RGHZN7AIO2TXNW4L57EE98L" hidden="1">[2]Table!$F$6:$G$6</definedName>
    <definedName name="BEx76RLTH1X6X6ZYRZ7KMVKP1G22" hidden="1">[2]Table!$K$10:$L$10</definedName>
    <definedName name="BEx7741OUGLA0WJQLQRUJSL4DE00" hidden="1">[2]Table!$F$6:$G$6</definedName>
    <definedName name="BEx774N83DXLJZ54Q42PWIJZ2DN1" hidden="1">[2]Table!$F$15</definedName>
    <definedName name="BEx777XX1OO3XRA6CIL0N1I6RXIM" hidden="1">[2]Table!$K$2:$K$2</definedName>
    <definedName name="BEx77HJ72HD9J1L70KBMXEWPGDA7" hidden="1">[2]Table!$I$10:$J$10</definedName>
    <definedName name="BEx77OQ625E4LSEXLQEMAZHPDMMC" hidden="1">[2]Graph!$C$15:$D$29</definedName>
    <definedName name="BEx77P0S3GVMS7BJUL9OWUGJ1B02" hidden="1">[2]Table!$I$6:$J$6</definedName>
    <definedName name="BEx77QDESURI6WW5582YXSK3A972" hidden="1">[2]Table!$I$11:$J$11</definedName>
    <definedName name="BEx77VBI9XOPFHKEWU5EHQ9J675Y" hidden="1">[2]Table!$I$11:$J$11</definedName>
    <definedName name="BEx7809GQOCLHSNH95VOYIX7P1TV" hidden="1">[2]Table!$I$11:$J$11</definedName>
    <definedName name="BEx780K8XAXUHGVZGZWQ74DK4CI3" hidden="1">[2]Table!$I$11:$J$11</definedName>
    <definedName name="BEx78226TN58UE0CTY98YEDU0LSL" hidden="1">[2]Table!$F$15</definedName>
    <definedName name="BEx7881ZZBWHRAX6W2GY19J8MGEQ" hidden="1">[2]Table!$I$9:$J$9</definedName>
    <definedName name="BEx78ECKS8871ZFF3J9116T32OPS" hidden="1">[2]Table!$J$2:$J$2</definedName>
    <definedName name="BEx78F8YN1SB3XGBHZHRA9HGGU2C" hidden="1">[2]Table!$F$7:$G$7</definedName>
    <definedName name="BEx78GW85A1VYF56FD0CQFHQZKKS" hidden="1">[2]Table!$I$11:$J$11</definedName>
    <definedName name="BEx78HHRIWDLHQX2LG0HWFRYEL1T" hidden="1">[2]Table!$H$2:$I$2</definedName>
    <definedName name="BEx78NSKC3OQCQ4WQAIZ6JURE7GW" hidden="1">[2]Graph!$I$9:$J$9</definedName>
    <definedName name="BEx78NXTM4Y23QEJHUXBQ0M5D0EL" hidden="1">[2]Graph!$C$15:$D$30</definedName>
    <definedName name="BEx78OOPYID4QYC9KQ8TPDG220E4" hidden="1">[2]Graph!$I$8:$J$8</definedName>
    <definedName name="BEx78QMXZ2P1ZB3HJ9O50DWHCMXR" hidden="1">[2]Table!$F$7:$G$7</definedName>
    <definedName name="BEx78SFOYH1Z0ZDTO47W2M60TW6K" hidden="1">[2]Table!$I$10:$J$10</definedName>
    <definedName name="BEx79HRD8NL9EMUOALME68ALFZYA" hidden="1">[2]Graph!$F$6:$G$6</definedName>
    <definedName name="BEx79JK3E6JO8MX4O35A5G8NZCC8" hidden="1">[2]Table!$I$8:$J$8</definedName>
    <definedName name="BEx79KR83EOVYB0PSDSNZIA8Q959" hidden="1">[2]Table!$L$2</definedName>
    <definedName name="BEx79OCP4HQ6XP8EWNGEUDLOZBBS" hidden="1">[2]Table!$F$15</definedName>
    <definedName name="BEx79SEAYKUZB0H4LYBCD6WWJBG2" hidden="1">[2]Table!$I$11:$J$11</definedName>
    <definedName name="BEx79SJRHTLS9PYM69O9BWW1FMJK" hidden="1">[2]Table!$F$7:$G$7</definedName>
    <definedName name="BEx79WG093R9UOAV8L2BHFT2JMVW" hidden="1">[2]Table!$F$6:$G$6</definedName>
    <definedName name="BEx79YOUHTDD16ZGGUBH3JDBW1VZ" hidden="1">[2]Graph!$I$11:$J$11</definedName>
    <definedName name="BEx79YUC7B0V77FSBGIRCY1BR4VK" hidden="1">[2]Table!$F$6:$G$6</definedName>
    <definedName name="BEx7A06T3RC2891FUX05G3QPRAUE" hidden="1">[2]Table!$H$1</definedName>
    <definedName name="BEx7A4ZHBWDMZCC6IQMUY1K27JLG" hidden="1">[2]Table!$K$11:$L$11</definedName>
    <definedName name="BEx7A9S3JA1X7FH4CFSQLTZC4691" hidden="1">[2]Table!$H$2:$I$2</definedName>
    <definedName name="BEx7ABA2C9IWH5VSLVLLLCY62161" hidden="1">[2]Table!$F$15</definedName>
    <definedName name="BEx7AE4LPLX8N85BYB0WCO5S7ZPV" hidden="1">[2]Table!$F$7:$G$7</definedName>
    <definedName name="BEx7AJ81F731TRQLOCFDMID2NL6B" hidden="1">[2]Table!$I$7:$J$7</definedName>
    <definedName name="BEx7AKVAYHQYUHHI60R2SDA295ZI" hidden="1">[2]Table!$J$1</definedName>
    <definedName name="BEx7AQV3PGI9EVX19Y61TNZWQD3Z" hidden="1">[2]Graph!$F$10:$G$10</definedName>
    <definedName name="BEx7ASD1I654MEDCO6GGWA95PXSC" hidden="1">[2]Table!$C$15:$D$20</definedName>
    <definedName name="BEx7ASYMO87QTI4OGS8RP4M3OLYE" hidden="1">[2]Graph!$F$8:$G$8</definedName>
    <definedName name="BEx7AUGJPEZ5T1AVB9U0Y7INPDRK" hidden="1">[2]Graph!$I$9:$J$9</definedName>
    <definedName name="BEx7AVCX9S5RJP3NSZ4QM4E6ERDT" hidden="1">[2]Table!$C$15:$D$20</definedName>
    <definedName name="BEx7AVYIGP0930MV5JEBWRYCJN68" hidden="1">[2]Table!$I$7:$J$7</definedName>
    <definedName name="BEx7B3LKPGMDIE1WTF5ZO95GA2PN" hidden="1">[2]Graph!$F$9:$G$9</definedName>
    <definedName name="BEx7B6LH6917TXOSAAQ6U7HVF018" hidden="1">[2]Table!$F$15</definedName>
    <definedName name="BEx7B7HVAGLR52HOVDQ2X5ALKTQ6" hidden="1">[2]Table!$F$6:$G$6</definedName>
    <definedName name="BEx7BAHQQRIRR6ZE14WEJ873R7ZF" hidden="1">[2]Graph!$C$15:$D$31</definedName>
    <definedName name="BEx7BK3043AHOVXJ73PSGWVGML1N" hidden="1">[2]Graph!$F$10:$G$10</definedName>
    <definedName name="BEx7BPXFZXJ79FQ0E8AQE21PGVHA" hidden="1">[2]Table!$I$11:$J$11</definedName>
    <definedName name="BEx7BZDAHBXNUMN7QNKQSZ7GH8B9" hidden="1">[2]Table!$K$2</definedName>
    <definedName name="BEx7C04AM39DQMC1TIX7CFZ2ADHX" hidden="1">[2]Table!$F$9:$G$9</definedName>
    <definedName name="BEx7C40F0PQURHPI6YQ39NFIR86Z" hidden="1">[2]Table!$I$10:$J$10</definedName>
    <definedName name="BEx7C93VR7SYRIJS1JO8YZKSFAW9" hidden="1">[2]Table!$I$9:$J$9</definedName>
    <definedName name="BEx7CAB0LCMQ8B14PWVWZAXOR8PN" hidden="1">[2]Table!$F$8:$G$8</definedName>
    <definedName name="BEx7CCPC6R1KQQZ2JQU6EFI1G0RM" hidden="1">[2]Table!$I$7:$J$7</definedName>
    <definedName name="BEx7CIJST9GLS2QD383UK7VUDTGL" hidden="1">[2]Table!$G$2</definedName>
    <definedName name="BEx7CO8T2XKC7GHDSYNAWTZ9L7YR" hidden="1">[2]Table!$H$1</definedName>
    <definedName name="BEx7CVVW975277EV3CZ9E2R2JEXA" hidden="1">[2]Table!$I$10:$J$10</definedName>
    <definedName name="BEx7CW1CF00DO8A36UNC2X7K65C2" hidden="1">[2]Table!$G$2</definedName>
    <definedName name="BEx7CW6N9SHYKI0HNR31GQ76QUSI" hidden="1">[2]Table!$I$10:$J$10</definedName>
    <definedName name="BEx7CW6NFRL2P4XWP0MWHIYA97KF" hidden="1">[2]Table!$I$11:$J$11</definedName>
    <definedName name="BEx7CXDTMZ3UZIDCOMNQFBUMERED" hidden="1">[2]Table!$K$6:$L$6</definedName>
    <definedName name="BEx7D5RWKRS4W71J4NZ6ZSFHPKFT" hidden="1">[2]Table!$F$15</definedName>
    <definedName name="BEx7D79W4N2U18OQSXR6P5XUU3QI" hidden="1">[2]Table!$F$10:$G$10</definedName>
    <definedName name="BEx7D8H1TPOX1UN17QZYEV7Q58GA" hidden="1">[2]Table!$I$6:$J$6</definedName>
    <definedName name="BEx7DD4D7DAI5BN4L7AHWYB979CQ" hidden="1">[2]Graph!$I$10:$J$10</definedName>
    <definedName name="BEx7DGF13H2074LRWFZQ45PZ6JPX" hidden="1">[2]Table!$I$9:$J$9</definedName>
    <definedName name="BEx7DVJTRV44IMJIBFXELE67SZ7S" hidden="1">[2]Table!$F$15</definedName>
    <definedName name="BEx7DVUMFCI5INHMVFIJ44RTTSTT" hidden="1">[2]Table!$F$7:$G$7</definedName>
    <definedName name="BEx7DXHVQ3XRVZ2H7QO8TYMIA4P9" hidden="1">[2]Graph!$I$9:$J$9</definedName>
    <definedName name="BEx7DZW7Z6XBG2TWRN96NX2WT6WF" hidden="1">[2]Table!$K$2:$K$2</definedName>
    <definedName name="BEx7E2QT2U8THYOKBPXONB1B47WH" hidden="1">[2]Table!$C$15:$D$20</definedName>
    <definedName name="BEx7E5QP7W6UKO74F5Y0VJ741HS5" hidden="1">[2]Table!$I$11:$J$11</definedName>
    <definedName name="BEx7E6N29HGH3I47AFB2DCS6MVS6" hidden="1">[2]Table!$G$2</definedName>
    <definedName name="BEx7EBA8IYHQKT7IQAOAML660SYA" hidden="1">[2]Table!$I$9:$J$9</definedName>
    <definedName name="BEx7EI6C8MCRZFEQYUBE5FSUTIHK" hidden="1">[2]Table!$F$8:$G$8</definedName>
    <definedName name="BEx7EQKHX7GZYOLXRDU534TT4H64" hidden="1">[2]Table!$F$9:$G$9</definedName>
    <definedName name="BEx7ESD8YB8AMF4WAM377AHIEMO8" hidden="1">[2]Graph!$I$7:$J$7</definedName>
    <definedName name="BEx7ETV6L1TM7JSXJIGK3FC6RVZW" hidden="1">[2]Table!$F$11:$G$11</definedName>
    <definedName name="BEx7EUX0YOSCAK64O0P2GRIT4Z93" hidden="1">[2]Table!$F$15</definedName>
    <definedName name="BEx7EYYLHMBYQTH6I377FCQS7CSX" hidden="1">[2]Table!$I$6:$J$6</definedName>
    <definedName name="BEx7F29A0ZDEEFRIGN5RP8CYTR41" hidden="1">[2]Table!$K$7:$L$7</definedName>
    <definedName name="BEx7F3GG2FI10JUMINUOIYICFVD9" hidden="1">[2]Graph!$I$10:$J$10</definedName>
    <definedName name="BEx7F6GCCLTQDHW2YV2G2R1TS03A" hidden="1">[2]Graph!$I$9:$J$9</definedName>
    <definedName name="BEx7F9G7J3E72TFDZ2CNFHXOP802" hidden="1">[2]Table!$I$8:$J$8</definedName>
    <definedName name="BEx7FBJRLJUZKK1FVSCNP0F4GBYT" hidden="1">[2]Graph!$I$10:$J$10</definedName>
    <definedName name="BEx7FCLFV5TNG0LHWNDVDKKZRN5C" hidden="1">[2]Table!$F$9:$G$9</definedName>
    <definedName name="BEx7FCLG1RYI2SNOU1Y2GQZNZSWA" hidden="1">[2]Table!$I$8:$J$8</definedName>
    <definedName name="BEx7FEJOQNYA7A6O7YB4SBB1KK73" hidden="1">[2]Graph!$I$11:$J$11</definedName>
    <definedName name="BEx7FN32ZGWOAA4TTH79KINTDWR9" hidden="1">[2]Table!$F$9:$G$9</definedName>
    <definedName name="BEx7FTOFOYQLDCCOJY1H3JHICFOI" hidden="1">[2]Graph!$C$15:$D$29</definedName>
    <definedName name="BEx7FVMORQ1N6SIECWJVJWT23E6Y" hidden="1">[2]Graph!$F$7:$G$7</definedName>
    <definedName name="BEx7FWJ0QH9A7SEQGF1YMG5RHAZY" hidden="1">[2]Table!$F$10:$G$10</definedName>
    <definedName name="BEx7FZ2NBD60FXGNYS120WYBTXA3" hidden="1">[2]Graph!$I$8:$J$8</definedName>
    <definedName name="BEx7G4ROIJ7RRZ9PW4NC2X9PS0XR" hidden="1">[2]Table!$F$7:$G$7</definedName>
    <definedName name="BEx7G82CKM3NIY1PHNFK28M09PCH" hidden="1">[2]Table!$I$7:$J$7</definedName>
    <definedName name="BEx7GMG8RQ2YB3WVSLKZZZKKRMV0" hidden="1">[2]Graph!$I$7:$J$7</definedName>
    <definedName name="BEx7GQCIM1W1OR8EP7JKRMYGFHW2" hidden="1">[2]Graph!$I$9:$J$9</definedName>
    <definedName name="BEx7GR3ENYWRXXS5IT0UMEGOLGUH" hidden="1">[2]Table!$F$15</definedName>
    <definedName name="BEx7GSAL6P7TASL8MB63RFST1LJL" hidden="1">[2]Table!$I$10:$J$10</definedName>
    <definedName name="BEx7GSQTUFQYUWCPX9FE4D9N45K1" hidden="1">[2]Table!$K$6:$L$6</definedName>
    <definedName name="BEx7GT73O7G70FDW4IHWASPGGEDN" hidden="1">[2]Table!$F$10:$G$10</definedName>
    <definedName name="BEx7GTN76P1G9XFWDNVCMK0T00M9" hidden="1">[2]Table!$K$9:$L$9</definedName>
    <definedName name="BEx7GVQRG6ZRNHZ8I6C5O18BGPJY" hidden="1">[2]Table!$I$7:$J$7</definedName>
    <definedName name="BEx7H0JD6I5I8WQLLWOYWY5YWPQE" hidden="1">[2]Table!$I$11:$J$11</definedName>
    <definedName name="BEx7H14XCXH7WEXEY1HVO53A6AGH" hidden="1">[2]Table!$F$15</definedName>
    <definedName name="BEx7H6ZA84EDCYX9HQKE2VH03R77" hidden="1">[2]Graph!$I$6:$J$6</definedName>
    <definedName name="BEx7H7A3IND3XX895B1NI519TC8J" hidden="1">[2]Graph!$F$11:$G$11</definedName>
    <definedName name="BEx7HGVBEF4LEIF6RC14N3PSU461" hidden="1">[2]Table!$I$10:$J$10</definedName>
    <definedName name="BEx7HQ5T9FZ42QWS09UO4DT42Y0R" hidden="1">[2]Table!$I$11:$J$11</definedName>
    <definedName name="BEx7HRCZE3CVGON1HV07MT5MNDZ3" hidden="1">[2]Table!$F$9:$G$9</definedName>
    <definedName name="BEx7HYELFND5AWTXJ7RQW8NKTRGF" hidden="1">[2]Table!$J$2</definedName>
    <definedName name="BEx7I01VZ05FZ9R79H5JF7CEVCU5" hidden="1">[2]Table!$I$9:$J$9</definedName>
    <definedName name="BEx7IBVYN47SFZIA0K4MDKQZNN9V" hidden="1">[2]Table!$I$8:$J$8</definedName>
    <definedName name="BEx7IJTYZHWYWQ1TQVKRC67VVT77" hidden="1">[2]Graph!$C$15:$D$29</definedName>
    <definedName name="BEx7IUBNTW82MDJ5GDNOSVPCN6F7" hidden="1">[2]Graph!$C$15:$D$31</definedName>
    <definedName name="BEx7IV2IJ5WT7UC0UG7WP0WF2JZI" hidden="1">[2]Table!$F$10:$G$10</definedName>
    <definedName name="BEx7IVIRRT750UYZ4XAKPDRODETV" hidden="1">[2]Table!$F$11:$G$11</definedName>
    <definedName name="BEx7IWV99LM4FB1AXIXRNLT7DZJM" hidden="1">[2]Graph!$C$15:$D$29</definedName>
    <definedName name="BEx7IXGU74GE5E4S6W4Z13AR092Y" hidden="1">[2]Table!$G$2</definedName>
    <definedName name="BEx7J2EZ0003ZJ3PM338XJDTUWDF" hidden="1">[2]Table!$J$2</definedName>
    <definedName name="BEx7J3BBCEU8S8ZIFX3769M580CT" hidden="1">[2]Table!$J$1:$J$1</definedName>
    <definedName name="BEx7J4YL8Q3BI1MLH16YYQ18IJRD" hidden="1">[2]Table!$H$2:$I$2</definedName>
    <definedName name="BEx7J9B4EOP8JPRQCUQJTYF4X0D6" hidden="1">[2]Graph!$F$10:$G$10</definedName>
    <definedName name="BEx7JH3HGBPI07OHZ5LFYK0UFZQR" hidden="1">[2]Table!$I$8:$J$8</definedName>
    <definedName name="BEx7JH8YFS8JB8DV2ANTD086JGH5" hidden="1">[2]Table!$J$2</definedName>
    <definedName name="BEx7JPXUJ782MQK1CZKNS3WCHXK7" hidden="1">[2]Table!$K$10:$L$10</definedName>
    <definedName name="BEx7JV194190CNM6WWGQ3UBJ3CHH" hidden="1">[2]Table!$I$9:$J$9</definedName>
    <definedName name="BEx7K0VL25LF11UTEBHWBIQ4JLM9" hidden="1">[2]Graph!$I$10:$J$10</definedName>
    <definedName name="BEx7K7GZ607XQOGB81A1HINBTGOZ" hidden="1">[2]Table!$I$8:$J$8</definedName>
    <definedName name="BEx7KEYPBDXSNROH8M6CDCBN6B50" hidden="1">[2]Table!#REF!</definedName>
    <definedName name="BEx7KMGES8BJR19CUMVO8YZ5VC7N" hidden="1">[2]Table!$F$9:$G$9</definedName>
    <definedName name="BEx7KQ1XTNAN8JCYRO5X7QHDN9DF" hidden="1">[2]Table!$F$9:$G$9</definedName>
    <definedName name="BEx7KRZZU0X5MY3QACW0IQVIC7TR" hidden="1">[2]Table!$F$8:$G$8</definedName>
    <definedName name="BEx7KSAS8BZT6H8OQCZ5DNSTMO07" hidden="1">[2]Table!$K$2</definedName>
    <definedName name="BEx7KWHTBD21COXVI4HNEQH0Z3L8" hidden="1">[2]Table!$I$8:$J$8</definedName>
    <definedName name="BEx7KXUGRMRSUXCM97Z7VRZQ9JH2" hidden="1">[2]Table!$F$9:$G$9</definedName>
    <definedName name="BEx7L0ZUOIW1XV5X8LA2T3EW22FR" hidden="1">[2]Table!$F$15:$G$22</definedName>
    <definedName name="BEx7L3DZH58ZUVXJY3QMJYM4KE2N" hidden="1">[2]Graph!$I$10:$J$10</definedName>
    <definedName name="BEx7L5C6U8MP6IZ67BD649WQYJEK" hidden="1">[2]Table!$F$6:$G$6</definedName>
    <definedName name="BEx7L8HEYEVTATR0OG5JJO647KNI" hidden="1">[2]Table!$F$10:$G$10</definedName>
    <definedName name="BEx7L8XOV64OMS15ZFURFEUXLMWF" hidden="1">[2]Table!$F$15</definedName>
    <definedName name="BEx7LMF7D7YI767VW2S16VNO9GNR" hidden="1">[2]Table!$F$10:$G$10</definedName>
    <definedName name="BEx7M9Y3YM2WD5IBJN5W81TZSL3Q" hidden="1">[2]Table!$J$2:$J$2</definedName>
    <definedName name="BEx7MA3LLYX14FAZK1SD8ZYQT1WK" hidden="1">[2]Table!$I$10:$J$10</definedName>
    <definedName name="BEx7MAUI1JJFDIJGDW4RWY5384LY" hidden="1">[2]Table!$G$2</definedName>
    <definedName name="BEx7MFN3ACVC7RXILOHIC04WA9Y6" hidden="1">[2]Table!$F$11:$G$11</definedName>
    <definedName name="BEx7MJZO3UKAMJ53UWOJ5ZD4GGMQ" hidden="1">[2]Table!$I$11:$J$11</definedName>
    <definedName name="BEx7MT4MFNXIVQGAT6D971GZW7CA" hidden="1">[2]Table!$I$8:$J$8</definedName>
    <definedName name="BEx7MXMHU4TU4IQZ6928P6PJ4SJL" hidden="1">[2]Table!$I$8:$J$8</definedName>
    <definedName name="BEx7NI062THZAM6I8AJWTFJL91CS" hidden="1">[2]Table!$F$8:$G$8</definedName>
    <definedName name="BEx8Z844ZRG2HZI86TFFMX74VIQJ" hidden="1">[2]Table!$I$10:$J$10</definedName>
    <definedName name="BEx8ZA7N3608PLXS70X4R74SRL8X" hidden="1">[2]Table!$I$7:$J$7</definedName>
    <definedName name="BEx8ZOASJABVINC6UZ6075E6333P" hidden="1">[2]Table!$J$1</definedName>
    <definedName name="BEx8ZY6UFM571XUE82FQZRNOKP90" hidden="1">[2]Graph!$C$15:$D$29</definedName>
    <definedName name="BEx904S75BPRYMHF0083JF7ES4NG" hidden="1">[2]Table!$I$11:$J$11</definedName>
    <definedName name="BEx90CVJHW2G83ZSI8F4ZSPTFSPI" hidden="1">[2]Graph!$F$8:$G$8</definedName>
    <definedName name="BEx90HDD4RWF7JZGA8GCGG7D63MG" hidden="1">[2]Table!$I$7:$J$7</definedName>
    <definedName name="BEx90KTC6C9KHTYN6KANO0SXFVZJ" hidden="1">[2]Graph!$C$15:$D$31</definedName>
    <definedName name="BEx90OV4KGH529HQD0T13CRJBLIP" hidden="1">[2]Table!$J$2:$J$2</definedName>
    <definedName name="BEx90VGH5H09ON2QXYC9WIIEU98T" hidden="1">[2]Table!$H$2:$I$2</definedName>
    <definedName name="BEx913JT0R7PQJIAKFODM1OBE93H" hidden="1">[2]Table!$C$15:$D$31</definedName>
    <definedName name="BEx9175B70QXYAU5A8DJPGZQ46L9" hidden="1">[2]Table!$F$10:$G$10</definedName>
    <definedName name="BEx91AQQRTV87AO27VWHSFZAD4ZR" hidden="1">[2]Table!$F$10:$G$10</definedName>
    <definedName name="BEx91FU0B1K21M5HMHSA0IMEW9YG" hidden="1">[2]Table!$C$15:$D$16</definedName>
    <definedName name="BEx91FU753O31F16HSYLZHDSA6S8" hidden="1">[2]Graph!$F$8:$G$8</definedName>
    <definedName name="BEx91GQKQ3WHERX699059IA17UUJ" hidden="1">[2]Table!$I$11:$J$11</definedName>
    <definedName name="BEx91L8FLL5CWLA2CDHKCOMGVDZN" hidden="1">[2]Table!$H$2:$I$2</definedName>
    <definedName name="BEx91OTVH9ZDBC3QTORU8RZX4EOC" hidden="1">[2]Table!$I$7:$J$7</definedName>
    <definedName name="BEx91QH5JRZKQP1GPN2SQMR3CKAG" hidden="1">[2]Table!$C$15:$D$20</definedName>
    <definedName name="BEx91ROALDNHO7FI4X8L61RH4UJE" hidden="1">[2]Table!$H$1</definedName>
    <definedName name="BEx91TMID71GVYH0U16QM1RV3PX0" hidden="1">[2]Table!$I$9:$J$9</definedName>
    <definedName name="BEx91TRSC70ZWOTI4ZTOLQPA5D8A" hidden="1">[2]Table!$J$1:$J$1</definedName>
    <definedName name="BEx91VF2D78PAF337E3L2L81K9W2" hidden="1">[2]Table!$H$2:$I$2</definedName>
    <definedName name="BEx91YKG5M0ZZDVWNGF80SPL8GUP" hidden="1">[2]Graph!$F$11:$G$11</definedName>
    <definedName name="BEx920TAPF3PI1HYCTMYN4EI6MAU" hidden="1">[2]Graph!$I$7:$J$7</definedName>
    <definedName name="BEx921PNZ46VORG2VRMWREWIC0SE" hidden="1">[2]Table!$I$8:$J$8</definedName>
    <definedName name="BEx92DJXEXVC627QL1HYSV2VSHSS" hidden="1">[2]Graph!$F$6:$G$6</definedName>
    <definedName name="BEx92DPEKL5WM5A3CN8674JI0PR3" hidden="1">[2]Table!$F$8:$G$8</definedName>
    <definedName name="BEx92ER2RMY93TZK0D9L9T3H0GI5" hidden="1">[2]Table!$K$2</definedName>
    <definedName name="BEx92FI04PJT4LI23KKIHRXWJDTT" hidden="1">[2]Table!$F$9:$G$9</definedName>
    <definedName name="BEx92HR14HQ9D5JXCSPA4SS4RT62" hidden="1">[2]Table!$F$11:$G$11</definedName>
    <definedName name="BEx92HWA2D6A5EX9MFG68G0NOMSN" hidden="1">[2]Table!$I$10:$J$10</definedName>
    <definedName name="BEx92PUBDIXAU1FW5ZAXECMAU0LN" hidden="1">[2]Table!$K$2</definedName>
    <definedName name="BEx92S8MHFFIVRQ2YSHZNQGOFUHD" hidden="1">[2]Table!$F$15</definedName>
    <definedName name="BEx92XS62QFH9YVDAIB39IIJ5TRW" hidden="1">[2]Graph!$C$15:$D$31</definedName>
    <definedName name="BEx930H8UHL5H72SN5T7HEINW4Y3" hidden="1">[2]Table!$I$10:$J$10</definedName>
    <definedName name="BEx935VHGQGAJAXJKSPCC6GC2KIE" hidden="1">[2]Graph!$F$9:$G$9</definedName>
    <definedName name="BEx93EF2OPUY92WSYH0W2RMHNX2M" hidden="1">[2]Graph!$F$9:$G$9</definedName>
    <definedName name="BEx93FRKF99NRT3LH99UTIH7AAYF" hidden="1">[2]Table!$F$6:$G$6</definedName>
    <definedName name="BEx93HKAFG60IW6KKWJ954ZY3SAX" hidden="1">[2]Table!$F$7:$G$7</definedName>
    <definedName name="BEx93M7FSHP50OG34A4W8W8DF12U" hidden="1">[2]Table!$I$10:$J$10</definedName>
    <definedName name="BEx93OLWY2O3PRA74U41VG5RXT4Q" hidden="1">[2]Table!$I$7:$J$7</definedName>
    <definedName name="BEx93Q3PS5IPTIMJWTDZ258T3YV1" hidden="1">[2]Table!$G$2:$G$2</definedName>
    <definedName name="BEx93RWFAF6YJGYUTITVM445C02U" hidden="1">[2]Table!$H$2:$I$2</definedName>
    <definedName name="BEx93SY9RWG3HUV4YXQKXJH9FH14" hidden="1">[2]Table!$F$15</definedName>
    <definedName name="BEx93TJUX3U0FJDBG6DDSNQ91R5J" hidden="1">[2]Table!$I$9:$J$9</definedName>
    <definedName name="BEx93YHYA4T8RV71L46P03RL0FNV" hidden="1">[2]Table!$I$6:$J$6</definedName>
    <definedName name="BEx9423AQNZC46PXXEDEIVJ2WHUR" hidden="1">[2]Table!$F$11:$G$11</definedName>
    <definedName name="BEx942UCRHMI4B0US31HO95GSC2X" hidden="1">[2]Table!$I$7:$J$7</definedName>
    <definedName name="BEx948TZCI9FMFTSMHTHQHUFAXR2" hidden="1">[2]Table!$G$2</definedName>
    <definedName name="BEx948ZFFQWVIDNG4AZAUGGGEB5U" hidden="1">[2]Table!$F$6:$G$6</definedName>
    <definedName name="BEx94AS6VSEEO3MXPE8BRJMMXWJ4" hidden="1">[2]Table!$F$8:$G$8</definedName>
    <definedName name="BEx94CKXG92OMURH41SNU6IOHK4J" hidden="1">[2]Table!$H$1</definedName>
    <definedName name="BEx94E8CBMGM9YP8Z0W8OWHAAZH1" hidden="1">[2]Graph!$F$9:$G$9</definedName>
    <definedName name="BEx94GXG30CIVB6ZQN3X3IK6BZXQ" hidden="1">[2]Table!$C$15:$D$20</definedName>
    <definedName name="BEx94HZ5LURYM9ST744ALV6ZCKYP" hidden="1">[2]Table!$C$15:$D$20</definedName>
    <definedName name="BEx94IQ75E90YUMWJ9N591LR7DQQ" hidden="1">[2]Table!$C$15:$D$20</definedName>
    <definedName name="BEx94WIHKGXZU933ZBXJ2M39ALFT" hidden="1">[2]Table!$L$2:$L$2</definedName>
    <definedName name="BEx953EIAC6N9AM0F6LNB36TE0SU" hidden="1">[2]Table!$I$9:$J$9</definedName>
    <definedName name="BEx953US56AMGYH53JTL0MADXRUE" hidden="1">[2]Table!$F$8:$G$8</definedName>
    <definedName name="BEx9581TYVI2M5TT4ISDAJV4W7Z6" hidden="1">[2]Table!$I$10:$J$10</definedName>
    <definedName name="BEx95DAKJOJWQREOY3EYBYVYW5BV" hidden="1">[2]Table!$F$11:$G$11</definedName>
    <definedName name="BEx95GAGJTUZBY1IP3VC8SJ8NY2I" hidden="1">[2]Table!$G$1:$G$1</definedName>
    <definedName name="BEx95M4XJZVWPXYNJ69YXR66ZQQW" hidden="1">[2]Table!$I$8:$J$8</definedName>
    <definedName name="BEx95NHF4RVUE0YDOAFZEIVBYJXD" hidden="1">[2]Table!$I$6:$J$6</definedName>
    <definedName name="BEx95QBZMG0E2KQ9BERJ861QLYN3" hidden="1">[2]Table!$F$6:$G$6</definedName>
    <definedName name="BEx95QHBVDN795UNQJLRXG3RDU49" hidden="1">[2]Table!$I$6:$J$6</definedName>
    <definedName name="BEx95TBVUWV7L7OMFMZDQEXGVHU6" hidden="1">[2]Table!$F$9:$G$9</definedName>
    <definedName name="BEx95U89DZZSVO39TGS62CX8G9N4" hidden="1">[2]Table!$F$11:$G$11</definedName>
    <definedName name="BEx9602K2GHNBUEUVT9ONRQU1GMD" hidden="1">[2]Table!$F$9:$G$9</definedName>
    <definedName name="BEx967EVFYT2MRI7FR63Z2ZALNK8" hidden="1">[2]Table!$I$8:$J$8</definedName>
    <definedName name="BEx96GEK97NZQ7POYFLZNEV36I70" hidden="1">[2]Table!$I$7:$J$7</definedName>
    <definedName name="BEx96GUT0SFOPPNBFD0B1KRSLWK9" hidden="1">[2]Table!$K$9:$L$9</definedName>
    <definedName name="BEx96KR21O7H9R29TN0S45Y3QPUK" hidden="1">[2]Table!$I$9:$J$9</definedName>
    <definedName name="BEx96MP3KCA87YKXB2CYGPC68E93" hidden="1">[2]Table!$I$7:$J$7</definedName>
    <definedName name="BEx96SUFKHHFE8XQ6UUO6ILDOXHO" hidden="1">[2]Table!$I$11:$J$11</definedName>
    <definedName name="BEx96UN4YWXBDEZ1U1ZUIPP41Z7I" hidden="1">[2]Table!$H$2:$I$2</definedName>
    <definedName name="BEx96Y33J73EITFELT0PR1A7OEY7" hidden="1">[2]Table!$F$8:$G$8</definedName>
    <definedName name="BEx96ZQJMY6XRI41NFSIMI4FLLQZ" hidden="1">[2]Table!$K$8:$L$8</definedName>
    <definedName name="BEx978KSD61YJH3S9DGO050R2EHA" hidden="1">[2]Table!$F$7:$G$7</definedName>
    <definedName name="BEx97H9O1NAKAPK4MX4PKO34ICL5" hidden="1">[2]Table!$F$11:$G$11</definedName>
    <definedName name="BEx97MNUZQ1Z0AO2FL7XQYVNCPR7" hidden="1">[2]Table!$I$8:$J$8</definedName>
    <definedName name="BEx97NPQBACJVD9K1YXI08RTW9E2" hidden="1">[2]Table!$C$15:$D$20</definedName>
    <definedName name="BEx97RWQLXS0OORDCN69IGA58CWU" hidden="1">[2]Table!$F$6:$G$6</definedName>
    <definedName name="BEx981HW73BUZWT14TBTZHC0ZTJ4" hidden="1">[2]Table!$F$7:$G$7</definedName>
    <definedName name="BEx9871KU0N99P0900EAK69VFYT2" hidden="1">[2]Table!$F$15</definedName>
    <definedName name="BEx98IFKNJFGZFLID1YTRFEG1SXY" hidden="1">[2]Table!$F$9:$G$9</definedName>
    <definedName name="BEx98O9VSN442TSZH0LW7S6G6GBI" hidden="1">[2]Graph!$F$8:$G$8</definedName>
    <definedName name="BEx98O9XX10BFCWO6ZU3JE5H93T4" hidden="1">[2]Table!$C$15:$D$201</definedName>
    <definedName name="BEx98W7WKT7BCBLVO0EBH9IPXMG8" hidden="1">[2]Table!$F$11:$G$11</definedName>
    <definedName name="BEx98ZYNXP47Q5MH4I3MA2J620DZ" hidden="1">[2]Table!$F$15:$G$26</definedName>
    <definedName name="BEx9915UVD4G7RA3IMLFZ0LG3UA2" hidden="1">[2]Table!$F$7:$G$7</definedName>
    <definedName name="BEx992CZON8AO7U7V88VN1JBO0MG" hidden="1">[2]Table!$I$8:$J$8</definedName>
    <definedName name="BEx992IBA3VGATQK1WS69IPFMQ5X" hidden="1">[2]Table!$I$8:$J$8</definedName>
    <definedName name="BEx9952469XMFGSPXL7CMXHPJF90" hidden="1">[2]Table!$I$9:$J$9</definedName>
    <definedName name="BEx99995OO0X4HC0IQDAISYRWAJG" hidden="1">[2]Graph!$C$15:$D$29</definedName>
    <definedName name="BEx99B77I7TUSHRR4HIZ9FU2EIUT" hidden="1">[2]Table!$F$11:$G$11</definedName>
    <definedName name="BEx99K1KBA0FEKNN51KCVMEQLUNV" hidden="1">[2]Graph!$C$15:$D$31</definedName>
    <definedName name="BEx99MFXQ6JIR0B18HU1XT6VJ3NL" hidden="1">[2]Table!$I$6:$J$6</definedName>
    <definedName name="BEx99Q6PH5F3OQKCCAAO75PYDEFN" hidden="1">[2]Table!$G$2</definedName>
    <definedName name="BEx99WBYT2D6UUC1PT7A40ENYID4" hidden="1">[2]Table!$I$11:$J$11</definedName>
    <definedName name="BEx99YFJ8JDPEEEQRABGIA0M020Y" hidden="1">[2]Graph!$I$10:$J$10</definedName>
    <definedName name="BEx99ZRZ4I7FHDPGRAT5VW7NVBPU" hidden="1">[2]Table!$I$7:$J$7</definedName>
    <definedName name="BEx9A32O4APZT4YC01R9R7TGPJ14" hidden="1">[2]Table!$I$9:$J$9</definedName>
    <definedName name="BEx9A4VF9137AGE6NHJMWVF6GENE" hidden="1">[2]Table!$C$15:$D$20</definedName>
    <definedName name="BEx9ADPRQZSMQBC5ZVK9Y67PRZBV" hidden="1">[2]Graph!$F$8:$G$8</definedName>
    <definedName name="BEx9AKWPNM58M88D1ZL7PKKW6ES3" hidden="1">[2]Graph!$I$10:$J$10</definedName>
    <definedName name="BEx9APEF833J5O7FWPRDYNZP5I7I" hidden="1">[2]Table!$I$8:$J$8</definedName>
    <definedName name="BEx9AT5E3ZSHKSOL35O38L8HF9TH" hidden="1">[2]Table!$I$9:$J$9</definedName>
    <definedName name="BEx9AV8W1FAWF5BHATYEN47X12JN" hidden="1">[2]Table!$F$15</definedName>
    <definedName name="BEx9B8A5186FNTQQNLIO5LK02ABI" hidden="1">[2]Table!$H$1</definedName>
    <definedName name="BEx9B8VR20E2CILU4CDQUQQ9ONXK" hidden="1">[2]Table!$G$2</definedName>
    <definedName name="BEx9B917EUP13X6FQ3NPQL76XM5V" hidden="1">[2]Table!$F$11:$G$11</definedName>
    <definedName name="BEx9B9MO76RQ7ZVEQSZUDZTSHDSD" hidden="1">[2]Table!$I$9:$J$9</definedName>
    <definedName name="BEx9BAJ5WYEQ623HUT9NNCMP3RUG" hidden="1">[2]Table!$I$11:$J$11</definedName>
    <definedName name="BEx9BAOGUISRQKRB42IUZNSUS3RS" hidden="1">[2]Graph!$I$7:$J$7</definedName>
    <definedName name="BEx9BAZ9N4JK7NRIICXD8JAJ3GA0" hidden="1">[2]Table!$I$11:$J$11</definedName>
    <definedName name="BEx9BEFF0EECHKA4NXIFIS5J6GJ4" hidden="1">[2]Table!$I$9:$J$9</definedName>
    <definedName name="BEx9BFBTHU7F4YTZJIM8F5CEYCB9" hidden="1">[2]Table!$I$7:$J$7</definedName>
    <definedName name="BEx9BLBKZCT0AAJ6KATLL80TWBQY" hidden="1">[2]Table!$G$2:$G$2</definedName>
    <definedName name="BEx9BRGP2E8KTJWYNMZ3K7KAZRO4" hidden="1">[2]Graph!$C$15:$D$31</definedName>
    <definedName name="BEx9BYNN32J3BOL84IEPJF6AMQ6J" hidden="1">[2]Table!$F$15</definedName>
    <definedName name="BEx9BYSYW7QCPXS2NAVLFAU5Y2Z2" hidden="1">[2]Table!$I$6:$J$6</definedName>
    <definedName name="BEx9C17AHM4NMY8G3WK6YQ0T0WDU" hidden="1">[2]Graph!$I$10:$J$10</definedName>
    <definedName name="BEx9C2P9GCZRO4T3LR3ZHPU31IWM" hidden="1">[2]Graph!$C$15:$D$31</definedName>
    <definedName name="BEx9C590HJ2O31IWJB73C1HR74AI" hidden="1">[2]Table!$I$11:$J$11</definedName>
    <definedName name="BEx9CJHG02ADUIJ0WCG5FYLWETIN" hidden="1">[2]Graph!$I$11:$J$11</definedName>
    <definedName name="BEx9CMMSQA4LXHX5RGGTAJ9WVHTY" hidden="1">[2]Graph!$F$9:$G$9</definedName>
    <definedName name="BEx9CTDJ6OYUCCHJVREB4QE71EVB" hidden="1">[2]Graph!$C$15:$D$29</definedName>
    <definedName name="BEx9CZYV3DUMWO5IW1E07YHGO4EQ" hidden="1">[2]Table!$I$10:$J$10</definedName>
    <definedName name="BEx9D1BC9FT19KY0INAABNDBAMR1" hidden="1">[2]Table!$I$10:$J$10</definedName>
    <definedName name="BEx9DGLRBAA81DUUOT35XR05XLKG" hidden="1">[2]Graph!$I$10:$J$10</definedName>
    <definedName name="BEx9DIZXF9X0GE90ROFYKV6K3PM9" hidden="1">[2]Graph!$I$11:$J$11</definedName>
    <definedName name="BEx9DN6ZMF18Q39MPMXSDJTZQNJ3" hidden="1">[2]Table!$F$10:$G$10</definedName>
    <definedName name="BEx9DR8QFKC6SZFQFHJH904KRJOF" hidden="1">[2]Table!$F$9:$G$9</definedName>
    <definedName name="BEx9E08EK253W8SNA7NOGR32IG6U" hidden="1">[2]Graph!$F$6:$G$6</definedName>
    <definedName name="BEx9E14TDNSEMI784W0OTIEQMWN6" hidden="1">[2]Table!$K$2</definedName>
    <definedName name="BEx9E2BZ2B1R41FMGJCJ7JLGLUAJ" hidden="1">[2]Table!$F$15:$G$16</definedName>
    <definedName name="BEx9EEGVFGD9P2J88ICA4KVPXY9N" hidden="1">[2]Graph!$I$8:$J$8</definedName>
    <definedName name="BEx9EG9KBJ77M8LEOR9ITOKN5KXY" hidden="1">[2]Table!$I$7:$J$7</definedName>
    <definedName name="BEx9EHGQHOBSWB60JAPUOVE46FK0" hidden="1">[2]Graph!$I$7:$J$7</definedName>
    <definedName name="BEx9EIYOHUTUMUD8J62QEIZWI0RQ" hidden="1">[2]Table!$J$2:$J$2</definedName>
    <definedName name="BEx9EMK6HAJJMVYZTN5AUIV7O1E6" hidden="1">[2]Table!$I$11:$J$11</definedName>
    <definedName name="BEx9EQLVZHYQ1TPX7WH3SOWXCZLE" hidden="1">[2]Table!$I$6:$J$6</definedName>
    <definedName name="BEx9ETLU0EK5LGEM1QCNYN2S8O5F" hidden="1">[2]Table!$F$7:$G$7</definedName>
    <definedName name="BEx9EUI6DO4MFVQMU09HGRHZIU8D" hidden="1">[2]Table!$G$1:$G$1</definedName>
    <definedName name="BEx9F01PVZL8WBMQROXOUDMDYAVK" hidden="1">[2]Table!$I$9:$J$9</definedName>
    <definedName name="BEx9F01QLDN94LLNOIHKT7OM2YCG" hidden="1">[2]Table!$F$7:$G$7</definedName>
    <definedName name="BEx9F0Y2ESUNE3U7TQDLMPE9BO67" hidden="1">[2]Table!$I$10:$J$10</definedName>
    <definedName name="BEx9F5W18ZGFOKGRE8PR6T1MO6GT" hidden="1">[2]Table!$I$11:$J$11</definedName>
    <definedName name="BEx9F78N4HY0XFGBQ4UJRD52L1EI" hidden="1">[2]Table!$K$2</definedName>
    <definedName name="BEx9F7JG0QA9IKNMAD4Z9V7OO7N0" hidden="1">[2]Table!$K$10:$L$10</definedName>
    <definedName name="BEx9FF16LOQP5QIR4UHW5EIFGQB8" hidden="1">[2]Table!$G$2</definedName>
    <definedName name="BEx9FHVMSMEI2OLG6HXND36ALOBV" hidden="1">[2]Table!$J$2:$J$2</definedName>
    <definedName name="BEx9FJTSRCZ3ZXT3QVBJT5NF8T7V" hidden="1">[2]Table!$K$2</definedName>
    <definedName name="BEx9FMO8J594UG06EXLWWQTKCY84" hidden="1">[2]Table!$F$7:$G$7</definedName>
    <definedName name="BEx9FO0UPBTUPIT3AJ3UN5FDQWKV" hidden="1">[2]Table!$I$8:$J$8</definedName>
    <definedName name="BEx9FRBEEYPS5HLS3XT34AKZN94G" hidden="1">[2]Table!$F$7:$G$7</definedName>
    <definedName name="BEx9G17GB2V3PQ50QQFW2NROEZT9" hidden="1">[2]Graph!$F$10:$G$10</definedName>
    <definedName name="BEx9G892CF6SM99J007LDYZPPYNL" hidden="1">[2]Graph!$F$9:$G$9</definedName>
    <definedName name="BEx9G894FBCMBS6OYRM0UPGYWQN4" hidden="1">[2]Table!$F$11:$G$11</definedName>
    <definedName name="BEx9GDY4D8ZPQJCYFIMYM0V0C51Y" hidden="1">[2]Table!$F$8:$G$8</definedName>
    <definedName name="BEx9GGY04V0ZWI6O9KZH4KSBB389" hidden="1">[2]Table!$I$11:$J$11</definedName>
    <definedName name="BEx9GJCC7BWX156MTPY59VC5JN0O" hidden="1">[2]Graph!$C$15:$D$29</definedName>
    <definedName name="BEx9GNOPB6OZ2RH3FCDNJR38RJOS" hidden="1">[2]Table!$F$9:$G$9</definedName>
    <definedName name="BEx9GNU701BD7YSS9TFG6GMA2Z8A" hidden="1">[2]Graph!$F$11:$G$11</definedName>
    <definedName name="BEx9GUQALUWCD30UKUQGSWW8KBQ7" hidden="1">[2]Table!$I$6:$J$6</definedName>
    <definedName name="BEx9GY6BVFQGCLMOWVT6PIC9WP5X" hidden="1">[2]Table!$F$15</definedName>
    <definedName name="BEx9GZ2P3FDHKXEBXX2VS0BG2NP2" hidden="1">[2]Table!$F$6:$G$6</definedName>
    <definedName name="BEx9H04IB14E1437FF2OIRRWBSD7" hidden="1">[2]Table!$F$15</definedName>
    <definedName name="BEx9H1MG8NGEESOQY33HVT86OMYJ" hidden="1">[2]Table!$I$8:$J$8</definedName>
    <definedName name="BEx9H5O1KDZJCW91Q29VRPY5YS6P" hidden="1">[2]Table!$I$9:$J$9</definedName>
    <definedName name="BEx9H8YR0E906F1JXZMBX3LNT004" hidden="1">[2]Table!$F$9:$G$9</definedName>
    <definedName name="BEx9HBYNQSCVAPHXGSC3BNKY29Y5" hidden="1">[2]Table!$K$11:$L$11</definedName>
    <definedName name="BEx9HGLRTJ18NKXA1D5J315UA02A" hidden="1">[2]Table!$F$11:$G$11</definedName>
    <definedName name="BEx9I8XIG7E5NB48QQHXP23FIN60" hidden="1">[2]Table!$I$10:$J$10</definedName>
    <definedName name="BEx9ILTFVM0U2DU1ZK6T713LXSOA" hidden="1">[2]Table!$J$1</definedName>
    <definedName name="BEx9IP9H3WRUPS22TFRIAYL9PNGV" hidden="1">[2]Graph!$F$7:$G$7</definedName>
    <definedName name="BEx9IQRF01ATLVK0YE60ARKQJ68L" hidden="1">[2]Table!$I$8:$J$8</definedName>
    <definedName name="BEx9IT5QNZWKM6YQ5WER0DC2PMMU" hidden="1">[2]Table!$I$9:$J$9</definedName>
    <definedName name="BEx9IW5MFLXTVCJHVUZTUH93AXOS" hidden="1">[2]Table!$H$1</definedName>
    <definedName name="BEx9IX1ZRFUE85ATW4NGTSACFIOO" hidden="1">[2]Graph!$I$10:$J$10</definedName>
    <definedName name="BEx9IXCSPSZC80YZUPRCYTG326KV" hidden="1">[2]Table!$I$10:$J$10</definedName>
    <definedName name="BEx9IZR39NHDGOM97H4E6F81RTQW" hidden="1">[2]Table!$F$6:$G$6</definedName>
    <definedName name="BEx9J1EJIB9UVZKMZ7QHB9U6VVOO" hidden="1">[2]Graph!$F$8:$G$8</definedName>
    <definedName name="BEx9J6CH5E7YZPER7HXEIOIKGPCA" hidden="1">[2]Table!$H$1</definedName>
    <definedName name="BEx9J9SMIGE802GID5IELZOU39E7" hidden="1">[2]Table!$I$11:$J$11</definedName>
    <definedName name="BEx9JAUCP74V5GJKQH3STUSCOFIH" hidden="1">[2]Graph!$I$7:$J$7</definedName>
    <definedName name="BEx9JJTZKVUJAVPTRE0RAVTEH41G" hidden="1">[2]Table!$I$11:$J$11</definedName>
    <definedName name="BEx9JLBYK239B3F841C7YG1GT7ST" hidden="1">[2]Table!$C$15:$D$20</definedName>
    <definedName name="BEx9KGSVGJU2R5TFFKLU5Q3Y5D9E" hidden="1">[2]Table!$J$1:$J$1</definedName>
    <definedName name="BEx9KWDXIX79VDIKN735XMVDPRH9" hidden="1">[2]Table!$I$15</definedName>
    <definedName name="BExAW4IIW5D0MDY6TJ3G4FOLPYIR" hidden="1">[2]Table!$H$2:$I$2</definedName>
    <definedName name="BExAW8PJIBK0OK1XFI268RZJKZM1" hidden="1">[2]Graph!$C$15:$D$31</definedName>
    <definedName name="BExAWZTY7F19EHUTKLJM7BA500LR" hidden="1">[2]Table!$F$7:$G$7</definedName>
    <definedName name="BExAX2TU15VIP65OGKSZD41PMO4N" hidden="1">[2]Graph!$I$6:$J$6</definedName>
    <definedName name="BExAX410NB4F2XOB84OR2197H8M5" hidden="1">[2]Table!$H$1</definedName>
    <definedName name="BExAX8TNG8LQ5Q4904SAYQIPGBSV" hidden="1">[2]Table!$I$7:$J$7</definedName>
    <definedName name="BExAXC9RPEEPXKFG5SYRXIP96YGI" hidden="1">[2]Table!$F$11:$G$11</definedName>
    <definedName name="BExAXI9K2PJQH4QLETR7MGS2BNZZ" hidden="1">[2]Graph!$F$7:$G$7</definedName>
    <definedName name="BExAXL3ZT02BUZOGSRNS6WGCOV7K" hidden="1">[2]Graph!$F$7:$G$7</definedName>
    <definedName name="BExAXL40LDNIK611AYB1QPTYW9XW" hidden="1">[2]Graph!$F$7:$G$7</definedName>
    <definedName name="BExAXQI7U4G7NQGWZZ6QWN776KGJ" hidden="1">[2]Table!$F$7:$G$7</definedName>
    <definedName name="BExAXVR3TZS6AO7CC7P1JMF7MABT" hidden="1">[2]Graph!$I$8:$J$8</definedName>
    <definedName name="BExAY0EAT2LXR5MFGM0DLIB45PLO" hidden="1">[2]Table!$F$6:$G$6</definedName>
    <definedName name="BExAY9ZJT64UBNSHPOGOXOER0FA5" hidden="1">[2]Graph!$F$9:$G$9</definedName>
    <definedName name="BExAYE6LNIEBR9DSNI5JGNITGKIT" hidden="1">[2]Table!$I$7:$J$7</definedName>
    <definedName name="BExAYHMLXGGO25P8HYB2S75DEB4F" hidden="1">[2]Table!$F$10:$G$10</definedName>
    <definedName name="BExAYKXAUWGDOPG952TEJ2UKZKWN" hidden="1">[2]Table!$F$8:$G$8</definedName>
    <definedName name="BExAYOO9DKXP4BYOJNDXGK1R2ZSV" hidden="1">[2]Graph!$C$15:$D$29</definedName>
    <definedName name="BExAYP9TDTI2MBP6EYE0H39CPMXN" hidden="1">[2]Table!$F$9:$G$9</definedName>
    <definedName name="BExAYPPWJPWDKU59O051WMGB7O0J" hidden="1">[2]Table!$F$11:$G$11</definedName>
    <definedName name="BExAYQRQ6WE4S0KQ3J2IFZUS0BUU" hidden="1">[2]Table!$I$11:$J$11</definedName>
    <definedName name="BExAYR2JZCJBUH6F1LZC2A7JIVRJ" hidden="1">[2]Table!$F$7:$G$7</definedName>
    <definedName name="BExAYTGVRD3DLKO75RFPMBKCIWB8" hidden="1">[2]Table!$F$8:$G$8</definedName>
    <definedName name="BExAYVKDXJJ761HTFFUOH6P2CSF7" hidden="1">[2]Graph!$I$7:$J$7</definedName>
    <definedName name="BExAZ325TFULM5NIRTETQ4UT14AK" hidden="1">[2]Table!$F$11:$G$11</definedName>
    <definedName name="BExAZCNEGB4JYHC8CZ51KTN890US" hidden="1">[2]Table!$F$9:$G$9</definedName>
    <definedName name="BExAZFCI302YFYRDJYQDWQQL0Q0O" hidden="1">[2]Table!$I$7:$J$7</definedName>
    <definedName name="BExAZLHLST9OP89R1HJMC1POQG8H" hidden="1">[2]Table!$F$10:$G$10</definedName>
    <definedName name="BExAZM36N4VUV96EBLWNGXWHAVVQ" hidden="1">[2]Table!$F$8:$G$8</definedName>
    <definedName name="BExAZMDYMIAA7RX1BMCKU1VLBRGY" hidden="1">[2]Table!$F$6:$G$6</definedName>
    <definedName name="BExAZNFTTSXASHLBAG5O0MNFU583" hidden="1">[2]Graph!$C$15:$D$29</definedName>
    <definedName name="BExAZNL6BHI8DCQWXOX4I2P839UX" hidden="1">[2]Table!$I$2:$I$2</definedName>
    <definedName name="BExAZOSB1S1DOA4QFU0V8LH27S4X" hidden="1">[2]Table!$I$6:$J$6</definedName>
    <definedName name="BExAZRMWSONMCG9KDUM4KAQ7BONM" hidden="1">[2]Table!$H$2:$I$2</definedName>
    <definedName name="BExAZTFG4SJRG4TW6JXRF7N08JFI" hidden="1">[2]Table!$I$10:$J$10</definedName>
    <definedName name="BExAZUS4A8OHDZK0MWAOCCCKTH73" hidden="1">[2]Table!$F$8:$G$8</definedName>
    <definedName name="BExAZX6FECVK3E07KXM2XPYKGM6U" hidden="1">[2]Table!$G$2</definedName>
    <definedName name="BExAZZVJBI5Y7J0C0IJ8DUHZ46DJ" hidden="1">[2]Table!$I$7:$J$7</definedName>
    <definedName name="BExB012NJ8GASTNNPBRRFTLHIOC9" hidden="1">[2]Table!$F$9:$G$9</definedName>
    <definedName name="BExB09M401XCNDAZK0VDYXSTA796" hidden="1">[2]Table!$I$15:$Q$92</definedName>
    <definedName name="BExB0FRDEYDEUEAB1W8KD6D965XA" hidden="1">[2]Table!$K$2</definedName>
    <definedName name="BExB0KPCN7YJORQAYUCF4YKIKPMC" hidden="1">[2]Table!$I$11:$J$11</definedName>
    <definedName name="BExB0OASZZC08FMDYX9HRSM9OXEF" hidden="1">[2]Graph!$I$7:$J$7</definedName>
    <definedName name="BExB0WE4PI3NOBXXVO9CTEN4DIU2" hidden="1">[2]Table!$G$2</definedName>
    <definedName name="BExB10QNIVITUYS55OAEKK3VLJFE" hidden="1">[2]Table!$G$2</definedName>
    <definedName name="BExB12OPX4FIWY3UUQ7N9MXBTXY2" hidden="1">[2]Graph!$F$7:$G$7</definedName>
    <definedName name="BExB12ZHTPYICL0A8RA5MRDZPYAX" hidden="1">[2]Graph!$I$8:$J$8</definedName>
    <definedName name="BExB15ZDRY4CIJ911DONP0KCY9KU" hidden="1">[2]Table!$F$6:$G$6</definedName>
    <definedName name="BExB16VQY0O0RLZYJFU3OFEONVTE" hidden="1">[2]Table!$I$6:$J$6</definedName>
    <definedName name="BExB1D6DDDMV7AOB9S4XD45OPKJ3" hidden="1">[2]Graph!$F$11:$G$11</definedName>
    <definedName name="BExB1FKN9YUYJ7B8ZJSMRSJ6ONT6" hidden="1">[2]Graph!$I$9:$J$9</definedName>
    <definedName name="BExB1GMD0PIDGTFBGQOPRWQSP9I4" hidden="1">[2]Table!$C$15:$D$20</definedName>
    <definedName name="BExB1HIQKUZGEBQ2MPH0TPTAZKIT" hidden="1">[2]Graph!$C$15:$D$29</definedName>
    <definedName name="BExB1Q29OO6LNFNT1EQLA3KYE7MX" hidden="1">[2]Table!$F$7:$G$7</definedName>
    <definedName name="BExB1TNRV5EBWZEHYLHI76T0FVA7" hidden="1">[2]Table!$I$9:$J$9</definedName>
    <definedName name="BExB1UENFKIO27UN311RA6Q7UZX5" hidden="1">[2]Graph!$F$9:$G$9</definedName>
    <definedName name="BExB1WI6M8I0EEP1ANUQZCFY24EV" hidden="1">[2]Table!$C$15:$D$20</definedName>
    <definedName name="BExB203OWC9QZA3BYOKQ18L4FUJE" hidden="1">[2]Table!$F$9:$G$9</definedName>
    <definedName name="BExB28SKL16ML0GH1651N4NWMOBK" hidden="1">[2]Table!$I$11:$J$11</definedName>
    <definedName name="BExB2CJHTU7C591BR4WRL5L2F2K6" hidden="1">[2]Table!$I$9:$J$9</definedName>
    <definedName name="BExB2O2UYHKI324YE324E1N7FVIB" hidden="1">[2]Table!$I$10:$J$10</definedName>
    <definedName name="BExB2Q0VJ0MU2URO3JOVUAVHEI3V" hidden="1">[2]Table!$H$1</definedName>
    <definedName name="BExB2UO6XB8QY0CYX646UU6JUO30" hidden="1">[2]Table!$F$15:$G$21</definedName>
    <definedName name="BExB2V4G4W3DIHZU05TOOTUR2SQF" hidden="1">[2]Graph!$F$7:$G$7</definedName>
    <definedName name="BExB30IP1DNKNQ6PZ5ERUGR5MK4Z" hidden="1">[2]Table!$I$11:$J$11</definedName>
    <definedName name="BExB30YT7Z82IGE7A0CNUXX3N1WR" hidden="1">[2]Table!$I$6:$J$6</definedName>
    <definedName name="BExB35M4M9VQF0DHGYBEA3KV711P" hidden="1">[2]Graph!$I$8:$J$8</definedName>
    <definedName name="BExB36IHKG75LZJ181RGP5CRUKY6" hidden="1">[2]Table!$J$2</definedName>
    <definedName name="BExB397ETQ5GRAE3GP476G0UJ5IB" hidden="1">[2]Table!$C$15:$D$16</definedName>
    <definedName name="BExB3BGFR5UJGL83MJNG3EBDE9EN" hidden="1">[2]Table!$K$11:$L$11</definedName>
    <definedName name="BExB3FI5KODIVB7CEW8DC01FB4W2" hidden="1">[2]Table!$K$8:$L$8</definedName>
    <definedName name="BExB3GP5UWEVMOHE0D7QWBG2P0I9" hidden="1">[2]Table!$I$15</definedName>
    <definedName name="BExB3GUN6B4HCGA47UPUH81404SO" hidden="1">[2]Table!$K$11:$L$11</definedName>
    <definedName name="BExB3M3D5ZPHPGUBR6X1QF96MIGQ" hidden="1">[2]Table!$F$8:$G$8</definedName>
    <definedName name="BExB3MUGEK130BR5EE3MDJ2B8XWU" hidden="1">[2]Table!$F$7:$G$7</definedName>
    <definedName name="BExB3NG0X5748GTQ68ABICDR4U7H" hidden="1">[2]Table!$I$7:$J$7</definedName>
    <definedName name="BExB3RHL0PP3CR82A9U5Z1JIJ8LM" hidden="1">[2]Table!$I$6:$J$6</definedName>
    <definedName name="BExB406HXCZGNSDPPO8VOG1110ZG" hidden="1">[2]Graph!$I$8:$J$8</definedName>
    <definedName name="BExB442RX0T3L6HUL6X5T21CENW6" hidden="1">[2]Table!$C$15:$D$20</definedName>
    <definedName name="BExB47TL0N0SQOKA9EW0YRR6OXBF" hidden="1">[2]Table!$I$7:$J$7</definedName>
    <definedName name="BExB4A2JQPAFSXIEHWW5O5K2RK22" hidden="1">[2]Table!$F$7:$G$7</definedName>
    <definedName name="BExB4ADD0L7417CII901XTFKXD1J" hidden="1">[2]Table!$I$7:$J$7</definedName>
    <definedName name="BExB4B9PTN6T4CSKH6U5OZ3JFDD8" hidden="1">[2]Graph!$I$9:$J$9</definedName>
    <definedName name="BExB4C63OW40GQ3VE44APQC7UYCB" hidden="1">[2]Table!$I$6:$J$6</definedName>
    <definedName name="BExB4DYU06HCGRIPBSWRCXK804UM" hidden="1">[2]Table!$F$11:$G$11</definedName>
    <definedName name="BExB4K43GD1NGSQQXHBMBWIN7DQJ" hidden="1">[2]Table!$K$6:$L$6</definedName>
    <definedName name="BExB4QUSO6H79MRF2PL0OAACHGCA" hidden="1">[2]Graph!$C$15:$D$31</definedName>
    <definedName name="BExB4R5JZFW6A1CMY56N51JV2U9K" hidden="1">[2]Graph!$F$6:$G$6</definedName>
    <definedName name="BExB4Z3EZBGYYI33U0KQ8NEIH8PY" hidden="1">[2]Table!$I$8:$J$8</definedName>
    <definedName name="BExB516X47UTQWTQ238UATMQPMIZ" hidden="1">[2]Table!$K$9:$L$9</definedName>
    <definedName name="BExB541CBB1D8CTY30SOY75V64NO" hidden="1">[2]Graph!$C$15:$D$29</definedName>
    <definedName name="BExB55368XW7UX657ZSPC6BFE92S" hidden="1">[2]Table!$I$8:$J$8</definedName>
    <definedName name="BExB57MZEPL2SA2ONPK66YFLZWJU" hidden="1">[2]Table!$I$8:$J$8</definedName>
    <definedName name="BExB5833OAOJ22VK1YK47FHUSVK2" hidden="1">[2]Table!$C$15:$D$20</definedName>
    <definedName name="BExB58JDIHS42JZT9DJJMKA8QFCO" hidden="1">[2]Table!$I$11:$J$11</definedName>
    <definedName name="BExB58U5FQC5JWV9CGC83HLLZUZI" hidden="1">[2]Table!$F$7:$G$7</definedName>
    <definedName name="BExB5EDO9XUKHF74X3HAU2WPPHZH" hidden="1">[2]Table!$I$6:$J$6</definedName>
    <definedName name="BExB5G6EH68AYEP1UT0GHUEL3SLN" hidden="1">[2]Table!$F$11:$G$11</definedName>
    <definedName name="BExB5GMPZ42T1WIY8VQIQVY5ORZ1" hidden="1">[2]Graph!$C$15:$D$31</definedName>
    <definedName name="BExB5IKQXIFSK9OWLKTUL9DOHXL5" hidden="1">[2]Table!$I$11:$J$11</definedName>
    <definedName name="BExB5QO30WI9WES28Y2RINNXRHWC" hidden="1">[2]Graph!$F$11:$G$11</definedName>
    <definedName name="BExB5QYVEZWFE5DQVHAM760EV05X" hidden="1">[2]Table!$I$7:$J$7</definedName>
    <definedName name="BExB5U9IRH14EMOE0YGIE3WIVLFS" hidden="1">[2]Table!$I$6:$J$6</definedName>
    <definedName name="BExB5VWYMOV6BAIH7XUBBVPU7MMD" hidden="1">[2]Table!$F$9:$G$9</definedName>
    <definedName name="BExB610DZWIJP1B72U9QM42COH2B" hidden="1">[2]Table!$F$9:$G$9</definedName>
    <definedName name="BExB6C3FUAKK9ML5T767NMWGA9YB" hidden="1">[2]Table!$F$7:$G$7</definedName>
    <definedName name="BExB6C8X6JYRLKZKK17VE3QUNL3D" hidden="1">[2]Table!$G$2</definedName>
    <definedName name="BExB6CZTE0PWILZ6X0SQ2FCCSK0D" hidden="1">[2]Graph!$I$6:$J$6</definedName>
    <definedName name="BExB6HN3QRFPXM71MDUK21BKM7PF" hidden="1">[2]Table!$F$11:$G$11</definedName>
    <definedName name="BExB6IZMHCZ3LB7N73KD90YB1HBZ" hidden="1">[2]Table!$F$9:$G$9</definedName>
    <definedName name="BExB6Q6JKBMO3M4WX8XUD0JET6HB" hidden="1">[2]Graph!$I$6:$J$6</definedName>
    <definedName name="BExB719SGNX4Y8NE6JEXC555K596" hidden="1">[2]Table!$F$10:$G$10</definedName>
    <definedName name="BExB7265DCHKS7V2OWRBXCZTEIW9" hidden="1">[2]Table!$F$6:$G$6</definedName>
    <definedName name="BExB74KGEOVL8X7NFFKBMHPQFJVG" hidden="1">[2]Table!$I$9:$J$9</definedName>
    <definedName name="BExB74PS5P9G0P09Y6DZSCX0FLTJ" hidden="1">[2]Table!$I$6:$J$6</definedName>
    <definedName name="BExB78RH79J0MIF7H8CAZ0CFE88Q" hidden="1">[2]Table!$H$1</definedName>
    <definedName name="BExB7AEXCAQ4TNQWRTCCLCOIFVQS" hidden="1">[2]Table!$C$15:$D$31</definedName>
    <definedName name="BExB7ELT09HGDVO5BJC1ZY9D09GZ" hidden="1">[2]Table!$H$2:$I$2</definedName>
    <definedName name="BExB7LHZR64ZUHJNW37QTABS938U" hidden="1">[2]Table!$K$9:$L$9</definedName>
    <definedName name="BExB806PAXX70XUTA3ZI7OORD78R" hidden="1">[2]Table!$F$15</definedName>
    <definedName name="BExB8GISHHOQ9UJ2AAG7PLYIPR9K" hidden="1">[2]Graph!$C$15:$D$31</definedName>
    <definedName name="BExB8HF4UBVZKQCSRFRUQL2EE6VL" hidden="1">[2]Table!$F$8:$G$8</definedName>
    <definedName name="BExB8HKHKZ1ORJZUYGG2M4VSCC39" hidden="1">[2]Table!$F$9:$G$9</definedName>
    <definedName name="BExB8N9H4TPZZ6A1V9USFZIILDD4" hidden="1">[2]Graph!$I$10:$J$10</definedName>
    <definedName name="BExB8ORFR72AOV2WK07RQA93MSEK" hidden="1">[2]Graph!$C$15:$D$31</definedName>
    <definedName name="BExB8QPH8DC5BESEVPSMBCWVN6PO" hidden="1">[2]Table!$F$6:$G$6</definedName>
    <definedName name="BExB8U5N0D85YR8APKN3PPKG0FWP" hidden="1">[2]Table!$C$15:$D$20</definedName>
    <definedName name="BExB8YNIGR85KXHH7VXIUHZ8Z3KV" hidden="1">[2]Table!$L$2:$L$2</definedName>
    <definedName name="BExB96AISTGZW9ED500I2W5OSDPN" hidden="1">[2]Table!$K$9:$L$9</definedName>
    <definedName name="BExB9DHI5I2TJ2LXYPM98EE81L27" hidden="1">[2]Table!$I$9:$J$9</definedName>
    <definedName name="BExB9HTUJJF2U8DIM64L76YH7L7O" hidden="1">[2]Table!$F$8:$G$8</definedName>
    <definedName name="BExB9Q2MZZHBGW8QQKVEYIMJBPIE" hidden="1">[2]Table!$H$1</definedName>
    <definedName name="BExB9S66MFUL9J891R547MSVIVV1" hidden="1">[2]Graph!$F$11:$G$11</definedName>
    <definedName name="BExBA1GON0EZRJ20UYPILAPLNQWM" hidden="1">[2]Table!$I$7:$J$7</definedName>
    <definedName name="BExBA69ASGYRZW1G1DYIS9QRRTBN" hidden="1">[2]Table!$F$9:$G$9</definedName>
    <definedName name="BExBA6K42582A14WFFWQ3Q8QQWB6" hidden="1">[2]Table!$I$7:$J$7</definedName>
    <definedName name="BExBA8I5D4R8R2PYQ1K16TWGTOEP" hidden="1">[2]Table!$I$7:$J$7</definedName>
    <definedName name="BExBA93PE0DGUUTA7LLSIGBIXWE5" hidden="1">[2]Table!$I$7:$J$7</definedName>
    <definedName name="BExBAGQYIBV77JKN346FU4VT1MB4" hidden="1">[2]Graph!$F$11:$G$11</definedName>
    <definedName name="BExBAI8X0FKDQJ6YZJQDTTG4ZCWY" hidden="1">[2]Table!$I$7:$J$7</definedName>
    <definedName name="BExBAKN7XIBAXCF9PCNVS038PCQO" hidden="1">[2]Table!$F$11:$G$11</definedName>
    <definedName name="BExBAKXZ7PBW3DDKKA5MWC1ZUC7O" hidden="1">[2]Table!$I$8:$J$8</definedName>
    <definedName name="BExBAS4Z5XPAH7OZXUYWUQ3WF7P7" hidden="1">[2]Table!$I$8:$J$8</definedName>
    <definedName name="BExBAVKX8Q09370X1GCZWJ4E91YJ" hidden="1">[2]Table!$I$8:$J$8</definedName>
    <definedName name="BExBAX2X2ENJYO4QTR5VAIQ86L7B" hidden="1">[2]Table!$F$8:$G$8</definedName>
    <definedName name="BExBAXZ95065GGWFKTGF8JO2BHQJ" hidden="1">[2]Table!$F$11:$G$11</definedName>
    <definedName name="BExBAZ13D3F1DVJQ6YJ8JGUYEYJE" hidden="1">[2]Table!$I$11:$J$11</definedName>
    <definedName name="BExBB9D9GNURCRZN3NR6UY375OX5" hidden="1">[2]Graph!$I$6:$J$6</definedName>
    <definedName name="BExBBFYNG8U5VPF5LFQT11CI9DV9" hidden="1">[2]Graph!$F$8:$G$8</definedName>
    <definedName name="BExBBHRE3WPYAEUAXA08H3BPAY5A" hidden="1">[2]Table!$F$15:$G$23</definedName>
    <definedName name="BExBBIYKTW7KBS94KGAQNBR4XD38" hidden="1">[2]Table!$J$1</definedName>
    <definedName name="BExBBNGDTQHJEGV9LBWSOA8NW091" hidden="1">[2]Table!$G$2:$G$2</definedName>
    <definedName name="BExBBUCJQRR74Q7GPWDEZXYK2KJL" hidden="1">[2]Table!$I$11:$J$11</definedName>
    <definedName name="BExBBV8XVMD9CKZY711T0BN7H3PM" hidden="1">[2]Table!$F$15</definedName>
    <definedName name="BExBC78HXWXHO3XAB6E8NVTBGLJS" hidden="1">[2]Table!$F$10:$G$10</definedName>
    <definedName name="BExBCK4H2CF3XDL7AH3W254CWF4R" hidden="1">[2]Graph!$F$10:$G$10</definedName>
    <definedName name="BExBCKKJTIRKC1RZJRTK65HHLX4W" hidden="1">[2]Table!$I$9:$J$9</definedName>
    <definedName name="BExBCLMEPAN3XXX174TU8SS0627Q" hidden="1">[2]Table!$H$1</definedName>
    <definedName name="BExBCMTEH63P6H1CKWQH2DGVNSVX" hidden="1">[2]Graph!$I$10:$J$10</definedName>
    <definedName name="BExBCNF5F3C8P4276E080JVKN06E" hidden="1">[2]Table!$I$7:$J$7</definedName>
    <definedName name="BExBCRBEYR2KZ8FAQFZ2NHY13WIY" hidden="1">[2]Table!$F$15</definedName>
    <definedName name="BExBD1CR31JE4TBZEMZ6ZNRFIDNP" hidden="1">[2]Graph!$I$9:$J$9</definedName>
    <definedName name="BExBD4I559NXSV6J07Q343TKYMVJ" hidden="1">[2]Table!$G$2</definedName>
    <definedName name="BExBDBZQLTX3OGFYGULQFK5WEZU5" hidden="1">[2]Table!$F$7:$G$7</definedName>
    <definedName name="BExBDG1GT028PF8QCDADY87YZB0U" hidden="1">[2]Table!$J$2</definedName>
    <definedName name="BExBDJS9TUEU8Z84IV59E5V4T8K6" hidden="1">[2]Table!$C$15:$D$20</definedName>
    <definedName name="BExBDJXPZUWF42CLB9GFXHLS53DT" hidden="1">[2]Table!$L$2:$L$2</definedName>
    <definedName name="BExBDKJAGYB9J97AI4CFA1JC3TO3" hidden="1">[2]Table!$I$8:$J$8</definedName>
    <definedName name="BExBDKOMSVH4XMH52CFJ3F028I9R" hidden="1">[2]Table!$G$2</definedName>
    <definedName name="BExBDLA8NOL8AU6P93L27MEAKJ7C" hidden="1">[2]Table!$F$7:$G$7</definedName>
    <definedName name="BExBDM1AML3U6OC9HFS86QES0F1Q" hidden="1">[2]Table!$F$10:$G$10</definedName>
    <definedName name="BExBDPS1KYP6H2MG00Z9R9II2L0V" hidden="1">[2]Table!$F$7:$G$7</definedName>
    <definedName name="BExBDSRXVZQ0W5WXQMP5XD00GRRL" hidden="1">[2]Table!$I$8:$J$8</definedName>
    <definedName name="BExBDTDIHS3IA85P49E3FM64KE4B" hidden="1">[2]Graph!$F$6:$G$6</definedName>
    <definedName name="BExBDUVGK3E1J4JY9ZYTS7V14BLY" hidden="1">[2]Table!$G$2</definedName>
    <definedName name="BExBDWDG2GXBTEGBOQMQLB38QUEV" hidden="1">[2]Graph!$F$6:$G$6</definedName>
    <definedName name="BExBDZITI2UCDSH0V24NITQG9SFA" hidden="1">[2]Graph!$I$7:$J$7</definedName>
    <definedName name="BExBE162OSBKD30I7T1DKKPT3I9I" hidden="1">[2]Table!$I$10:$J$10</definedName>
    <definedName name="BExBE4M6YL512JJD7QCT5NHC893P" hidden="1">[2]Graph!$F$10:$G$10</definedName>
    <definedName name="BExBEYFQJE9YK12A6JBMRFKEC7RN" hidden="1">[2]Table!$I$6:$J$6</definedName>
    <definedName name="BExBF0U1PNBWLGLVVPNYEZHKB0ON" hidden="1">[2]Graph!$C$15:$D$29</definedName>
    <definedName name="BExBF3TXJTJ52WTH5JS1IEEUKRWA" hidden="1">[2]Graph!$I$11:$J$11</definedName>
    <definedName name="BExBG1ED81J2O4A2S5F5Y3BPHMCR" hidden="1">[2]Table!$I$8:$J$8</definedName>
    <definedName name="BExBG96WJ98IZ2MX5QD3ZCSN4CO4" hidden="1">[2]Table!$F$15:$G$26</definedName>
    <definedName name="BExCRLIHS7466WFJ3RPIUGGXYESZ" hidden="1">[2]Table!$I$9:$J$9</definedName>
    <definedName name="BExCRRIBGG57IJ1DUG0GCSPL72DO" hidden="1">[2]Graph!$F$10:$G$10</definedName>
    <definedName name="BExCS078RE3CUATM8A8NCC0WWHGC" hidden="1">[2]Graph!$C$15:$D$29</definedName>
    <definedName name="BExCS1EDDUEAEWHVYXHIP9I1WCJH" hidden="1">[2]Table!$I$10:$J$10</definedName>
    <definedName name="BExCS7ZPMHFJ4UJDAL8CQOLSZ13B" hidden="1">[2]Table!$C$15:$D$20</definedName>
    <definedName name="BExCS8W4NJUZH9S1CYB6XSDLEPBW" hidden="1">[2]Table!$I$2:$I$2</definedName>
    <definedName name="BExCSAE1M6G20R41J0Y24YNN0YC1" hidden="1">[2]Table!$I$6:$J$6</definedName>
    <definedName name="BExCSAOUZOYKHN7HV511TO8VDJ02" hidden="1">[2]Table!$I$8:$J$8</definedName>
    <definedName name="BExCSEFOBF1WSUAG7VXIL7N3RNWL" hidden="1">[2]Table!$J$1:$J$1</definedName>
    <definedName name="BExCSGZG9G2SOKYYBCQF48XUIYCJ" hidden="1">[2]Graph!$I$11:$J$11</definedName>
    <definedName name="BExCSJ8965ESS9G6Z0TRCCZHZB6W" hidden="1">[2]Table!$G$2</definedName>
    <definedName name="BExCSMOFTXSUEC1T46LR1UPYRCX5" hidden="1">[2]Table!$G$2</definedName>
    <definedName name="BExCSSDG3TM6TPKS19E9QYJEELZ6" hidden="1">[2]Table!$H$1</definedName>
    <definedName name="BExCSU0PJX0PNK1443URA6JO40MZ" hidden="1">[2]Table!$F$6:$G$6</definedName>
    <definedName name="BExCSVO4JCDDU5NOVE0HFYJL6O6A" hidden="1">[2]Table!$K$8:$L$8</definedName>
    <definedName name="BExCSZV7U67UWXL2HKJNM5W1E4OO" hidden="1">[2]Table!$I$7:$J$7</definedName>
    <definedName name="BExCT1YPMP1YTBY65V6OAXZ9U034" hidden="1">[2]Graph!$F$8:$G$8</definedName>
    <definedName name="BExCT3B6MZN4088ZUANHYJC4MMQ6" hidden="1">[2]Graph!$F$9:$G$9</definedName>
    <definedName name="BExCT4NSDT61OCH04Y2QIFIOP75H" hidden="1">[2]Table!$C$15:$D$20</definedName>
    <definedName name="BExCTDNHLKBSW4O3ZBLQXW5STEWZ" hidden="1">[2]Table!$F$8:$G$8</definedName>
    <definedName name="BExCTEJUVH4GZ6PX248RIH1JKUZZ" hidden="1">[2]Table!$F$6:$G$6</definedName>
    <definedName name="BExCTYS2KX0QANOLT8LGZ9WV3S3T" hidden="1">[2]Table!$F$15</definedName>
    <definedName name="BExCTZZ9JNES4EDHW97NP0EGQALX" hidden="1">[2]Table!$G$2</definedName>
    <definedName name="BExCU0A1V6NMZQ9ASYJ8QIVQ5UR2" hidden="1">[2]Table!$H$1</definedName>
    <definedName name="BExCU766QGCG9EU5TZ8IO9ZS7LK3" hidden="1">[2]Table!$I$1:$I$1</definedName>
    <definedName name="BExCU8O54I3P3WRYWY1CRP3S78QY" hidden="1">[2]Table!$G$2</definedName>
    <definedName name="BExCUAGWES7AY4RPCZYDCEGNN1WU" hidden="1">[2]Table!$F$6:$G$6</definedName>
    <definedName name="BExCUD60H1UMM2E28QIX022PMAO3" hidden="1">[2]Graph!$I$8:$J$8</definedName>
    <definedName name="BExCUDRJO23YOKT8GPWOVQ4XEHF5" hidden="1">[2]Table!$F$6:$G$6</definedName>
    <definedName name="BExCUFKBF6ZFPZH0OENL7SDHN5I2" hidden="1">[2]Table!$J$2</definedName>
    <definedName name="BExCUGB7GWBX1H98KRB5OLCAKNWV" hidden="1">[2]Table!$L$2</definedName>
    <definedName name="BExCUIV02LYF2ZZPX5FEEACE3CIM" hidden="1">[2]Table!$K$6:$L$6</definedName>
    <definedName name="BExCUPAWHM0P4BSKFZ5SJKV1ERM7" hidden="1">[2]Graph!$I$11:$J$11</definedName>
    <definedName name="BExCUPAXFR16YMWL30ME3F3BSRDZ" hidden="1">[2]Table!$F$8:$G$8</definedName>
    <definedName name="BExCUPGCYAM0MJR4DBSRF6HKWVNN" hidden="1">[2]Table!$F$9:$G$9</definedName>
    <definedName name="BExCUPGDMEL0K2R1VAG1GKYRXP7W" hidden="1">[2]Table!$I$11:$J$11</definedName>
    <definedName name="BExCUR94DHCE47PUUWEMT5QZOYR2" hidden="1">[2]Table!$H$2:$I$2</definedName>
    <definedName name="BExCUSR1TLT2YXF5OVHCGT9D0CIS" hidden="1">[2]Table!$I$11:$J$11</definedName>
    <definedName name="BExCUW1Q2AR1JX2Z1B9CGJ6H60GY" hidden="1">[2]Graph!$I$8:$J$8</definedName>
    <definedName name="BExCUW1RF5RHW7OK9J4GFUGR30IK" hidden="1">[2]Graph!$I$11:$J$11</definedName>
    <definedName name="BExCV38JZHPY0RHNXZN1FUBJSMOK" hidden="1">[2]Table!$J$2</definedName>
    <definedName name="BExCV4QMK81OK9KC9LSGZLUEI58A" hidden="1">[2]Table!$J$2:$J$2</definedName>
    <definedName name="BExCVI86R31A2IOZIEBY1FJLVILD" hidden="1">[2]Table!$I$10:$J$10</definedName>
    <definedName name="BExCVKGZXE0I9EIXKBZVSGSEY2RR" hidden="1">[2]Table!$F$9:$G$9</definedName>
    <definedName name="BExCVKH0KFLY4D0IVRFGVTJYRXFX" hidden="1">[2]Graph!$F$7:$G$7</definedName>
    <definedName name="BExCVV44WY5807WGMTGKPW0GT256" hidden="1">[2]Table!$I$7:$J$7</definedName>
    <definedName name="BExCVVV1DSUBX9XXW3OW9MOO433Y" hidden="1">[2]Table!$K$11:$L$11</definedName>
    <definedName name="BExCVZ5PN4V6MRBZ04PZJW3GEF8S" hidden="1">[2]Table!$C$15:$D$20</definedName>
    <definedName name="BExCW0YG46LSEOQ6K49QH4EAPMI8" hidden="1">[2]Graph!$I$9:$J$9</definedName>
    <definedName name="BExCW13R0GWJYGXZBNCPAHQN4NR2" hidden="1">[2]Table!$I$10:$J$10</definedName>
    <definedName name="BExCW676UBPOM7603WZHVF3YGVC8" hidden="1">[2]Table!$I$9:$J$9</definedName>
    <definedName name="BExCW9Y5HWU4RJTNX74O6L24VGCK" hidden="1">[2]Table!$H$2:$I$2</definedName>
    <definedName name="BExCWIXOTYM6VNQPS45RQRYSK9EH" hidden="1">[2]Graph!$I$8:$J$8</definedName>
    <definedName name="BExCWJZJ2OW0LO4A75CKC07ZPZVF" hidden="1">[2]Table!$H$1</definedName>
    <definedName name="BExCWPDPESGZS07QGBLSBWDNVJLZ" hidden="1">[2]Table!$F$7:$G$7</definedName>
    <definedName name="BExCWTVKHIVCRHF8GC39KI58YM5K" hidden="1">[2]Table!$G$2</definedName>
    <definedName name="BExCWX69ER7R6C6VGOZAPRGXJR2R" hidden="1">[2]Graph!$F$6:$G$6</definedName>
    <definedName name="BExCX1IM0WEZ6RV1RQ7QIQJID6I0" hidden="1">[2]Graph!$I$10:$J$10</definedName>
    <definedName name="BExCX2KGRZBRVLZNM8SUSIE6A0RL" hidden="1">[2]Table!$C$15:$D$20</definedName>
    <definedName name="BExCX3X451T70LZ1VF95L7W4Y4TM" hidden="1">[2]Table!$F$10:$G$10</definedName>
    <definedName name="BExCX4NZ2N1OUGXM7EV0U7VULJMM" hidden="1">[2]Table!$F$7:$G$7</definedName>
    <definedName name="BExCX83YXV3TZOLEGYDPSB35PMOK" hidden="1">[2]Table!$I$9:$J$9</definedName>
    <definedName name="BExCXAYLA3TMOHIRCEXCXXUSNOKZ" hidden="1">[2]Graph!$I$11:$J$11</definedName>
    <definedName name="BExCXC0EIRZGKHGFWVH6BZGZKSL5" hidden="1">[2]Graph!$F$10:$G$10</definedName>
    <definedName name="BExCXQUFBMXQ1650735H48B1AZT3" hidden="1">[2]Table!$F$15</definedName>
    <definedName name="BExCXZDUZ80G4BY2S34GEBQUH9GF" hidden="1">[2]Table!$L$2</definedName>
    <definedName name="BExCY2DQO9VLA77Q7EG3T0XNXX4F" hidden="1">[2]Table!$F$11:$G$11</definedName>
    <definedName name="BExCY4H9JMPB090TG2SILY28IPCR" hidden="1">[2]Graph!$F$9:$G$9</definedName>
    <definedName name="BExCY6VMJ68MX3C981R5Q0BX5791" hidden="1">[2]Table!$I$9:$J$9</definedName>
    <definedName name="BExCYAH2SAZCPW6XCB7V7PMMCAWO" hidden="1">[2]Table!$I$6:$J$6</definedName>
    <definedName name="BExCYB2NA93XX7MV9G8CJ0JAKRWK" hidden="1">[2]Table!$L$2</definedName>
    <definedName name="BExCYK7MZ56O5XIV8T5XIE9VBQXN" hidden="1">[2]Graph!$I$6:$J$6</definedName>
    <definedName name="BExCYKYPMSQ7RX3QQKR5CHIOEHIG" hidden="1">[2]Table!$F$10:$G$10</definedName>
    <definedName name="BExCYPRC5HJE6N2XQTHCT6NXGP8N" hidden="1">[2]Table!$I$11:$J$11</definedName>
    <definedName name="BExCYPRDEPZ3S3T81UHPGPKAD444" hidden="1">[2]Graph!$I$9:$J$9</definedName>
    <definedName name="BExCYQT6KM8WY1DNB3MC7P2TEA7G" hidden="1">[2]Graph!$I$8:$J$8</definedName>
    <definedName name="BExCYUK0I3UEXZNFDW71G6Z6D8XR" hidden="1">[2]Table!$C$15:$D$20</definedName>
    <definedName name="BExCZ45944EVGTRS689PR2ILD6QN" hidden="1">[2]Table!$I$7:$J$7</definedName>
    <definedName name="BExCZ7FYFFPNHUKRG4D57YRPQU4R" hidden="1">[2]Table!$J$1</definedName>
    <definedName name="BExCZ8HMHKU4UB34RC30RWRIKK15" hidden="1">[2]Table!$F$10:$G$10</definedName>
    <definedName name="BExCZFJ94GZXBZKYTVB7BWXRQVC9" hidden="1">[2]Table!$K$6:$L$6</definedName>
    <definedName name="BExCZFZCXMLY5DWESYJ9NGTJYQ8M" hidden="1">[2]Table!$I$11:$J$11</definedName>
    <definedName name="BExCZIZ933XRVQXHAQG66H3J50E8" hidden="1">[2]Graph!$I$6:$J$6</definedName>
    <definedName name="BExCZJ4P8WS0BDT31WDXI0ROE7D6" hidden="1">[2]Table!$F$6:$G$6</definedName>
    <definedName name="BExCZUD9FEOJBKDJ51Z3JON9LKJ8" hidden="1">[2]Table!$G$2</definedName>
    <definedName name="BExD03YK1YWA3DQMBGQXXZ05N2BE" hidden="1">[2]Table!$H$1</definedName>
    <definedName name="BExD04UWSGO1BF6QDOS983O7S56N" hidden="1">[2]Table!$C$15:$D$45</definedName>
    <definedName name="BExD06SXR2OPV4282WTX6ARRQ4JS" hidden="1">[2]Graph!$I$9:$J$9</definedName>
    <definedName name="BExD073PQNR82KZ1KGQPXL7R9SLZ" hidden="1">[2]Table!$F$8:$G$8</definedName>
    <definedName name="BExD0798B38INFC9036G16DCVLVC" hidden="1">[2]Table!$F$6:$G$6</definedName>
    <definedName name="BExD0CCMXMR58456B2I34O25CR0Y" hidden="1">[2]Table!$I$7:$J$7</definedName>
    <definedName name="BExD0CCO6V5WC8RPPKR7SC24LPHB" hidden="1">[2]Table!$I$15</definedName>
    <definedName name="BExD0KAHORE646JC67NDZDQTC059" hidden="1">[2]Table!$F$6:$G$6</definedName>
    <definedName name="BExD0LCCDPG16YLY5WQSZF1XI5DA" hidden="1">[2]Table!$I$9:$J$9</definedName>
    <definedName name="BExD0RMWSB4TRECEHTH6NN4K9DFZ" hidden="1">[2]Table!$I$11:$J$11</definedName>
    <definedName name="BExD0U6KG10QGVDI1XSHK0J10A2V" hidden="1">[2]Table!$I$7:$J$7</definedName>
    <definedName name="BExD0WQ71JYMUDXQTQEITA6DXV3F" hidden="1">[2]Graph!$I$7:$J$7</definedName>
    <definedName name="BExD11IYIVJTE8AAD98NNX7XS0W4" hidden="1">[2]Table!$C$15:$D$45</definedName>
    <definedName name="BExD13RUIBGRXDL4QDZ305UKUR12" hidden="1">[2]Table!$I$9:$J$9</definedName>
    <definedName name="BExD14DETV5R4OOTMAXD5NAKWRO3" hidden="1">[2]Table!$H$2:$I$2</definedName>
    <definedName name="BExD189NLCZ0MV1E8GXPW23W160D" hidden="1">[2]Graph!$I$8:$J$8</definedName>
    <definedName name="BExD1DYNIFVYTZMBUS78EL9C899P" hidden="1">[2]Graph!$F$10:$G$10</definedName>
    <definedName name="BExD1EPIUBS1ZZ8IYBQ7VR9C1R99" hidden="1">[2]Graph!$I$7:$J$7</definedName>
    <definedName name="BExD1JNP5ED9NFFYVK5GCLFBBGP3" hidden="1">[2]Table!$I$9:$J$9</definedName>
    <definedName name="BExD1JYGTW0HO93VWYAIVGP5L76Z" hidden="1">[2]Table!$F$9:$G$9</definedName>
    <definedName name="BExD1OATV6LQPRQEPXUZ9HK1MTLT" hidden="1">[2]Table!$I$11:$J$11</definedName>
    <definedName name="BExD1OAU9OXQAZA4D70HP72CU6GB" hidden="1">[2]Table!$I$7:$J$7</definedName>
    <definedName name="BExD1VNA61N78AABQAM4N8UP3Y6J" hidden="1">[2]Table!$F$9:$G$9</definedName>
    <definedName name="BExD1Y1JV61416YA1XRQHKWPZIE7" hidden="1">[2]Table!$F$6:$G$6</definedName>
    <definedName name="BExD2CFHIRMBKN5KXE5QP4XXEWFS" hidden="1">[2]Table!$C$3</definedName>
    <definedName name="BExD2DMHH1HWXQ9W0YYMDP8AAX8Q" hidden="1">[2]Table!$F$6:$G$6</definedName>
    <definedName name="BExD2HTPC7IWBAU6OSQ67MQA8BYZ" hidden="1">[2]Table!$F$10:$G$10</definedName>
    <definedName name="BExD2MRMSOCW29ZLJ226FVCE2K34" hidden="1">[2]Graph!$I$6:$J$6</definedName>
    <definedName name="BExD2Y06AUL11AZEOLKROYSWXGAY" hidden="1">[2]Table!$F$11:$G$11</definedName>
    <definedName name="BExD33JUM1HZQG4WPIIP7163DAB2" hidden="1">[2]Table!$I$9:$J$9</definedName>
    <definedName name="BExD363H2VGFIQUCE6LS4AC5J0ZT" hidden="1">[2]Table!$F$7:$G$7</definedName>
    <definedName name="BExD37W7YUULHO5DGYRP7KYM65NC" hidden="1">[2]Graph!$I$11:$J$11</definedName>
    <definedName name="BExD3A588E939V61P1XEW0FI5Q0S" hidden="1">[2]Table!$I$10:$J$10</definedName>
    <definedName name="BExD3BCE0VS9Z2KHBM2J6AA5TYH7" hidden="1">[2]Table!$F$10:$G$10</definedName>
    <definedName name="BExD3CJJDKVR9M18XI3WDZH80WL6" hidden="1">[2]Table!$I$11:$J$11</definedName>
    <definedName name="BExD3CJKMLMCHFAC8SH1NUAA0YHW" hidden="1">[2]Table!$I$9:$J$9</definedName>
    <definedName name="BExD3F368X5S25MWSUNIV57RDB57" hidden="1">[2]Table!$H$1</definedName>
    <definedName name="BExD3HXQIWS1LEO2SUGHHWPVK05B" hidden="1">[2]Table!$I$7:$J$7</definedName>
    <definedName name="BExD3IJ5IT335SOSNV9L85WKAOSI" hidden="1">[2]Table!$F$11:$G$11</definedName>
    <definedName name="BExD3KBVUY57GMMQTOFEU6S6G1AY" hidden="1">[2]Table!$F$9:$G$9</definedName>
    <definedName name="BExD3NMR7AW2Z6V8SC79VQR37NA6" hidden="1">[2]Table!$F$8:$G$8</definedName>
    <definedName name="BExD3PKTT0MHJPK56ADYPFIYXKO7" hidden="1">[2]Graph!$I$9:$J$9</definedName>
    <definedName name="BExD3Q0XOB3GVZB2NK6N3321LADN" hidden="1">[2]Table!$C$15:$D$31</definedName>
    <definedName name="BExD3QXA2UQ2W4N7NYLUEOG40BZB" hidden="1">[2]Table!$F$10:$G$10</definedName>
    <definedName name="BExD3TRV0BA9EDH3KJ0ZINUSTTUR" hidden="1">[2]Table!$I$11:$J$11</definedName>
    <definedName name="BExD3U2N041TEJ7GCN005UTPHNXY" hidden="1">[2]Table!$F$6:$G$6</definedName>
    <definedName name="BExD3V9SSLKI6GM61VHMDWEJB056" hidden="1">[2]Table!$K$11:$L$11</definedName>
    <definedName name="BExD40O0CFTNJFOFMMM1KH0P7BUI" hidden="1">[2]Table!$H$1</definedName>
    <definedName name="BExD4B5N4L1NQS2P7SS35V4HN9HR" hidden="1">[2]Table!$K$9:$L$9</definedName>
    <definedName name="BExD4B5OJKUPJMFR7AZJGR6UVR3E" hidden="1">[2]Graph!$I$6:$J$6</definedName>
    <definedName name="BExD4BR9HJ3MWWZ5KLVZWX9FJAUS" hidden="1">[2]Table!$F$11:$G$11</definedName>
    <definedName name="BExD4F1WTKT3H0N9MF4H1LX7MBSY" hidden="1">[2]Table!$I$8:$J$8</definedName>
    <definedName name="BExD4JJSS3QDBLABCJCHD45SRNPI" hidden="1">[2]Table!$C$15:$D$19</definedName>
    <definedName name="BExD4R1I0MKF033I5LPUYIMTZ6E8" hidden="1">[2]Table!$C$15:$D$20</definedName>
    <definedName name="BExD4RHMHOHG2WM6HI950PSP13F8" hidden="1">[2]Graph!$I$8:$J$8</definedName>
    <definedName name="BExD4UC7ME7PSSJF5LL0WXO4PCR7" hidden="1">[2]Table!$I$10:$J$10</definedName>
    <definedName name="BExD50MT3M6XZLNUP9JL93EG6D9R" hidden="1">[2]Table!$I$11:$J$11</definedName>
    <definedName name="BExD5BKI6XPF1K80RU35AQRH424F" hidden="1">[2]Table!$F$11:$G$11</definedName>
    <definedName name="BExD5DO2Y574T1NXVD3UY0TDGI54" hidden="1">[2]Table!$F$6:$G$6</definedName>
    <definedName name="BExD5DYUJUZTVMQQBQGC578JCZB9" hidden="1">[2]Table!$C$15:$D$31</definedName>
    <definedName name="BExD5EF513NSMHW2L4EDIB55N4OX" hidden="1">[2]Graph!$I$6:$J$6</definedName>
    <definedName name="BExD5EV7KDSVF1CJT38M4IBPFLPY" hidden="1">[2]Table!$F$11:$G$11</definedName>
    <definedName name="BExD5I5X2YA2YNCTCDSMEL4CWF4N" hidden="1">[2]Table!$F$7:$G$7</definedName>
    <definedName name="BExD5P7D7B3TCMJQY4TM56KCPB73" hidden="1">[2]Graph!$F$7:$G$7</definedName>
    <definedName name="BExD5QUSRFJWRQ1ZM50WYLCF74DF" hidden="1">[2]Table!$I$9:$J$9</definedName>
    <definedName name="BExD5SSUIF6AJQHBHK8PNMFBPRYB" hidden="1">[2]Table!$F$8:$G$8</definedName>
    <definedName name="BExD5WZXYDDMQT66SID0JT0C9OGE" hidden="1">[2]Table!$F$10:$G$10</definedName>
    <definedName name="BExD623C9LRX18BE0W2V6SZLQUXX" hidden="1">[2]Table!$C$15:$D$20</definedName>
    <definedName name="BExD6AS896GGD8R85J7FAHZ0XQHB" hidden="1">[2]Table!$I$9:$J$9</definedName>
    <definedName name="BExD6BZF6UGC8YXEZJ8URJDY0HUJ" hidden="1">[2]Graph!$F$11:$G$11</definedName>
    <definedName name="BExD6CQA7UMJBXV7AIFAIHUF2ICX" hidden="1">[2]Table!$F$9:$G$9</definedName>
    <definedName name="BExD6FKVK8WJWNYPVENR7Q8Q30PK" hidden="1">[2]Table!$F$9:$G$9</definedName>
    <definedName name="BExD6GMP0LK8WKVWMIT1NNH8CHLF" hidden="1">[2]Table!$C$15:$D$20</definedName>
    <definedName name="BExD6H2TE0WWAUIWVSSCLPZ6B88N" hidden="1">[2]Table!$I$11:$J$11</definedName>
    <definedName name="BExD6J0VX6HBSJHL06YTNXDOQD1K" hidden="1">[2]Graph!$I$6:$J$6</definedName>
    <definedName name="BExD6M68GKJO7FJNAUX1K4LQFDJY" hidden="1">[2]Table!$J$1:$J$1</definedName>
    <definedName name="BExD6UKDJTHP2TFNEH3I2LAYBSPI" hidden="1">[2]Table!$F$6:$G$6</definedName>
    <definedName name="BExD6XV0BDU8LPQPWSKHU0XX0UPR" hidden="1">[2]Graph!$C$15:$D$29</definedName>
    <definedName name="BExD6XV2FK1FO8RN2YLEEUJSQH2E" hidden="1">[2]Graph!$F$11:$G$11</definedName>
    <definedName name="BExD72IC1MLP49BR5QPPYSULAAEL" hidden="1">[2]Table!$I$9:$J$9</definedName>
    <definedName name="BExD73USXVADC7EHGHVTQNCT06ZA" hidden="1">[2]Table!$I$7:$J$7</definedName>
    <definedName name="BExD75CSRZA12LCWLN8DQ9E304AG" hidden="1">[2]Table!$I$11:$J$11</definedName>
    <definedName name="BExD7CE8ZR0EL3ZQP0AYQ5XQUH9L" hidden="1">[2]Graph!$C$15:$D$29</definedName>
    <definedName name="BExD7GAIGULTB3YHM1OS9RBQOTEC" hidden="1">[2]Table!$H$1</definedName>
    <definedName name="BExD7GAIHX094KROB46WFTL2XBWL" hidden="1">[2]Graph!$F$6:$G$6</definedName>
    <definedName name="BExD7IE1DHIS52UFDCTSKPJQNRD5" hidden="1">[2]Table!$I$9:$J$9</definedName>
    <definedName name="BExD7IUBGUWHYC9UNZ1IY5XFYKQN" hidden="1">[2]Table!$F$6:$G$6</definedName>
    <definedName name="BExD7JQOJ35HGL8U2OCEI2P2JT7I" hidden="1">[2]Table!$H$1</definedName>
    <definedName name="BExD7KSDKNDNH95NDT3S7GM3MUU2" hidden="1">[2]Table!$I$11:$J$11</definedName>
    <definedName name="BExD7V4PCVR1ACVPOJXKJ4CSROIX" hidden="1">[2]Graph!$I$8:$J$8</definedName>
    <definedName name="BExD8CYKX2WGEDSW6KFP6MND1PM0" hidden="1">[2]Graph!$F$8:$G$8</definedName>
    <definedName name="BExD8FNPF4ZF1HETN11OZZBRWCU9" hidden="1">[2]Table!$K$6:$L$6</definedName>
    <definedName name="BExD8H5O087KQVWIVPUUID5VMGMS" hidden="1">[2]Table!$G$2</definedName>
    <definedName name="BExD8KWFYVMYYY2YJ34JT4QNLLTE" hidden="1">[2]Graph!$F$9:$G$9</definedName>
    <definedName name="BExD8OCLZMFN5K3VZYI4Q4ITVKUA" hidden="1">[2]Table!$C$15:$D$20</definedName>
    <definedName name="BExD93C1R6LC0631ECHVFYH0R0PD" hidden="1">[2]Table!$I$11:$J$11</definedName>
    <definedName name="BExD97TXIO0COVNN4OH3DEJ33YLM" hidden="1">[2]Table!$F$9:$G$9</definedName>
    <definedName name="BExD99RZ1RFIMK6O1ZHSPJ68X9Y5" hidden="1">[2]Table!$G$2</definedName>
    <definedName name="BExD9IMBI0P6S6QRAXHE26HMK86D" hidden="1">[2]Graph!$I$8:$J$8</definedName>
    <definedName name="BExD9L0ID3VSOU609GKWYTA5BFMA" hidden="1">[2]Table!$I$10:$J$10</definedName>
    <definedName name="BExD9M7SEMG0JK2FUTTZXWIEBTKB" hidden="1">[2]Table!$I$10:$J$10</definedName>
    <definedName name="BExD9OBC9TQMMTDLRSDGC44R4I6F" hidden="1">[2]Table!$F$9:$G$9</definedName>
    <definedName name="BExD9OGMS8PY3YVA543I4WMT2CG9" hidden="1">[2]Table!$J$2:$J$2</definedName>
    <definedName name="BExD9PNSYT7GASEGUVL48MUQ02WO" hidden="1">[2]Table!$I$10:$J$10</definedName>
    <definedName name="BExD9TK2MIWFH5SKUYU9ZKF4NPHQ" hidden="1">[2]Table!$I$9:$J$9</definedName>
    <definedName name="BExD9UGG5EBJS33YB13VIBALIJIK" hidden="1">[2]Table!$K$7:$L$7</definedName>
    <definedName name="BExDA6LD9061UULVKUUI4QP8SK13" hidden="1">[2]Table!$I$11:$J$11</definedName>
    <definedName name="BExDAGMVMNLQ6QXASB9R6D8DIT12" hidden="1">[2]Table!$F$6:$G$6</definedName>
    <definedName name="BExDAP6CGHMDDL2YSMX54YPM9VBU" hidden="1">[2]Table!$I$10:$I$11</definedName>
    <definedName name="BExDASGZH0JDKPT7FPTP25S1DIJJ" hidden="1">[2]Table!$I$7:$J$7</definedName>
    <definedName name="BExDAT81O8MDH7KWQOAZZ1BMWQKG" hidden="1">[2]Table!$I$9:$J$9</definedName>
    <definedName name="BExDAWO22O0IUOF37209EI0XNCOU" hidden="1">[2]Graph!$I$7:$J$7</definedName>
    <definedName name="BExDAYBHU9ADLXI8VRC7F608RVGM" hidden="1">[2]Table!$F$11:$G$11</definedName>
    <definedName name="BExDB39GNDHCPPB7U2PZQO5TJ1OI" hidden="1">[2]Graph!$C$15:$D$29</definedName>
    <definedName name="BExDBDR1XR0FV0CYUCB2OJ7CJCZU" hidden="1">[2]Table!$F$6:$G$6</definedName>
    <definedName name="BExDBECNFJKO0HIOIKTWDCSWP755" hidden="1">[2]Graph!$F$6:$G$6</definedName>
    <definedName name="BExDBI8WRY61SHXKAT4UFXLB15E8" hidden="1">[2]Graph!$F$11:$G$11</definedName>
    <definedName name="BExDBZBW3EHQF6J0XXIT3ZMXPL8C" hidden="1">[2]Graph!$C$15:$D$29</definedName>
    <definedName name="BExDC7F818VN0S18ID7XRCRVYPJ4" hidden="1">[2]Table!$F$7:$G$7</definedName>
    <definedName name="BExDCL7K96PC9VZYB70ZW3QPVIJE" hidden="1">[2]Table!$I$6:$J$6</definedName>
    <definedName name="BExDCP3UZ3C2O4C1F7KMU0Z9U32N" hidden="1">[2]Table!$F$10:$G$10</definedName>
    <definedName name="BExENRJDC2MGQRJ6EHLAWX5I4SRS" hidden="1">[2]Graph!$F$6:$G$6</definedName>
    <definedName name="BExEO5BOQ52GSO2K25Z0BNC8MLWE" hidden="1">[2]Table!$I$9:$J$9</definedName>
    <definedName name="BExEO6TNX7HMP11596ELUMA7EHUA" hidden="1">[2]Table!$I$15</definedName>
    <definedName name="BExEOBX3WECDMYCV9RLN49APTXMM" hidden="1">[2]Table!$I$7:$J$7</definedName>
    <definedName name="BExEOVP7K5BL7JS2LBBZT2QIDJZG" hidden="1">[2]Table!$J$1:$J$1</definedName>
    <definedName name="BExEP7388TKNL6FEJW00XN7FHEUG" hidden="1">[2]Graph!$F$7:$G$7</definedName>
    <definedName name="BExEPK4HV0ZTWN6MHTTHXFCEIPQM" hidden="1">[2]Table!$K$10:$L$10</definedName>
    <definedName name="BExEPLBMXHFBJKRYWR1L4KXTACTU" hidden="1">[2]Table!$I$10:$J$10</definedName>
    <definedName name="BExEPN9VIYI0FVL0HLZQXJFO6TT0" hidden="1">[2]Table!$H$2:$I$2</definedName>
    <definedName name="BExEPSDAYQD5GJ1CYHQU0K8U9HRN" hidden="1">[2]Table!$F$11:$G$11</definedName>
    <definedName name="BExEPXB8FEWPZQTZVP63YJNQ34PM" hidden="1">[2]Table!$K$10:$L$10</definedName>
    <definedName name="BExEPYT6VDSMR8MU2341Q5GM2Y9V" hidden="1">[2]Table!$K$2</definedName>
    <definedName name="BExEQ2ENYLMY8K1796XBB31CJHNN" hidden="1">[2]Table!$F$11:$G$11</definedName>
    <definedName name="BExEQ2PFE4N40LEPGDPS90WDL6BN" hidden="1">[2]Table!$I$7:$J$7</definedName>
    <definedName name="BExEQ2PFURT24NQYGYVE8NKX1EGA" hidden="1">[2]Table!$H$2:$I$2</definedName>
    <definedName name="BExEQB8ZWXO6IIGOEPWTLOJGE2NR" hidden="1">[2]Table!$C$15:$D$20</definedName>
    <definedName name="BExEQBZX0EL6LIKPY01197ACK65H" hidden="1">[2]Table!$F$6:$G$6</definedName>
    <definedName name="BExEQD732PG7DWA9KCW22OKZ1NNA" hidden="1">[2]Table!$I$9:$J$9</definedName>
    <definedName name="BExEQDXZALJLD4OBF74IKZBR13SR" hidden="1">[2]Table!$F$10:$G$10</definedName>
    <definedName name="BExEQFLE2RPWGMWQAI4JMKUEFRPT" hidden="1">[2]Table!$I$9:$J$9</definedName>
    <definedName name="BExEQJ1IYZ33QNLVWV7XIRUO23VH" hidden="1">[2]Table!$I$11:$J$11</definedName>
    <definedName name="BExEQTZAP8R69U31W4LKGTKKGKQE" hidden="1">[2]Table!$F$10:$G$10</definedName>
    <definedName name="BExEQWIYCYNKAPLTZT3YLIZTXNY5" hidden="1">[2]Table!$F$7:$G$7</definedName>
    <definedName name="BExER6PSKTQOKSDVDZQ6R0PSVS9Z" hidden="1">[2]Table!$K$9:$L$9</definedName>
    <definedName name="BExERCETL5ZVXSS6EENB85QCSRYG" hidden="1">[2]Graph!$I$8:$J$8</definedName>
    <definedName name="BExERGRAYOVJPTWOUGNEXRJQLTWW" hidden="1">[2]Table!$J$1</definedName>
    <definedName name="BExERHYGNC4P2CJXN071OKI4M26R" hidden="1">[2]Table!$F$11:$G$11</definedName>
    <definedName name="BExERIUTB21WQ9WVQXUCDCGSH23E" hidden="1">[2]Graph!$C$15:$D$29</definedName>
    <definedName name="BExERRUIKIOATPZ9U4HQ0V52RJAU" hidden="1">[2]Table!$F$10:$G$10</definedName>
    <definedName name="BExERSLFEDXNMOLAZ2VOI6VVJCBW" hidden="1">[2]Graph!$F$9:$G$9</definedName>
    <definedName name="BExERVQTCRTDUF2UGLQOFUHZU5VO" hidden="1">[2]Table!$K$11:$L$11</definedName>
    <definedName name="BExERWCEBKQRYWRQLYJ4UCMMKTHG" hidden="1">[2]Table!#REF!</definedName>
    <definedName name="BExERWSHS5678NWP0NM8J09K2OGY" hidden="1">[2]Graph!$F$11:$G$11</definedName>
    <definedName name="BExES21EXU1WYERIWPR3GTFH2NHO" hidden="1">[2]Graph!$I$11:$J$11</definedName>
    <definedName name="BExES44RHHDL3V7FLV6M20834WF1" hidden="1">[2]Table!$I$8:$J$8</definedName>
    <definedName name="BExES4A7VE2X3RYYTVRLKZD4I7WU" hidden="1">[2]Table!$G$2</definedName>
    <definedName name="BExES86I6SEP4K83BTI4XENWWBZM" hidden="1">[2]Graph!$C$15:$D$31</definedName>
    <definedName name="BExESMKD95A649M0WRSG6CXXP326" hidden="1">[2]Table!$F$7:$G$7</definedName>
    <definedName name="BExESOIFY9X0OB58O74JALJWDW7K" hidden="1">[2]Table!$F$10:$G$10</definedName>
    <definedName name="BExESR27ZXJG5VMY4PR9D940VS7T" hidden="1">[2]Table!$I$9:$J$9</definedName>
    <definedName name="BExESVUVGBZRJZ6W0TMEHY0TOF7X" hidden="1">[2]Table!$I$15</definedName>
    <definedName name="BExESW5I3UBYYOAH1EUZV0Q41IIV" hidden="1">[2]Table!$F$9:$G$9</definedName>
    <definedName name="BExESZ03KXL8DQ2591HLR56ZML94" hidden="1">[2]Table!$I$9:$J$9</definedName>
    <definedName name="BExESZAW5N443NRTKIP59OEI1CR6" hidden="1">[2]Table!$I$6:$J$6</definedName>
    <definedName name="BExET3HXQ60A4O2OLKX8QNXRI6LQ" hidden="1">[2]Table!$F$9:$G$9</definedName>
    <definedName name="BExET4EAOZDP8TU9C31RZPPTG29B" hidden="1">[2]Table!$I$7:$J$7</definedName>
    <definedName name="BExET61P9WF18CRPSXXXEY888QIT" hidden="1">[2]Graph!$C$15:$D$31</definedName>
    <definedName name="BExET8QNXBH0GNSTPK4OH38J3HUK" hidden="1">[2]Table!$F$8:$G$8</definedName>
    <definedName name="BExETA3B1FCIOA80H94K90FWXQKE" hidden="1">[2]Table!$I$8:$J$8</definedName>
    <definedName name="BExETAUC8DN5PF6MTFDG36OEQ9JQ" hidden="1">[2]Table!$I$8:$J$8</definedName>
    <definedName name="BExETAZOYT4CJIT8RRKC9F2HJG1D" hidden="1">[2]Table!$I$11:$J$11</definedName>
    <definedName name="BExETCSEICWEVMSMXEZ07KQ9VV50" hidden="1">[2]Table!$J$1:$J$1</definedName>
    <definedName name="BExETF6QD5A9GEINE1KZRRC2LXWM" hidden="1">[2]Table!$F$10:$G$10</definedName>
    <definedName name="BExETHQBNQAWJLWPVYGV1AULF15O" hidden="1">[2]Table!$C$15:$D$31</definedName>
    <definedName name="BExETQ9XRXLUACN82805SPSPNKHI" hidden="1">[2]Table!$F$2</definedName>
    <definedName name="BExETR0YRMOR63E6DHLEHV9QVVON" hidden="1">[2]Table!$F$10:$G$10</definedName>
    <definedName name="BExETUBII4BEHE2BNAS18V4APKXQ" hidden="1">[2]Table!$I$7:$J$7</definedName>
    <definedName name="BExETVDCXGPYA4OP2UI1URTJ60TK" hidden="1">[2]Graph!$I$7:$J$7</definedName>
    <definedName name="BExETVTGY38YXYYF7N73OYN6FYY3" hidden="1">[2]Table!$I$7:$J$7</definedName>
    <definedName name="BExEU9LTEKBFK09VENCTBH5VKCOO" hidden="1">[2]Table!$I$8:$J$8</definedName>
    <definedName name="BExEUNE4T242Y59C6MS28MXEUGCP" hidden="1">[2]Table!$F$6:$G$6</definedName>
    <definedName name="BExEUOQR1SUEDCZ6JD2TM08DH52R" hidden="1">[2]Table!$K$9:$L$9</definedName>
    <definedName name="BExEUVHF7N15PNKD1QV2YX982B4G" hidden="1">[2]Table!$I$6:$J$6</definedName>
    <definedName name="BExEUZTU0QBXO5SBS1FQ7LSHMWVD" hidden="1">[2]Table!$F$10:$G$10</definedName>
    <definedName name="BExEV2TP7NA3ZR6RJGH5ER370OUM" hidden="1">[2]Table!$F$7:$G$7</definedName>
    <definedName name="BExEV3FA09FY7UAULWVIBZ0VSW5W" hidden="1">[2]Table!$I$11:$J$11</definedName>
    <definedName name="BExEV4ML592XA9T69OS3AHPZ3DYW" hidden="1">[2]Graph!$I$11:$J$11</definedName>
    <definedName name="BExEV69USLNYO2QRJRC0J92XUF00" hidden="1">[2]Table!$I$8:$J$8</definedName>
    <definedName name="BExEV6KNTQOCFD7GV726XQEVQ7R6" hidden="1">[2]Table!$F$7:$G$7</definedName>
    <definedName name="BExEV6VGM4POO9QT9KH3QA3VYCWM" hidden="1">[2]Table!$F$8:$G$8</definedName>
    <definedName name="BExEVA64OF9Z4Q0Z6VR90ZWVUNB0" hidden="1">[2]Table!$C$15:$D$31</definedName>
    <definedName name="BExEVAM8BLTWVS6IMVJWDOZBQK9R" hidden="1">[2]Graph!$I$7:$J$7</definedName>
    <definedName name="BExEVET98G3FU6QBF9LHYWSAMV0O" hidden="1">[2]Table!$F$10:$G$10</definedName>
    <definedName name="BExEVF41M45PXVQLJ4F6F90CA18G" hidden="1">[2]Table!$H$1</definedName>
    <definedName name="BExEVL3UZ22W55ZRF3F0J21PKQLX" hidden="1">[2]Graph!$F$6:$G$6</definedName>
    <definedName name="BExEVNCUT0PDUYNJH7G6BSEWZOT2" hidden="1">[2]Table!$F$10:$G$10</definedName>
    <definedName name="BExEVPGF4V5J0WQRZKUM8F9TTKZJ" hidden="1">[2]Table!$F$8:$G$8</definedName>
    <definedName name="BExEVVLIEVWYRF2UUC1H0H5QU1CP" hidden="1">[2]Table!$F$10:$G$10</definedName>
    <definedName name="BExEVWCKO8T84GW9Z3X47915XKSH" hidden="1">[2]Table!$H$2:$I$2</definedName>
    <definedName name="BExEVZSJWMZ5L2ZE7AZC57CXKW6T" hidden="1">[2]Table!$F$8:$G$8</definedName>
    <definedName name="BExEW0JL1GFFCXMDGW54CI7Y8FZN" hidden="1">[2]Table!$I$8:$J$8</definedName>
    <definedName name="BExEW0OXHUWFIXDD81I4WF61LWFC" hidden="1">[2]Graph!$I$8:$J$8</definedName>
    <definedName name="BExEW1QQZX0CTJE8SHGSP53X2H7Z" hidden="1">[2]Table!$L$2:$L$2</definedName>
    <definedName name="BExEW1W3EM0TR3RWJ6WIJYC1HZRV" hidden="1">[2]Table!$F$11:$G$11</definedName>
    <definedName name="BExEW2N43URICHM66FR0VQZLUWHQ" hidden="1">[2]Table!$I$7:$J$7</definedName>
    <definedName name="BExEW6357VV6LVZCWOOM0R3T78QK" hidden="1">[2]Graph!$F$9:$G$9</definedName>
    <definedName name="BExEW68M9WL8214QH9C7VCK7BN08" hidden="1">[2]Table!$I$6:$J$6</definedName>
    <definedName name="BExEW6OQ6WHOCONCUEEN3WKZ3EQB" hidden="1">[2]Table!$C$202:$D$250</definedName>
    <definedName name="BExEWCDPL7GZMWT8KKLK6XIINAT8" hidden="1">[2]Table!$F$15:$G$26</definedName>
    <definedName name="BExEWHXF5F2E8FN7TRI5U2ZY0T0P" hidden="1">[2]Graph!$F$6:$G$6</definedName>
    <definedName name="BExEWNBGQS1U2LW3W84T4LSJ9K00" hidden="1">[2]Table!$F$15</definedName>
    <definedName name="BExEWQ0M1N3KMKTDJ73H10QSG4W1" hidden="1">[2]Table!$H$2:$I$2</definedName>
    <definedName name="BExEWQ6151AHD21ACZXY8NYDZYVQ" hidden="1">[2]Table!$H$2:$I$2</definedName>
    <definedName name="BExEWYEPK4UZWBDNMRKOEJ4XS38F" hidden="1">[2]Table!$I$7:$J$7</definedName>
    <definedName name="BExEX85F3OSW8NSCYGYPS9372Z1Q" hidden="1">[2]Table!$H$2:$I$2</definedName>
    <definedName name="BExEX9HWY2G6928ZVVVQF77QCM2C" hidden="1">[2]Table!$C$15:$D$20</definedName>
    <definedName name="BExEXBQWAYKMVBRJRHB8PFCSYFVN" hidden="1">[2]Table!$I$10:$J$10</definedName>
    <definedName name="BExEXRBZ0DI9E2UFLLKYWGN66B61" hidden="1">[2]Table!$H$1</definedName>
    <definedName name="BExEXWQ5PX0NBP2RJTM0DXROLHMI" hidden="1">[2]Table!$G$2</definedName>
    <definedName name="BExEY067KMBNYP9WMRGOH8ITDBLD" hidden="1">[2]Graph!$C$15:$D$29</definedName>
    <definedName name="BExEY4YU28QQJYPKZJ1MMBE8QFFL" hidden="1">[2]Graph!$C$15:$D$31</definedName>
    <definedName name="BExEYLG9FL9V1JPPNZ3FUDNSEJ4V" hidden="1">[2]Table!$I$10:$J$10</definedName>
    <definedName name="BExEYOAO3H5LL8G8BXXBY8K21B53" hidden="1">[2]Table!$F$15:$G$22</definedName>
    <definedName name="BExEYS1MN81QD0OXIAVHI93Y0W4S" hidden="1">[2]Table!$J$2</definedName>
    <definedName name="BExEYUQJXZT6N5HJH8ACJF6SRWEE" hidden="1">[2]Table!$I$6:$J$6</definedName>
    <definedName name="BExEYVHM7COM2XBAZH71USCAT6K9" hidden="1">[2]Graph!$I$8:$J$8</definedName>
    <definedName name="BExEYW8O56SE67A8CIT413PPQFWN" hidden="1">[2]Graph!$F$11:$G$11</definedName>
    <definedName name="BExEYWOS393BI2I07AR52UI02XYQ" hidden="1">[2]Graph!$F$6:$G$6</definedName>
    <definedName name="BExEYXADW53ESTUMPOU2CDPG9ZP6" hidden="1">[2]Table!$I$6:$J$6</definedName>
    <definedName name="BExEYXQGOT90CC2QXVUDAMIS2SD6" hidden="1">[2]Graph!$I$11:$J$11</definedName>
    <definedName name="BExEYY17N22FDMK6IA4HQRCTNPYL" hidden="1">[2]Graph!$I$10:$J$10</definedName>
    <definedName name="BExEZ1HE18TEOAP5BN1DONMWWSHD" hidden="1">[2]Table!$F$9:$G$9</definedName>
    <definedName name="BExEZ1S6VZCG01ZPLBSS9Z1SBOJ2" hidden="1">[2]Table!$I$10:$J$10</definedName>
    <definedName name="BExEZEIO55RYGVCJMNX74F99EXY3" hidden="1">[2]Graph!$C$15:$D$31</definedName>
    <definedName name="BExEZFPZKLS4GGKV39NX0GL8AK7B" hidden="1">[2]Graph!$F$8:$G$8</definedName>
    <definedName name="BExEZGBFNJR8DLPN0V11AU22L6WY" hidden="1">[2]Table!$I$9:$J$9</definedName>
    <definedName name="BExEZQYJW81F362CWKW5HLAAM45I" hidden="1">[2]Graph!$F$10:$G$10</definedName>
    <definedName name="BExEZSWLMZZ2RK34GSJ9Q3NPCFT2" hidden="1">[2]Graph!$F$9:$G$9</definedName>
    <definedName name="BExF02Y3V3QEPO2XLDSK47APK9XJ" hidden="1">[2]Table!$G$2</definedName>
    <definedName name="BExF09OS91RT7N7IW8JLMZ121ZP3" hidden="1">[2]Table!$I$7:$J$7</definedName>
    <definedName name="BExF0KBQYLUCX7ZHJ160RULXA2J2" hidden="1">[2]Table!$F$9:$G$9</definedName>
    <definedName name="BExF0LOEHV42P2DV7QL8O7HOQ3N9" hidden="1">[2]Table!$F$11:$G$11</definedName>
    <definedName name="BExF0QH116YF95UAL83HSM0C2X7Y" hidden="1">[2]Graph!$C$15:$D$29</definedName>
    <definedName name="BExF0SF8JU1DBCU13TB1DUBCO9XQ" hidden="1">[2]Table!$F$15:$G$26</definedName>
    <definedName name="BExF0WRM9VO25RLSO03ZOCE8H7K5" hidden="1">[2]Table!$H$2:$I$2</definedName>
    <definedName name="BExF1797X23KANRVUWY25OSPUBTI" hidden="1">[2]Table!$I$7:$J$7</definedName>
    <definedName name="BExF19CT3MMZZ2T5EWMDNG3UOJ01" hidden="1">[2]Table!$I$9:$J$9</definedName>
    <definedName name="BExF1DED22SGKY3HEMJYSE5BB8X2" hidden="1">[2]Table!$I$8:$J$8</definedName>
    <definedName name="BExF1L6V6TWOF27JN49S3FCP42T7" hidden="1">[2]Table!$I$10:$J$10</definedName>
    <definedName name="BExF1M38U6NX17YJA8YU359B5Z4M" hidden="1">[2]Table!$I$10:$J$10</definedName>
    <definedName name="BExF1MU4W3NPEY0OHRDWP5IANCBB" hidden="1">[2]Table!$I$10:$J$10</definedName>
    <definedName name="BExF1MZN8MWMOKOARHJ1QAF9HPGT" hidden="1">[2]Table!$F$8:$G$8</definedName>
    <definedName name="BExF1SU3YRVWOXDHWARLM2KWHH3B" hidden="1">[2]Graph!$I$10:$J$10</definedName>
    <definedName name="BExF1US4ZIQYSU5LBFYNRA9N0K2O" hidden="1">[2]Table!$I$9:$J$9</definedName>
    <definedName name="BExF200VK438ANZMJEAPZ2RQDB8U" hidden="1">[2]Graph!$F$6:$G$6</definedName>
    <definedName name="BExF21OBXGVA9D1CPMHVJHL599BC" hidden="1">[2]Graph!$I$11:$J$11</definedName>
    <definedName name="BExF29GV17QHLTS986OXBOX0OQHQ" hidden="1">[2]Table!$F$10:$G$10</definedName>
    <definedName name="BExF2ANZN0Z8VKN01PZEN6ICKSBU" hidden="1">[2]Table!$F$6:$G$6</definedName>
    <definedName name="BExF2CRIT1VVGY2GP4DWCN0U9EOQ" hidden="1">[2]Table!$I$9:$J$9</definedName>
    <definedName name="BExF2CWZN6E87RGTBMD4YQI2QT7R" hidden="1">[2]Table!$F$10:$G$10</definedName>
    <definedName name="BExF2DYO1WQ7GMXSTAQRDBW1NSFG" hidden="1">[2]Table!$F$9:$G$9</definedName>
    <definedName name="BExF2G7IWLHOT6IMA3UMTAM1OG0U" hidden="1">[2]Table!$J$2</definedName>
    <definedName name="BExF2JT04Q0IIXKMO2KL2H6LFZVP" hidden="1">[2]Table!$I$11:$J$11</definedName>
    <definedName name="BExF2LR83KWDOSK9ACAROCGMTQ8X" hidden="1">[2]Graph!$I$6:$J$6</definedName>
    <definedName name="BExF2MSWNUY9Z6BZJQZ538PPTION" hidden="1">[2]Table!$I$6:$J$6</definedName>
    <definedName name="BExF2QZYWHTYGUTTXR15CKCV3LS7" hidden="1">[2]Table!$F$11:$G$11</definedName>
    <definedName name="BExF2SSOEC69Z539N6MHP7KGG2HH" hidden="1">[2]Graph!$F$9:$G$9</definedName>
    <definedName name="BExF2T8Y6TSJ74RMSZOA9CEH4OZ6" hidden="1">[2]Table!#REF!</definedName>
    <definedName name="BExF2UAMT8O4W9E3K2LCV11J28XB" hidden="1">[2]Graph!$F$9:$G$9</definedName>
    <definedName name="BExF2XW4KS79WIM6RPGX52XK6W57" hidden="1">[2]Table!$I$6:$J$6</definedName>
    <definedName name="BExF31N3YM4F37EOOY8M8VI1KXN8" hidden="1">[2]Table!$F$9:$G$9</definedName>
    <definedName name="BExF376KVOVZR9AB25YTOCT83PKO" hidden="1">[2]Table!$K$10:$L$10</definedName>
    <definedName name="BExF37C1YKBT79Z9SOJAG5MXQGTU" hidden="1">[2]Table!$F$15</definedName>
    <definedName name="BExF3A6HPA6DGYALZNHHJPMCUYZR" hidden="1">[2]Table!$F$8:$G$8</definedName>
    <definedName name="BExF3D6ENKHCMVBGAELJFDCG7ZNE" hidden="1">[2]Table!$F$15</definedName>
    <definedName name="BExF3F9X6C46HF1OUJGLUS5JUCA7" hidden="1">[2]Table!$I$6:$J$6</definedName>
    <definedName name="BExF3GBMLCA5ZT2251N0N3CRN11O" hidden="1">[2]Graph!$I$10:$J$10</definedName>
    <definedName name="BExF3I9T44X7DV9HHV51DVDDPPZG" hidden="1">[2]Table!$K$2</definedName>
    <definedName name="BExF3JMFX5DILOIFUDIO1HZUK875" hidden="1">[2]Table!$H$2:$I$2</definedName>
    <definedName name="BExF3KYXVKYKTPPHD9KLH0CKYEB7" hidden="1">[2]Table!$F$15:$M$152</definedName>
    <definedName name="BExF3NTC4BGZEM6B87TCFX277QCS" hidden="1">[2]Table!$H$1</definedName>
    <definedName name="BExF3OEWF0F1LKN893UUIYQ91HPL" hidden="1">[2]Table!$G$2</definedName>
    <definedName name="BExF3OKFKCLHTF703EHVG70D1Y8A" hidden="1">[2]Table!$I$11:$J$11</definedName>
    <definedName name="BExF3Q7NI90WT31QHYSJDIG0LLLJ" hidden="1">[2]Table!$I$10:$J$10</definedName>
    <definedName name="BExF3QD55TIY1MSBSRK9TUJKBEWO" hidden="1">[2]Table!$H$2:$I$2</definedName>
    <definedName name="BExF3QT8J6RIF1L3R700MBSKIOKW" hidden="1">[2]Table!$F$11:$G$11</definedName>
    <definedName name="BExF3RET913530OJZJYWUA4LCSLF" hidden="1">[2]Graph!$F$9:$G$9</definedName>
    <definedName name="BExF42SSBVPMLK2UB3B7FPEIY9TU" hidden="1">[2]Table!$H$1</definedName>
    <definedName name="BExF46ZVT3ZQL5LYL9ZA900TERPU" hidden="1">[2]Table!$F$7:$G$7</definedName>
    <definedName name="BExF4B6YLDKS0K6XQBAWV63YX42P" hidden="1">[2]Table!$F$6:$G$6</definedName>
    <definedName name="BExF4HC6F3GA6HSEHLNS07L8Z87V" hidden="1">[2]Table!$C$15:$D$31</definedName>
    <definedName name="BExF4HXSWB50BKYPWA0HTT8W56H6" hidden="1">[2]Table!$I$10:$J$10</definedName>
    <definedName name="BExF4KHF04IWW4LQ95FHQPFE4Y9K" hidden="1">[2]Table!$I$8:$J$8</definedName>
    <definedName name="BExF4MVQM5Y0QRDLDFSKWWTF709C" hidden="1">[2]Table!$I$8:$J$8</definedName>
    <definedName name="BExF4SF9NEX1FZE9N8EXT89PM54D" hidden="1">[2]Table!$F$11:$G$11</definedName>
    <definedName name="BExF4W67F7K7IIJTU8UCU76X0NJL" hidden="1">[2]Table!$I$8:$J$8</definedName>
    <definedName name="BExF52GTGP8MHGII4KJ8TJGR8W8U" hidden="1">[2]Table!$H$2:$I$2</definedName>
    <definedName name="BExF57K7L3UC1I2FSAWURR4SN0UN" hidden="1">[2]Table!$I$10:$J$10</definedName>
    <definedName name="BExF5HR2GFV7O8LKG9SJ4BY78LYA" hidden="1">[2]Table!$I$8:$J$8</definedName>
    <definedName name="BExF5JEB9HQ75DVFQX7Q9YF6H756" hidden="1">[2]Table!$I$11:$J$11</definedName>
    <definedName name="BExF5SUAMYRB4QBESUTM5TSF7TK3" hidden="1">[2]Graph!$F$11:$G$11</definedName>
    <definedName name="BExF5ZFO2A29GHWR5ES64Z9OS16J" hidden="1">[2]Table!$H$1</definedName>
    <definedName name="BExF63S045JO7H2ZJCBTBVH3SUIF" hidden="1">[2]Table!$I$11:$J$11</definedName>
    <definedName name="BExF642TEGTXCI9A61ZOONJCB0U1" hidden="1">[2]Table!$I$8:$J$8</definedName>
    <definedName name="BExF67O951CF8UJF3KBDNR0E83C1" hidden="1">[2]Table!$H$1</definedName>
    <definedName name="BExF6DIRSY4OATX19MP7L9DIRG8A" hidden="1">[2]Table!$I$9:$J$9</definedName>
    <definedName name="BExF6EV7I35NVMIJGYTB6E24YVPA" hidden="1">[2]Table!$K$2</definedName>
    <definedName name="BExF6FGUF393KTMBT40S5BYAFG00" hidden="1">[2]Table!$H$2:$I$2</definedName>
    <definedName name="BExF6GNYXWY8A0SY4PW1B6KJMMTM" hidden="1">[2]Table!$H$1</definedName>
    <definedName name="BExF6IB8K74Z0AFT05GPOKKZW7C9" hidden="1">[2]Table!$I$9:$J$9</definedName>
    <definedName name="BExF6JNWE4H8L694Y8Z1VCZ9EMVP" hidden="1">[2]Graph!$C$15:$D$29</definedName>
    <definedName name="BExF6NUXJI11W2IAZNAM1QWC0459" hidden="1">[2]Table!$F$7:$G$7</definedName>
    <definedName name="BExF6VNGJMAFWQ0HJY80RIY9M14V" hidden="1">[2]Table!$G$2:$G$2</definedName>
    <definedName name="BExF6ZE8D5CMPJPRWT6S4HM56LPF" hidden="1">[2]Table!$F$11:$G$11</definedName>
    <definedName name="BExF70AN5W7Z289FFZPBC0V90OCI" hidden="1">[2]Table!$H$1:$H$1</definedName>
    <definedName name="BExF71SL7S5BDGRZ694893ZZ2ZTI" hidden="1">[2]Graph!$F$10:$G$10</definedName>
    <definedName name="BExF76FV8SF7AJK7B35AL7VTZF6D" hidden="1">[2]Table!$F$8:$G$8</definedName>
    <definedName name="BExF7EOIMC1OYL1N7835KGOI0FIZ" hidden="1">[2]Table!$I$10:$J$10</definedName>
    <definedName name="BExF7EU0MX5LKDL9TKCLZTXBZNFZ" hidden="1">[2]Table!$I$10:$J$10</definedName>
    <definedName name="BExF7FVNFEHQQH5MIO6AIUWSERR7" hidden="1">[2]Graph!$F$10:$G$10</definedName>
    <definedName name="BExF7K88K7ASGV6RAOAGH52G04VR" hidden="1">[2]Table!$H$1</definedName>
    <definedName name="BExF7OVDRP3LHNAF2CX4V84CKKIR" hidden="1">[2]Table!$I$7:$J$7</definedName>
    <definedName name="BExF7QO41X2A2SL8UXDNP99GY7U9" hidden="1">[2]Table!$I$8:$J$8</definedName>
    <definedName name="BExF7RV9JQHNUU59Z7TLWW2ARAN8" hidden="1">[2]Graph!$I$8:$J$8</definedName>
    <definedName name="BExF7VGPESAERWKEVHUH49APFVVS" hidden="1">[2]Table!$F$11:$G$11</definedName>
    <definedName name="BExF81GI8B8WBHXFTET68A9358BR" hidden="1">[2]Table!$F$10:$G$10</definedName>
    <definedName name="BExF8RU034220B42PYKQ8IWK6QNS" hidden="1">[2]Table!$K$2:$K$2</definedName>
    <definedName name="BExF9CTA0UGH0U2JUPUJKMEEI1Z2" hidden="1">[2]Graph!$I$9:$J$9</definedName>
    <definedName name="BExGKNC6UCNO0YTOPVJZMQ34IVMH" hidden="1">[2]Graph!$F$6:$G$6</definedName>
    <definedName name="BExGKT17Q7NLLXEVPD5JH5USNBZN" hidden="1">[2]Graph!$I$7:$J$7</definedName>
    <definedName name="BExGL97US0Y3KXXASUTVR26XLT70" hidden="1">[2]Table!$H$1</definedName>
    <definedName name="BExGLFIF7HCFSHNQHKEV6RY0WCO3" hidden="1">[2]Table!$F$8:$G$8</definedName>
    <definedName name="BExGLK09937U4XCWKIBJ0WX10BSN" hidden="1">[2]Table!$C$15:$D$31</definedName>
    <definedName name="BExGLTARRL0J772UD2TXEYAVPY6E" hidden="1">[2]Table!$F$6:$G$6</definedName>
    <definedName name="BExGLX6ZT9EOQ9GRC0JLPR3Z4EDF" hidden="1">[2]Table!$K$2</definedName>
    <definedName name="BExGLYE6RZTAAWHJBG2QFJPTDS2Q" hidden="1">[2]Table!$F$7:$G$7</definedName>
    <definedName name="BExGM0C7YI0POGIO2HLY2M9YW9ZJ" hidden="1">[2]Table!$I$9:$J$9</definedName>
    <definedName name="BExGM4DZ65OAQP7MA4LN6QMYZOFF" hidden="1">[2]Table!$F$10:$G$10</definedName>
    <definedName name="BExGMCXCWEC9XNUOEMZ61TMI6CUO" hidden="1">[2]Table!$G$2</definedName>
    <definedName name="BExGMEFBL47KYW564WF1RQ6VY453" hidden="1">[2]Graph!$F$8:$G$8</definedName>
    <definedName name="BExGMJDGIH0MEPC2TUSFUCY2ROTB" hidden="1">[2]Table!$H$1</definedName>
    <definedName name="BExGMKPW2HPKN0M0XKF3AZ8YP0D6" hidden="1">[2]Table!$I$10:$J$10</definedName>
    <definedName name="BExGMKPXV556HLT0SCIR2MLFTU35" hidden="1">[2]Table!$I$11:$J$11</definedName>
    <definedName name="BExGMP2F175LGL6QVSJGP6GKYHHA" hidden="1">[2]Table!$I$8:$J$8</definedName>
    <definedName name="BExGMPIIP8GKML2VVA8OEFL43NCS" hidden="1">[2]Table!$F$6:$G$6</definedName>
    <definedName name="BExGMSD51H6EZJIYB6T30WXEFJ2X" hidden="1">[2]Graph!$I$6:$J$6</definedName>
    <definedName name="BExGMZ3SRIXLXMWBVOXXV3M4U4YL" hidden="1">[2]Table!$F$7:$G$7</definedName>
    <definedName name="BExGMZ3UBN48IXU1ZEFYECEMZ1IM" hidden="1">[2]Table!$F$6:$G$6</definedName>
    <definedName name="BExGN0LRKAPMAKXJTDAKS7Q1MV6S" hidden="1">[2]Graph!$F$8:$G$8</definedName>
    <definedName name="BExGN1CSSYFC5J9E02T39WIYP23Y" hidden="1">[2]Table!$F$11:$G$11</definedName>
    <definedName name="BExGN1CTD0GYAXJJHE7I01ZN9WP0" hidden="1">[2]Graph!$F$7:$G$7</definedName>
    <definedName name="BExGN4I0QATXNZCLZJM1KH1OIJQH" hidden="1">[2]Table!$F$9:$G$9</definedName>
    <definedName name="BExGN774QFP3D56BE80ES684I8MR" hidden="1">[2]Table!$H$1</definedName>
    <definedName name="BExGN9FZ2RWCMSY1YOBJKZMNIM9R" hidden="1">[2]Table!$G$2</definedName>
    <definedName name="BExGNC51XQ8F0UJF5BQ5NDGS50Z4" hidden="1">[2]Table!$J$1</definedName>
    <definedName name="BExGNDSIMTHOCXXG6QOGR6DA8SGG" hidden="1">[2]Table!$H$1</definedName>
    <definedName name="BExGNLFJTLTW84998V2M65U9ZJYG" hidden="1">[2]Table!$K$7:$L$7</definedName>
    <definedName name="BExGNN2YQ9BDAZXT2GLCSAPXKIM7" hidden="1">[2]Table!$C$15:$D$20</definedName>
    <definedName name="BExGNPBT2LIYVLIG1P0OAKXQYS01" hidden="1">[2]Table!$C$15:$D$31</definedName>
    <definedName name="BExGNSS0CKRPKHO25R3TDBEL2NHX" hidden="1">[2]Table!$F$6:$G$6</definedName>
    <definedName name="BExGNVBLZYOQ4LIQ51EPKBCF1OBS" hidden="1">[2]Table!$K$10:$K$11</definedName>
    <definedName name="BExGNY67FK5UV8QRDT6OZP193CQF" hidden="1">[2]Table!$K$6:$L$6</definedName>
    <definedName name="BExGNZ7V5JHDEFKI43V5WM60W01F" hidden="1">[2]Table!$I$7:$J$7</definedName>
    <definedName name="BExGNZO44DEG8CGIDYSEGDUQ531R" hidden="1">[2]Table!$H$1</definedName>
    <definedName name="BExGO2O0V6UYDY26AX8OSN72F77N" hidden="1">[2]Table!$F$11:$G$11</definedName>
    <definedName name="BExGO2YUBOVLYHY1QSIHRE1KLAFV" hidden="1">[2]Table!$C$15:$D$20</definedName>
    <definedName name="BExGO70E2O70LF46V8T26YFPL4V8" hidden="1">[2]Table!$F$9:$G$9</definedName>
    <definedName name="BExGO7RGJHXU05T12VM70BQF5XM6" hidden="1">[2]Table!$I$10:$J$10</definedName>
    <definedName name="BExGOB25QJMQCQE76MRW9X58OIOO" hidden="1">[2]Table!$I$9:$J$9</definedName>
    <definedName name="BExGODAZKJ9EXMQZNQR5YDBSS525" hidden="1">[2]Table!$H$1</definedName>
    <definedName name="BExGODR8ZSMUC11I56QHSZ686XV5" hidden="1">[2]Table!$F$8:$G$8</definedName>
    <definedName name="BExGOI3M84PCOV0FSX0APR834A9T" hidden="1">[2]Graph!$I$9:$J$9</definedName>
    <definedName name="BExGOXJDHUDPDT8I8IVGVW9J0R5Q" hidden="1">[2]Table!$I$6:$J$6</definedName>
    <definedName name="BExGP5RZTU3STG7G67OC04SCO96Y" hidden="1">[2]Table!$K$8:$L$8</definedName>
    <definedName name="BExGPD4A25XUBYW9N52OH1A4QCXS" hidden="1">[2]Table!$I$15</definedName>
    <definedName name="BExGPHGT5KDOCMV2EFS4OVKTWBRD" hidden="1">[2]Table!$F$11:$G$11</definedName>
    <definedName name="BExGPID72Y4Y619LWASUQZKZHJNC" hidden="1">[2]Table!$F$15</definedName>
    <definedName name="BExGPPENQIANVGLVQJ77DK5JPRTB" hidden="1">[2]Table!$F$8:$G$8</definedName>
    <definedName name="BExGQ36ZOMR9GV8T05M605MMOY3Y" hidden="1">[2]Table!$H$1</definedName>
    <definedName name="BExGQ61DTJ0SBFMDFBAK3XZ9O0ZO" hidden="1">[2]Table!$I$8:$J$8</definedName>
    <definedName name="BExGQ6SG9XEOD0VMBAR22YPZWSTA" hidden="1">[2]Table!$F$6:$G$6</definedName>
    <definedName name="BExGQGJ1A7LNZUS8QSMOG8UNGLMK" hidden="1">[2]Table!$G$2</definedName>
    <definedName name="BExGQGZA8EH56M8QUV48F8X7SDUE" hidden="1">[2]Table!$K$10:$L$10</definedName>
    <definedName name="BExGQOMJ3C0H6YPR3MUNGW4SGM7T" hidden="1">[2]Table!$F$15</definedName>
    <definedName name="BExGQP2M90PWKZU8RDMLC9SJN90J" hidden="1">[2]Graph!$I$10:$J$10</definedName>
    <definedName name="BExGQPO7ENFEQC0NC6MC9OZR2LHY" hidden="1">[2]Table!$I$8:$J$8</definedName>
    <definedName name="BExGQRM9NCME1AQA8RNH8GRKBEY8" hidden="1">[2]Graph!$I$7:$J$7</definedName>
    <definedName name="BExGQX0H4EZMXBJTKJJE4ICJWN5O" hidden="1">[2]Table!$C$15:$D$20</definedName>
    <definedName name="BExGR126SDTJIR9DLJ2V8HDENLXV" hidden="1">[2]Table!$F$6:$G$6</definedName>
    <definedName name="BExGR23WEFG8G3CHQC5Q2M1VP9Q0" hidden="1">[2]Graph!$I$7:$J$7</definedName>
    <definedName name="BExGR65GJX27MU2OL6NI5PB8XVB4" hidden="1">[2]Table!$H$2:$I$2</definedName>
    <definedName name="BExGR6LQ97HETGS3CT96L4IK0JSH" hidden="1">[2]Table!$I$8:$J$8</definedName>
    <definedName name="BExGR9ATP2LVT7B9OCPSLJ11H9SX" hidden="1">[2]Table!$F$8:$G$8</definedName>
    <definedName name="BExGROQFMA72X6Y9VPVZ5V89IASX" hidden="1">[2]Table!$G$2:$G$2</definedName>
    <definedName name="BExGRQDUCBJTMEQW5621210TA45F" hidden="1">[2]Table!$I$8:$J$8</definedName>
    <definedName name="BExGRWOG8H774BWL55XHDM510RIO" hidden="1">[2]Graph!$I$11:$J$11</definedName>
    <definedName name="BExGS2IWR5DUNJ1U9PAKIV8CMBNI" hidden="1">[2]Table!$H$2:$I$2</definedName>
    <definedName name="BExGS69P9FFTEOPDS0MWFKF45G47" hidden="1">[2]Table!$G$2</definedName>
    <definedName name="BExGSA5YB5ZGE4NHDVCZ55TQAJTL" hidden="1">[2]Table!$I$10:$J$10</definedName>
    <definedName name="BExGSCEUCQQVDEEKWJ677QTGUVTE" hidden="1">[2]Table!$I$6:$J$6</definedName>
    <definedName name="BExGSMAUWULDQ8FYDLI6WEAYPRAD" hidden="1">[2]Table!$F$15:$S$20</definedName>
    <definedName name="BExGSQY65LH1PCKKM5WHDW83F35O" hidden="1">[2]Table!$H$1</definedName>
    <definedName name="BExGSYW1GKISF0PMUAK3XJK9PEW9" hidden="1">[2]Table!$F$11:$G$11</definedName>
    <definedName name="BExGT0DZJB6LSF6L693UUB9EY1VQ" hidden="1">[2]Table!$C$15:$D$20</definedName>
    <definedName name="BExGT56MAQX850AYKN2P0P8AMIG7" hidden="1">[2]Table!$C$15:$D$31</definedName>
    <definedName name="BExGTBRZOCRL3SKRDU5B80ROEWJR" hidden="1">[2]Table!$K$9:$L$9</definedName>
    <definedName name="BExGTEBR4VWDCWKRU1WHKK1N3PUQ" hidden="1">[2]Table!$I$7:$J$7</definedName>
    <definedName name="BExGTGVFIF8HOQXR54SK065A8M4K" hidden="1">[2]Table!$F$10:$G$10</definedName>
    <definedName name="BExGTIYX3OWPIINOGY1E4QQYSKHP" hidden="1">[2]Table!$C$15:$D$20</definedName>
    <definedName name="BExGTKGUN0KUU3C0RL2LK98D8MEK" hidden="1">[2]Table!$I$8:$J$8</definedName>
    <definedName name="BExGTLD9N8B8EEA0UH8TSFCU24B9" hidden="1">[2]Table!$K$2:$K$2</definedName>
    <definedName name="BExGTWAZOWJI7GHFT4AH3FHIH04M" hidden="1">[2]Graph!$F$11:$G$11</definedName>
    <definedName name="BExGTZ046J7VMUG4YPKFN2K8TWB7" hidden="1">[2]Table!$I$7:$J$7</definedName>
    <definedName name="BExGU2G9OPRZRIU9YGF6NX9FUW0J" hidden="1">[2]Table!$I$9:$J$9</definedName>
    <definedName name="BExGU31UXC1VTQ98MB0A40VXOFAF" hidden="1">[2]Table!$K$7:$L$7</definedName>
    <definedName name="BExGU6HTKLRZO8UOI3DTAM5RFDBA" hidden="1">[2]Table!$I$7:$J$7</definedName>
    <definedName name="BExGUDDZXFFQHAF4UZF8ZB1HO7H6" hidden="1">[2]Table!$H$1</definedName>
    <definedName name="BExGUIBXBRHGM97ZX6GBA4ZDQ79C" hidden="1">[2]Table!$F$9:$G$9</definedName>
    <definedName name="BExGUIHEVA1O4HL760CXP42C55PF" hidden="1">[2]Table!$I$7:$J$7</definedName>
    <definedName name="BExGUM8D91UNPCOO4TKP9FGX85TF" hidden="1">[2]Table!$C$15:$D$20</definedName>
    <definedName name="BExGUQF9N9FKI7S0H30WUAEB5LPD" hidden="1">[2]Table!$K$2</definedName>
    <definedName name="BExGUQVJE1MV019H8EUN9O73RXA9" hidden="1">[2]Graph!$F$10:$G$10</definedName>
    <definedName name="BExGUR6BA03XPBK60SQUW197GJ5X" hidden="1">[2]Table!$I$7:$J$7</definedName>
    <definedName name="BExGUXRPOB5J8HXADQ4FH21CBURG" hidden="1">[2]Graph!$F$8:$G$8</definedName>
    <definedName name="BExGUZKF06F209XL1IZWVJEQ82EE" hidden="1">[2]Table!$I$9:$J$9</definedName>
    <definedName name="BExGV17Q5XQAUM0T2NAWKKM65GGW" hidden="1">[2]Table!$F$10:$G$10</definedName>
    <definedName name="BExGV2EVT380QHD4AP2RL9MR8L5L" hidden="1">[2]Table!$I$10:$J$10</definedName>
    <definedName name="BExGVFWDKW8LO48OL2ZZUGFJFDDA" hidden="1">[2]Graph!$I$11:$J$11</definedName>
    <definedName name="BExGVV6OOLDQ3TXZK51TTF3YX0WN" hidden="1">[2]Table!$F$10:$G$10</definedName>
    <definedName name="BExGW0KVOL93Z29HD7AAKNQ59I24" hidden="1">[2]Graph!$F$8:$G$8</definedName>
    <definedName name="BExGW2Z7AMPG6H9EXA9ML6EZVGGA" hidden="1">[2]Table!$F$15</definedName>
    <definedName name="BExGWABG5VT5XO1A196RK61AXA8C" hidden="1">[2]Table!$F$7:$G$7</definedName>
    <definedName name="BExGWBTKXCJZL6W7XE29HYKH06A0" hidden="1">[2]Graph!$F$6:$G$6</definedName>
    <definedName name="BExGWDX43DH0B4PTYMV7TYAWV1CY" hidden="1">[2]Table!$K$10:$L$10</definedName>
    <definedName name="BExGWED8CJ65370I11KDM8WNXRH7" hidden="1">[2]Table!$H$1</definedName>
    <definedName name="BExGWEO0JDG84NYLEAV5NSOAGMJZ" hidden="1">[2]Table!$C$15:$D$20</definedName>
    <definedName name="BExGWJ0D6SR76AVXM0UE9OGI0YIO" hidden="1">[2]Table!$C$15:$D$30</definedName>
    <definedName name="BExGWLEOC70Z8QAJTPT2PDHTNM4L" hidden="1">[2]Table!$F$7:$G$7</definedName>
    <definedName name="BExGWMGI4HVSP82JLH70VVI859NY" hidden="1">[2]Table!$K$7:$L$7</definedName>
    <definedName name="BExGWNCXLCRTLBVMTXYJ5PHQI6SS" hidden="1">[2]Table!$C$15:$D$20</definedName>
    <definedName name="BExGWSGBU8N96JFYH444MN12CVGB" hidden="1">[2]Table!$J$1</definedName>
    <definedName name="BExGX453OMLZPGJF63K8PNB8EDJJ" hidden="1">[2]Graph!$I$11:$J$11</definedName>
    <definedName name="BExGX4QJKBGFGCGAESOLGGW33O7C" hidden="1">[2]Table!$I$8:$J$8</definedName>
    <definedName name="BExGX6U988MCFIGDA1282F92U9AA" hidden="1">[2]Table!$F$11:$G$11</definedName>
    <definedName name="BExGX7FTB1CKAT5HUW6H531FIY6I" hidden="1">[2]Table!$H$1</definedName>
    <definedName name="BExGX9DVACJQIZ4GH6YAD2A7F70O" hidden="1">[2]Table!$I$9:$J$9</definedName>
    <definedName name="BExGXDVP2S2Y8Z8Q43I78RCIK3DD" hidden="1">[2]Table!$F$10:$G$10</definedName>
    <definedName name="BExGXJ9W5JU7TT9S0BKL5Y6VVB39" hidden="1">[2]Table!$I$6:$J$6</definedName>
    <definedName name="BExGXQGVELUHEDSBNLEGTLOGNVS5" hidden="1">[2]Graph!$I$11:$J$11</definedName>
    <definedName name="BExGXSPPVN0INDCMQJZUDK345PKU" hidden="1">[2]Graph!$I$10:$J$10</definedName>
    <definedName name="BExGXWB73RJ4BASBQTQ8EY0EC1EB" hidden="1">[2]Table!$K$2</definedName>
    <definedName name="BExGXXD1PIDNH9O78CTDI74KCJ6B" hidden="1">[2]Table!$I$8:$J$8</definedName>
    <definedName name="BExGXXIBUP54OFTQQMVGOCL59CL8" hidden="1">[2]Table!$K$2:$K$2</definedName>
    <definedName name="BExGXZ0ABB43C7SMRKZHWOSU9EQX" hidden="1">[2]Table!$F$8:$G$8</definedName>
    <definedName name="BExGY3CT66AZGTJD9ICY852HGGGJ" hidden="1">[2]Table!$K$11:$L$11</definedName>
    <definedName name="BExGY5R42EB4NQNXX56WR4KBLG85" hidden="1">[2]Table!$I$9:$J$9</definedName>
    <definedName name="BExGY6SU3SYVCJ3AG2ITY59SAZ5A" hidden="1">[2]Table!$F$15:$G$16</definedName>
    <definedName name="BExGY6YA4P5KMY2VHT0DYK3YTFAX" hidden="1">[2]Table!$F$9:$G$9</definedName>
    <definedName name="BExGY8G88PVVRYHPHRPJZFSX6HSC" hidden="1">[2]Table!$F$8:$G$8</definedName>
    <definedName name="BExGY9SPBCZV26QECK99MVLJV4R1" hidden="1">[2]Table!$F$10:$G$10</definedName>
    <definedName name="BExGYC718HTZ80PNKYPVIYGRJVF6" hidden="1">[2]Table!$I$7:$J$7</definedName>
    <definedName name="BExGYCNATXZY2FID93B17YWIPPRD" hidden="1">[2]Table!$G$2</definedName>
    <definedName name="BExGYGJJJ3BBCQAOA51WHP01HN73" hidden="1">[2]Table!$F$11:$G$11</definedName>
    <definedName name="BExGYHAGH0IZT9WAS43U752U84WI" hidden="1">[2]Graph!$I$6:$J$6</definedName>
    <definedName name="BExGYJDZYK7UV9CZLL4WM68E5W6W" hidden="1">[2]Table!$K$8:$L$8</definedName>
    <definedName name="BExGYJZK1KNG8BD40DJUS9JP7SBP" hidden="1">[2]Table!$I$6:$J$6</definedName>
    <definedName name="BExGYOS6TV2C72PLRFU8RP1I58GY" hidden="1">[2]Table!$F$8:$G$8</definedName>
    <definedName name="BExGYV2SZ72O9ME0QX7RTA9K9J3A" hidden="1">[2]Table!$F$8:$G$8</definedName>
    <definedName name="BExGYX6AOB05CFAGHFVFPAAFA8FM" hidden="1">[2]Table!$I$10:$J$10</definedName>
    <definedName name="BExGZ0MC1XT4VWABFT1UK2UMI0CP" hidden="1">[2]Graph!$F$7:$G$7</definedName>
    <definedName name="BExGZ8EU1KK0QPOX80I0HKDOIDCD" hidden="1">[2]Table!$F$7:$G$7</definedName>
    <definedName name="BExGZJ78ZWZCVHZ3BKEKFJZ6MAEO" hidden="1">[2]Table!$I$11:$J$11</definedName>
    <definedName name="BExGZOLH2QV73J3M9IWDDPA62TP4" hidden="1">[2]Table!$I$9:$J$9</definedName>
    <definedName name="BExGZP1PWGFKVVVN4YDIS22DZPCR" hidden="1">[2]Table!$I$6:$J$6</definedName>
    <definedName name="BExGZSN96MC2HMMYQ3BMZ50490SJ" hidden="1">[2]Graph!$C$15:$D$29</definedName>
    <definedName name="BExGZYXS0GTA29TRAW6KAUBGG6D4" hidden="1">[2]Graph!$F$11:$G$11</definedName>
    <definedName name="BExH00L21GZX5YJJGVMOAWBERLP5" hidden="1">[2]Table!$I$9:$J$9</definedName>
    <definedName name="BExH02ZD6VAY1KQLAQYBBI6WWIZB" hidden="1">[2]Table!$C$15:$D$20</definedName>
    <definedName name="BExH0417NA4O3AE69XOLE3F0Q9YP" hidden="1">[2]Table!$I$9:$J$9</definedName>
    <definedName name="BExH04XEVAR175V96NKUNHZXTILR" hidden="1">[2]Table!$C$15:$D$45</definedName>
    <definedName name="BExH07XC83E8WXF2O7EJTNS1DOZD" hidden="1">[2]Graph!$F$10:$G$10</definedName>
    <definedName name="BExH08Z6LQCGGSGSAILMHX4X7JMD" hidden="1">[2]Table!$I$6:$J$6</definedName>
    <definedName name="BExH0KT9Z8HEVRRQRGQ8YHXRLIJA" hidden="1">[2]Table!$I$9:$J$9</definedName>
    <definedName name="BExH0M0FDN12YBOCKL3XL2Z7T7Y8" hidden="1">[2]Table!$F$10:$G$10</definedName>
    <definedName name="BExH0O9G06YPZ5TN9RYT326I1CP2" hidden="1">[2]Table!$F$7:$G$7</definedName>
    <definedName name="BExH0PWPMWJZC6F3QE48Y0XCXGA2" hidden="1">[2]Table!$F$10:$G$10</definedName>
    <definedName name="BExH0WNJAKTJRCKMTX8O4KNMIIJM" hidden="1">[2]Table!$H$1</definedName>
    <definedName name="BExH0Y5JGUO7Z6TD8HXAB8MDIXSA" hidden="1">[2]Graph!$I$11:$J$11</definedName>
    <definedName name="BExH12SNSRMIUD0AX354IBFLI97E" hidden="1">[2]Table!$G$2</definedName>
    <definedName name="BExH12Y4WX542WI3ZEM15AK4UM9J" hidden="1">[2]Table!$F$7:$G$7</definedName>
    <definedName name="BExH14W75EMFV6ZU9RZMJF9EGHVJ" hidden="1">[2]Table!$I$10:$J$10</definedName>
    <definedName name="BExH15SK4NE27YRWAX4MMUTVC0HE" hidden="1">[2]Table!$J$2:$J$2</definedName>
    <definedName name="BExH1AFVY3DFB10LXJXXA05EU6X8" hidden="1">[2]Graph!$I$6:$J$6</definedName>
    <definedName name="BExH1FDTQXR9QQ31WDB7OPXU7MPT" hidden="1">[2]Table!$C$15:$D$20</definedName>
    <definedName name="BExH1FOMEUIJNIDJAUY0ZQFBJSY9" hidden="1">[2]Table!$I$6:$J$6</definedName>
    <definedName name="BExH1G4PKBJ6IFBMZZU1ZWJ3V6CI" hidden="1">[2]Graph!$F$6:$G$6</definedName>
    <definedName name="BExH1JFFHEBFX9BWJMNIA3N66R3Z" hidden="1">[2]Table!$F$10:$G$10</definedName>
    <definedName name="BExH1NRXNXU0WLQASP81I62087ON" hidden="1">[2]Graph!$I$11:$J$11</definedName>
    <definedName name="BExH1QMD1UU8X5NZERDZ7OIP3IBI" hidden="1">[2]Graph!$I$10:$J$10</definedName>
    <definedName name="BExH1YV4Y8UMQPXS6U3NWAK11BCB" hidden="1">[2]Table!$F$15:$G$26</definedName>
    <definedName name="BExH1Z0GIUSVTF2H1G1I3PDGBNK2" hidden="1">[2]Table!$K$2</definedName>
    <definedName name="BExH225UTM6S9FW4MUDZS7F1PQSH" hidden="1">[2]Table!$I$7:$J$7</definedName>
    <definedName name="BExH23271RF7AYZ542KHQTH68GQ7" hidden="1">[2]Table!$F$10:$G$10</definedName>
    <definedName name="BExH2GJQR4JALNB314RY0LDI49VH" hidden="1">[2]Table!$I$7:$J$7</definedName>
    <definedName name="BExH2HW7ACM54I39SC5IAT3BCFEO" hidden="1">[2]Table!$F$15:$F$17</definedName>
    <definedName name="BExH2JZR49T7644JFVE7B3N7RZM9" hidden="1">[2]Table!$I$6:$J$6</definedName>
    <definedName name="BExH2OHLSPLCC5XY8QICZ09CNSOV" hidden="1">[2]Graph!$F$6:$G$6</definedName>
    <definedName name="BExH2RC69BBEOK58412W08EA8RUM" hidden="1">[2]Table!$K$6:$L$6</definedName>
    <definedName name="BExH2VU17ZSQ6UMFZ9FOP753TT9E" hidden="1">[2]Graph!$F$10:$G$10</definedName>
    <definedName name="BExH2WKXV8X5S2GSBBTWGI0NLNAH" hidden="1">[2]Table!$H$2:$I$2</definedName>
    <definedName name="BExH2XS1UFYFGU0S0EBXX90W2WE8" hidden="1">[2]Table!$I$9:$J$9</definedName>
    <definedName name="BExH2XS2TND9SB0GC295R4FP6K5Y" hidden="1">[2]Table!$I$2:$I$2</definedName>
    <definedName name="BExH2ZA0SZ4SSITL50NA8LZ3OEX6" hidden="1">[2]Table!$H$1</definedName>
    <definedName name="BExH31Z3JNVJPESWKXHILGXZHP2M" hidden="1">[2]Table!$F$6:$G$6</definedName>
    <definedName name="BExH3BKFM2LUEI09FFNWO6EHUUWB" hidden="1">[2]Table!$I$15:$I$17</definedName>
    <definedName name="BExH3BPW245WVGA1K1DGTL1XWDCH" hidden="1">[2]Graph!$F$6:$G$6</definedName>
    <definedName name="BExH3G29LJO0T287MKNQC0O0Q60H" hidden="1">[2]Table!$I$8:$J$8</definedName>
    <definedName name="BExH3IRB6764RQ5HBYRLH6XCT29X" hidden="1">[2]Table!$I$10:$J$10</definedName>
    <definedName name="BExH4HTPYPQ91XIJ8IWIMHWOB0RA" hidden="1">[2]Graph!$F$8:$G$8</definedName>
    <definedName name="BExIFS1UNAT1JH66MR0738O72RVB" hidden="1">[2]Table!$I$15:$Z$3002</definedName>
    <definedName name="BExIG2U8V6RSB47SXLCQG3Q68YRO" hidden="1">[2]Table!$G$2</definedName>
    <definedName name="BExIGGMKWXURQKO0JGL16PDT4QI9" hidden="1">[2]Table!$E$22:$F$38</definedName>
    <definedName name="BExIGJBO8R13LV7CZ7C1YCP974NN" hidden="1">[2]Table!$F$10:$G$10</definedName>
    <definedName name="BExIGUEWSAHH6030KDG2P8ZH06YZ" hidden="1">[2]Table!$I$7:$J$7</definedName>
    <definedName name="BExIGWT86FPOEYTI8GXCGU5Y3KGK" hidden="1">[2]Table!$H$1</definedName>
    <definedName name="BExIH51URLQJA6KNX5CJKIUIR5UQ" hidden="1">[2]Graph!$F$11:$G$11</definedName>
    <definedName name="BExIH9ZZC5PLJ5LRRYHOH71SWE8T" hidden="1">[2]Table!$H$1</definedName>
    <definedName name="BExIHBHXA7E7VUTBVHXXXCH3A5CL" hidden="1">[2]Table!$I$9:$J$9</definedName>
    <definedName name="BExIHHHP60ODLZED8NKZ9Q95IK97" hidden="1">[2]Table!$J$2:$J$2</definedName>
    <definedName name="BExIHNMT9P59WY619GEWB1XONTAE" hidden="1">[2]Graph!$C$15:$D$29</definedName>
    <definedName name="BExIHNMTY8HBM7KQDSTMXEM6MHL4" hidden="1">[2]Graph!$I$6:$J$6</definedName>
    <definedName name="BExIHPQCQTGEW8QOJVIQ4VX0P6DX" hidden="1">[2]Table!$I$9:$J$9</definedName>
    <definedName name="BExIHQ14X8BU51AUXF5R2R2O4TYL" hidden="1">[2]Table!$F$10:$G$10</definedName>
    <definedName name="BExIHTHAC7NF2ENAWLVZZJ8CD6WJ" hidden="1">[2]Table!$J$1</definedName>
    <definedName name="BExIHU2VSXTKRMO3RHJI6RZ206Q5" hidden="1">[2]Graph!$F$7:$G$7</definedName>
    <definedName name="BExII1KN91Q7DLW0UB7W2TJ5ACT9" hidden="1">[2]Table!$I$9:$J$9</definedName>
    <definedName name="BExII50LI8I0CDOOZEMIVHVA2V95" hidden="1">[2]Table!$I$11:$J$11</definedName>
    <definedName name="BExII9T9173KZO8ZK0IO4AKI7D6H" hidden="1">[2]Table!$L$2:$L$2</definedName>
    <definedName name="BExIIE0AT6UXP629FYKMZX1NFKGX" hidden="1">[2]Table!$F$8:$G$8</definedName>
    <definedName name="BExIIEB40AWYQ3APUBNF37A8FZ9F" hidden="1">[2]Table!$L$2</definedName>
    <definedName name="BExIIG3UIF3KTQGJKM4SAL4NMP70" hidden="1">[2]Graph!$I$10:$J$10</definedName>
    <definedName name="BExIIXMY38TQD12CVV4S57L3I809" hidden="1">[2]Table!$I$9:$J$9</definedName>
    <definedName name="BExIIY37NEVU2LGS1JE4VR9AN6W4" hidden="1">[2]Table!$I$11:$J$11</definedName>
    <definedName name="BExIIYJAGXR8TPZ1KCYM7EGJ79UW" hidden="1">[2]Table!$I$9:$J$9</definedName>
    <definedName name="BExIJ3160YCWGAVEU0208ZGXXG3P" hidden="1">[2]Table!$I$7:$J$7</definedName>
    <definedName name="BExIJ4OLTTPM1GC73B9Y8TEMBS3E" hidden="1">[2]Table!$I$11:$J$11</definedName>
    <definedName name="BExIJ8Q4WWPTKVONF0FPLTD4L7CH" hidden="1">[2]Graph!$C$15:$D$29</definedName>
    <definedName name="BExIJ9MI8QNCVF6L1SK4ZWC4CPJ7" hidden="1">[2]Graph!$F$8:$G$8</definedName>
    <definedName name="BExIJH9REC9B4AR4EY8GOI13FY0V" hidden="1">[2]Table!$K$6:$L$6</definedName>
    <definedName name="BExIJQK80ZEKSTV62E59AYJYUNLI" hidden="1">[2]Table!$F$6:$G$6</definedName>
    <definedName name="BExIJRLX3M0YQLU1D5Y9V7HM5QNM" hidden="1">[2]Table!$I$8:$J$8</definedName>
    <definedName name="BExIJV22J0QA7286KNPMHO1ZUCB3" hidden="1">[2]Table!$I$9:$J$9</definedName>
    <definedName name="BExIJWK0NGTGQ4X7D5VIVXD14JHI" hidden="1">[2]Table!$I$11:$J$11</definedName>
    <definedName name="BExIJWPCIYINEJUTXU74VK7WG031" hidden="1">[2]Table!$F$11:$G$11</definedName>
    <definedName name="BExIJZP8AKK000EFDGK7KZ1YKRXT" hidden="1">[2]Graph!$F$9:$G$9</definedName>
    <definedName name="BExIK05IB62CHCHGHT2200VYT5OZ" hidden="1">[2]Table!$I$10:$J$10</definedName>
    <definedName name="BExIK6W6AE458ONH51BBZO05SY21" hidden="1">[2]Table!$C$15:$D$31</definedName>
    <definedName name="BExIKBE0M10RMGI924OR20VT8ZV0" hidden="1">[2]Table!$J$2</definedName>
    <definedName name="BExIKHTXPZR5A8OHB6HDP6QWDHAD" hidden="1">[2]Table!$I$6:$J$6</definedName>
    <definedName name="BExIKMMJOETSAXJYY1SIKM58LMA2" hidden="1">[2]Table!$G$2</definedName>
    <definedName name="BExIKTYZESFT3LC0ASFMFKSE0D1X" hidden="1">[2]Table!$G$2</definedName>
    <definedName name="BExIKXVA6M8K0PTRYAGXS666L335" hidden="1">[2]Table!$G$2</definedName>
    <definedName name="BExIL0PMZ2SXK9R6MLP43KBU1J2P" hidden="1">[2]Table!$I$11:$J$11</definedName>
    <definedName name="BExIL45UAJTQCLO0PRR3OAT4FUN0" hidden="1">[2]Graph!$F$6:$G$6</definedName>
    <definedName name="BExILF3JXABVRBVDZUG48HXR864U" hidden="1">[2]Table!$F$11:$G$11</definedName>
    <definedName name="BExILG5F338C0FFLMVOKMKF8X5ZP" hidden="1">[2]Table!$C$15:$D$20</definedName>
    <definedName name="BExILGQTQM0HOD0BJI90YO7GOIN3" hidden="1">[2]Table!$I$10:$J$10</definedName>
    <definedName name="BExILHSO3LXG6YE4JAQSGT0NYQCE" hidden="1">[2]Graph!$I$7:$J$7</definedName>
    <definedName name="BExILNHONY2XEWUKVBNHY293UINZ" hidden="1">[2]Table!$K$6:$L$6</definedName>
    <definedName name="BExILSFSWZ9Y6TLAJZUE572CYE9B" hidden="1">[2]Table!$G$1:$G$1</definedName>
    <definedName name="BExIM02UP3RCUWZ2RO86WO6595EZ" hidden="1">[2]Graph!$F$6:$G$6</definedName>
    <definedName name="BExIM7VCQG06OM03CYT4RS7K0M6H" hidden="1">[2]Table!$I$6:$J$6</definedName>
    <definedName name="BExIMGK9Z94TFPWWZFMD10HV0IF6" hidden="1">[2]Table!$I$11:$J$11</definedName>
    <definedName name="BExIMIT427CJSYOCFG8JGTIJC8EC" hidden="1">[2]Graph!$I$7:$J$7</definedName>
    <definedName name="BExIMO7B7YL755A57WUBDDEDW0RS" hidden="1">[2]Graph!$F$8:$G$8</definedName>
    <definedName name="BExIMPEGKG18TELVC33T4OQTNBWC" hidden="1">[2]Table!$F$10:$G$10</definedName>
    <definedName name="BExIMTAR1TFV3DP2D7HWECJEOYUG" hidden="1">[2]Graph!$F$9:$G$9</definedName>
    <definedName name="BExIN4OR435DL1US13JQPOQK8GD5" hidden="1">[2]Table!$K$2</definedName>
    <definedName name="BExIN8FK0VJT3CRRWGRO3XE26YZS" hidden="1">[2]Graph!$I$7:$J$7</definedName>
    <definedName name="BExINI6A7H3KSFRFA6UBBDPKW37F" hidden="1">[2]Table!$F$10:$G$10</definedName>
    <definedName name="BExINIMK8XC3JOBT2EXYFHHH52H0" hidden="1">[2]Table!$I$11:$J$11</definedName>
    <definedName name="BExINLX401ZKEGWU168DS4JUM2J6" hidden="1">[2]Table!$C$15:$D$20</definedName>
    <definedName name="BExINMYYJO1FTV1CZF6O5XCFAMQX" hidden="1">[2]Table!$H$1</definedName>
    <definedName name="BExINP2H4KI05FRFV5PKZFE00HKO" hidden="1">[2]Table!$I$6:$J$6</definedName>
    <definedName name="BExINZELVWYGU876QUUZCIMXPBQC" hidden="1">[2]Table!$I$8:$J$8</definedName>
    <definedName name="BExIO0WKIAAGM6TUTRLH8NQ6FN3O" hidden="1">[2]Table!$F$7:$G$7</definedName>
    <definedName name="BExIO3WHHMZWIDVN5K709ZDUEKDY" hidden="1">[2]Table!$I$9:$J$9</definedName>
    <definedName name="BExIO5JPVJIHL9SW6CVXSEFFML8Y" hidden="1">[2]Graph!$F$9:$G$9</definedName>
    <definedName name="BExIO9LI1RHXYLD9YBFBO9TQX0UF" hidden="1">[2]Table!$F$15</definedName>
    <definedName name="BExIOCQUQHKUU1KONGSDOLQTQEIC" hidden="1">[2]Table!$G$2</definedName>
    <definedName name="BExIODCAUPNNCVZ8BNZRI0A3H5DG" hidden="1">[2]Table!$F$8:$G$8</definedName>
    <definedName name="BExIOEUDLMQULYKSXV94CO63QD9I" hidden="1">[2]Graph!$C$15:$D$29</definedName>
    <definedName name="BExIOFL8Y5O61VLKTB4H20IJNWS1" hidden="1">[2]Table!$F$6:$G$6</definedName>
    <definedName name="BExIOH8P8IVM1VNS4RX60JJ5YEUI" hidden="1">[2]Table!$F$9:$G$9</definedName>
    <definedName name="BExIOM15MZ0ZJKQVUOX4CN9XPCIJ" hidden="1">[2]Graph!$C$15:$D$16</definedName>
    <definedName name="BExIOMBXRW5NS4ZPYX9G5QREZ5J6" hidden="1">[2]Table!$F$11:$G$11</definedName>
    <definedName name="BExIORA3GK78T7C7SNBJJUONJ0LS" hidden="1">[2]Table!$F$15</definedName>
    <definedName name="BExIORFDXP4AVIEBLSTZ8ETSXMNM" hidden="1">[2]Table!$I$7:$J$7</definedName>
    <definedName name="BExIOTZ5EFZ2NASVQ05RH15HRSW6" hidden="1">[2]Table!$F$15</definedName>
    <definedName name="BExIP3EYMLXYSYD644AIULVB4SM4" hidden="1">[2]Graph!$I$11:$J$11</definedName>
    <definedName name="BExIP4GSMSZHKMT48QXA6P5NSH0N" hidden="1">[2]Table!$I$7:$J$7</definedName>
    <definedName name="BExIP69JXAQW8W7YLUDF3UQKIGNF" hidden="1">[2]Table!$I$9:$J$9</definedName>
    <definedName name="BExIP8YNN6UUE1GZ223SWH7DLGKO" hidden="1">[2]Table!$I$7:$J$7</definedName>
    <definedName name="BExIPAB4AOL592OJCC1CFAXTLF1A" hidden="1">[2]Table!$I$6:$J$6</definedName>
    <definedName name="BExIPB25DKX4S2ZCKQN7KWSC3JBF" hidden="1">[2]Table!$F$11:$G$11</definedName>
    <definedName name="BExIPDLT8JYAMGE5HTN4D1YHZF3V" hidden="1">[2]Table!$H$1</definedName>
    <definedName name="BExIPG040Q08EWIWL6CAVR3GRI43" hidden="1">[2]Table!$I$7:$J$7</definedName>
    <definedName name="BExIPIUOUROOR99BQVSN9XQL9L6D" hidden="1">[2]Table!$C$202:$D$250</definedName>
    <definedName name="BExIPKCNG2M6L73ES2UQI5310WB7" hidden="1">[2]Graph!$F$9:$G$9</definedName>
    <definedName name="BExIPKNFUDPDKOSH5GHDVNA8D66S" hidden="1">[2]Table!$I$11:$J$11</definedName>
    <definedName name="BExIPLJTRJRKOL7VVP0PEP05W0QL" hidden="1">[2]Graph!$C$15:$D$29</definedName>
    <definedName name="BExIPSFUKEIHWTL6Q7CJGUTOEOQI" hidden="1">[2]Table!$I$7:$J$7</definedName>
    <definedName name="BExIPYFR9Q89IRAL0HPOES7623H9" hidden="1">[2]Graph!$C$15:$D$29</definedName>
    <definedName name="BExIQ0OMBGI8OV2ULC5GPCECDBQK" hidden="1">[2]Graph!$C$15:$D$31</definedName>
    <definedName name="BExIQ1VS9A2FHVD9TUHKG9K8EVVP" hidden="1">[2]Table!$F$11:$G$11</definedName>
    <definedName name="BExIQ3J19L30PSQ2CXNT6IHW0I7V" hidden="1">[2]Table!$I$9:$J$9</definedName>
    <definedName name="BExIQ3OJ7M04XCY276IO0LJA5XUK" hidden="1">[2]Table!$F$11:$G$11</definedName>
    <definedName name="BExIQ5S19ITB0NDRUN4XV7B905ED" hidden="1">[2]Table!$F$15</definedName>
    <definedName name="BExIQ9TMQT2EIXSVQW7GVSOAW2VJ" hidden="1">[2]Table!$I$8:$J$8</definedName>
    <definedName name="BExIQAVGZBNVYYL6GW874268UWJP" hidden="1">[2]Table!$F$8:$G$8</definedName>
    <definedName name="BExIQBMDE1L6J4H27K1FMSHQKDSE" hidden="1">[2]Table!$I$8:$J$8</definedName>
    <definedName name="BExIQCDFFALELXAMMR1ZQBGNV1HO" hidden="1">[2]Graph!$I$7:$J$7</definedName>
    <definedName name="BExIQCTILU1D6OD8XR0K44Z9OTI8" hidden="1">[2]Graph!$F$9:$G$9</definedName>
    <definedName name="BExIQE65LVXUOF3UZFO7SDHFJH22" hidden="1">[2]Table!$G$2</definedName>
    <definedName name="BExIQG9OO2KKBOWTMD1OXY36TEGA" hidden="1">[2]Table!$F$10:$G$10</definedName>
    <definedName name="BExIQGEZ91R9B6MCTDRJGTGSWRQ7" hidden="1">[2]Graph!$F$11:$G$11</definedName>
    <definedName name="BExIQX1XBB31HZTYEEVOBSE3C5A6" hidden="1">[2]Table!$I$10:$J$10</definedName>
    <definedName name="BExIR2ALYRP9FW99DK2084J7IIDC" hidden="1">[2]Table!$I$10:$J$10</definedName>
    <definedName name="BExIR8FQETPTQYW37DBVDWG3J4JW" hidden="1">[2]Table!$F$7:$G$7</definedName>
    <definedName name="BExIRBL4IBXA2J96IK70PMEAXVNI" hidden="1">[2]Table!$H$1:$H$1</definedName>
    <definedName name="BExIRMTNG0RLYIKGG2R5P21BFJNN" hidden="1">[2]Table!$F$9:$G$9</definedName>
    <definedName name="BExIRRBGTY01OQOI3U5SW59RFDFI" hidden="1">[2]Table!$I$8:$J$8</definedName>
    <definedName name="BExIRZ402LJ96W8CZJP0RBKALPXH" hidden="1">[2]Table!$K$10:$L$10</definedName>
    <definedName name="BExIS4T0DRF57HYO7OGG72KBOFOI" hidden="1">[2]Table!$F$15:$G$20</definedName>
    <definedName name="BExIS77BJDDK18PGI9DSEYZPIL7P" hidden="1">[2]Table!$F$10:$G$10</definedName>
    <definedName name="BExIS8USL1T3Z97CZ30HJ98E2GXQ" hidden="1">[2]Table!$F$9:$G$9</definedName>
    <definedName name="BExISBJV5C3UGMUK22MRS9IAQ5FZ" hidden="1">[2]Table!$H$2:$I$2</definedName>
    <definedName name="BExISC5B700MZUBFTQ9K4IKTF7HR" hidden="1">[2]Table!$K$2</definedName>
    <definedName name="BExISDHXS49S1H56ENBPRF1NLD5C" hidden="1">[2]Table!$I$6:$J$6</definedName>
    <definedName name="BExISM1JLV54A21A164IURMPGUMU" hidden="1">[2]Table!$F$7:$G$7</definedName>
    <definedName name="BExISQ32JM4XW2HZQ3XIXS5N636P" hidden="1">[2]Graph!$F$11:$G$11</definedName>
    <definedName name="BExISRFKJYUZ4AKW44IJF7RF9Y90" hidden="1">[2]Table!$F$10:$G$10</definedName>
    <definedName name="BExIT1MK8TBAK3SNP36A8FKDQSOK" hidden="1">[2]Table!$F$11:$G$11</definedName>
    <definedName name="BExIT2IT2V9GEHP8BOT7V4TQL64A" hidden="1">[2]Graph!$I$7:$J$7</definedName>
    <definedName name="BExIT7X0875WYHTS4M986SUD7J08" hidden="1">[2]Table!$J$2</definedName>
    <definedName name="BExITBNYANV2S8KD56GOGCKW393R" hidden="1">[2]Table!$F$9:$G$9</definedName>
    <definedName name="BExITOZZSM2RBPAQTOVYKGRYIPPZ" hidden="1">[2]Table!$F$15:$F$16</definedName>
    <definedName name="BExITU8X54RUMTWJ0B2B3POJBR19" hidden="1">[2]Table!$I$11:$J$11</definedName>
    <definedName name="BExIU9DQADMAPKFMSU2VY2FKWKOW" hidden="1">[2]Table!$H$1:$H$1</definedName>
    <definedName name="BExIUB6GMB0SK1G4X7OS9A0AYW30" hidden="1">[2]Graph!$C$15:$D$29</definedName>
    <definedName name="BExIUBBSCODPZLS5EAV3WU5TASLX" hidden="1">[2]Table!$I$10:$J$10</definedName>
    <definedName name="BExIUH685YHRF2M0IJ9XW5KU487U" hidden="1">[2]Table!$I$10:$J$10</definedName>
    <definedName name="BExIULYTKJ6F74ZZ6GFR3H0502B9" hidden="1">[2]Graph!$F$7:$G$7</definedName>
    <definedName name="BExIUUT2MHIOV6R3WHA0DPM1KBKY" hidden="1">[2]Table!$C$15:$D$20</definedName>
    <definedName name="BExIUXI7T2XUZCSZE9GKUIN8NC2X" hidden="1">[2]Graph!$F$10:$G$10</definedName>
    <definedName name="BExIUYK17IH2LER0F5YZDR7XRUNC" hidden="1">[2]Graph!$F$9:$G$9</definedName>
    <definedName name="BExIV0I2O9F8D1UK1SI8AEYR6U0A" hidden="1">[2]Table!$G$2</definedName>
    <definedName name="BExIV2LM38XPLRTWT0R44TMQ59E5" hidden="1">[2]Table!$F$15</definedName>
    <definedName name="BExIV3HY4S0YRV1F7XEMF2YHAR2I" hidden="1">[2]Table!$I$10:$J$10</definedName>
    <definedName name="BExIV6HUZFRIFLXW2SICKGTAH1PV" hidden="1">[2]Table!$I$11:$J$11</definedName>
    <definedName name="BExIV6N60UDWQWXVEI3JO24Y5IWT" hidden="1">[2]Table!$F$6:$G$6</definedName>
    <definedName name="BExIVCXWL6H5LD9DHDIA4F5U9TQL" hidden="1">[2]Table!$F$15</definedName>
    <definedName name="BExIVHVWLE97GSYXI5MCGEPG5OPB" hidden="1">[2]Graph!$I$9:$J$9</definedName>
    <definedName name="BExIVMOIPSEWSIHIDDLOXESQ28A0" hidden="1">[2]Table!$F$11:$G$11</definedName>
    <definedName name="BExIVNVNJX9BYDLC88NG09YF5XQ6" hidden="1">[2]Table!$I$9:$J$9</definedName>
    <definedName name="BExIVQVKLMGSRYT1LFZH0KUIA4OR" hidden="1">[2]Table!$I$11:$J$11</definedName>
    <definedName name="BExIW0X3P3CTAA5UB5QXNXJX0D90" hidden="1">[2]Table!$G$2:$G$2</definedName>
    <definedName name="BExIWB3SY3WRIVIOF988DNNODBOA" hidden="1">[2]Table!$G$2</definedName>
    <definedName name="BExIWB99CG0H52LRD6QWPN4L6DV2" hidden="1">[2]Table!$F$8:$G$8</definedName>
    <definedName name="BExIWG1W7XP9DFYYSZAIOSHM0QLQ" hidden="1">[2]Table!$H$1</definedName>
    <definedName name="BExIWH3KUK94B7833DD4TB0Y6KP9" hidden="1">[2]Table!$F$6:$G$6</definedName>
    <definedName name="BExIWKE9MGIDWORBI43AWTUNYFAN" hidden="1">[2]Table!$K$2</definedName>
    <definedName name="BExIX2DMJCFY68X9XPKX7A9YBWQV" hidden="1">[2]Graph!$I$11:$J$11</definedName>
    <definedName name="BExIX4S01VKH0V2KWQZGAY2FUFFS" hidden="1">[2]Graph!$F$6:$G$6</definedName>
    <definedName name="BExIX5OAP9KSUE5SIZCW9P39Q4WE" hidden="1">[2]Table!$I$10:$J$10</definedName>
    <definedName name="BExIXC49ASBI645186KJZF4NEG5W" hidden="1">[2]Table!$G$2:$G$2</definedName>
    <definedName name="BExIXGRJPVJMUDGSG7IHPXPNO69B" hidden="1">[2]Table!$G$2</definedName>
    <definedName name="BExIXM5R87ZL3FHALWZXYCPHGX3E" hidden="1">[2]Table!$F$7:$G$7</definedName>
    <definedName name="BExIXS036ZCKT2Z8XZKLZ8PFWQGL" hidden="1">[2]Table!$I$7:$J$7</definedName>
    <definedName name="BExIXY5CF9PFM0P40AZ4U51TMWV0" hidden="1">[2]Table!$F$9:$G$9</definedName>
    <definedName name="BExIYDA5GW0H3F1KRN2I7QH35EMS" hidden="1">[2]Table!$C$15:$D$45</definedName>
    <definedName name="BExIYEXJBK8JDWIRSVV4RJSKZVV1" hidden="1">[2]Table!$I$8:$J$8</definedName>
    <definedName name="BExIYG4KSVVVKNCC2A8FDC0EBIFC" hidden="1">[2]Graph!$F$8:$G$8</definedName>
    <definedName name="BExIYI2RH0K4225XO970K2IQ1E79" hidden="1">[2]Table!$C$15:$D$20</definedName>
    <definedName name="BExIYJ4MDFGBL451K6TNO8XR1XVL" hidden="1">[2]Table!$F$7:$G$7</definedName>
    <definedName name="BExIYMPZ0KS2KOJFQAUQJ77L7701" hidden="1">[2]Table!$G$2</definedName>
    <definedName name="BExIYOO4P2NLI0GTES3GN8FDL0US" hidden="1">[2]Graph!$I$7:$J$7</definedName>
    <definedName name="BExIYP9Q6FV9T0R9G3UDKLS4TTYX" hidden="1">[2]Table!$F$6:$G$6</definedName>
    <definedName name="BExIYSPWUNMU7AS5CJLMLJM9DS6D" hidden="1">[2]Graph!$C$15:$D$31</definedName>
    <definedName name="BExIYZGLDQ1TN7BIIN4RLDP31GIM" hidden="1">[2]Table!$F$8:$G$8</definedName>
    <definedName name="BExIZ61YU3QSR2EATPVKX4J7I5MX" hidden="1">[2]Table!$C$202:$D$250</definedName>
    <definedName name="BExIZ8WDCFWI04TFRUR3LP0ATCYH" hidden="1">[2]Table!$I$15</definedName>
    <definedName name="BExIZKVXYD5O2JBU81F2UFJZLLSI" hidden="1">[2]Table!$F$8:$G$8</definedName>
    <definedName name="BExIZPDT4Q5QW1UP2MWL4QNSS50O" hidden="1">[2]Table!$F$7:$G$7</definedName>
    <definedName name="BExIZPZDHC8HGER83WHCZAHOX7LK" hidden="1">[2]Table!$F$11:$G$11</definedName>
    <definedName name="BExIZTQB82GPMQHVXUDF2H1E8F2S" hidden="1">[2]Table!$I$9:$J$9</definedName>
    <definedName name="BExIZY2PUZ0OF9YKK1B13IW0VS6G" hidden="1">[2]Table!$F$15</definedName>
    <definedName name="BExJ08KB42GOUC2P92D8UI7KEHKL" hidden="1">[2]Graph!$I$6:$J$6</definedName>
    <definedName name="BExJ0DYJWXGE7DA39PYL3WM05U9O" hidden="1">[2]Table!$F$15</definedName>
    <definedName name="BExJ0MY8SY5J5V50H3UKE78ODTVB" hidden="1">[2]Table!$I$8:$J$8</definedName>
    <definedName name="BExJ0YC98G37ML4N8FLP8D95EFRF" hidden="1">[2]Table!$G$2</definedName>
    <definedName name="BExJ0YN159BT7OB4F3FIXAL1L4UJ" hidden="1">[2]Table!$F$10:$G$10</definedName>
    <definedName name="BExJ11MY9B0F7RFESFSORX1Z25QM" hidden="1">[2]Graph!$I$10:$J$10</definedName>
    <definedName name="BExKCCREBIWYDT3KYY47J6PKFUJC" hidden="1">[2]Graph!$I$9:$J$9</definedName>
    <definedName name="BExKCDYKAEV45AFXHVHZZ62E5BM3" hidden="1">[2]Table!$G$2</definedName>
    <definedName name="BExKCYXU60F4ZPX9ZTWLTYC3MJUH" hidden="1">[2]Table!$I$11:$J$11</definedName>
    <definedName name="BExKDB87HJWEZL4JMMZIA0E03K4Z" hidden="1">[2]Table!$F$9:$G$9</definedName>
    <definedName name="BExKDKO0W4AGQO1V7K6Q4VM750FT" hidden="1">[2]Table!$F$11:$G$11</definedName>
    <definedName name="BExKDLF10G7W77J87QWH3ZGLUCLW" hidden="1">[2]Table!$I$10:$J$10</definedName>
    <definedName name="BExKDO45GL6PAZQR3PAOWFVA6WLZ" hidden="1">[2]Graph!$I$9:$J$9</definedName>
    <definedName name="BExKDZ7E1721O5FC6T5GFHMVVQW3" hidden="1">[2]Table!$F$6:$G$6</definedName>
    <definedName name="BExKDZSYJ55W513P7RKUYG1JCIO7" hidden="1">[2]Graph!$F$7:$G$7</definedName>
    <definedName name="BExKE4LKRSY93DT7HTOVF268ZH0F" hidden="1">[2]Table!$F$8:$G$8</definedName>
    <definedName name="BExKEFE0I3MT6ZLC4T1L9465HKTN" hidden="1">[2]Table!$F$8:$G$8</definedName>
    <definedName name="BExKEK6O5BVJP4VY02FY7JNAZ6BT" hidden="1">[2]Table!$I$6:$J$6</definedName>
    <definedName name="BExKEKXK6E6QX339ELPXDIRZSJE0" hidden="1">[2]Table!$I$7:$J$7</definedName>
    <definedName name="BExKEROEG9BIY7TCS2U05OMEK5SA" hidden="1">[2]Table!$G$2</definedName>
    <definedName name="BExKES9ZA5L22XTSO9Y8GAI2RIIH" hidden="1">[2]Graph!$F$7:$G$7</definedName>
    <definedName name="BExKEW0RR5LA3VC46A2BEOOMQE56" hidden="1">[2]Table!$F$8:$G$8</definedName>
    <definedName name="BExKF02HYBPMKRSPJGAK1MWM2V4R" hidden="1">[2]Graph!$C$15:$D$29</definedName>
    <definedName name="BExKF5WU0HYTBB659Q31D6UFGGU7" hidden="1">[2]Graph!$I$6:$J$6</definedName>
    <definedName name="BExKF6NQBDLJOPFOQMSN44KIDIH4" hidden="1">[2]Table!$I$8:$J$8</definedName>
    <definedName name="BExKFA3VI1CZK21SM0N3LZWT9LA1" hidden="1">[2]Table!$F$11:$G$11</definedName>
    <definedName name="BExKFISRBFACTAMJSALEYMY66F6X" hidden="1">[2]Table!$F$8:$G$8</definedName>
    <definedName name="BExKFOSK5DJ151C4E8544UWMYTOC" hidden="1">[2]Table!$I$7:$J$7</definedName>
    <definedName name="BExKFWFMHZFT8YIRLV8V7R4OP5LF" hidden="1">[2]Table!$G$1:$G$1</definedName>
    <definedName name="BExKFYJ5QZVU2463LGQTW6RKVYI6" hidden="1">[2]Table!$I$11:$I$12</definedName>
    <definedName name="BExKFYJC4EVEV54F82K6VKP7Q3OU" hidden="1">[2]Table!$I$6:$J$6</definedName>
    <definedName name="BExKG4IYHBKQQ8J8FN10GB2IKO33" hidden="1">[2]Table!$I$8:$J$8</definedName>
    <definedName name="BExKGA2MIHFIGAX6EHKH4L0ZF00O" hidden="1">[2]Table!$I$6:$J$6</definedName>
    <definedName name="BExKGF0L44S78D33WMQ1A75TRKB9" hidden="1">[2]Table!$I$10:$J$10</definedName>
    <definedName name="BExKGFRN31B3G20LMQ4LRF879J68" hidden="1">[2]Table!$I$8:$J$8</definedName>
    <definedName name="BExKGGIIC5C54NLJ9BBECGVJTRS0" hidden="1">[2]Graph!$F$6:$G$6</definedName>
    <definedName name="BExKGIGLEAIW46PFHYV8VJ6QW4E0" hidden="1">[2]Table!$F$10:$G$10</definedName>
    <definedName name="BExKGJD3U3ADZILP20U3EURP0UQP" hidden="1">[2]Table!$I$9:$J$9</definedName>
    <definedName name="BExKGV77YH9YXIQTRKK2331QGYKF" hidden="1">[2]Table!$F$8:$G$8</definedName>
    <definedName name="BExKGWUGUAZ9RHGMMEHY6AG0GBZC" hidden="1">[2]Graph!$F$10:$G$10</definedName>
    <definedName name="BExKH0ANKNJUT5MEASVBDV24PB47" hidden="1">[2]Graph!$I$6:$J$6</definedName>
    <definedName name="BExKH3FTZ5VGTB86W9M4AB39R0G8" hidden="1">[2]Table!$F$6:$G$6</definedName>
    <definedName name="BExKH3FV5U5O6XZM7STS3NZKQFGJ" hidden="1">[2]Table!$H$2:$I$2</definedName>
    <definedName name="BExKH8JGHYG24SY45909G7K2IYCV" hidden="1">[2]Table!$F$11:$G$11</definedName>
    <definedName name="BExKHAMUH8NR3HRV0V6FHJE3ROLN" hidden="1">[2]Table!$I$8:$J$8</definedName>
    <definedName name="BExKHCFKOWFHO2WW0N7Y5XDXEWAO" hidden="1">[2]Table!$I$11:$J$11</definedName>
    <definedName name="BExKHE2ZOJG4GIKWE5BLAHK4WGRX" hidden="1">[2]Table!$F$15:$G$30</definedName>
    <definedName name="BExKHIVLONZ46HLMR50DEXKEUNEP" hidden="1">[2]Table!$F$7:$G$7</definedName>
    <definedName name="BExKHJMI5Y1BJFS5Q58LYIVEM2J8" hidden="1">[2]Table!$K$7:$L$7</definedName>
    <definedName name="BExKHPM9XA0ADDK7TUR0N38EXWEP" hidden="1">[2]Table!$F$10:$G$10</definedName>
    <definedName name="BExKI4076KXCDE5KXL79KT36OKLO" hidden="1">[2]Table!$C$15:$D$20</definedName>
    <definedName name="BExKI4AZUA04ZQ86CMCZLS0UFN2W" hidden="1">[2]Table!$K$8:$L$8</definedName>
    <definedName name="BExKI7LO70WYISR7Q0Y1ZDWO9M3B" hidden="1">[2]Table!$I$8:$J$8</definedName>
    <definedName name="BExKIGQV6TXIZG039HBOJU62WP2U" hidden="1">[2]Table!$I$11:$J$11</definedName>
    <definedName name="BExKIIZOY1O87HVQXYAKW7CEJRM5" hidden="1">[2]Table!$J$2:$J$2</definedName>
    <definedName name="BExKILE008SF3KTAN8WML3XKI1NZ" hidden="1">[2]Table!$K$2</definedName>
    <definedName name="BExKITHAOUP0ZKZ8I6WZAEAQF9JP" hidden="1">[2]Table!$I$9:$J$9</definedName>
    <definedName name="BExKIU87ZKSOC2DYZWFK6SAK9I8E" hidden="1">[2]Table!$F$6:$G$6</definedName>
    <definedName name="BExKIVKVN3NPA4MEQ4VC729L4FKK" hidden="1">[2]Graph!$C$15:$D$31</definedName>
    <definedName name="BExKJ449HLYX2DJ9UF0H9GTPSQ73" hidden="1">[2]Table!$I$8:$J$8</definedName>
    <definedName name="BExKJ4PUIREGZ8YPEIMOCB04P045" hidden="1">[2]Table!$J$1</definedName>
    <definedName name="BExKJELWJZW80JJFUJ5A1HQBO1GI" hidden="1">[2]Table!$F$7:$G$7</definedName>
    <definedName name="BExKJELX2RUC8UEC56IZPYYZXHA7" hidden="1">[2]Table!$F$8:$G$8</definedName>
    <definedName name="BExKJINMXS61G2TZEXCJAWVV4F57" hidden="1">[2]Table!$F$6:$G$6</definedName>
    <definedName name="BExKJK5ME8KB7HA0180L7OUZDDGV" hidden="1">[2]Table!$F$11:$G$11</definedName>
    <definedName name="BExKJN5IF0VMDILJ5K8ZENF2QYV1" hidden="1">[2]Table!$H$2:$I$2</definedName>
    <definedName name="BExKJPJMYONRBD0NPTFDHONM9DY3" hidden="1">[2]Table!$I$6:$J$6</definedName>
    <definedName name="BExKJUSJPFUIK20FTVAFJWR2OUYX" hidden="1">[2]Table!$I$11:$J$11</definedName>
    <definedName name="BExKK6HCO5JKJMT5RI0WTVZ1XDQJ" hidden="1">[2]Graph!$C$15:$D$31</definedName>
    <definedName name="BExKK72XIH5OA5T82X27T66EC9BY" hidden="1">[2]Table!$K$8:$L$8</definedName>
    <definedName name="BExKK8VP5RS3D0UXZVKA37C4SYBP" hidden="1">[2]Table!$F$11:$G$11</definedName>
    <definedName name="BExKKEKNN053CU4GT8Z1T16IVN0C" hidden="1">[2]Table!$F$9:$G$9</definedName>
    <definedName name="BExKKIM9NPF6B3SPMPIQB27HQME4" hidden="1">[2]Table!$F$11:$G$11</definedName>
    <definedName name="BExKKIX1BCBQ4R3K41QD8NTV0OV0" hidden="1">[2]Table!$I$8:$J$8</definedName>
    <definedName name="BExKKJO2JSDXSGML86QSRBAKEV3Y" hidden="1">[2]Table!$I$11:$J$11</definedName>
    <definedName name="BExKKKKHMCLICVP0JZOVJZNSF25R" hidden="1">[2]Table!$I$10:$J$10</definedName>
    <definedName name="BExKKPIEJTTZBJXR9O4ZOXZ7WGWF" hidden="1">[2]Graph!$F$10:$G$10</definedName>
    <definedName name="BExKKQ3ZWADYV03YHMXDOAMU90EB" hidden="1">[2]Table!$H$1</definedName>
    <definedName name="BExKKUGD2HMJWQEYZ8H3X1BMXFS9" hidden="1">[2]Table!$F$9:$G$9</definedName>
    <definedName name="BExKKUR5GL1PJYBNFOVPXMZPLE84" hidden="1">[2]Table!$F$9:$G$9</definedName>
    <definedName name="BExKKX05KCZZZPKOR1NE5A8RGVT4" hidden="1">[2]Table!$I$11:$J$11</definedName>
    <definedName name="BExKL5P18MMBR0BL910IGBBU66JZ" hidden="1">[2]Table!$C$15:$D$31</definedName>
    <definedName name="BExKLD6S9L66QYREYHBE5J44OK7X" hidden="1">[2]Table!$I$6:$J$6</definedName>
    <definedName name="BExKLEZK32L28GYJWVO63BZ5E1JD" hidden="1">[2]Table!$F$9:$G$9</definedName>
    <definedName name="BExKLGBZ8D7W1HW672WZB4ZK47TN" hidden="1">[2]Graph!$F$11:$G$11</definedName>
    <definedName name="BExKLLKVVHT06LA55JB2FC871DC5" hidden="1">[2]Table!$I$8:$J$8</definedName>
    <definedName name="BExKLWYWL8HEKZRA5IGCCM60HYID" hidden="1">[2]Graph!$I$10:$J$10</definedName>
    <definedName name="BExKLX9OMIZRVELEESUGRFHXM0CU" hidden="1">[2]Graph!$I$6:$J$6</definedName>
    <definedName name="BExKMMW3XAVX951P95YF44DJ0NXR" hidden="1">[2]Table!$C$202:$D$250</definedName>
    <definedName name="BExKMUJ6Q4L5LQDILHZ1CJLQ485I" hidden="1">[2]Table!$J$2:$J$2</definedName>
    <definedName name="BExKMWBX4EH3EYJ07UFEM08NB40Z" hidden="1">[2]Table!$F$10:$G$10</definedName>
    <definedName name="BExKNBGV2IR3S7M0BX4810KZB4V3" hidden="1">[2]Table!$H$2:$I$2</definedName>
    <definedName name="BExKNCTBZTSY3MO42VU5PLV6YUHZ" hidden="1">[2]Table!$F$10:$G$10</definedName>
    <definedName name="BExKNEBAFDCETD2LQQHA7PR9HVVI" hidden="1">[2]Table!$I$11:$J$11</definedName>
    <definedName name="BExKNGV2YY749C42AQ2T9QNIE5C3" hidden="1">[2]Table!$F$7:$G$7</definedName>
    <definedName name="BExKNL7GKIISW6ACCILNMXGI2MFB" hidden="1">[2]Graph!$C$15:$D$31</definedName>
    <definedName name="BExKNV8UOHVWEHDJWI2WMJ9X6QHZ" hidden="1">[2]Table!$I$9:$J$9</definedName>
    <definedName name="BExKNZLD7UATC1MYRNJD8H2NH4KU" hidden="1">[2]Table!$F$15</definedName>
    <definedName name="BExKNZQUKQQG2Y97R74G4O4BJP1L" hidden="1">[2]Table!$F$10:$G$10</definedName>
    <definedName name="BExKO06X0EAD3ABEG1E8PWLDWHBA" hidden="1">[2]Table!$I$9:$J$9</definedName>
    <definedName name="BExKO2AHHSGNI1AZOIOW21KPXKPE" hidden="1">[2]Table!$F$11:$G$11</definedName>
    <definedName name="BExKO2FXWJWC5IZLDN8JHYILQJ2N" hidden="1">[2]Table!$I$11:$J$11</definedName>
    <definedName name="BExKO3HLPQG1QJUE99LUQZ39QBB2" hidden="1">[2]Table!$F$6:$G$6</definedName>
    <definedName name="BExKO438WZ8FKOU00NURGFMOYXWN" hidden="1">[2]Table!$I$6:$J$6</definedName>
    <definedName name="BExKO4DZC8G0QHCQUXQ1YTSKII5A" hidden="1">[2]Table!$H$1</definedName>
    <definedName name="BExKO4ZL8BMRC63LOBHJXRPAKQFN" hidden="1">[2]Table!$I$7:$J$7</definedName>
    <definedName name="BExKO5L513DI223BOAPQ9E43WWNV" hidden="1">[2]Table!$G$2:$G$2</definedName>
    <definedName name="BExKOBVR6FBO1U02GWCHZEQEFC13" hidden="1">[2]Graph!$I$9:$J$9</definedName>
    <definedName name="BExKODIZGWW2EQD0FEYW6WK6XLCM" hidden="1">[2]Table!$I$6:$J$6</definedName>
    <definedName name="BExKODJ15Q3VPU5LQKSF7ZYZVA9Q" hidden="1">[2]Table!$K$11:$L$11</definedName>
    <definedName name="BExKOPO2HPWVQGAKW8LOZMPIDEFG" hidden="1">[2]Table!$F$9:$G$9</definedName>
    <definedName name="BExKPEZP0QTKOTLIMMIFSVTHQEEK" hidden="1">[2]Table!$F$8:$G$8</definedName>
    <definedName name="BExKPLQJX0HJ8OTXBXH9IC9J2V0W" hidden="1">[2]Table!$C$15:$D$20</definedName>
    <definedName name="BExKPN8C7GN36ZJZHLOB74LU6KT0" hidden="1">[2]Table!$F$7:$G$7</definedName>
    <definedName name="BExKPNON0FRJSJSXFM2BJ86KZKT7" hidden="1">[2]Table!$F$6:$G$6</definedName>
    <definedName name="BExKPTDKTK5K0AZ40CUY13M72WL3" hidden="1">[2]Table!$L$2:$L$2</definedName>
    <definedName name="BExKPX9VZ1J5021Q98K60HMPJU58" hidden="1">[2]Table!$G$2</definedName>
    <definedName name="BExKPYH1D8EPWQ2JIS6KI7ME79AW" hidden="1">[2]Table!$F$7:$G$7</definedName>
    <definedName name="BExKQ1M8KREPTQK209KVJRGMN5CM" hidden="1">[2]Table!$I$8:$J$8</definedName>
    <definedName name="BExKQ27TMJVOE7UBLTOGGLDR3CGF" hidden="1">[2]Table!$I$11:$J$11</definedName>
    <definedName name="BExKQ99GG9TIH94VFID907QZB3B5" hidden="1">[2]Table!$I$11:$J$11</definedName>
    <definedName name="BExKQEYGQ5M0IY0WHFIMR00IRZXP" hidden="1">[2]Table!$J$1:$J$1</definedName>
    <definedName name="BExKQGLR3BNHFH5Q21UNP5HLFXKF" hidden="1">[2]Table!$F$15:$G$23</definedName>
    <definedName name="BExKQJ01GRP9KX7BHWUGSV76KSSN" hidden="1">[2]Graph!$F$6:$G$6</definedName>
    <definedName name="BExKQJGAAWNM3NT19E9I0CQDBTU0" hidden="1">[2]Table!$C$15:$D$20</definedName>
    <definedName name="BExKQM5GJ1ZN5REKFE7YVBQ0KXWF" hidden="1">[2]Table!$F$8:$G$8</definedName>
    <definedName name="BExKQO3G0R230211GSQXEUMGOJJH" hidden="1">[2]Graph!$I$6:$J$6</definedName>
    <definedName name="BExKQQ71278061G7ZFYGPWOMOMY2" hidden="1">[2]Table!$F$7:$G$7</definedName>
    <definedName name="BExKQTXRG3ECU8NT47UR7643LO5G" hidden="1">[2]Table!$F$7:$G$7</definedName>
    <definedName name="BExKQVL7HPOIZ4FHANDFMVOJLEPR" hidden="1">[2]Table!$F$10:$G$10</definedName>
    <definedName name="BExKQZ6P7Z4G8O4IQ28LMHEFWCXM" hidden="1">[2]Table!$F$15:$G$26</definedName>
    <definedName name="BExKR8RZSEHW184G0Z56B4EGNU72" hidden="1">[2]Table!$F$15:$G$20</definedName>
    <definedName name="BExKR9DIHP5ZN1WT9EO0XECWGY22" hidden="1">[2]Table!$I$11:$J$11</definedName>
    <definedName name="BExKRC7XBZHH77LJW47VSTWPL0XG" hidden="1">[2]Table!$F$11:$G$11</definedName>
    <definedName name="BExKRIIJBCDWVZTZG6MCJQ8UC4P7" hidden="1">[2]Table!$H$1</definedName>
    <definedName name="BExKRY3KZ7F7RB2KH8HXSQ85IEQO" hidden="1">[2]Table!$I$9:$J$9</definedName>
    <definedName name="BExKRZR029CI4OL8117WQTROEGVV" hidden="1">[2]Table!$C$15:$D$31</definedName>
    <definedName name="BExKS074SHKJG8NFMN2J87S1UWDD" hidden="1">[2]Table!$K$8:$L$8</definedName>
    <definedName name="BExKS7OUK0092Z1H77FZL9LP9ULP" hidden="1">[2]Table!$C$15:$D$30</definedName>
    <definedName name="BExKSA37DZTCK6H13HPIKR0ZFVL8" hidden="1">[2]Table!$F$10:$G$10</definedName>
    <definedName name="BExKSAJ9PLFSAM5DGYLJ0LGWBOCJ" hidden="1">[2]Graph!$C$15:$D$29</definedName>
    <definedName name="BExKSFHEJYQU3MJ64AXH349TS3AS" hidden="1">[2]Graph!$F$8:$G$8</definedName>
    <definedName name="BExKSFMOMSZYDE0WNC94F40S6636" hidden="1">[2]Table!$F$10:$G$10</definedName>
    <definedName name="BExKSHQ9K79S8KYUWIV5M5LAHHF1" hidden="1">[2]Table!$I$9:$J$9</definedName>
    <definedName name="BExKSJTWG9L3FCX8FLK4EMUJMF27" hidden="1">[2]Table!$F$7:$G$7</definedName>
    <definedName name="BExKSMDKVAO0A43CLVBQQD41BXOS" hidden="1">[2]Graph!$I$9:$J$9</definedName>
    <definedName name="BExKSR66M8VX6DOVY5XKESJ3UH2N" hidden="1">[2]Graph!$C$15:$D$29</definedName>
    <definedName name="BExKSU0MKNAVZYYPKCYTZDWQX4R8" hidden="1">[2]Table!$F$15:$G$20</definedName>
    <definedName name="BExKSX60G1MUS689FXIGYP2F7C62" hidden="1">[2]Table!$I$10:$J$10</definedName>
    <definedName name="BExKT2UZ7Y2VWF5NQE18SJRLD2RN" hidden="1">[2]Table!$I$9:$J$9</definedName>
    <definedName name="BExKT3GJFNGAM09H5F615E36A38C" hidden="1">[2]Table!$I$11:$J$11</definedName>
    <definedName name="BExKT9QZSH81ACR2DZ7W48HG7SI0" hidden="1">[2]Table!$E$22:$F$38</definedName>
    <definedName name="BExKTEEAPHP54RR65ZE8C7MQL8JR" hidden="1">[2]Table!$F$6:$G$6</definedName>
    <definedName name="BExKTGHU41U7OXQNLCH9L528CTKN" hidden="1">[2]Graph!$F$10:$G$10</definedName>
    <definedName name="BExKTQZGN8GI3XGSEXMPCCA3S19H" hidden="1">[2]Table!$F$9:$G$9</definedName>
    <definedName name="BExKTQZHXBM62XUDK7C6U92IIQI3" hidden="1">[2]Graph!$C$15:$D$30</definedName>
    <definedName name="BExKTUKYYU0F6TUW1RXV24LRAZFE" hidden="1">[2]Table!$I$11:$J$11</definedName>
    <definedName name="BExKTUQFF37YN9SN9BS7CJO7TJSX" hidden="1">[2]Table!$I$9:$J$9</definedName>
    <definedName name="BExKU2ISK55XTA9Z17FFMQJDLTAE" hidden="1">[2]Table!$F$9:$G$9</definedName>
    <definedName name="BExKU82I99FEUIZLODXJDOJC96CQ" hidden="1">[2]Table!$F$10:$G$10</definedName>
    <definedName name="BExKU8TCPZV7PEA6TOIB8JV4G2JW" hidden="1">[2]Table!$F$8:$G$8</definedName>
    <definedName name="BExKUDM0DFSCM3D91SH0XLXJSL18" hidden="1">[2]Table!$G$2</definedName>
    <definedName name="BExKUEIEGD9JH03Q4QGCL2ZVM2AQ" hidden="1">[2]Graph!$I$9:$J$9</definedName>
    <definedName name="BExKULEKJLA77AUQPDUHSM94Y76Z" hidden="1">[2]Table!$I$9:$J$9</definedName>
    <definedName name="BExKUPASS3H5268MTUCTQGAWNU4C" hidden="1">[2]Graph!$F$6:$G$6</definedName>
    <definedName name="BExKUXOW3JQETAFK3H15SG8EPDTH" hidden="1">[2]Table!$I$11:$J$11</definedName>
    <definedName name="BExKV08R85MKI3MAX9E2HERNQUNL" hidden="1">[2]Table!$H$2:$I$2</definedName>
    <definedName name="BExKV334NVH4B61DCKSS93FWT9C3" hidden="1">[2]Table!$H$1</definedName>
    <definedName name="BExKV4AAUNNJL5JWD7PX6BFKVS6O" hidden="1">[2]Table!$F$8:$G$8</definedName>
    <definedName name="BExKV8S497WD25N3LA72PSCGO8G3" hidden="1">[2]Graph!$F$6:$G$6</definedName>
    <definedName name="BExKVDVK6HN74GQPTXICP9BFC8CF" hidden="1">[2]Table!$I$10:$J$10</definedName>
    <definedName name="BExKVFZ3ZZGIC1QI8XN6BYFWN0ZY" hidden="1">[2]Table!$H$1</definedName>
    <definedName name="BExKVG4KGO28KPGTAFL1R8TTZ10N" hidden="1">[2]Table!$H$2:$I$2</definedName>
    <definedName name="BExKW0CSH7DA02YSNV64PSEIXB2P" hidden="1">[2]Table!$I$11:$J$11</definedName>
    <definedName name="BExM9J1TEF79OPAMVSLJU98YD8YD" hidden="1">[2]Table!$I$10:$J$10</definedName>
    <definedName name="BExM9NUG3Q31X01AI9ZJCZIX25CS" hidden="1">[2]Table!$F$10:$G$10</definedName>
    <definedName name="BExM9OG182RP30MY23PG49LVPZ1C" hidden="1">[2]Table!$C$15:$D$19</definedName>
    <definedName name="BExMA117FUIWFC14445J49YRRMYY" hidden="1">[2]Table!$F$10:$G$10</definedName>
    <definedName name="BExMA64MW1S18NH8DCKPCCEI5KCB" hidden="1">[2]Table!$F$9:$G$9</definedName>
    <definedName name="BExMACF86VANQDCU2AGTWX53P2J9" hidden="1">[2]Table!$J$1</definedName>
    <definedName name="BExMALEWFUEM8Y686IT03ECURUBR" hidden="1">[2]Table!$H$1</definedName>
    <definedName name="BExMB274KQAWPJYKAQB3NLQWTPV1" hidden="1">[2]Table!$I$7:$J$7</definedName>
    <definedName name="BExMB3ZUA96B84SPXJ79BK0J9WK7" hidden="1">[2]Graph!$C$15:$D$31</definedName>
    <definedName name="BExMB4QRS0R3MTB4CMUHFZ84LNZQ" hidden="1">[2]Table!$F$15</definedName>
    <definedName name="BExMB8HPFRF56RCDIHI5FE99459K" hidden="1">[2]Table!$F$6:$G$6</definedName>
    <definedName name="BExMBC35WKQY5CWQJLV4D05O6971" hidden="1">[2]Table!#REF!</definedName>
    <definedName name="BExMBIZCUQJTHAOSUBM0ALTWAILE" hidden="1">[2]Table!$F$9:$G$9</definedName>
    <definedName name="BExMBK6ISK3U7KHZKUJXIDKGF6VW" hidden="1">[2]Table!$G$2</definedName>
    <definedName name="BExMBYPQDG9AYDQ5E8IECVFREPO6" hidden="1">[2]Table!#REF!</definedName>
    <definedName name="BExMC1413P5GKPAZNG2MXLPGLKSB" hidden="1">[2]Table!$H$1</definedName>
    <definedName name="BExMC3NOD4EE4FS5ZD54ZE5HLQX6" hidden="1">[2]Graph!$I$7:$J$7</definedName>
    <definedName name="BExMC43X2KCWU7OSLDWX5UORVMUR" hidden="1">[2]Table!$I$8:$J$8</definedName>
    <definedName name="BExMC5R82S07KSLMO7YA8CCU0ZAI" hidden="1">[2]Graph!$I$11:$J$11</definedName>
    <definedName name="BExMC8AZUTX8LG89K2JJR7ZG62XX" hidden="1">[2]Table!$F$7:$G$7</definedName>
    <definedName name="BExMCA96YR10V72G2R0SCIKPZLIZ" hidden="1">[2]Table!$C$15:$D$20</definedName>
    <definedName name="BExMCAPB2KR2CNKS8MYVWTH5MOT2" hidden="1">[2]Graph!$F$9:$G$9</definedName>
    <definedName name="BExMCB5JU5I2VQDUBS4O42BTEVKI" hidden="1">[2]Table!$H$2:$I$2</definedName>
    <definedName name="BExMCCYBTEAJJ9DLYFTXMEB7BHGZ" hidden="1">[2]Graph!$F$11:$G$11</definedName>
    <definedName name="BExMCFSQFSEMPY5IXDIRKZDASDBR" hidden="1">[2]Table!$H$1</definedName>
    <definedName name="BExMCMZOEYWVOOJ98TBHTTCS7XB8" hidden="1">[2]Table!$F$7:$G$7</definedName>
    <definedName name="BExMCRC2CWRZ21V29CEUASJNBED5" hidden="1">[2]Table!$G$1:$G$1</definedName>
    <definedName name="BExMCS8EF2W3FS9QADNKREYSI8P0" hidden="1">[2]Table!$I$8:$J$8</definedName>
    <definedName name="BExMCUS7GSOM96J0HJ7EH0FFM2AC" hidden="1">[2]Table!$F$6:$G$6</definedName>
    <definedName name="BExMCXMMDFHHNJDRURMCXF1DGUOM" hidden="1">[2]Graph!$I$9:$J$9</definedName>
    <definedName name="BExMCYTT6TVDWMJXO1NZANRTVNAN" hidden="1">[2]Table!$I$10:$J$10</definedName>
    <definedName name="BExMD2KQTI5SNKQDZDE2B101VOTH" hidden="1">[2]Table!$F$11:$G$11</definedName>
    <definedName name="BExMD5F6IAV108XYJLXUO9HD0IT6" hidden="1">[2]Table!$F$10:$G$10</definedName>
    <definedName name="BExMD963673NTBXBO0VDNBAG9YWM" hidden="1">[2]Graph!$I$8:$J$8</definedName>
    <definedName name="BExMDGD1KQP7NNR78X2ZX4FCBQ1S" hidden="1">[2]Table!$H$1</definedName>
    <definedName name="BExMDIRDK0DI8P86HB7WPH8QWLSQ" hidden="1">[2]Table!$I$11:$J$11</definedName>
    <definedName name="BExMDPI2FVMORSWDDCVAJ85WYAYO" hidden="1">[2]Table!$I$11:$J$11</definedName>
    <definedName name="BExMDUWB7VWHFFR266QXO46BNV2S" hidden="1">[2]Table!$F$11:$G$11</definedName>
    <definedName name="BExME2U47N8LZG0BPJ49ANY5QVV2" hidden="1">[2]Table!$F$15</definedName>
    <definedName name="BExME5ZIPVGTNZKGCPOYHMUHHIGU" hidden="1">[2]Table!$F$15</definedName>
    <definedName name="BExME88DH5DUKMUFI9FNVECXFD2E" hidden="1">[2]Table!$F$15:$G$16</definedName>
    <definedName name="BExME8ZDPJ8E8SNIFBKB41H9SMXG" hidden="1">[2]Table!$G$2</definedName>
    <definedName name="BExME9A7MOGAK7YTTQYXP5DL6VYA" hidden="1">[2]Table!$F$9:$G$9</definedName>
    <definedName name="BExMEIPZ3H2SGJ12FWYHYFYPNYO1" hidden="1">[2]Table!$G$2</definedName>
    <definedName name="BExMEKDEQ5NGTVDQNKSLAZEIQQ3P" hidden="1">[2]Table!$I$9:$J$9</definedName>
    <definedName name="BExMEKTHIM47ERJ7ML7M759FF32G" hidden="1">[2]Graph!$C$15:$D$29</definedName>
    <definedName name="BExMEOV9YFRY5C3GDLU60GIX10BY" hidden="1">[2]Table!$I$7:$J$7</definedName>
    <definedName name="BExMEQII6D6M343683PJ0YYMIMM0" hidden="1">[2]Table!$I$9:$J$9</definedName>
    <definedName name="BExMEY095ELVR1FY94CBBWCTD3ND" hidden="1">[2]Graph!$F$10:$G$10</definedName>
    <definedName name="BExMEY09ESM4H2YGKEQQRYUD114R" hidden="1">[2]Table!$F$8:$G$8</definedName>
    <definedName name="BExMF9UIGYMOAQK0ELUWP0S0HZZY" hidden="1">[2]Table!$F$9:$G$9</definedName>
    <definedName name="BExMFDLBSWFMRDYJ2DZETI3EXKN2" hidden="1">[2]Table!$F$11:$G$11</definedName>
    <definedName name="BExMFFJCU2N6QOC5V50II5WTLPAF" hidden="1">[2]Graph!$I$11:$J$11</definedName>
    <definedName name="BExMFLDTMRTCHKA37LQW67BG8D5C" hidden="1">[2]Table!$F$7:$G$7</definedName>
    <definedName name="BExMFY4B5JW31L4PL9F4S16LTC8G" hidden="1">[2]Graph!$F$8:$G$8</definedName>
    <definedName name="BExMGAPIDDT4G5KTJ8ILTQN652YH" hidden="1">[2]Table!$F$10:$G$10</definedName>
    <definedName name="BExMGFSWSVUC8O4EM6ZP6T82VC1A" hidden="1">[2]Graph!$F$7:$G$7</definedName>
    <definedName name="BExMGUSDX3AI2CYFKFQKHGNNG85F" hidden="1">[2]Table!$J$2</definedName>
    <definedName name="BExMHLB6ZWWYIWMTBUM2L0D1OZVB" hidden="1">[2]Table!$I$8:$J$8</definedName>
    <definedName name="BExMHOWPB34KPZ76M2KIX2C9R2VB" hidden="1">[2]Table!$C$15:$D$20</definedName>
    <definedName name="BExMHPNR5PZX3PW5K72K7E5C6HXD" hidden="1">[2]Graph!$I$10:$J$10</definedName>
    <definedName name="BExMHSSYC6KVHA3QDTSYPN92TWMI" hidden="1">[2]Table!$F$6:$G$6</definedName>
    <definedName name="BExMHVSTZYDJBY9PKZPR0LZIGS6L" hidden="1">[2]Table!$F$11:$G$11</definedName>
    <definedName name="BExMHWEF4QD1A4E5TX4AHJ2DO139" hidden="1">[2]Table!$F$10:$G$10</definedName>
    <definedName name="BExMHXARKCF7YQXFPX55RDMFKY3N" hidden="1">[2]Table!$I$6:$J$6</definedName>
    <definedName name="BExMHYNEEFA21EEIRISNIC12TALL" hidden="1">[2]Table!$F$8:$G$8</definedName>
    <definedName name="BExMI3AJ9477KDL4T9DHET4LJJTW" hidden="1">[2]Table!$H$1</definedName>
    <definedName name="BExMI3QOZTYEQUF0SE6AK4HHWJO7" hidden="1">[2]Graph!$I$6:$J$6</definedName>
    <definedName name="BExMI4SJCEHV8KQVWE28A4EBLKY3" hidden="1">[2]Table!$G$2</definedName>
    <definedName name="BExMI8JB94SBD9EMNJEK7Y2T6GYU" hidden="1">[2]Table!$I$10:$J$10</definedName>
    <definedName name="BExMI8OS85YTW3KYVE4YD0R7Z6UV" hidden="1">[2]Table!$G$2</definedName>
    <definedName name="BExMIB33DZM6VA9E1ITZTC43X33U" hidden="1">[2]Table!$C$15:$D$31</definedName>
    <definedName name="BExMIBJ6W9IG5Q37UPYFTAILPTTN" hidden="1">[2]Table!$F$15:$G$26</definedName>
    <definedName name="BExMIBOOZU40JS3F89OMPSRCE9MM" hidden="1">[2]Table!$C$15:$D$20</definedName>
    <definedName name="BExMIDS7M8D3OBIN14WXIZ7K35X9" hidden="1">[2]Table!$F$15</definedName>
    <definedName name="BExMIFA4V3MXD71GSL7STI56GD1V" hidden="1">[2]Table!$K$7:$L$7</definedName>
    <definedName name="BExMIIQ5MBWSIHTFWAQADXMZC22Q" hidden="1">[2]Table!$I$10:$J$10</definedName>
    <definedName name="BExMIK84FYD89F3PEWRS6VUF2OP2" hidden="1">[2]Table!$I$8:$J$8</definedName>
    <definedName name="BExMIKZ5EDDZDK5D6GTXJPH9XWND" hidden="1">[2]Graph!$I$10:$J$10</definedName>
    <definedName name="BExMIL4I2GE866I25CR5JBLJWJ6A" hidden="1">[2]Table!$G$2</definedName>
    <definedName name="BExMIRKIPF27SNO82SPFSB3T5U17" hidden="1">[2]Table!$G$2</definedName>
    <definedName name="BExMIV0KC8555D5E42ZGWG15Y0MO" hidden="1">[2]Table!$C$15:$D$20</definedName>
    <definedName name="BExMIZT6AN7E6YMW2S87CTCN2UXH" hidden="1">[2]Table!$F$10:$G$10</definedName>
    <definedName name="BExMJ51XJZN31B84NVPI18J3CWTB" hidden="1">[2]Graph!$C$15:$D$29</definedName>
    <definedName name="BExMJA01LCAWUR1OX7H4E7JGNN3W" hidden="1">[2]Graph!$F$10:$G$10</definedName>
    <definedName name="BExMJJFSMK63WEZIZ28NGZTXIXQ4" hidden="1">[2]Table!$K$2</definedName>
    <definedName name="BExMJNC8ZFB9DRFOJ961ZAJ8U3A8" hidden="1">[2]Table!$G$2</definedName>
    <definedName name="BExMJO35AAX7CK6A2KZPOM6X498F" hidden="1">[2]Table!$F$15:$G$23</definedName>
    <definedName name="BExMJTBV8A3D31W2IQHP9RDFPPHQ" hidden="1">[2]Table!$F$8:$G$8</definedName>
    <definedName name="BExMK0Z3CYSRECIZRHHRQZ6SB1KK" hidden="1">[2]Table!$I$8:$J$8</definedName>
    <definedName name="BExMK2RTXN4QJWEUNX002XK8VQP8" hidden="1">[2]Table!$F$8:$G$8</definedName>
    <definedName name="BExMK9D7K7L2VJTZ9NV2BE24SWM4" hidden="1">[2]Table!$I$11:$J$11</definedName>
    <definedName name="BExMKAEUQK7QEAPPU4QD0Y5RJ8D5" hidden="1">[2]Graph!$I$9:$J$9</definedName>
    <definedName name="BExMKBGQDUZ8AWXYHA3QVMSDVZ3D" hidden="1">[2]Table!$I$10:$J$10</definedName>
    <definedName name="BExMKBM1467553LDFZRRKVSHN374" hidden="1">[2]Table!$F$11:$G$11</definedName>
    <definedName name="BExMKGK5FJUC0AU8MABRGDC5ZM70" hidden="1">[2]Table!$F$11:$G$11</definedName>
    <definedName name="BExMKOI0IEYQSWL82F4MI37J9NZ3" hidden="1">[2]Graph!$F$7:$G$7</definedName>
    <definedName name="BExMKQARKDI4P7RU8W4UCPSF5PPI" hidden="1">[2]Graph!$F$11:$G$11</definedName>
    <definedName name="BExMKU7051J2W1RQXGZGE62NBRUZ" hidden="1">[2]Table!$F$11:$G$11</definedName>
    <definedName name="BExMKUN3WPECJR2XRID2R7GZRGNX" hidden="1">[2]Table!$C$15:$D$20</definedName>
    <definedName name="BExMKZ535P011X4TNV16GCOH4H21" hidden="1">[2]Table!$H$1</definedName>
    <definedName name="BExMKZQIURP053SHLFVPMOQJ668I" hidden="1">[2]Graph!$I$11:$J$11</definedName>
    <definedName name="BExML1ZJDHD2DBAQC1Y15WMODFOR" hidden="1">[2]Table!$J$1</definedName>
    <definedName name="BExML3XQNDIMX55ZCHHXKUV3D6E6" hidden="1">[2]Table!$I$11:$J$11</definedName>
    <definedName name="BExML48DLJXAY1J58LIDBNOWSJBC" hidden="1">[2]Table!$I$6:$J$6</definedName>
    <definedName name="BExML5QGSWHLI18BGY4CGOTD3UWH" hidden="1">[2]Table!$I$11:$J$11</definedName>
    <definedName name="BExML6S6GFW8Q3T73BACW5QT1499" hidden="1">[2]Graph!$F$9:$G$9</definedName>
    <definedName name="BExMLJTFNHWZ4L43SIO9C1L0DBSN" hidden="1">[2]Table!$I$11:$J$11</definedName>
    <definedName name="BExMLO5Z61RE85X8HHX2G4IU3AZW" hidden="1">[2]Table!$I$7:$J$7</definedName>
    <definedName name="BExMLSNSXU9KCUHZDB1ZOQUY9IOM" hidden="1">[2]Table!$C$22:$D$201</definedName>
    <definedName name="BExMLVI7UORSHM9FMO8S2EI0TMTS" hidden="1">[2]Table!$C$15:$D$20</definedName>
    <definedName name="BExMLWK2LJY7OOLPYJRXQNUMMHKW" hidden="1">[2]Table!$I$15</definedName>
    <definedName name="BExMM0WEUWAYVXZI371J7RC1SFU3" hidden="1">[2]Table!$I$15</definedName>
    <definedName name="BExMM5UCOT2HSSN0ZIPZW55GSOVO" hidden="1">[2]Table!$C$15:$D$20</definedName>
    <definedName name="BExMM8ZRS5RQ8H1H55RVPVTDL5NL" hidden="1">[2]Table!$F$7:$G$7</definedName>
    <definedName name="BExMMCL8KPKAGT6ST2WQVYGP1MGH" hidden="1">[2]Table!$I$7:$J$7</definedName>
    <definedName name="BExMMH8EAZB09XXQ5X4LR0P4NHG9" hidden="1">[2]Table!$I$11:$J$11</definedName>
    <definedName name="BExMMIQH5BABNZVCIQ7TBCQ10AY5" hidden="1">[2]Table!$F$6:$G$6</definedName>
    <definedName name="BExMMK89SCMABV48ZV5K5TQ3OFQ6" hidden="1">[2]Graph!$C$15:$D$22</definedName>
    <definedName name="BExMMNIZ2T7M22WECMUQXEF4NJ71" hidden="1">[2]Table!$H$1</definedName>
    <definedName name="BExMMPMIOU7BURTV0L1K6ACW9X73" hidden="1">[2]Table!$G$2</definedName>
    <definedName name="BExMMQ835AJDHS4B419SS645P67Q" hidden="1">[2]Table!$F$7:$G$7</definedName>
    <definedName name="BExMMTIXETA5VAKBSOFDD5SRU887" hidden="1">[2]Table!$F$11:$G$11</definedName>
    <definedName name="BExMMV0P6P5YS3C35G0JYYHI7992" hidden="1">[2]Table!$K$2</definedName>
    <definedName name="BExMNARAHLYBE741M8TIKOIP0CHQ" hidden="1">[2]Table!$F$10:$G$10</definedName>
    <definedName name="BExMNJLFWZBRN9PZF1IO9CYWV1B2" hidden="1">[2]Table!$F$9:$G$9</definedName>
    <definedName name="BExMNKCJ0FA57YEUUAJE43U1QN5P" hidden="1">[2]Table!$F$6:$G$6</definedName>
    <definedName name="BExMNKN5D1WEF2OOJVP6LZ6DLU3Y" hidden="1">[2]Table!$I$6:$J$6</definedName>
    <definedName name="BExMNQ1J7QX20FWV4DQ41E6S4T2W" hidden="1">[2]Graph!$I$8:$J$8</definedName>
    <definedName name="BExMNQMY2IUP61KESI720VOMTAJ1" hidden="1">[2]Graph!$F$8:$G$8</definedName>
    <definedName name="BExMNRDZULKJMVY2VKIIRM2M5A1M" hidden="1">[2]Table!$I$7:$J$7</definedName>
    <definedName name="BExMNUZHMKFZ814RTA641MNKZ7HQ" hidden="1">[2]Graph!$I$8:$J$8</definedName>
    <definedName name="BExMNW6NIOK4PW2K16RX2DT8BCKP" hidden="1">[2]Graph!$F$9:$G$9</definedName>
    <definedName name="BExMO20XGGWYSI4EE0J5PVY3785V" hidden="1">[2]Table!$I$9:$J$9</definedName>
    <definedName name="BExMO97XVRSNDZ7I1AUG8ATQEOBY" hidden="1">[2]Table!$I$11:$J$11</definedName>
    <definedName name="BExMO9IOWKTWHO8LQJJQI5P3INWY" hidden="1">[2]Table!$F$6:$G$6</definedName>
    <definedName name="BExMOI29DOEK5R1A5QZPUDKF7N6T" hidden="1">[2]Table!$F$11:$G$11</definedName>
    <definedName name="BExMOJ9GY6AQGI153FV703AE296H" hidden="1">[2]Graph!$I$9:$J$9</definedName>
    <definedName name="BExMOKWPRNIR3IMZKMVEMQB7AFL1" hidden="1">[2]Table!$I$8:$J$8</definedName>
    <definedName name="BExMONR3RN31FM1WTN895V7ZVCIB" hidden="1">[2]Graph!$I$6:$J$6</definedName>
    <definedName name="BExMOUNFB7GJN5DULO4TR4IP11RV" hidden="1">[2]Table!$C$202:$D$250</definedName>
    <definedName name="BExMP1OX1TBFYGGSIMRIPH8F77J5" hidden="1">[2]Table!$F$8:$G$8</definedName>
    <definedName name="BExMP9XKDFT8Y5TNOEF9CC36N95U" hidden="1">[2]Graph!$I$9:$J$9</definedName>
    <definedName name="BExMPAJ5AJAXGKGK3F6H3ODS6RF4" hidden="1">[2]Table!$F$7:$G$7</definedName>
    <definedName name="BExMPCS4ZDLDDGWQFTU42VSORFSV" hidden="1">[2]Table!$I$10:$J$10</definedName>
    <definedName name="BExMPD2X55FFBVJ6CBUKNPROIOEU" hidden="1">[2]Table!$F$7:$G$7</definedName>
    <definedName name="BExMPGTVPYQ1ACGV1RRRS5LYB125" hidden="1">[2]Graph!$I$7:$J$7</definedName>
    <definedName name="BExMPGZ848E38FUH1JBQN97DGWAT" hidden="1">[2]Table!$I$10:$J$10</definedName>
    <definedName name="BExMPI6BHVMD4SCOKXX4LH5MC5H8" hidden="1">[2]Table!$I$8:$J$8</definedName>
    <definedName name="BExMPMTICOSMQENOFKQ18K0ZT4S8" hidden="1">[2]Table!$I$10:$J$10</definedName>
    <definedName name="BExMPMZ07II0R4KGWQQ7PGS3RZS4" hidden="1">[2]Table!$F$9:$G$9</definedName>
    <definedName name="BExMPOBH04JMDO6Z8DMSEJZM4ANN" hidden="1">[2]Table!$F$15</definedName>
    <definedName name="BExMPWK8AR2Q3WZS35RM6ECBFHBE" hidden="1">[2]Table!$C$34:$C$34</definedName>
    <definedName name="BExMPWV224W64AJTEVD3XHF8L4X3" hidden="1">[2]Table!$I$8:$J$8</definedName>
    <definedName name="BExMQ41ZQNCI291UVV7EBWD8RXWS" hidden="1">[2]Graph!$C$15:$D$29</definedName>
    <definedName name="BExMQ4I3Q7F0BMPHSFMFW9TZ87UD" hidden="1">[2]Table!$F$9:$G$9</definedName>
    <definedName name="BExMQ4SWDWI4N16AZ0T5CJ6HH8WC" hidden="1">[2]Table!$H$2:$I$2</definedName>
    <definedName name="BExMQ71WHW50GVX45JU951AGPLFQ" hidden="1">[2]Table!$C$15:$D$20</definedName>
    <definedName name="BExMQEUAG6F5RWVC4NZ3RIS5Z6IO" hidden="1">[2]Table!$F$6:$G$6</definedName>
    <definedName name="BExMQG1KG778NAMEUAKJ3XULT5YK" hidden="1">[2]Table!$I$11:$J$11</definedName>
    <definedName name="BExMQGXSLPT4A6N47LE6FBVHWBOF" hidden="1">[2]Table!$F$6:$G$6</definedName>
    <definedName name="BExMQO4WUOPBK7V6L54IEWUZ36RW" hidden="1">[2]Table!$C$15:$D$31</definedName>
    <definedName name="BExMQR4MYWWU33MGY1S3KCK1QF48" hidden="1">[2]Table!$K$8:$K$9</definedName>
    <definedName name="BExMQSBR7PL4KLB1Q4961QO45Y4G" hidden="1">[2]Table!$F$10:$G$10</definedName>
    <definedName name="BExMR1MA4I1X77714ZEPUVC8W398" hidden="1">[2]Table!$F$9:$G$9</definedName>
    <definedName name="BExMR4GUTFCN4RD7H81IOKECLEG3" hidden="1">[2]Graph!$I$6:$J$6</definedName>
    <definedName name="BExMR8YQHA7N77HGHY4Y6R30I3XT" hidden="1">[2]Table!$F$10:$G$10</definedName>
    <definedName name="BExMRENOIARWRYOIVPDIEBVNRDO7" hidden="1">[2]Table!$G$2</definedName>
    <definedName name="BExMRPG54LNH7HRC92MBSUT6UL6L" hidden="1">[2]Graph!$F$9:$G$9</definedName>
    <definedName name="BExMRRJNUMGRSDD5GGKKGEIZ6FTS" hidden="1">[2]Table!$I$10:$J$10</definedName>
    <definedName name="BExMRU3ACIU0RD2BNWO55LH5U2BR" hidden="1">[2]Table!$F$15</definedName>
    <definedName name="BExMSM9I7XZ0BC793Y8GWVJNG1V9" hidden="1">[2]Graph!$C$15:$D$29</definedName>
    <definedName name="BExMSQRCC40AP8BDUPL2I2DNC210" hidden="1">[2]Table!$I$6:$J$6</definedName>
    <definedName name="BExO4NRHV9N7CZ1EJFXRLR7E134J" hidden="1">[2]Table!$F$8:$G$8</definedName>
    <definedName name="BExO4P9G3CC5P66YXQJ1MQZE3Q3L" hidden="1">[2]Graph!$F$7:$G$7</definedName>
    <definedName name="BExO4Q5T1IO39TUFXG41PZPWD8H5" hidden="1">[2]Graph!$I$8:$J$8</definedName>
    <definedName name="BExO51JS4SO5E6TKIEBCCELUKSSZ" hidden="1">[2]Table!$F$8:$G$8</definedName>
    <definedName name="BExO55G2KVZ7MIJ30N827CLH0I2A" hidden="1">[2]Table!$F$8:$G$8</definedName>
    <definedName name="BExO5A8PZD9EUHC5CMPU6N3SQ15L" hidden="1">[2]Table!$I$7:$J$7</definedName>
    <definedName name="BExO5JOGSOXX6U1WI7ZN12M7WHPI" hidden="1">[2]Table!$F$9:$G$9</definedName>
    <definedName name="BExO5PIYTRTN636KO19AZG2ZCL0L" hidden="1">[2]Table!$F$11:$G$11</definedName>
    <definedName name="BExO5XMAHL7CY3X0B1OPKZ28DCJ5" hidden="1">[2]Table!$G$2</definedName>
    <definedName name="BExO66LZJKY4PTQVREELI6POS4AY" hidden="1">[2]Table!$H$2:$I$2</definedName>
    <definedName name="BExO6LLHCYTF7CIVHKAO0NMET14Q" hidden="1">[2]Table!$I$6:$J$6</definedName>
    <definedName name="BExO6MCCK5PNI3FJ0E7NE2ESCCVU" hidden="1">[2]Graph!$C$15:$D$31</definedName>
    <definedName name="BExO70KX7Q7BEQF6Q2XLNSZR2Y72" hidden="1">[2]Table!$K$7:$L$7</definedName>
    <definedName name="BExO7ABJ8X98Y7NON6IVMVL4C2RD" hidden="1">[2]Table!$F$11:$G$11</definedName>
    <definedName name="BExO7OUQS3XTUQ2LDKGQ8AAQ3OJJ" hidden="1">[2]Table!$F$6:$G$6</definedName>
    <definedName name="BExO7QSY2039UHWVZD4A5X02G20S" hidden="1">[2]Table!$G$2:$G$2</definedName>
    <definedName name="BExO7QYGOKCWBDS1JNED7LWT0A61" hidden="1">[2]Table!$C$15:$D$30</definedName>
    <definedName name="BExO7W1PSMP8KLLJ6LI9QUDVQEVV" hidden="1">[2]Graph!$F$6:$G$6</definedName>
    <definedName name="BExO7XUE8X4X6RWVBM0RNYMF99OL" hidden="1">[2]Table!$F$15</definedName>
    <definedName name="BExO85HMYXZJ7SONWBKKIAXMCI3C" hidden="1">[2]Table!$F$10:$G$10</definedName>
    <definedName name="BExO863922O4PBGQMUNEQKGN3K96" hidden="1">[2]Table!$F$7:$G$7</definedName>
    <definedName name="BExO89ZIOXN0HOKHY24F7HDZ87UT" hidden="1">[2]Table!$F$11:$G$11</definedName>
    <definedName name="BExO8CDTBCABLEUD6PE2UM2EZ6C4" hidden="1">[2]Table!$I$6:$J$6</definedName>
    <definedName name="BExO8IIXR6KZKN8VWJ37VCKGRKH4" hidden="1">[2]Graph!$F$6:$G$6</definedName>
    <definedName name="BExO8TM4L261JTCSQ24FHE73242J" hidden="1">[2]Graph!$I$9:$J$9</definedName>
    <definedName name="BExO8TM5V5CFSV5A13AYOWY4NGRS" hidden="1">[2]Graph!$F$9:$G$9</definedName>
    <definedName name="BExO8UTAGQWDBQZEEF4HUNMLQCVU" hidden="1">[2]Table!$H$2:$I$2</definedName>
    <definedName name="BExO94UTJKQQ7TJTTJRTSR70YVJC" hidden="1">[2]Table!$F$9:$G$9</definedName>
    <definedName name="BExO9J3A438976RXIUX5U9SU5T55" hidden="1">[2]Table!$K$2</definedName>
    <definedName name="BExO9RS5RXFJ1911HL3CCK6M74EP" hidden="1">[2]Table!$I$8:$J$8</definedName>
    <definedName name="BExO9SDRI1M6KMHXSG3AE5L0F2U3" hidden="1">[2]Table!$F$15</definedName>
    <definedName name="BExO9V2U2YXAY904GYYGU6TD8Y7M" hidden="1">[2]Table!$F$7:$G$7</definedName>
    <definedName name="BExO9VZ6QH7DH7X3BL14YVS1UWAW" hidden="1">[2]Table!$I$9:$J$9</definedName>
    <definedName name="BExO9WKS404QK3COC3YD96EY2UEN" hidden="1">[2]Table!$C$15:$D$16</definedName>
    <definedName name="BExOA6RMGRW68IXOMCR0WY3D2I16" hidden="1">[2]Table!$F$6:$G$6</definedName>
    <definedName name="BExOA9WTYYY2KG56EZKQC3B3I3CX" hidden="1">[2]Table!$F$6:$G$6</definedName>
    <definedName name="BExOAFR6JHRK4AP8O7TB9UDEAVJL" hidden="1">[2]Graph!$I$8:$J$8</definedName>
    <definedName name="BExOAGCX9ISY83KMXO02KFMKR8OW" hidden="1">[2]Graph!$F$7:$G$7</definedName>
    <definedName name="BExOAOLJP54S3N9EMZPRXUAB7SVY" hidden="1">[2]Table!$F$11:$G$11</definedName>
    <definedName name="BExOAQ3GKCT7YZW1EMVU3EILSZL2" hidden="1">[2]Table!$F$9:$G$9</definedName>
    <definedName name="BExOB886RIKYRO6D0LXJDAB2M84Z" hidden="1">[2]Graph!$I$8:$J$8</definedName>
    <definedName name="BExOBEZ0IE2WBEYY3D3CMRI72N1K" hidden="1">[2]Table!$F$15</definedName>
    <definedName name="BExOBIPU8760ITY0C8N27XZ3KWEF" hidden="1">[2]Table!$G$2</definedName>
    <definedName name="BExOBNNWXJI9Y0IQ9VT4NMZCB3SW" hidden="1">[2]Graph!$I$7:$J$7</definedName>
    <definedName name="BExOBOUXMP88KJY2BX2JLUJH5N0K" hidden="1">[2]Table!$F$6:$G$6</definedName>
    <definedName name="BExOBP0FKQ4SVR59FB48UNLKCOR6" hidden="1">[2]Table!$H$1</definedName>
    <definedName name="BExOBQT52CT31RSWNWOS0O8MG7KX" hidden="1">[2]Table!$I$9:$J$9</definedName>
    <definedName name="BExOBYAVUCQ0IGM0Y6A75QHP0Q1A" hidden="1">[2]Table!$F$9:$G$9</definedName>
    <definedName name="BExOBYLMYCYZ1NJLHJCPLA3PVKYK" hidden="1">[2]Graph!$F$9:$G$9</definedName>
    <definedName name="BExOBYLO8NTLBKV3569Y2UNNIV1K" hidden="1">[2]Graph!$C$15:$D$29</definedName>
    <definedName name="BExOC08Y6OIMB5N7XH5Q1IR1M20Q" hidden="1">[2]Graph!$I$9:$J$9</definedName>
    <definedName name="BExOC3UEHB1CZNINSQHZANWJYKR8" hidden="1">[2]Table!$I$9:$J$9</definedName>
    <definedName name="BExOC7LCVAJC36Q60I8PKPCD0T1S" hidden="1">[2]Graph!$F$11:$G$11</definedName>
    <definedName name="BExOCBSF3XGO9YJ23LX2H78VOUR7" hidden="1">[2]Table!$G$2</definedName>
    <definedName name="BExOCKXFMOW6WPFEVX1I7R7FNDSS" hidden="1">[2]Table!$I$9:$J$9</definedName>
    <definedName name="BExOCQX7MZG1R6UPBHNGI606SL8K" hidden="1">[2]Graph!$F$11:$G$11</definedName>
    <definedName name="BExOCYEXOB95DH5NOB0M5NOYX398" hidden="1">[2]Table!$F$6:$G$6</definedName>
    <definedName name="BExOCYKF4MLR8XAG4KNGIBI2E31L" hidden="1">[2]Table!$I$10:$J$10</definedName>
    <definedName name="BExOD4ERMDMFD8X1016N4EXOUR0S" hidden="1">[2]Table!$F$8:$G$8</definedName>
    <definedName name="BExOD55RS7BQUHRQ6H3USVGKR0P7" hidden="1">[2]Table!$H$2:$I$2</definedName>
    <definedName name="BExODEWDDEABM4ZY3XREJIBZ8IVP" hidden="1">[2]Table!$G$2</definedName>
    <definedName name="BExODFY7JS350NEJ0XYS1PSAMF8P" hidden="1">[2]Table!$G$2:$G$2</definedName>
    <definedName name="BExODIHUGTTHWLNEAN3WYV06XEZP" hidden="1">[2]Table!$I$7:$J$7</definedName>
    <definedName name="BExODZFEIWV26E8RFU7XQYX1J458" hidden="1">[2]Table!$F$11:$G$11</definedName>
    <definedName name="BExOE89QWLYZ033JJYOXL9EN126C" hidden="1">[2]Graph!$I$11:$J$11</definedName>
    <definedName name="BExOEBK9EI7CABXM6Q0J5ZWFX6W9" hidden="1">[2]Graph!$F$7:$G$7</definedName>
    <definedName name="BExOEBKG55EROA2VL360A06LKASE" hidden="1">[2]Table!$F$11:$G$11</definedName>
    <definedName name="BExOELR9ZCVQ6N8GZF9QGDQF1JN8" hidden="1">[2]Table!$F$15:$G$23</definedName>
    <definedName name="BExOEQ94CP6HO8WJBIUGUFZIW23B" hidden="1">[2]Graph!$F$9:$G$9</definedName>
    <definedName name="BExOERG5LWXYYEN1DY1H2FWRJS9T" hidden="1">[2]Table!$I$6:$J$6</definedName>
    <definedName name="BExOEV1S6JJVO5PP4BZ20SNGZR7D" hidden="1">[2]Table!$I$7:$J$7</definedName>
    <definedName name="BExOF5ZJR1UJ9IQRGDTEZM7GPQX4" hidden="1">[2]Graph!$I$10:$J$10</definedName>
    <definedName name="BExOFAHCT0XR1FBS0ATDM9EHA85H" hidden="1">[2]Graph!$I$7:$J$7</definedName>
    <definedName name="BExOFEDNCYI2TPTMQ8SJN3AW4YMF" hidden="1">[2]Table!$F$9:$G$9</definedName>
    <definedName name="BExOFJH1W33H5R9GH680DNXTZ0ZN" hidden="1">[2]Graph!$F$6:$G$6</definedName>
    <definedName name="BExOFVLXVD6RVHSQO8KZOOACSV24" hidden="1">[2]Table!$C$15:$D$20</definedName>
    <definedName name="BExOG1AZCK9QN09SNEN2DTTFFCLJ" hidden="1">[2]Graph!$I$10:$J$10</definedName>
    <definedName name="BExOG2SW3XOGP9VAPQ3THV3VWV12" hidden="1">[2]Table!$F$8:$G$8</definedName>
    <definedName name="BExOG45J81K4OPA40KW5VQU54KY3" hidden="1">[2]Table!$F$7:$G$7</definedName>
    <definedName name="BExOG68X4Z9WO6BO1PC0X22APD00" hidden="1">[2]Table!$I$8:$J$8</definedName>
    <definedName name="BExOGDFVYO8IWRXPQ2KK1UW3N5XA" hidden="1">[2]Table!$I$9:$J$9</definedName>
    <definedName name="BExOGFE2SCL8HHT4DFAXKLUTJZOG" hidden="1">[2]Table!$F$11:$G$11</definedName>
    <definedName name="BExOGIOREHI6HHYGR8C2ZXBLKZ71" hidden="1">[2]Table!$I$10:$J$10</definedName>
    <definedName name="BExOGJFNVC7RF0PYIMFR78YDT7KQ" hidden="1">[2]Table!$I$8:$J$8</definedName>
    <definedName name="BExOGR2UVHHO2DQP4X23SI3GTCHG" hidden="1">[2]Graph!$F$7:$G$7</definedName>
    <definedName name="BExOGT6D0LJ3C22RDW8COECKB1J5" hidden="1">[2]Table!$F$9:$G$9</definedName>
    <definedName name="BExOGTMI1HT31M1RGWVRAVHAK7DE" hidden="1">[2]Table!$F$7:$G$7</definedName>
    <definedName name="BExOGW6AFIZCGK9FY1O0LGZOTTW7" hidden="1">[2]Graph!$F$8:$G$8</definedName>
    <definedName name="BExOGXO9JE5XSE9GC3I6O21UEKAO" hidden="1">[2]Table!$H$2:$I$2</definedName>
    <definedName name="BExOGYVEAJFUXQVT8YQO2U7YT5OY" hidden="1">[2]Graph!$I$7:$J$7</definedName>
    <definedName name="BExOH2GVFOFXDG3YQK89NSKG7WJG" hidden="1">[2]Graph!$I$10:$J$10</definedName>
    <definedName name="BExOH7KB5HAPBB5K1Z3DIW5LCRSI" hidden="1">[2]Graph!$I$6:$J$6</definedName>
    <definedName name="BExOH9ICZ13C1LAW8OTYTR9S7ZP3" hidden="1">[2]Table!$F$9:$G$9</definedName>
    <definedName name="BExOHBB43JS54D6MARIQR5PJNUDG" hidden="1">[2]Graph!$F$7:$G$7</definedName>
    <definedName name="BExOHL75H3OT4WAKKPUXIVXWFVDS" hidden="1">[2]Table!$F$15</definedName>
    <definedName name="BExOHLHXXJL6363CC082M9M5VVXQ" hidden="1">[2]Table!$F$15:$J$20</definedName>
    <definedName name="BExOHLN9NP83E6U4L0QB265KR68L" hidden="1">[2]Table!$I$10:$J$10</definedName>
    <definedName name="BExOHNAO5UDXSO73BK2ARHWKS90Y" hidden="1">[2]Table!$F$6:$G$6</definedName>
    <definedName name="BExOHR1G1I9A9CI1HG94EWBLWNM2" hidden="1">[2]Table!$I$6:$J$6</definedName>
    <definedName name="BExOHSJEQ0EBQZHXYMSDF6XAKAJZ" hidden="1">[2]Table!$I$7:$J$7</definedName>
    <definedName name="BExOHTQPP8LQ98L6PYUI6QW08YID" hidden="1">[2]Table!$F$11:$G$11</definedName>
    <definedName name="BExOHUN46W32AQM4J7VTDN9ZJ0HF" hidden="1">[2]Table!$I$8:$J$8</definedName>
    <definedName name="BExOI06MAFEQF5QH8DZ3XH3XMHPL" hidden="1">[2]Table!$J$1</definedName>
    <definedName name="BExOI5VMTHH7Y8MQQ1N635CHYI0P" hidden="1">[2]Table!$F$9:$G$9</definedName>
    <definedName name="BExOIEVCP4Y6VDS23AK84MCYYHRT" hidden="1">[2]Table!$F$7:$G$7</definedName>
    <definedName name="BExOIHPQIXR0NDR5WD01BZKPKEO3" hidden="1">[2]Table!$F$7:$G$7</definedName>
    <definedName name="BExOIM7L0Z3LSII9P7ZTV4KJ8RMA" hidden="1">[2]Table!$G$2</definedName>
    <definedName name="BExOIN9ETPA87K6NINBIFRSWHK4C" hidden="1">[2]Graph!$F$11:$G$11</definedName>
    <definedName name="BExOIWJVMJ6MG6JC4SPD1L00OHU1" hidden="1">[2]Table!$F$10:$G$10</definedName>
    <definedName name="BExOIYCN8Z4JK3OOG86KYUCV0ME8" hidden="1">[2]Table!$I$9:$J$9</definedName>
    <definedName name="BExOJ3AKZ9BCBZT3KD8WMSLK6MN2" hidden="1">[2]Table!$F$8:$G$8</definedName>
    <definedName name="BExOJ3QOVM67AFKBCV7K4D7AU2Z2" hidden="1">[2]Table!$F$6:$G$6</definedName>
    <definedName name="BExOJ7XQK71I4YZDD29AKOOWZ47E" hidden="1">[2]Table!$H$2:$I$2</definedName>
    <definedName name="BExOJLKR3ON4K4BEJ6TM5LSDR5A7" hidden="1">[2]Graph!$I$8:$J$8</definedName>
    <definedName name="BExOJM0W6XGSW5MXPTTX0GNF6SFT" hidden="1">[2]Table!$I$6:$J$6</definedName>
    <definedName name="BExOJRPV9XADRJ8N8D97T7AH1PKY" hidden="1">[2]Table!$K$6:$L$6</definedName>
    <definedName name="BExOJSRJONNCK0U5RNPX3VB05ZVW" hidden="1">[2]Graph!$F$10:$G$10</definedName>
    <definedName name="BExOJWTB5WXEIMFRCIQNFMKICA74" hidden="1">[2]Table!$F$15:$F$16</definedName>
    <definedName name="BExOJXEUJJ9SYRJXKYYV2NCCDT2R" hidden="1">[2]Table!$H$1</definedName>
    <definedName name="BExOK0EQYM9JUMAGWOUN7QDH7VMZ" hidden="1">[2]Table!$H$1</definedName>
    <definedName name="BExOK4WM9O7QNG6O57FOASI5QSN1" hidden="1">[2]Table!$F$8:$G$8</definedName>
    <definedName name="BExOKCECQSFWA99RY6KEDPH30KT6" hidden="1">[2]Graph!$I$11:$J$11</definedName>
    <definedName name="BExOKDAQ31PVS0Q7NXOF66C24GYL" hidden="1">[2]Graph!$F$11:$G$11</definedName>
    <definedName name="BExOKH1J1R9I6V416WFJGPFDLZNU" hidden="1">[2]Table!$K$7:$L$7</definedName>
    <definedName name="BExOKKSH35JKI2G91LW945KBTFVB" hidden="1">[2]Table!$I$6:$J$6</definedName>
    <definedName name="BExOKQMS5HDV6D43CLENHP3SC5R7" hidden="1">[2]Table!$I$9:$J$9</definedName>
    <definedName name="BExOKTHD8PC6LIVSG6AWUARR7V36" hidden="1">[2]Table!$I$7:$J$7</definedName>
    <definedName name="BExOKTXMJP351VXKH8VT6SXUNIMF" hidden="1">[2]Table!$F$7:$G$7</definedName>
    <definedName name="BExOL0Z3Z7IAMHPB91EO2MF49U57" hidden="1">[2]Table!$F$8:$G$8</definedName>
    <definedName name="BExOL7KH12VAR0LG741SIOJTLWFD" hidden="1">[2]Table!$F$9:$G$9</definedName>
    <definedName name="BExOLB5SC7VD8OG53K8II93SAENQ" hidden="1">[2]Graph!$F$10:$G$10</definedName>
    <definedName name="BExOLGPG9YTVYRW85471OH271RJC" hidden="1">[2]Graph!$F$10:$G$10</definedName>
    <definedName name="BExOLICXFHJLILCJVFMJE5MGGWKR" hidden="1">[2]Table!$C$15:$D$20</definedName>
    <definedName name="BExOLLYER0Y603UJSKZVD22DJWG8" hidden="1">[2]Graph!$I$11:$J$11</definedName>
    <definedName name="BExOLYOUZI709AVA77V3L8A580DR" hidden="1">[2]Table!$F$9:$G$9</definedName>
    <definedName name="BExOLYZNCQU9YFRCJTSR1R7098U7" hidden="1">[2]Graph!$F$10:$G$10</definedName>
    <definedName name="BExOLYZNG5RBD0BTS1OEZJNU92Q5" hidden="1">[2]Table!$F$9:$G$9</definedName>
    <definedName name="BExOM0MXX62IJ0ZFVIRCOYQDCPBE" hidden="1">[2]Table!$C$15:$D$31</definedName>
    <definedName name="BExOM3HIJ3UZPOKJI68KPBJAHPDC" hidden="1">[2]Table!$F$7:$G$7</definedName>
    <definedName name="BExOM54QOORM46WEUF3JTW8T4RBV" hidden="1">[2]Table!$I$15</definedName>
    <definedName name="BExOMBFCBGGM6KO5RX1LMJ0M22S4" hidden="1">[2]Graph!$I$7:$J$7</definedName>
    <definedName name="BExOMI672TH8VPB5MGW4I7CD339Q" hidden="1">[2]Graph!$I$6:$J$6</definedName>
    <definedName name="BExOMKPURE33YQ3K1JG9NVQD4W49" hidden="1">[2]Table!$I$8:$J$8</definedName>
    <definedName name="BExOMO0IGVR69O49WUF89Y6KH56P" hidden="1">[2]Table!$H$15:$I$24</definedName>
    <definedName name="BExOMP7NGCLUNFK50QD2LPKRG078" hidden="1">[2]Table!$I$8:$J$8</definedName>
    <definedName name="BExOMP7OIJKTGQ7ZH4SIKZXWYHFD" hidden="1">[2]Table!$I$10:$J$10</definedName>
    <definedName name="BExOMPT89TJVGE96ZQQHTNOIJ4QB" hidden="1">[2]Table!$I$8:$J$8</definedName>
    <definedName name="BExOMU0A6XMY48SZRYL4WQZD13BI" hidden="1">[2]Table!$H$1</definedName>
    <definedName name="BExOMVT0HSNC59DJP4CLISASGHKL" hidden="1">[2]Table!$I$7:$J$7</definedName>
    <definedName name="BExOMYSX0AHBQ467XSUV55K3AVD6" hidden="1">[2]Table!$I$8:$J$8</definedName>
    <definedName name="BExON0AX35F2SI0UCVMGWGVIUNI3" hidden="1">[2]Table!$I$11:$J$11</definedName>
    <definedName name="BExONB3A7CO4YD8RB41PHC93BQ9M" hidden="1">[2]Table!$F$15:$J$20</definedName>
    <definedName name="BExONDN39HS1JH5G6AVTQIK6CCMZ" hidden="1">[2]Table!$G$2</definedName>
    <definedName name="BExONFQH6UUXF8V0GI4BRIST9RFO" hidden="1">[2]Table!$F$6:$G$6</definedName>
    <definedName name="BExONIL1EPN8W1SVF4S473NVT9G0" hidden="1">[2]Graph!$F$10:$G$10</definedName>
    <definedName name="BExONIL31DZWU7IFVN3VV0XTXJA1" hidden="1">[2]Table!$F$11:$G$11</definedName>
    <definedName name="BExONJ1BU17R0F5A2UP1UGJBOGKS" hidden="1">[2]Table!$F$9:$G$9</definedName>
    <definedName name="BExONNZ9VMHVX3J6NLNJY7KZA61O" hidden="1">[2]Table!$I$6:$J$6</definedName>
    <definedName name="BExONRQ1BAA4F3TXP2MYQ4YCZ09S" hidden="1">[2]Table!$I$7:$J$7</definedName>
    <definedName name="BExONTTLMX001GOB7YHX0IZG6610" hidden="1">[2]Table!$F$7:$G$7</definedName>
    <definedName name="BExONVBIXX436X1BG1TMAO4S9LD0" hidden="1">[2]Graph!$I$7:$J$7</definedName>
    <definedName name="BExOO1WWIZSGB0YTGKESB45TSVMZ" hidden="1">[2]Table!$F$11:$G$11</definedName>
    <definedName name="BExOOIULUDOJRMYABWV5CCL906X6" hidden="1">[2]Table!$I$9:$J$9</definedName>
    <definedName name="BExOOKSNTOW6JV28YY0TXJY1JVTP" hidden="1">[2]Table!$I$10:$J$10</definedName>
    <definedName name="BExOORE1DP6UVW28XJX2VS05649B" hidden="1">[2]Graph!$C$15:$D$29</definedName>
    <definedName name="BExOOTN0KTXJCL7E476XBN1CJ553" hidden="1">[2]Table!$G$2</definedName>
    <definedName name="BExOP9DEBV5W5P4Q25J3XCJBP5S9" hidden="1">[2]Table!$I$11:$J$11</definedName>
    <definedName name="BExOPI2A8O0WJHMLIQZ62UFBCS3W" hidden="1">[2]Table!$C$15:$D$31</definedName>
    <definedName name="BExOPINVFSIZMCVT9YGT2AODVCX3" hidden="1">[2]Table!$F$6:$G$6</definedName>
    <definedName name="BExOPJV0G43Z50LNI0UWME9NPU9S" hidden="1">[2]Graph!$I$8:$J$8</definedName>
    <definedName name="BExOQ1JN4SAC44RTMZIGHSW023WA" hidden="1">[2]Table!$I$6:$J$6</definedName>
    <definedName name="BExOQ256YMF115DJL3KBPNKABJ90" hidden="1">[2]Table!$F$6:$G$6</definedName>
    <definedName name="BExQ19DEUOLC11IW32E2AMVZLFF1" hidden="1">[2]Table!$H$2:$I$2</definedName>
    <definedName name="BExQ1X1RE71HCCMKWV64X8HPHR0R" hidden="1">[2]Graph!$C$15:$D$29</definedName>
    <definedName name="BExQ1XNE45NFDGVFHZY9CGDDHJZV" hidden="1">[2]Table!$J$2:$J$2</definedName>
    <definedName name="BExQ29C73XR33S3668YYSYZAIHTG" hidden="1">[2]Table!$I$11:$J$11</definedName>
    <definedName name="BExQ2FS228IUDUP2023RA1D4AO4C" hidden="1">[2]Table!$F$11:$G$11</definedName>
    <definedName name="BExQ2L0XYWLY9VPZWXYYFRIRQRJ1" hidden="1">[2]Table!$F$7:$G$7</definedName>
    <definedName name="BExQ2M841F5Z1BQYR8DG5FKK0LIU" hidden="1">[2]Table!$H$1</definedName>
    <definedName name="BExQ300G8I8TK45A0MVHV15422EU" hidden="1">[2]Table!$H$1</definedName>
    <definedName name="BExQ39R28MXSG2SEV956F0KZ20AN" hidden="1">[2]Table!$H$1</definedName>
    <definedName name="BExQ3D1P3M5Z3HLMEZ17E0BLEE4U" hidden="1">[2]Table!$C$15:$D$20</definedName>
    <definedName name="BExQ3IW7J7DRPBM1397WQIET08OE" hidden="1">[2]Table!$K$7:$L$7</definedName>
    <definedName name="BExQ3KE6B4FHDS1N4BF863NAY49Q" hidden="1">[2]Graph!$F$10:$G$10</definedName>
    <definedName name="BExQ3KOYCEYLV1GOJVB806GNQKF3" hidden="1">[2]Table!$F$10:$G$10</definedName>
    <definedName name="BExQ3O4W7QF8BOXTUT4IOGF6YKUD" hidden="1">[2]Table!$G$2</definedName>
    <definedName name="BExQ3PXOWSN8561ZR8IEY8ZASI3B" hidden="1">[2]Table!$I$8:$J$8</definedName>
    <definedName name="BExQ3QDXRSBG5JZ94OJIXWDVDXY3" hidden="1">[2]Table!$I$11:$J$11</definedName>
    <definedName name="BExQ3T8DFINM7GVM7EACRAJPM3KB" hidden="1">[2]Table!$I$7:$J$7</definedName>
    <definedName name="BExQ3TZF04IPY0B0UG9CQQ5736UA" hidden="1">[2]Table!$F$8:$G$8</definedName>
    <definedName name="BExQ3YBTA0J7YB8LEWRC6TEW51WN" hidden="1">[2]Graph!$C$15:$D$16</definedName>
    <definedName name="BExQ3Z84MD82A78CB08YATFYRO4C" hidden="1">[2]Table!$I$9:$J$9</definedName>
    <definedName name="BExQ41BOL730OSEM60CEMAMP4ARQ" hidden="1">[2]Graph!$F$8:$G$8</definedName>
    <definedName name="BExQ42IU9MNDYLODP41DL6YTZMAR" hidden="1">[2]Table!$C$15:$D$20</definedName>
    <definedName name="BExQ452HF7N1HYPXJXQ8WD6SOWUV" hidden="1">[2]Table!$I$6:$J$6</definedName>
    <definedName name="BExQ45TI6DH9AT2YBQVAGL7UOCRR" hidden="1">[2]Table!$I$11:$J$11</definedName>
    <definedName name="BExQ47X10NXECEVZPCT9PUY1AHIT" hidden="1">[2]Graph!$C$15:$D$16</definedName>
    <definedName name="BExQ4B7Q3NN5PZMR9C0YCQ9KMIUO" hidden="1">[2]Graph!$I$6:$J$6</definedName>
    <definedName name="BExQ4BTBSHPHVEDRCXC2ROW8PLFC" hidden="1">[2]Table!$F$6:$G$6</definedName>
    <definedName name="BExQ4DGKF54SRKQUTUT4B1CZSS62" hidden="1">[2]Table!$I$7:$J$7</definedName>
    <definedName name="BExQ4XJHD7EJCNH7S1MJDZJ2MNWG" hidden="1">[2]Table!$I$10:$J$10</definedName>
    <definedName name="BExQ5039ZCEWBUJHU682G4S89J03" hidden="1">[2]Table!$F$6:$G$6</definedName>
    <definedName name="BExQ56Z9W6YHZHRXOFFI8EFA7CDI" hidden="1">[2]Table!$H$2:$I$2</definedName>
    <definedName name="BExQ5AFFGICUCZZBAI4AWG16RILB" hidden="1">[2]Table!$I$8:$J$8</definedName>
    <definedName name="BExQ5KX3Z668H1KUCKZ9J24HUQ1F" hidden="1">[2]Table!$F$7:$G$7</definedName>
    <definedName name="BExQ5RIFXKJ2CJ86QFT8A9PZQKDB" hidden="1">[2]Table!$K$2:$K$2</definedName>
    <definedName name="BExQ5SPMSOCJYLAY20NB5A6O32RE" hidden="1">[2]Table!$F$15</definedName>
    <definedName name="BExQ5UICMGTMK790KTLK49MAGXRC" hidden="1">[2]Table!$F$6:$G$6</definedName>
    <definedName name="BExQ5W5REFB795KA45QSPYDGEDMB" hidden="1">[2]Table!$F$15</definedName>
    <definedName name="BExQ5YUUK9FD0QGTY4WD0W90O7OL" hidden="1">[2]Table!$F$8:$G$8</definedName>
    <definedName name="BExQ63793YQ9BH7JLCNRIATIGTRG" hidden="1">[2]Table!$H$1</definedName>
    <definedName name="BExQ64ZZS1ZTRYP417PR5HF9G1KE" hidden="1">[2]Table!$F$8:$G$8</definedName>
    <definedName name="BExQ678SWFTNRTBQ9UZ0GEB7T1LI" hidden="1">[2]Table!$I$10:$J$10</definedName>
    <definedName name="BExQ6CN1EF2UPZ57ZYMGK8TUJQSS" hidden="1">[2]Table!$I$9:$J$9</definedName>
    <definedName name="BExQ6JU05Z7HZBKJ1VI4568SHRDV" hidden="1">[2]Table!$I$6:$J$6</definedName>
    <definedName name="BExQ6KVT4MDEM93UH9JVXMJRBJVZ" hidden="1">[2]Table!$I$7:$J$7</definedName>
    <definedName name="BExQ6M2YXJ8AMRJF3QGHC40ADAHZ" hidden="1">[2]Table!$I$6:$J$6</definedName>
    <definedName name="BExQ6M8B0X44N9TV56ATUVHGDI00" hidden="1">[2]Table!$F$15:$J$20</definedName>
    <definedName name="BExQ6NKT7GLCK5DO3FT99FA0VH7Y" hidden="1">[2]Graph!$C$15:$D$29</definedName>
    <definedName name="BExQ6OXF7120HZBZ09TCJUWN672G" hidden="1">[2]Table!$F$8:$G$8</definedName>
    <definedName name="BExQ6PIZEB3532T46HXOTSDMM8XR" hidden="1">[2]Graph!$F$6:$G$6</definedName>
    <definedName name="BExQ6POH065GV0I74XXVD0VUPBJW" hidden="1">[2]Table!$F$10:$G$10</definedName>
    <definedName name="BExQ6WV9KPSMXPPLGZ3KK4WNYTHU" hidden="1">[2]Table!$G$2</definedName>
    <definedName name="BExQ77D2RRRELKIG2LBW8X81JXB5" hidden="1">[2]Table!$I$6:$J$6</definedName>
    <definedName name="BExQ783XTMM2A9I3UKCFWJH1PP2N" hidden="1">[2]Table!$F$11:$G$11</definedName>
    <definedName name="BExQ79LX01ZPQB8EGD1ZHR2VK2H3" hidden="1">[2]Table!$I$10:$J$10</definedName>
    <definedName name="BExQ7B3V9MGDK2OIJ61XXFBFLJFZ" hidden="1">[2]Table!$F$7:$G$7</definedName>
    <definedName name="BExQ7CB046NVPF9ZXDGA7OXOLSLX" hidden="1">[2]Table!$F$6:$G$6</definedName>
    <definedName name="BExQ7DI55SCAV5BUUTA2Y8329L0Y" hidden="1">[2]Table!$I$7:$J$7</definedName>
    <definedName name="BExQ7IWDCGGOO1HTJ97YGO1CK3R9" hidden="1">[2]Table!$I$7:$J$7</definedName>
    <definedName name="BExQ7JNFIEGS2HKNBALH3Q2N5G7Z" hidden="1">[2]Table!$I$8:$J$8</definedName>
    <definedName name="BExQ7MY3U2Z1IZ71U5LJUD00VVB4" hidden="1">[2]Table!$C$15:$D$20</definedName>
    <definedName name="BExQ7S1EM3ROIFM77QVCNO5KZ2NF" hidden="1">[2]Table!$I$15:$Z$3273</definedName>
    <definedName name="BExQ7XL2Q1GVUFL1F9KK0K0EXMWG" hidden="1">[2]Table!$H$1</definedName>
    <definedName name="BExQ81BUNU5AS4AFUURQ1OCT39NN" hidden="1">[2]Table!$I$7:$J$7</definedName>
    <definedName name="BExQ8469L3ZRZ3KYZPYMSJIDL7Y5" hidden="1">[2]Table!$I$6:$J$6</definedName>
    <definedName name="BExQ84MJB94HL3BWRN50M4NCB6Z0" hidden="1">[2]Table!$F$15</definedName>
    <definedName name="BExQ8583ZE00NW7T9OF11OT9IA14" hidden="1">[2]Table!$F$15</definedName>
    <definedName name="BExQ88TM50HSEFAPWUWX4KEUQKKO" hidden="1">[2]Table!$I$7:$J$7</definedName>
    <definedName name="BExQ8A0RPE3IMIFIZLUE7KD2N21W" hidden="1">[2]Table!$H$1</definedName>
    <definedName name="BExQ8ABK6H1ADV2R2OYT8NFFYG2N" hidden="1">[2]Table!$H$2:$I$2</definedName>
    <definedName name="BExQ8DM90XJ6GCJIK9LC5O82I2TJ" hidden="1">[2]Table!$F$15</definedName>
    <definedName name="BExQ8G0K46ZORA0QVQTDI7Z8LXGF" hidden="1">[2]Table!$I$7:$J$7</definedName>
    <definedName name="BExQ8O3WEU8HNTTGKTW5T0QSKCLP" hidden="1">[2]Table!#REF!</definedName>
    <definedName name="BExQ8PWN6RQQEPAG0QRC23K4FFND" hidden="1">[2]Graph!$I$11:$J$11</definedName>
    <definedName name="BExQ8Q1WVJ0QS9ABRDFSL51JW3D9" hidden="1">[2]Table!$I$7:$J$7</definedName>
    <definedName name="BExQ8Q1X6MH0YX3WJWK0RJ9O7B8D" hidden="1">[2]Table!$F$6:$G$6</definedName>
    <definedName name="BExQ8U95JXE2ZGDDWOEHH46ENO5L" hidden="1">[2]Graph!$F$11:$G$11</definedName>
    <definedName name="BExQ8V01S15JD88XDHSSSYLV1AZ8" hidden="1">[2]Table!$K$2</definedName>
    <definedName name="BExQ8ZCEDBOBJA3D9LDP5TU2WYGR" hidden="1">[2]Table!$H$2:$I$2</definedName>
    <definedName name="BExQ94LAW6MAQBWY25WTBFV5PPZJ" hidden="1">[2]Table!$H$2:$I$2</definedName>
    <definedName name="BExQ96U5IC5EUI7LZFUX8PI7LS57" hidden="1">[2]Table!$J$2</definedName>
    <definedName name="BExQ97QIPOSSRK978N8P234Y1XA4" hidden="1">[2]Table!$G$2</definedName>
    <definedName name="BExQ9DQATTM64NGUOQWM96CIR7J1" hidden="1">[2]Graph!$F$9:$G$9</definedName>
    <definedName name="BExQ9DVR0WJQK432BJFWT5WHPMRB" hidden="1">[2]Graph!$I$11:$J$11</definedName>
    <definedName name="BExQ9E6FBAXTHGF3RXANFIA77GXP" hidden="1">[2]Table!$G$2</definedName>
    <definedName name="BExQ9KX9734KIAK7IMRLHCPYDHO2" hidden="1">[2]Table!$F$10:$G$10</definedName>
    <definedName name="BExQ9L81FF4I7816VTPFBDWVU4CW" hidden="1">[2]Table!$I$9:$J$9</definedName>
    <definedName name="BExQ9M4E2ACZOWWWP1JJIQO8AHUM" hidden="1">[2]Table!$H$1</definedName>
    <definedName name="BExQ9NH0R8VRYO4ZFR5SMUKS33HI" hidden="1">[2]Table!$I$11:$J$11</definedName>
    <definedName name="BExQ9UTANMJCK7LJ4OQMD6F2Q01L" hidden="1">[2]Table!$H$2:$I$2</definedName>
    <definedName name="BExQ9WB9HW42PO79HB221HSZ598A" hidden="1">[2]Table!$K$2</definedName>
    <definedName name="BExQ9XT7UVG6OEUSP1A1RV5UK0DB" hidden="1">[2]Table!$F$9:$G$9</definedName>
    <definedName name="BExQ9ZLYHWABXAA9NJDW8ZS0UQ9P" hidden="1">[2]Table!#REF!</definedName>
    <definedName name="BExQA0YKRPERGWA3UPB1H2BB3QKR" hidden="1">[2]Table!$I$6:$J$6</definedName>
    <definedName name="BExQA324HSCK40ENJUT9CS9EC71B" hidden="1">[2]Table!$C$15:$D$20</definedName>
    <definedName name="BExQA55GY0STSNBWQCWN8E31ZXCS" hidden="1">[2]Table!$I$6:$J$6</definedName>
    <definedName name="BExQA7ULTY4HMFPSAZDVNVWR9LJQ" hidden="1">[2]Table!$I$10:$J$10</definedName>
    <definedName name="BExQA9HZIN9XEMHEEVHT99UU9Z82" hidden="1">[2]Table!$I$10:$J$10</definedName>
    <definedName name="BExQAELFYH92K8CJL155181UDORO" hidden="1">[2]Table!$H$2:$I$2</definedName>
    <definedName name="BExQAG8PP8R5NJKNQD1U4QOSD6X5" hidden="1">[2]Table!$F$15</definedName>
    <definedName name="BExQAOBZTDB48BSN2EK9HDILMR98" hidden="1">[2]Table!$I$11:$J$11</definedName>
    <definedName name="BExQBCWRZI100CK57PUKDJ4C7NWQ" hidden="1">[2]Graph!$F$11:$G$11</definedName>
    <definedName name="BExQBDICMZTSA1X73TMHNO4JSFLN" hidden="1">[2]Table!$K$2</definedName>
    <definedName name="BExQBEER6CRCRPSSL61S0OMH57ZA" hidden="1">[2]Table!$F$11:$G$11</definedName>
    <definedName name="BExQBIGGY5TXI2FJVVZSLZ0LTZYH" hidden="1">[2]Table!$I$10:$J$10</definedName>
    <definedName name="BExQBM1RUSIQ85LLMM2159BYDPIP" hidden="1">[2]Table!$I$7:$J$7</definedName>
    <definedName name="BExQBN3LYM5LX1XR0DVCF0JN7VXE" hidden="1">[2]Graph!$I$6:$J$6</definedName>
    <definedName name="BExQBPN96RBLWGR7R9ZND2RTQTH0" hidden="1">[2]Graph!$I$6:$J$6</definedName>
    <definedName name="BExQBPSOZ47V81YAEURP0NQJNTJH" hidden="1">[2]Table!$F$9:$G$9</definedName>
    <definedName name="BExQBVN16MIOP717439JVI7XFAOA" hidden="1">[2]Table!$I$10:$J$10</definedName>
    <definedName name="BExQBZOSSD48SN0NFXU9D2HYK5QN" hidden="1">[2]Table!$F$15:$G$26</definedName>
    <definedName name="BExQC0L4DW4DE6W3A9UEM9SQUEVT" hidden="1">[2]Table!$F$6:$G$6</definedName>
    <definedName name="BExQC5J2E7CCOQGJBX4GJ83K4KFN" hidden="1">[2]Table!$F$8:$G$8</definedName>
    <definedName name="BExQC5TWT21CGBKD0IHAXTIN2QB8" hidden="1">[2]Table!$I$8:$J$8</definedName>
    <definedName name="BExQC94JL9F5GW4S8DQCAF4WB2DA" hidden="1">[2]Table!$F$10:$G$10</definedName>
    <definedName name="BExQCI9M5F9BX0WO90T8KQKXJECZ" hidden="1">[2]Graph!$C$15:$D$29</definedName>
    <definedName name="BExQCKTD8AT0824LGWREXM1B5D1X" hidden="1">[2]Table!$I$7:$J$7</definedName>
    <definedName name="BExQCS5MLH6BH9UUBHJYNQZSAO67" hidden="1">[2]Table!$I$8:$J$8</definedName>
    <definedName name="BExQD1LKR7IX9YYBYWG6JG5FGBAO" hidden="1">[2]Graph!$I$10:$J$10</definedName>
    <definedName name="BExQD4W97L1CDYVFY2SBZVDPEF2F" hidden="1">[2]Table!$L$2</definedName>
    <definedName name="BExQD571YWOXKR2SX85K5MKQ0AO2" hidden="1">[2]Table!$F$7:$G$7</definedName>
    <definedName name="BExQDB6VCHN8PNX8EA6JNIEQ2JC2" hidden="1">[2]Table!$G$2</definedName>
    <definedName name="BExQDE1B6U2Q9B73KBENABP71YM1" hidden="1">[2]Table!$H$1</definedName>
    <definedName name="BExQDGQCN7ZW41QDUHOBJUGQAX40" hidden="1">[2]Table!$I$8:$J$8</definedName>
    <definedName name="BExQDPQ250677OQB2KZIDRWFL98C" hidden="1">[2]Graph!$I$8:$J$8</definedName>
    <definedName name="BExQDQ0VX8ONVMEH2QQGFVI53PCO" hidden="1">[2]Table!$I$9:$J$9</definedName>
    <definedName name="BExQDR2JE9E0DBZTWFP9PBZJT2C5" hidden="1">[2]Table!$F$15</definedName>
    <definedName name="BExQDU2G0T6ZR99BJYCY31A77K4Q" hidden="1">[2]Graph!$C$15:$D$30</definedName>
    <definedName name="BExQDUIP1ZMH19C46LA9U7XQ7TSR" hidden="1">[2]Table!$I$7:$I$8</definedName>
    <definedName name="BExQDXTF0CI9QEHX7D3TR6LIH04M" hidden="1">[2]Table!$I$10:$J$10</definedName>
    <definedName name="BExQE6IAA3QFZ6TX9BXPJISLE0Q1" hidden="1">[2]Graph!$I$9:$J$9</definedName>
    <definedName name="BExQEHWAZF2HTLZLDC4R513QLNL4" hidden="1">[2]Table!$I$10:$J$10</definedName>
    <definedName name="BExQEIY57AM6BZZXXB0QHV9M0AOW" hidden="1">[2]Table!$G$1:$G$1</definedName>
    <definedName name="BExQEJUD5RQJ325ULPV2E4W8QAL6" hidden="1">[2]Graph!$F$9:$G$9</definedName>
    <definedName name="BExQEKW72Z8Z6JXTLW586YICR3U7" hidden="1">[2]Table!$I$11:$J$11</definedName>
    <definedName name="BExQEM8OUSOXCRRH5R7LQET76J06" hidden="1">[2]Table!$K$8:$L$8</definedName>
    <definedName name="BExQEMUA4HEFM4OVO8M8MA8PIAW1" hidden="1">[2]Table!$C$15:$D$20</definedName>
    <definedName name="BExQEQ4XZQFIKUXNU9H7WE7AMZ1U" hidden="1">[2]Table!$I$6:$J$6</definedName>
    <definedName name="BExQEQL8MB5PSB2Y8SOUXHKGQFCB" hidden="1">[2]Table!$F$15:$G$26</definedName>
    <definedName name="BExQF1OEB07CRAP6ALNNMJNJ3P2D" hidden="1">[2]Table!$F$8:$G$8</definedName>
    <definedName name="BExQF2FB8I2MZPR7UF81KV32CHC3" hidden="1">[2]Table!$I$11:$J$11</definedName>
    <definedName name="BExQF9X2AQPFJZTCHTU5PTTR0JAH" hidden="1">[2]Table!$F$10:$G$10</definedName>
    <definedName name="BExQFC0M9KKFMQKPLPEO2RQDB7MM" hidden="1">[2]Table!$I$10:$J$10</definedName>
    <definedName name="BExQFEEV7627R8TYZCM28C6V6WHE" hidden="1">[2]Table!$F$15</definedName>
    <definedName name="BExQFEK8NUD04X2OBRA275ADPSDL" hidden="1">[2]Table!$C$15:$D$20</definedName>
    <definedName name="BExQFGYIWDR4W0YF7XR6E4EWWJ02" hidden="1">[2]Table!$I$6:$J$6</definedName>
    <definedName name="BExQFNPE0JNBFPGM91B5GNSDG31N" hidden="1">[2]Graph!$C$15:$D$29</definedName>
    <definedName name="BExQFPSWEMA8WBUZ4WK20LR13VSU" hidden="1">[2]Table!$K$2</definedName>
    <definedName name="BExQFS1Q744Y9OPLJFLQ1B8M8KP0" hidden="1">[2]Table!$F$7:$G$7</definedName>
    <definedName name="BExQFVHX6FAZDQD2EX4UI46IS7VG" hidden="1">[2]Table!$C$46:$E$53</definedName>
    <definedName name="BExQFVSPOSCCPF1TLJPIWYWYB8A9" hidden="1">[2]Table!$F$10:$G$10</definedName>
    <definedName name="BExQFVY1254FOKFAEPTWUNCTCU5R" hidden="1">[2]Table!$F$8:$G$8</definedName>
    <definedName name="BExQFWJQXNQAW6LUMOEDS6KMJMYL" hidden="1">[2]Table!$F$7:$G$7</definedName>
    <definedName name="BExQG8TYRD2G42UA5ZPCRLNKUDMX" hidden="1">[2]Table!$F$7:$G$7</definedName>
    <definedName name="BExQG9VTOUE04B3O2R66QF5I2V7H" hidden="1">[2]Graph!$F$11:$G$11</definedName>
    <definedName name="BExQGMM9RZL83B2Z0ZZPHKUY6VTK" hidden="1">[2]Graph!$F$6:$G$6</definedName>
    <definedName name="BExQGO48J9MPCDQ96RBB9UN9AIGT" hidden="1">[2]Table!$F$9:$G$9</definedName>
    <definedName name="BExQGSBB6MJWDW7AYWA0MSFTXKRR" hidden="1">[2]Table!$I$8:$J$8</definedName>
    <definedName name="BExQH6ZZY0NR8SE48PSI9D0CU1TC" hidden="1">[2]Table!$I$10:$J$10</definedName>
    <definedName name="BExQH9P2MCXAJOVEO4GFQT6MNW22" hidden="1">[2]Table!$F$15</definedName>
    <definedName name="BExQHCZSBYUY8OKKJXFYWKBBM6AH" hidden="1">[2]Table!$I$11:$J$11</definedName>
    <definedName name="BExQHOZDC6RU79H6G8G7YR7VP1RC" hidden="1">[2]Table!$F$7:$G$7</definedName>
    <definedName name="BExQHPKXZ1K33V2F90NZIQRZYIAW" hidden="1">[2]Table!$I$11:$J$11</definedName>
    <definedName name="BExQHQMMMB608TQ7GTBZLUIWJZ5U" hidden="1">[2]Table!$I$9:$J$9</definedName>
    <definedName name="BExQHQXEI9NYJJIPZAYK54FXSAAR" hidden="1">[2]Table!$I$8:$J$8</definedName>
    <definedName name="BExQHTH8LQZF0BOC07ON3FCBKNRI" hidden="1">[2]Table!$K$8:$L$8</definedName>
    <definedName name="BExQHVF9KD06AG2RXUQJ9X4PVGX4" hidden="1">[2]Table!$I$7:$J$7</definedName>
    <definedName name="BExQHY4CPK1UYWR4K87N299TKZ8J" hidden="1">[2]Table!$I$8:$J$8</definedName>
    <definedName name="BExQHZBHVN2L4HC7ACTR73T5OCV0" hidden="1">[2]Table!$G$2</definedName>
    <definedName name="BExQI149184O3FIT9EFQASSAYG8P" hidden="1">[2]Graph!$C$15:$D$31</definedName>
    <definedName name="BExQI85V9TNLDJT5LTRZS10Y26SG" hidden="1">[2]Table!$G$2</definedName>
    <definedName name="BExQIAPKHVEV8CU1L3TTHJW67FJ5" hidden="1">[2]Table!$F$6:$G$6</definedName>
    <definedName name="BExQIBB4I3Z6AUU0HYV1DHRS13M4" hidden="1">[2]Table!$I$9:$J$9</definedName>
    <definedName name="BExQIBWPAXU7HJZLKGJZY3EB7MIS" hidden="1">[2]Table!$I$11:$J$11</definedName>
    <definedName name="BExQIDUXFRRQTUP42M6V5KODFDPZ" hidden="1">[2]Graph!$I$10:$J$10</definedName>
    <definedName name="BExQIII2YKNNBPUFZNOC88FK394S" hidden="1">[2]Graph!$I$7:$J$7</definedName>
    <definedName name="BExQIM8V12D5BYKV6BWZR0J0FK7D" hidden="1">[2]Table!$K$7:$L$7</definedName>
    <definedName name="BExQIN58NS0Y87DHDBR4DK2ZV6ZC" hidden="1">[2]Table!$F$8:$G$8</definedName>
    <definedName name="BExQIS8O6R36CI01XRY9ISM99TW9" hidden="1">[2]Table!$F$15</definedName>
    <definedName name="BExQIVJB9MJ25NDUHTCVMSODJY2C" hidden="1">[2]Table!$F$11:$G$11</definedName>
    <definedName name="BExQIWFUY8D9DDVN1PV6PZXJ6A8W" hidden="1">[2]Table!$I$15</definedName>
    <definedName name="BExQJ5FENXQN0ZN9THG4XUCULIT9" hidden="1">[2]Table!$K$9:$L$9</definedName>
    <definedName name="BExQJ7IXTYN8ELZIUSOUURFAP5Z5" hidden="1">[2]Graph!$F$6:$G$6</definedName>
    <definedName name="BExQJBF7LAX128WR7VTMJC88ZLPG" hidden="1">[2]Table!$I$10:$J$10</definedName>
    <definedName name="BExQJCX4BTLADABIPOUTVZWZKFXF" hidden="1">[2]Table!$I$10:$J$10</definedName>
    <definedName name="BExQJEVCKX6KZHNCLYXY7D0MX5KN" hidden="1">[2]Table!$G$2</definedName>
    <definedName name="BExQJIBCENFZ4FNIPQ8IC1PBMHA9" hidden="1">[2]Graph!$F$6:$G$6</definedName>
    <definedName name="BExQJQPHLQOLEC7O37ORFG4PGT1K" hidden="1">[2]Graph!$C$15:$D$31</definedName>
    <definedName name="BExQJX019VWBQMW1HCV154DP9287" hidden="1">[2]Graph!$I$9:$J$9</definedName>
    <definedName name="BExQK1HV6SQQ7CP8H8IUKI9TYXTD" hidden="1">[2]Table!$I$7:$J$7</definedName>
    <definedName name="BExQK1SODHG66277P2K5V2W6173O" hidden="1">[2]Graph!$F$9:$G$9</definedName>
    <definedName name="BExQK3LE5CSBW1E4H4KHW548FL2R" hidden="1">[2]Table!$I$7:$J$7</definedName>
    <definedName name="BExQKA6SNXFZBVEAEAPG9YO4F2YY" hidden="1">[2]Table!$I$10:$J$10</definedName>
    <definedName name="BExQKG6LD6PLNDGNGO9DJXY865BR" hidden="1">[2]Table!$I$10:$J$10</definedName>
    <definedName name="BExQLE1TOW3A287TQB0AVWENT8O1" hidden="1">[2]Table!$I$6:$J$6</definedName>
    <definedName name="BExRYOYB4A3E5F6MTROY69LR0PMG" hidden="1">[2]Table!$F$7:$G$7</definedName>
    <definedName name="BExRYZLA9EW71H4SXQR525S72LLP" hidden="1">[2]Table!$I$9:$J$9</definedName>
    <definedName name="BExRZ66M8G9FQ0VFP077QSZBSOA5" hidden="1">[2]Table!$F$6:$G$6</definedName>
    <definedName name="BExRZ8FMQQL46I8AQWU17LRNZD5T" hidden="1">[2]Table!$I$6:$J$6</definedName>
    <definedName name="BExRZC1417L70XNJGPADRJAPUTAO" hidden="1">[2]Table!$F$11:$G$11</definedName>
    <definedName name="BExRZH4JONXLQGC5C3H4EGWG2Q1Q" hidden="1">[2]Table!$I$11:$J$11</definedName>
    <definedName name="BExRZIRRIXRUMZ5GOO95S7460BMP" hidden="1">[2]Table!$K$2</definedName>
    <definedName name="BExRZK9RAHMM0ZLTNSK7A4LDC42D" hidden="1">[2]Table!$I$7:$J$7</definedName>
    <definedName name="BExRZT45HOV3U55TRXLOKU1AQYP5" hidden="1">[2]Table!$K$8:$L$8</definedName>
    <definedName name="BExS02PDU3RIYDBR02EV6VUXEVN6" hidden="1">[2]Graph!$I$7:$J$7</definedName>
    <definedName name="BExS0ASQBKRTPDWFK0KUDFOS9LE5" hidden="1">[2]Table!$F$8:$G$8</definedName>
    <definedName name="BExS0FVZ4C14X0IVWX9YWWHCSVWE" hidden="1">[2]Table!$F$7:$G$7</definedName>
    <definedName name="BExS0GHQUF6YT0RU3TKDEO8CSJYB" hidden="1">[2]Table!$K$2</definedName>
    <definedName name="BExS0HJE7LN3PUTLWY3RG9XVRTEN" hidden="1">[2]Table!$I$7:$J$7</definedName>
    <definedName name="BExS0K8IHC45I78DMZBOJ1P13KQA" hidden="1">[2]Table!$F$7:$G$7</definedName>
    <definedName name="BExS0KJ9G0CARNXHXC7MWJQREAR1" hidden="1">[2]Graph!$I$9:$J$9</definedName>
    <definedName name="BExS0UFCKI6Z4BDWL0C1TI1UZA8D" hidden="1">[2]Graph!$F$9:$G$9</definedName>
    <definedName name="BExS15IJV0WW662NXQUVT3FGP4ST" hidden="1">[2]Table!$F$7:$G$7</definedName>
    <definedName name="BExS16PROWSNHW3MZQBGQNQU7S8R" hidden="1">[2]Graph!$I$9:$J$9</definedName>
    <definedName name="BExS1BNVGNSGD4EP90QL8WXYWZ66" hidden="1">[2]Table!$F$2:$G$2</definedName>
    <definedName name="BExS1CEQROZ0ST8GKSYSSSY6NGAN" hidden="1">[2]Table!$G$1:$G$1</definedName>
    <definedName name="BExS1FUQM9YWGBQUYMOTNXMHK8D1" hidden="1">[2]Table!$C$15:$D$31</definedName>
    <definedName name="BExS1RP08PQMAT64ZGU1PLD88JGJ" hidden="1">[2]Table!$F$15</definedName>
    <definedName name="BExS1UE39N6NCND7MAARSBWXS6HU" hidden="1">[2]Table!$G$2</definedName>
    <definedName name="BExS1VQKWZC7SM0UY7BWIPST3VU3" hidden="1">[2]Graph!$I$6:$J$6</definedName>
    <definedName name="BExS1WC5JMGPDV01A5BBR8CAXE81" hidden="1">[2]Table!$I$10:$J$10</definedName>
    <definedName name="BExS1XU4HQ9BKKZ9JV8RTOSJU0CV" hidden="1">[2]Table!$I$7:$J$7</definedName>
    <definedName name="BExS20DWPKMXW9TXCYNBE82LDD2C" hidden="1">[2]Table!$F$9:$G$9</definedName>
    <definedName name="BExS226HTWL5WVC76MP5A1IBI8WD" hidden="1">[2]Table!$F$6:$G$6</definedName>
    <definedName name="BExS26OI2QNNAH2WMDD95Z400048" hidden="1">[2]Table!$F$10:$G$10</definedName>
    <definedName name="BExS2DF6B4ZUF3VZLI4G6LJ3BF38" hidden="1">[2]Table!$F$8:$G$8</definedName>
    <definedName name="BExS2FO14Z3C6DQ8OO0BU6T4S50N" hidden="1">[2]Table!$K$10:$L$10</definedName>
    <definedName name="BExS2HWZQ4NJQLYC91HP2V7JPGW1" hidden="1">[2]Table!$K$2:$K$2</definedName>
    <definedName name="BExS2OT61VXS58SSI0I90Z76DFCQ" hidden="1">[2]Graph!$I$10:$J$10</definedName>
    <definedName name="BExS2QB5FS5LYTFYO4BROTWG3OV5" hidden="1">[2]Table!$H$2:$I$2</definedName>
    <definedName name="BExS3LBS0SMTHALVM4NRI1BAV1NP" hidden="1">[2]Table!$F$8:$G$8</definedName>
    <definedName name="BExS3MTQ75VBXDGEBURP6YT8RROE" hidden="1">[2]Table!$I$10:$J$10</definedName>
    <definedName name="BExS3OH5XH1H0NEUDJGB0D1EF3C6" hidden="1">[2]Graph!$I$8:$J$8</definedName>
    <definedName name="BExS3OMGYO0DFN5186UFKEXZ2RX3" hidden="1">[2]Table!$I$11:$J$11</definedName>
    <definedName name="BExS3SDERJ27OER67TIGOVZU13A2" hidden="1">[2]Table!$F$7:$G$7</definedName>
    <definedName name="BExS3WV2VQ19L2A1DJ73AUFN7SRX" hidden="1">[2]Graph!$F$6:$G$6</definedName>
    <definedName name="BExS3Z9EERXUNVJ5Q3U2SIBKO8H3" hidden="1">[2]Table!$I$10:$J$10</definedName>
    <definedName name="BExS405SD0F2PCWAZ0K7E85URZTT" hidden="1">[2]Table!$I$10:$J$10</definedName>
    <definedName name="BExS46R5WDNU5KL04FKY5LHJUCB8" hidden="1">[2]Table!$I$6:$J$6</definedName>
    <definedName name="BExS4ASWKM93XA275AXHYP8AG6SU" hidden="1">[2]Table!$I$10:$J$10</definedName>
    <definedName name="BExS4EUGA3U4RPY76UK0T6PO1S69" hidden="1">[2]Table!$L$2:$L$2</definedName>
    <definedName name="BExS4IAMWTT1CKFNHGN8SPWSD3QR" hidden="1">[2]Graph!$I$11:$J$11</definedName>
    <definedName name="BExS4JN3Y6SVBKILQK0R9HS45Y52" hidden="1">[2]Table!$F$8:$G$8</definedName>
    <definedName name="BExS4P6S41O6Z6BED77U3GD9PNH1" hidden="1">[2]Table!$I$8:$J$8</definedName>
    <definedName name="BExS4UFKWNI7QAX0PTOVVBUB0LP8" hidden="1">[2]Graph!$I$9:$J$9</definedName>
    <definedName name="BExS51H0N51UT0FZOPZRCF1GU063" hidden="1">[2]Table!$I$9:$J$9</definedName>
    <definedName name="BExS522M1B2Q6RHA4YDW1JC2NCB3" hidden="1">[2]Table!$F$10:$G$10</definedName>
    <definedName name="BExS54X72TJFC41FJK72MLRR2OO7" hidden="1">[2]Table!$I$11:$J$11</definedName>
    <definedName name="BExS5766LH480C8IOGQBB893O0NQ" hidden="1">[2]Table!$I$9:$J$9</definedName>
    <definedName name="BExS59F0PA1V2ZC7S5TN6IT41SXP" hidden="1">[2]Table!$F$11:$G$11</definedName>
    <definedName name="BExS5BYO19H5ZKO75ERO60KF7DQH" hidden="1">[2]Graph!$F$8:$G$8</definedName>
    <definedName name="BExS5LUP4SBOE8TH3Z4WR4X4ABD0" hidden="1">[2]Table!$L$2:$L$2</definedName>
    <definedName name="BExS5TY0F5R1ZXIVJHAAVVG81G5H" hidden="1">[2]Graph!$F$8:$G$8</definedName>
    <definedName name="BExS674SPF6DFR0NTX592WBDZI8Y" hidden="1">[2]Table!$K$11:$L$11</definedName>
    <definedName name="BExS6B10EIE2W17ADTRPZMNJ1O94" hidden="1">[2]Table!$I$7:$J$7</definedName>
    <definedName name="BExS6GKQ96EHVLYWNJDWXZXUZW90" hidden="1">[2]Table!$F$8:$G$8</definedName>
    <definedName name="BExS6ITKSZFRR01YD5B0F676SYN7" hidden="1">[2]Table!$H$1</definedName>
    <definedName name="BExS6IYVVGGZJXGGYPX7UNAQOB2X" hidden="1">[2]Graph!$I$8:$J$8</definedName>
    <definedName name="BExS6KGU63BUOXCPJ9TSCDS9ZY2T" hidden="1">[2]Graph!$C$15:$D$29</definedName>
    <definedName name="BExS6N0LI574IAC89EFW6CLTCQ33" hidden="1">[2]Table!$I$10:$J$10</definedName>
    <definedName name="BExS6NBFENCEQ53R9CDYE07LXG3X" hidden="1">[2]Table!$I$9:$J$9</definedName>
    <definedName name="BExS6QM3S8ZUXPMPZTV1SZY1OG1L" hidden="1">[2]Table!$F$15:$G$22</definedName>
    <definedName name="BExS6WRDBF3ST86ZOBBUL3GTCR11" hidden="1">[2]Table!$I$8:$J$8</definedName>
    <definedName name="BExS6XNRKR0C3MTA0LV5B60UB908" hidden="1">[2]Table!$F$6:$G$6</definedName>
    <definedName name="BExS72LOQJS7JCP1G46PZ82FMJ0A" hidden="1">[2]Table!$F$10:$G$10</definedName>
    <definedName name="BExS79HUY1GAJJP4VMMZHU8UJI6O" hidden="1">[2]Graph!$F$7:$G$7</definedName>
    <definedName name="BExS7BAKNCMBVB6CEVPHH4CKEDMB" hidden="1">[2]Table!$G$2:$G$2</definedName>
    <definedName name="BExS7DU7IOWG5MHL28Z4KOM2V434" hidden="1">[2]Graph!$F$8:$G$8</definedName>
    <definedName name="BExS7HQI0PBQNP39JUZ69RMC7M7N" hidden="1">[2]Graph!$I$6:$J$6</definedName>
    <definedName name="BExS7TKQYLRZGM93UY3ZJZJBQNFJ" hidden="1">[2]Table!$I$6:$J$6</definedName>
    <definedName name="BExS7X0RNP75CMBG4UOJH26811XZ" hidden="1">[2]Table!$I$15:$Z$232</definedName>
    <definedName name="BExS7Y2LNGVHSIBKC7C3R6X4LDR6" hidden="1">[2]Table!$I$11:$J$11</definedName>
    <definedName name="BExS81TE0EY44Y3W2M4Z4MGNP5OM" hidden="1">[2]Table!$C$15:$D$19</definedName>
    <definedName name="BExS81YPDZDVJJVS15HV2HDXAC3Y" hidden="1">[2]Table!$I$10:$J$10</definedName>
    <definedName name="BExS82PRVNUTEKQZS56YT2DVF6C2" hidden="1">[2]Table!$I$6:$J$6</definedName>
    <definedName name="BExS8BPG5A0GR5AO1U951NDGGR0L" hidden="1">[2]Table!$F$9:$G$9</definedName>
    <definedName name="BExS8GSUS17UY50TEM2AWF36BR9Z" hidden="1">[2]Table!$F$7:$G$7</definedName>
    <definedName name="BExS8HJRBVG0XI6PWA9KTMJZMQXK" hidden="1">[2]Table!$F$7:$G$7</definedName>
    <definedName name="BExS8LQTNX922FCMI8FORKMV1ZCD" hidden="1">[2]Graph!$F$8:$G$8</definedName>
    <definedName name="BExS8R51C8RM2FS6V6IRTYO9GA4A" hidden="1">[2]Table!$F$15</definedName>
    <definedName name="BExS8S6UJ7I40I5NT0GTQYUBEDQE" hidden="1">[2]Table!$F$6:$G$6</definedName>
    <definedName name="BExS8UAEWJPNQAIVU62T6H177KTD" hidden="1">[2]Table!$I$10:$J$10</definedName>
    <definedName name="BExS8W8G0X4RIQXAZCCLUM05FF9P" hidden="1">[2]Graph!$F$8:$G$8</definedName>
    <definedName name="BExS8WDX408F60MH1X9B9UZ2H4R7" hidden="1">[2]Table!$I$9:$J$9</definedName>
    <definedName name="BExS8Z2W2QEC3MH0BZIYLDFQNUIP" hidden="1">[2]Table!$F$11:$G$11</definedName>
    <definedName name="BExS92DKGRFFCIA9C0IXDOLO57EP" hidden="1">[2]Table!$I$9:$J$9</definedName>
    <definedName name="BExS94MKQIH9V36DNK5004SDDJG0" hidden="1">[2]Graph!$I$11:$J$11</definedName>
    <definedName name="BExS970VMB40OE1CEB7FR2ZHFGZ0" hidden="1">[2]Graph!$F$6:$G$6</definedName>
    <definedName name="BExS98OB4321YCHLCQ022PXKTT2W" hidden="1">[2]Table!$I$10:$J$10</definedName>
    <definedName name="BExS9C9N8GFISC6HUERJ0EI06GB2" hidden="1">[2]Table!$I$6:$J$6</definedName>
    <definedName name="BExS9DX13CACP3J8JDREK30JB1SQ" hidden="1">[2]Table!$F$9:$G$9</definedName>
    <definedName name="BExS9FPRS2KRRCS33SE6WFNF5GYL" hidden="1">[2]Table!$F$9:$G$9</definedName>
    <definedName name="BExS9G0KPKY8ZZF7MXMCOHQB7JB8" hidden="1">[2]Table!$I$8:$J$8</definedName>
    <definedName name="BExS9GM58LHT0BJ3ZKXDEFM3Q3TZ" hidden="1">[2]Table!$I$6:$J$6</definedName>
    <definedName name="BExS9NIASM810M8FNS117P0ZGEL1" hidden="1">[2]Table!$I$7:$J$7</definedName>
    <definedName name="BExS9V02GMD9QYZ7H5X1F6L21MYX" hidden="1">[2]Table!$F$11:$G$11</definedName>
    <definedName name="BExS9WI0A6PSEB8N9GPXF2Z7MWHM" hidden="1">[2]Table!$I$7:$J$7</definedName>
    <definedName name="BExS9XEEOMYINJHYLPMOCQWO6PS1" hidden="1">[2]Table!$I$6:$J$6</definedName>
    <definedName name="BExS9XP5VF1ZDMLDQQGEXVB8F2TR" hidden="1">[2]Table!$C$15:$D$31</definedName>
    <definedName name="BExSA5HP306TN9XJS0TU619DLRR7" hidden="1">[2]Table!$H$2:$I$2</definedName>
    <definedName name="BExSAA4TQVBEW9YTSAC7IB9WGR0N" hidden="1">[2]Graph!$F$6:$G$6</definedName>
    <definedName name="BExSAAVWQOOIA6B3JHQVGP08HFEM" hidden="1">[2]Table!$I$8:$J$8</definedName>
    <definedName name="BExSAFJ3IICU2M7QPVE4ARYMXZKX" hidden="1">[2]Table!$F$7:$G$7</definedName>
    <definedName name="BExSAH6ID8OHX379UXVNGFO8J6KQ" hidden="1">[2]Table!$F$8:$G$8</definedName>
    <definedName name="BExSAHH5BMRKNH7SY1EGV99KY76N" hidden="1">[2]Table!$C$15:$D$31</definedName>
    <definedName name="BExSAN0SATD18E3WUQ7LA31WETD8" hidden="1">[2]Table!$I$8:$J$8</definedName>
    <definedName name="BExSAQBHIXGQRNIRGCJMBXUPCZQA" hidden="1">[2]Table!$I$8:$J$8</definedName>
    <definedName name="BExSAUTCT4P7JP57NOR9MTX33QJZ" hidden="1">[2]Table!$F$10:$G$10</definedName>
    <definedName name="BExSAY9CA9TFXQ9M9FBJRGJO9T9E" hidden="1">[2]Table!$H$1</definedName>
    <definedName name="BExSB1UYX8WAE0XZJE2OGSCJZZD6" hidden="1">[2]Table!$I$9:$J$9</definedName>
    <definedName name="BExSB3CRK2JISSVAVGB77YXVBXF6" hidden="1">[2]Table!$K$9:$L$9</definedName>
    <definedName name="BExSB4JYKQ3MINI7RAYK5M8BLJDC" hidden="1">[2]Table!$I$10:$J$10</definedName>
    <definedName name="BExSBI6X85DDBWBMO0C0N6P89LDE" hidden="1">[2]Table!$F$11:$G$11</definedName>
    <definedName name="BExSBJJFWTRQRNMW5EWLUP176VNJ" hidden="1">[2]Table!$K$9:$L$9</definedName>
    <definedName name="BExSBLHMDPAU7TLJHXOGAD2L0A74" hidden="1">[2]Graph!$F$7:$G$7</definedName>
    <definedName name="BExSBMOS41ZRLWYLOU29V6Y7YORR" hidden="1">[2]Table!$H$1</definedName>
    <definedName name="BExSBRBXXQMBU1TYDW1BXTEVEPRU" hidden="1">[2]Table!$F$8:$G$8</definedName>
    <definedName name="BExSBUXDX233QZWBNPAQAESCPHF0" hidden="1">[2]Table!$F$11:$G$11</definedName>
    <definedName name="BExSC54998WTZ21DSL0R8UN0Y9JH" hidden="1">[2]Table!$F$8:$G$8</definedName>
    <definedName name="BExSC60N7WR9PJSNC9B7ORCX9NGY" hidden="1">[2]Table!$I$7:$J$7</definedName>
    <definedName name="BExSC9M353D3EKCXI5GRYJZYPZYZ" hidden="1">[2]Graph!$I$9:$J$9</definedName>
    <definedName name="BExSC9WWN36CD1WEUC1KGUIE143H" hidden="1">[2]Graph!$F$8:$G$8</definedName>
    <definedName name="BExSCE99EZTILTTCE4NJJF96OYYM" hidden="1">[2]Table!$G$2</definedName>
    <definedName name="BExSCGNQ20KG320KPNCJFAODMKVP" hidden="1">[2]Graph!$I$6:$J$6</definedName>
    <definedName name="BExSCOG41SKKG4GYU76WRWW1CTE6" hidden="1">[2]Table!$F$11:$G$11</definedName>
    <definedName name="BExSCYSFPJM6JVCB3I88ZQFAQAZ4" hidden="1">[2]Table!$C$15:$D$31</definedName>
    <definedName name="BExSD16RWPJ4BKJERNVKGA3W1V8N" hidden="1">[2]Graph!$I$11:$J$11</definedName>
    <definedName name="BExSD233CH4MU9ZMGNRF97ZV7KWU" hidden="1">[2]Table!$F$8:$G$8</definedName>
    <definedName name="BExSD2U0F3BN6IN9N4R2DTTJG15H" hidden="1">[2]Table!$I$6:$J$6</definedName>
    <definedName name="BExSD6A6NY15YSMFH51ST6XJY429" hidden="1">[2]Table!$K$2</definedName>
    <definedName name="BExSD9VH6PF6RQ135VOEE08YXPAW" hidden="1">[2]Table!$F$11:$G$11</definedName>
    <definedName name="BExSDCVIN71PV1EXE6G867XC3C5T" hidden="1">[2]Table!$I$9:$J$9</definedName>
    <definedName name="BExSDJ5ZE3T46HSF6W0OXL80TXQG" hidden="1">[2]Graph!$F$10:$G$10</definedName>
    <definedName name="BExSDP5Y04WWMX2WWRITWOX8R5I9" hidden="1">[2]Table!$F$6:$G$6</definedName>
    <definedName name="BExSDSGM203BJTNS9MKCBX453HMD" hidden="1">[2]Table!$F$8:$G$8</definedName>
    <definedName name="BExSDT20XUFXTDM37M148AXAP7HN" hidden="1">[2]Table!$I$11:$J$11</definedName>
    <definedName name="BExSDXPDK3F39QHCFFEHA9RPB4EC" hidden="1">[2]Graph!$C$15:$D$31</definedName>
    <definedName name="BExSEEHK1VLWD7JBV9SVVVIKQZ3I" hidden="1">[2]Table!$F$8:$G$8</definedName>
    <definedName name="BExSEFJ9VE3JBBWTSS0FGLX707HH" hidden="1">[2]Table!$K$9:$K$10</definedName>
    <definedName name="BExSEP9UVOAI6TMXKNK587PQ3328" hidden="1">[2]Table!$I$10:$J$10</definedName>
    <definedName name="BExSF07QFLZCO4P6K6QF05XG7PH1" hidden="1">[2]Table!$F$11:$G$11</definedName>
    <definedName name="BExSF0NTZDN6QM2A69UL71TX17DJ" hidden="1">[2]Graph!$I$9:$J$9</definedName>
    <definedName name="BExSFKQRST2S9KXWWLCXYLKSF4G1" hidden="1">[2]Table!$F$8:$G$8</definedName>
    <definedName name="BExSFY2Z9NYKEJJYN0AC159736V0" hidden="1">[2]Table!$F$9:$G$9</definedName>
    <definedName name="BExSFYDRRTAZVPXRWUF5PDQ97WFF" hidden="1">[2]Table!$G$2</definedName>
    <definedName name="BExSG0H9S0NS7G0FN55DPOM4KKDB" hidden="1">[2]Graph!$I$11:$J$11</definedName>
    <definedName name="BExSG90Q4ZUU2IPGDYOM169NJV9S" hidden="1">[2]Table!$I$9:$J$9</definedName>
    <definedName name="BExSG9X3DU845PNXYJGGLBQY2UHG" hidden="1">[2]Table!$H$1</definedName>
    <definedName name="BExSGE45J27MDUUNXW7Z8Q33UAON" hidden="1">[2]Table!$F$9:$G$9</definedName>
    <definedName name="BExSGE9LY91Q0URHB4YAMX0UAMYI" hidden="1">[2]Table!$I$6:$J$6</definedName>
    <definedName name="BExSGEEWSM6V6B3J3F29MN7WAH14" hidden="1">[2]Graph!$I$7:$J$7</definedName>
    <definedName name="BExSGJT4LF1CNH5RN5GZ373ISW9D" hidden="1">[2]Graph!$I$8:$J$8</definedName>
    <definedName name="BExSGLB2URTLBCKBB4Y885W925F2" hidden="1">[2]Table!$H$2:$I$2</definedName>
    <definedName name="BExSGOAYG73SFWOPAQV80P710GID" hidden="1">[2]Table!$H$1</definedName>
    <definedName name="BExSGOWJHRW7FWKLO2EHUOOGHNAF" hidden="1">[2]Table!$G$2</definedName>
    <definedName name="BExSGOWJTAP41ZV5Q23H7MI9C76W" hidden="1">[2]Table!$F$8:$G$8</definedName>
    <definedName name="BExSGQ963QU65JU8DAG73X70KNM3" hidden="1">[2]Graph!$I$7:$J$7</definedName>
    <definedName name="BExSGR5JQVX2HQ0PKCGZNSSUM1RV" hidden="1">[2]Table!$F$8:$G$8</definedName>
    <definedName name="BExSGVHX69GJZHD99DKE4RZ042B1" hidden="1">[2]Table!$F$8:$G$8</definedName>
    <definedName name="BExSH4HLTQVL4MI545VJL4WFN9U2" hidden="1">[2]Graph!$F$10:$G$10</definedName>
    <definedName name="BExSH4HMJS0TXSYHRWJRFTJ7NOSN" hidden="1">[2]Graph!$I$11:$J$11</definedName>
    <definedName name="BExSH4SEGSX6U8TYINYAQUKV39AY" hidden="1">[2]Table!$I$15:$X$306</definedName>
    <definedName name="BExSHAHFHS7MMNJR8JPVABRGBVIT" hidden="1">[2]Table!$I$9:$J$9</definedName>
    <definedName name="BExSHDS3RJMD6MEJ67RL63M0SEIC" hidden="1">[2]Graph!$I$9:$J$9</definedName>
    <definedName name="BExSHGH88QZWW4RNAX4YKAZ5JEBL" hidden="1">[2]Table!$H$2:$I$2</definedName>
    <definedName name="BExSHLVFHA3E49X2VR1C30C4Z6M6" hidden="1">[2]Table!$F$10:$G$10</definedName>
    <definedName name="BExSHOKK1OO3CX9Z28C58E5J1D9W" hidden="1">[2]Table!$F$7:$G$7</definedName>
    <definedName name="BExSHQD8KYLTQGDXIRKCHQQ7MKIH" hidden="1">[2]Table!$I$11:$J$11</definedName>
    <definedName name="BExSHVGPIAHXI97UBLI9G4I4M29F" hidden="1">[2]Table!$I$7:$J$7</definedName>
    <definedName name="BExSI0K2YL3HTCQAD8A7TR4QCUR6" hidden="1">[2]Table!$F$15:$J$20</definedName>
    <definedName name="BExSIFUDNRWXWIWNGCCFOOD8WIAZ" hidden="1">[2]Table!$F$10:$G$10</definedName>
    <definedName name="BExTTZNS2PBCR93C9IUW49UZ4I6T" hidden="1">[2]Table!$E$2</definedName>
    <definedName name="BExTU2YFQ25JQ6MEMRHHN66VLTPJ" hidden="1">[2]Table!$F$9:$G$9</definedName>
    <definedName name="BExTU397SMS7CAB1MGIGUJ2SN2J9" hidden="1">[2]Table!$F$15</definedName>
    <definedName name="BExTU75IOII1V5O0C9X2VAYYVJUG" hidden="1">[2]Table!$F$15</definedName>
    <definedName name="BExTUA5F7V4LUIIAM17J3A8XF3JE" hidden="1">[2]Table!$F$8:$G$8</definedName>
    <definedName name="BExTUJ53ANGZ3H1KDK4CR4Q0OD6P" hidden="1">[2]Table!$F$11:$G$11</definedName>
    <definedName name="BExTUKXSZBM7C57G6NGLWGU4WOHY" hidden="1">[2]Table!$I$6:$J$6</definedName>
    <definedName name="BExTUPQEZVHLA92D1904BKZLEKN2" hidden="1">[2]Table!$F$11:$G$11</definedName>
    <definedName name="BExTUSQCFFYZCDNHWHADBC2E1ZP1" hidden="1">[2]Table!$I$7:$J$7</definedName>
    <definedName name="BExTUVFGOJEYS28JURA5KHQFDU5J" hidden="1">[2]Table!$F$7:$G$7</definedName>
    <definedName name="BExTUW10U40QCYGHM5NJ3YR1O5SP" hidden="1">[2]Table!$F$9:$G$9</definedName>
    <definedName name="BExTUWXFQHINU66YG82BI20ATMB5" hidden="1">[2]Table!$F$15:$G$20</definedName>
    <definedName name="BExTUY9WNSJ91GV8CP0SKJTEIV82" hidden="1">[2]Table!#REF!</definedName>
    <definedName name="BExTV67VIM8PV6KO253M4DUBJQLC" hidden="1">[2]Table!$F$15</definedName>
    <definedName name="BExTV6O0L808T6C9UAX0RU579IGV" hidden="1">[2]Graph!$F$10:$G$10</definedName>
    <definedName name="BExTVDK5Z1Y1H3RZIKXM91Y9A6GI" hidden="1">[2]Graph!$I$11:$J$11</definedName>
    <definedName name="BExTVELZCF2YA5L6F23BYZZR6WHF" hidden="1">[2]Table!$C$15:$D$20</definedName>
    <definedName name="BExTVGPIQZ99YFXUC8OONUX5BD42" hidden="1">[2]Table!$F$11:$G$11</definedName>
    <definedName name="BExTVIT1894E0HQQD54AFOBUGMJ4" hidden="1">[2]Graph!$F$7:$G$7</definedName>
    <definedName name="BExTVLCNOG19Z9AK4EPFRGRCPUYB" hidden="1">[2]Graph!$F$9:$G$9</definedName>
    <definedName name="BExTVTLH2E1SH7Z2XBYHUOQBWWLI" hidden="1">[2]Graph!$C$15:$D$29</definedName>
    <definedName name="BExTVXHRBFWMWXLKOM0Y6AKLJGOD" hidden="1">[2]Table!$J$1</definedName>
    <definedName name="BExTVZQLP9VFLEYQ9280W13X7E8K" hidden="1">[2]Table!$I$7:$J$7</definedName>
    <definedName name="BExTW78B891F2Y4MHBMBH1H8GJ5K" hidden="1">[2]Table!$F$15</definedName>
    <definedName name="BExTWB4LA1PODQOH4LDTHQKBN16K" hidden="1">[2]Table!$F$15</definedName>
    <definedName name="BExTWEQ30QHJ5W3EDZQI5ISJF34L" hidden="1">[2]Table!$F$11:$G$11</definedName>
    <definedName name="BExTWFX8OYD9IX59PTP73YAC8O9G" hidden="1">[2]Graph!$C$15:$D$29</definedName>
    <definedName name="BExTWI0Q8AWXUA3ZN7I5V3QK2KM1" hidden="1">[2]Table!$I$11:$J$11</definedName>
    <definedName name="BExTWI0R31187AOWYLZ1W1WNI84K" hidden="1">[2]Graph!$I$10:$J$10</definedName>
    <definedName name="BExTWJTGTEM42YMMOXES1DOPT9UG" hidden="1">[2]Graph!$I$6:$J$6</definedName>
    <definedName name="BExTWJTIA3WUW1PUWXAOP9O8NKLZ" hidden="1">[2]Table!$F$6:$G$6</definedName>
    <definedName name="BExTWS24T544LMQ5UFTKH9Q2K1V5" hidden="1">[2]Table!$K$10:$L$10</definedName>
    <definedName name="BExTWS2A8UEF9BP4GST4HOQ2K51E" hidden="1">[2]Table!$K$9:$L$9</definedName>
    <definedName name="BExTWW95OX07FNA01WF5MSSSFQLX" hidden="1">[2]Table!$F$7:$G$7</definedName>
    <definedName name="BExTX476KI0RNB71XI5TYMANSGBG" hidden="1">[2]Table!$F$10:$G$10</definedName>
    <definedName name="BExTX58WJRVWKM80ZJ8L4ZQHYDA0" hidden="1">[2]Graph!$I$11:$J$11</definedName>
    <definedName name="BExTX5UEPV8RWDM37RA1MJE204G9" hidden="1">[2]Table!$F$7:$G$7</definedName>
    <definedName name="BExTXJ6HBAIXMMWKZTJNFDYVZCAY" hidden="1">[2]Table!$E$2</definedName>
    <definedName name="BExTXJXL4ZAEIOQZ4SJWAP5UQI4W" hidden="1">[2]Table!$F$6:$G$6</definedName>
    <definedName name="BExTXLFHNTEXVP654H2WPKO8O0FE" hidden="1">[2]Table!$I$10:$J$10</definedName>
    <definedName name="BExTXT812NQT8GAEGH738U29BI0D" hidden="1">[2]Table!$C$15:$D$20</definedName>
    <definedName name="BExTXWIP2TFPTQ76NHFOB72NICRZ" hidden="1">[2]Table!$H$2:$I$2</definedName>
    <definedName name="BExTY1WXTBXUD0M1NWE12NMAUGCO" hidden="1">[2]Graph!$I$10:$J$10</definedName>
    <definedName name="BExTY5T62H651VC86QM4X7E28JVA" hidden="1">[2]Table!$H$1</definedName>
    <definedName name="BExTY8T3UUIOJ23I7NC0E3RPR3PK" hidden="1">[2]Table!$F$9:$G$9</definedName>
    <definedName name="BExTY8T41OBZ32MRCWT76H4XO1YE" hidden="1">[2]Graph!$F$11:$G$11</definedName>
    <definedName name="BExTYI8WL39BN4EE94NOJ8ZRK5KC" hidden="1">[2]Table!$G$2:$G$2</definedName>
    <definedName name="BExTYKCEFJ83LZM95M1V7CSFQVEA" hidden="1">[2]Table!$G$2</definedName>
    <definedName name="BExTYPLA9N640MFRJJQPKXT7P88M" hidden="1">[2]Table!$I$10:$J$10</definedName>
    <definedName name="BExTYRDWT6NFXPJKGLRXVW025LZ4" hidden="1">[2]Table!$L$2</definedName>
    <definedName name="BExTYTXP0LNM25RT0YZ14322IN7Y" hidden="1">[2]Table!$I$9:$J$9</definedName>
    <definedName name="BExTYZXIHT7OP9GUFIEM1B6OXVZ3" hidden="1">[2]Table!$G$2:$G$2</definedName>
    <definedName name="BExTZ0TV2RA19H1JI47J70UT9JJK" hidden="1">[2]Table!$I$6:$J$6</definedName>
    <definedName name="BExTZ7F71SNTOX4LLZCK5R9VUMIJ" hidden="1">[2]Table!$F$8:$G$8</definedName>
    <definedName name="BExTZ8X5G9S3PA4FPSNK7T69W7QT" hidden="1">[2]Table!$F$15</definedName>
    <definedName name="BExTZ97Y0RMR8V5BI9F2H4MFB77O" hidden="1">[2]Table!$F$8:$G$8</definedName>
    <definedName name="BExTZDVA8PYS832D6TEDR1AJI11Q" hidden="1">[2]Table!$I$11:$J$11</definedName>
    <definedName name="BExTZG44FXT872K2RZ55HZ9B89ER" hidden="1">[2]Table!$F$8:$G$8</definedName>
    <definedName name="BExTZK5PMCAXJL4DUIGL6H9Y8U4C" hidden="1">[2]Table!$G$2</definedName>
    <definedName name="BExTZKB6L5SXV5UN71YVTCBEIGWY" hidden="1">[2]Table!$F$11:$G$11</definedName>
    <definedName name="BExTZLICVKK4NBJFEGL270GJ2VQO" hidden="1">[2]Table!$F$11:$G$11</definedName>
    <definedName name="BExTZO2596CBZKPI7YNA1QQNPAIJ" hidden="1">[2]Table!$H$1</definedName>
    <definedName name="BExTZS901K9S0ZAF2P1X1BIWZORG" hidden="1">[2]Table!$I$10:$J$10</definedName>
    <definedName name="BExTZVUHD3P6AB4ZXDH4V7CIDRVX" hidden="1">[2]Table!$G$2</definedName>
    <definedName name="BExTZVUI3ZIV3C9IEJ4DLP01N9H5" hidden="1">[2]Table!$I$6:$J$6</definedName>
    <definedName name="BExTZWQU5QACW6F1IIVIQBFXDA0J" hidden="1">[2]Table!$I$7:$J$7</definedName>
    <definedName name="BExU02QNT4LT7H9JPUC4FXTLVGZT" hidden="1">[2]Table!$H$1</definedName>
    <definedName name="BExU03HPHD1E4CBA4V0KMR0FR83V" hidden="1">[2]Table!$F$11:$G$11</definedName>
    <definedName name="BExU06C5368U4P8W1AE08E6NW1T6" hidden="1">[2]Table!$F$8:$G$8</definedName>
    <definedName name="BExU08QGA2AWSSS80FY8A62P1KQT" hidden="1">[2]Table!$F$9:$G$9</definedName>
    <definedName name="BExU0BFJJQO1HJZKI14QGOQ6JROO" hidden="1">[2]Table!$I$9:$J$9</definedName>
    <definedName name="BExU0FH5WTGW8MRFUFMDDSMJ6YQ5" hidden="1">[2]Table!$F$10:$G$10</definedName>
    <definedName name="BExU0FMLYKBHXH0JHAD0FA64EF92" hidden="1">[2]Graph!$F$6:$G$6</definedName>
    <definedName name="BExU0GDOIL9U33QGU9ZU3YX3V1I4" hidden="1">[2]Table!$F$10:$G$10</definedName>
    <definedName name="BExU0HKTO8WJDQDWRTUK5TETM3HS" hidden="1">[2]Table!$F$15</definedName>
    <definedName name="BExU0Z9F6VW0WF4LCZ68I1CR5AQ2" hidden="1">[2]Table!$F$8:$G$8</definedName>
    <definedName name="BExU0ZUUFYHLUK4M4E8GLGIBBNT0" hidden="1">[2]Table!$F$10:$G$10</definedName>
    <definedName name="BExU147D6RPG6ZVTSXRKFSVRHSBG" hidden="1">[2]Table!$F$11:$G$11</definedName>
    <definedName name="BExU16R10W1SOAPNG4CDJ01T7JRE" hidden="1">[2]Table!$I$6:$J$6</definedName>
    <definedName name="BExU17CKOR3GNIHDNVLH9L1IOJS9" hidden="1">[2]Table!$F$10:$G$10</definedName>
    <definedName name="BExU1DN4RELJSQTQUF8YK7BNGXKO" hidden="1">[2]Graph!$F$7:$G$7</definedName>
    <definedName name="BExU1GXUTLRPJN4MRINLAPHSZQFG" hidden="1">[2]Table!$F$15</definedName>
    <definedName name="BExU1IL9AOHFO85BZB6S60DK3N8H" hidden="1">[2]Table!$H$1</definedName>
    <definedName name="BExU1JSFRX18JZ9VVR0Q49QMXN25" hidden="1">[2]Table!$I$11:$J$11</definedName>
    <definedName name="BExU1NOPS09CLFZL1O31RAF9BQNQ" hidden="1">[2]Table!$C$15:$D$20</definedName>
    <definedName name="BExU1PH9MOEX1JZVZ3D5M9DXB191" hidden="1">[2]Table!$H$2:$I$2</definedName>
    <definedName name="BExU1QZEEKJA35IMEOLOJ3ODX0ZA" hidden="1">[2]Table!$F$9:$G$9</definedName>
    <definedName name="BExU1SBUGIFTNZAQEEUAGLIH0NP8" hidden="1">[2]Table!$I$11:$J$11</definedName>
    <definedName name="BExU1VRURIWWVJ95O40WA23LMTJD" hidden="1">[2]Table!$H$1</definedName>
    <definedName name="BExU1WTOJM1TP8YSLVZ7YK86IRC8" hidden="1">[2]Table!$L$2:$L$2</definedName>
    <definedName name="BExU28TA68HQV6BJIUUMIRLIMJ7V" hidden="1">[2]Table!$K$10:$L$10</definedName>
    <definedName name="BExU2DLWB9PVLUGL0FSI3VD85JZF" hidden="1">[2]Table!$K$7:$L$7</definedName>
    <definedName name="BExU2M5CK6XK55UIHDVYRXJJJRI4" hidden="1">[2]Table!$F$15</definedName>
    <definedName name="BExU2P57KPFSROLAOG2AOUM8E1UK" hidden="1">[2]Table!$C$202:$D$250</definedName>
    <definedName name="BExU2TXVT25ZTOFQAF6CM53Z1RLF" hidden="1">[2]Table!$K$2</definedName>
    <definedName name="BExU2XZLYIU19G7358W5T9E87AFR" hidden="1">[2]Table!$I$7:$J$7</definedName>
    <definedName name="BExU2ZC3NKF72DSQLYPXZR2C9GJR" hidden="1">[2]Table!$I$8:$J$8</definedName>
    <definedName name="BExU34FIBLPHRF343O77S3K85KUP" hidden="1">[2]Table!$I$7:$J$7</definedName>
    <definedName name="BExU3B66MCKJFSKT3HL8B5EJGVX0" hidden="1">[2]Table!$G$2</definedName>
    <definedName name="BExU3D9R4DRJADX0E7E2OZ3T6J9D" hidden="1">[2]Graph!$F$8:$G$8</definedName>
    <definedName name="BExU3GV6RJD4N58DE5L56C0DC1OT" hidden="1">[2]Table!$G$2:$G$2</definedName>
    <definedName name="BExU3L7PLZ7C2AHT9AUXAH9BM4RQ" hidden="1">[2]Table!$F$10:$G$10</definedName>
    <definedName name="BExU3QWQVA35KFNEQYRLU0ZG2TZ0" hidden="1">[2]Graph!$F$7:$G$7</definedName>
    <definedName name="BExU401R18N6XKZKL7CNFOZQCM14" hidden="1">[2]Table!$F$10:$G$10</definedName>
    <definedName name="BExU42QVGY7TK39W1BIN6CDRG2OE" hidden="1">[2]Table!$I$10:$J$10</definedName>
    <definedName name="BExU47OZMS6TCWMEHHF0UCSFLLPI" hidden="1">[2]Table!$F$10:$G$10</definedName>
    <definedName name="BExU4BW007HVJZ262LJRYE05YDZL" hidden="1">[2]Table!$G$2:$G$2</definedName>
    <definedName name="BExU4D36E8TXN0M8KSNGEAFYP4DQ" hidden="1">[2]Table!$F$11:$G$11</definedName>
    <definedName name="BExU4G31RRVLJ3AC6E1FNEFMXM3O" hidden="1">[2]Table!$I$7:$J$7</definedName>
    <definedName name="BExU4I148DA7PRCCISLWQ6ABXFK6" hidden="1">[2]Table!$F$2:$G$2</definedName>
    <definedName name="BExU4IXH59J3XDPCJQOOY64S45EY" hidden="1">[2]Table!$G$2</definedName>
    <definedName name="BExU4L101H2KQHVKCKQ4PBAWZV6K" hidden="1">[2]Table!$G$2</definedName>
    <definedName name="BExU4MIZMMFZZWTK4WHGFZSMWPS8" hidden="1">[2]Graph!$I$8:$J$8</definedName>
    <definedName name="BExU4NA00RRRBGRT6TOB0MXZRCRZ" hidden="1">[2]Table!$I$8:$J$8</definedName>
    <definedName name="BExU529CJ5AWHU0WNPZUYLVVT9GO" hidden="1">[2]Graph!$I$10:$J$10</definedName>
    <definedName name="BExU529I6YHVOG83TJHWSILIQU1S" hidden="1">[2]Table!$F$6:$G$6</definedName>
    <definedName name="BExU57YCIKPRD8QWL6EU0YR3NG3J" hidden="1">[2]Table!$G$2</definedName>
    <definedName name="BExU58ELRFNYQQ0ZUPLYI9518KTZ" hidden="1">[2]Table!$K$2</definedName>
    <definedName name="BExU5DSTBWXLN6E59B757KRWRI6E" hidden="1">[2]Table!$H$2:$I$2</definedName>
    <definedName name="BExU5N8L0E2WDEBA4ITD4A8FT8ON" hidden="1">[2]Graph!$F$7:$G$7</definedName>
    <definedName name="BExU5TDWM8NNDHYPQ7OQODTQ368A" hidden="1">[2]Table!$I$9:$J$9</definedName>
    <definedName name="BExU5X4OX1V1XHS6WSSORVQPP6Z3" hidden="1">[2]Table!$I$8:$J$8</definedName>
    <definedName name="BExU5XVPARTFMRYHNUTBKDIL4UJN" hidden="1">[2]Table!$F$9:$G$9</definedName>
    <definedName name="BExU5YXFEBBZ83SK6MOV6CAI018G" hidden="1">[2]Table!$I$6:$J$6</definedName>
    <definedName name="BExU63KQHXUZZ9UVCY0JIRJIR51Z" hidden="1">[2]Table!$I$7:$J$7</definedName>
    <definedName name="BExU66KMFBAP8JCVG9VM1RD1TNFF" hidden="1">[2]Table!$F$8:$G$8</definedName>
    <definedName name="BExU67BIP4IDGLTCZMUKNEA7DFWZ" hidden="1">[2]Graph!$F$7:$G$7</definedName>
    <definedName name="BExU68IOM3CB3TACNAE9565TW7SH" hidden="1">[2]Table!$H$2:$I$2</definedName>
    <definedName name="BExU6AM82KN21E82HMWVP3LWP9IL" hidden="1">[2]Table!$I$8:$J$8</definedName>
    <definedName name="BExU6FEU1MRHU98R9YOJC5OKUJ6L" hidden="1">[2]Table!$I$11:$J$11</definedName>
    <definedName name="BExU6JGEEL98INNR79UBZ7UE1419" hidden="1">[2]Graph!$C$15:$D$31</definedName>
    <definedName name="BExU6KIAJ663Y8W8QMU4HCF183DF" hidden="1">[2]Table!$F$7:$G$7</definedName>
    <definedName name="BExU6KT19B4PG6SHXFBGBPLM66KT" hidden="1">[2]Table!$G$2</definedName>
    <definedName name="BExU6LJXLOKS8W5JKBQ2DL8P99CZ" hidden="1">[2]Table!$G$2:$G$2</definedName>
    <definedName name="BExU6MWL30NHY8I1G97R2SU1TD1Y" hidden="1">[2]Graph!$I$9:$J$9</definedName>
    <definedName name="BExU6OJU1M9HYOMQWWJTUGAVQ4JS" hidden="1">[2]Table!$I$10:$J$10</definedName>
    <definedName name="BExU6PAVKIOAIMQ9XQIHHF1SUAGO" hidden="1">[2]Table!$F$6:$G$6</definedName>
    <definedName name="BExU6QI2G1V04MN1AEHP5NB0IMZQ" hidden="1">[2]Table!$F$7:$G$7</definedName>
    <definedName name="BExU6WXXC7SSQDMHSLUN5C2V4IYX" hidden="1">[2]Table!$I$7:$J$7</definedName>
    <definedName name="BExU73387E74XE8A9UKZLZNJYY65" hidden="1">[2]Table!$I$7:$J$7</definedName>
    <definedName name="BExU76ZHCJM8I7VSICCMSTC33O6U" hidden="1">[2]Table!$I$9:$J$9</definedName>
    <definedName name="BExU77L1ZM2BRJB4M5RWTLREPRBO" hidden="1">[2]Graph!$C$15:$D$29</definedName>
    <definedName name="BExU7BBTUF8BQ42DSGM94X5TG5GF" hidden="1">[2]Table!$I$10:$J$10</definedName>
    <definedName name="BExU7BBU6SQEX13RQ07V50FPYAS9" hidden="1">[2]Table!$F$15:$G$26</definedName>
    <definedName name="BExU7DVMNLPZ8DIZKTOS0GLZESXN" hidden="1">[2]Graph!$F$7:$G$7</definedName>
    <definedName name="BExU7HH4EAHFQHT4AXKGWAWZP3I0" hidden="1">[2]Table!$I$8:$J$8</definedName>
    <definedName name="BExU7IISXXI1GX4NPO3EXGT0LB7S" hidden="1">[2]Table!$I$6:$J$6</definedName>
    <definedName name="BExU7MF1ZVPDHOSMCAXOSYICHZ4I" hidden="1">[2]Table!$F$11:$G$11</definedName>
    <definedName name="BExU7O2BJ6D5YCKEL6FD2EFCWYRX" hidden="1">[2]Table!$I$7:$J$7</definedName>
    <definedName name="BExU7Q0JS9YIUKUPNSSAIDK2KJAV" hidden="1">[2]Table!$F$10:$G$10</definedName>
    <definedName name="BExU7VUWIK7942LR3XULMKX3BJWZ" hidden="1">[2]Graph!$I$7:$J$7</definedName>
    <definedName name="BExU80I6AE5OU7P7F5V7HWIZBJ4P" hidden="1">[2]Table!$C$15:$D$20</definedName>
    <definedName name="BExU85AUW6RSKQIVXFO60KKE5T20" hidden="1">[2]Graph!$I$7:$J$7</definedName>
    <definedName name="BExU86NB26MCPYIISZ36HADONGT2" hidden="1">[2]Table!$H$2:$I$2</definedName>
    <definedName name="BExU88WAY2EQK22R1YQ9M2IBQL3F" hidden="1">[2]Table!$C$34:$D$40</definedName>
    <definedName name="BExU89XZ24NAEGSD8GN6NKO3596G" hidden="1">[2]Graph!$F$7:$G$7</definedName>
    <definedName name="BExU8FSGATXULCM675VF1KYAHGP1" hidden="1">[2]Graph!$I$8:$J$8</definedName>
    <definedName name="BExU8GU5HQ85FD00DSI7AF5IGWZ4" hidden="1">[2]Table!$F$8:$G$8</definedName>
    <definedName name="BExU8HQHIM93W0B1C83DF14VBF4J" hidden="1">[2]Graph!$I$10:$J$10</definedName>
    <definedName name="BExU8KFLAN778MBN93NYZB0FV30G" hidden="1">[2]Table!$I$6:$J$6</definedName>
    <definedName name="BExU8S2O68RLH6LUDGJKFXMKKE5J" hidden="1">[2]Graph!$F$11:$G$11</definedName>
    <definedName name="BExU8UX9JX3XLB47YZ8GFXE0V7R2" hidden="1">[2]Table!$I$11:$J$11</definedName>
    <definedName name="BExU8V2QEONF9R0X2D3R15MZ0GVY" hidden="1">[2]Graph!$F$7:$G$7</definedName>
    <definedName name="BExU96M1J7P9DZQ3S9H0C12KGYTW" hidden="1">[2]Table!$F$11:$G$11</definedName>
    <definedName name="BExU989BYXWVAM55IORUXE1R1RKQ" hidden="1">[2]Graph!$I$10:$J$10</definedName>
    <definedName name="BExU9B98E0WUJ89KDTIKL2K0JEM7" hidden="1">[2]Graph!$F$11:$G$11</definedName>
    <definedName name="BExU9EPDQNQO96GOMSFTUGOHAFZS" hidden="1">[2]Table!$I$6:$J$6</definedName>
    <definedName name="BExU9F05OR1GZ3057R6UL3WPEIYI" hidden="1">[2]Table!$I$10:$J$10</definedName>
    <definedName name="BExU9I01VARKAPBHO8929ADTVOU8" hidden="1">[2]Table!$G$2</definedName>
    <definedName name="BExU9KJOZLO15N11MJVN782NFGJ0" hidden="1">[2]Table!$G$2</definedName>
    <definedName name="BExU9LG29XU2K1GNKRO4438JYQZE" hidden="1">[2]Table!$F$10:$G$10</definedName>
    <definedName name="BExU9O55RIDU9YDL4O4HLBKHZWJ4" hidden="1">[2]Table!$I$11:$J$11</definedName>
    <definedName name="BExU9RW36I5Z6JIXUIUB3PJH86LT" hidden="1">[2]Table!$I$11:$J$11</definedName>
    <definedName name="BExU9TU5RSI8N06RAZW9RU6CFFLJ" hidden="1">[2]Table!$K8:$L$8</definedName>
    <definedName name="BExUA28AO7OWDG3H23Q0CL4B7BHW" hidden="1">[2]Table!$I$10:$J$10</definedName>
    <definedName name="BExUA28AY11RZBMSBUXQPXJ1RXO7" hidden="1">[2]Table!$F$6:$G$6</definedName>
    <definedName name="BExUA46CAIDBXXWV7SSP68U0KRGS" hidden="1">[2]Table!$F$15</definedName>
    <definedName name="BExUA6Q4K25VH452AQ3ZIRBCMS61" hidden="1">[2]Table!$I$11:$J$11</definedName>
    <definedName name="BExUABDF3UD82W4506IH1T7UOPF7" hidden="1">[2]Table!$C$15:$D$45</definedName>
    <definedName name="BExUAFV4JMBSM2SKBQL9NHL0NIBS" hidden="1">[2]Table!$I$8:$J$8</definedName>
    <definedName name="BExUAHNVCM7A1DPJU6UD6YTQEO8C" hidden="1">[2]Table!$K$7:$L$7</definedName>
    <definedName name="BExUAMWQODKBXMRH1QCMJLJBF8M7" hidden="1">[2]Table!$I$8:$J$8</definedName>
    <definedName name="BExUAU91KDZZ01VH4FHW3RJYJOHO" hidden="1">[2]Table!$C$15:$D$31</definedName>
    <definedName name="BExUAX8WS5OPVLCDXRGKTU2QMTFO" hidden="1">[2]Table!$F$11:$G$11</definedName>
    <definedName name="BExUB33FJHDI3XKPQSVL75HO9RQ3" hidden="1">[2]Graph!$I$7:$J$7</definedName>
    <definedName name="BExUB3JHDL430WKBOVB9KNTSWU3Q" hidden="1">[2]Graph!$F$7:$G$7</definedName>
    <definedName name="BExUB8HLEXSBVPZ5AXNQEK96F1N4" hidden="1">[2]Table!$I$8:$J$8</definedName>
    <definedName name="BExUBCDVZIEA7YT0LPSMHL5ZSERQ" hidden="1">[2]Table!$F$11:$G$11</definedName>
    <definedName name="BExUBL83ED0P076RN9RJ8P1MZ299" hidden="1">[2]Table!$H$2:$I$2</definedName>
    <definedName name="BExUBN64LPXX4Z738WO97YQ5MXMX" hidden="1">[2]Graph!$I$7:$J$7</definedName>
    <definedName name="BExUBNRVHXRIJBHKA2TWL10IFYUF" hidden="1">[2]Graph!$I$6:$J$6</definedName>
    <definedName name="BExUBPV8GB3LLCKQZCK9OFOFPN4G" hidden="1">[2]Graph!$F$6:$G$6</definedName>
    <definedName name="BExUBZ0EE4SVO5BJRRVPTEB5ASQI" hidden="1">[2]Table!$F$15</definedName>
    <definedName name="BExUC623BDYEODBN0N4DO6PJQ7NU" hidden="1">[2]Table!$C$15:$D$20</definedName>
    <definedName name="BExUC8WH8TCKBB5313JGYYQ1WFLT" hidden="1">[2]Table!$I$11:$J$11</definedName>
    <definedName name="BExUCAEFQA006OU1SDFOQZX8XWWA" hidden="1">[2]Table!$K$10:$L$10</definedName>
    <definedName name="BExUCAEGQZ6PB4AG64761OAR17RY" hidden="1">[2]Graph!$I$9:$J$9</definedName>
    <definedName name="BExUCFCDK6SPH86I6STXX8X3WMC4" hidden="1">[2]Table!$F$11:$G$11</definedName>
    <definedName name="BExUCFHUWG74ELWDQ7KKOARN9AJ7" hidden="1">[2]Graph!$C$15:$D$31</definedName>
    <definedName name="BExUCYDM87Q3SBC8KIYS0EJJ47WW" hidden="1">[2]Table!$F$10:$G$10</definedName>
    <definedName name="BExUD4IOJ12X3PJG5WXNNGDRCKAP" hidden="1">[2]Table!$G$2</definedName>
    <definedName name="BExUD5PU2RNU38OVTV59O8AJ1M2D" hidden="1">[2]Table!$I$8:$J$8</definedName>
    <definedName name="BExUD9WX9BWK72UWVSLYZJLAY5VY" hidden="1">[2]Table!$I$6:$J$6</definedName>
    <definedName name="BExUDATA6V6FF25AGR1XPDYADV29" hidden="1">[2]Table!$I$9:$J$9</definedName>
    <definedName name="BExUDEV0CYVO7Y5IQQBEJ6FUY9S6" hidden="1">[2]Table!$H$1</definedName>
    <definedName name="BExUDQ3JPLF15XXZMZ6T43VLXCV3" hidden="1">[2]Graph!$F$10:$G$10</definedName>
    <definedName name="BExUDVSKX6U456J3UEME0DTO95N2" hidden="1">[2]Graph!$F$7:$G$7</definedName>
    <definedName name="BExUDWOXQGIZW0EAIIYLQUPXF8YV" hidden="1">[2]Table!$H$2:$I$2</definedName>
    <definedName name="BExUE2OQENESKFGH0XTF4SSICMQR" hidden="1">[2]Graph!$F$10:$G$10</definedName>
    <definedName name="BExUEJGX3OQQP5KFRJSRCZ70EI9V" hidden="1">[2]Table!$H$1</definedName>
    <definedName name="BExUEYR71COFS2X8PDNU21IPMQEU" hidden="1">[2]Table!$F$8:$G$8</definedName>
    <definedName name="BExVPRLJ9I6RX45EDVFSQGCPJSOK" hidden="1">[2]Table!$I$10:$J$10</definedName>
    <definedName name="BExVQOKE7VUZ73RU83AD23S36B4J" hidden="1">[2]Table!$I$10:$J$10</definedName>
    <definedName name="BExVQYGFXLKIZJ68C0JOGH2RQ8L1" hidden="1">[2]Graph!$F$9:$G$9</definedName>
    <definedName name="BExVR15ITEN8TF2H5MGLG77YNGFE" hidden="1">[2]Graph!$C$15:$D$29</definedName>
    <definedName name="BExVR8NAH73TVNEQ6TXX8GAYA4RX" hidden="1">[2]Graph!$C$15:$D$29</definedName>
    <definedName name="BExVR9UFR4DAG5ZX0B0G6YB4P0VX" hidden="1">[2]Table!$F$7:$G$7</definedName>
    <definedName name="BExVSG3SFEKBNS5LQ6UBG541AJ61" hidden="1">[2]Table!$I$10:$J$10</definedName>
    <definedName name="BExVSGEK14BBYZWO9BT14BMMHE8X" hidden="1">[2]Table!$K$11:$L$11</definedName>
    <definedName name="BExVSL787C8E4HFQZ2NVLT35I2XV" hidden="1">[2]Table!$I$10:$J$10</definedName>
    <definedName name="BExVSS3DCMWYPYHOFTUXBP6FBTD2" hidden="1">[2]Table!$K$2</definedName>
    <definedName name="BExVSTFTVV14SFGHQUOJL5SQ5TX9" hidden="1">[2]Table!$G$2</definedName>
    <definedName name="BExVT3MPE8LQ5JFN3HQIFKSQ80U4" hidden="1">[2]Table!$F$8:$G$8</definedName>
    <definedName name="BExVT7TRK3NZHPME2TFBXOF1WBR9" hidden="1">[2]Table!$I$9:$J$9</definedName>
    <definedName name="BExVT9H0R0T7WGQAAC0HABMG54YM" hidden="1">[2]Table!$K$2</definedName>
    <definedName name="BExVTCBKQZEGOV66NQ74PTZFQSYC" hidden="1">[2]Table!$J$1</definedName>
    <definedName name="BExVTCMDDEDGLUIMUU6BSFHEWTOP" hidden="1">[2]Table!$H$1</definedName>
    <definedName name="BExVTCMDQMLKRA2NQR72XU6Y54IK" hidden="1">[2]Table!$H$2:$I$2</definedName>
    <definedName name="BExVTCRV8FQ5U9OYWWL44N6KFNHU" hidden="1">[2]Table!$I$11:$J$11</definedName>
    <definedName name="BExVTF605YSSIVS1C6THF2KYQLBB" hidden="1">[2]Graph!$F$11:$G$11</definedName>
    <definedName name="BExVTMT82BYKRPKOWPX7V6Y6LISK" hidden="1">[2]Graph!$C$15:$D$31</definedName>
    <definedName name="BExVTNESHPVG0A0KZ7BRX26MS0PF" hidden="1">[2]Table!$I$7:$J$7</definedName>
    <definedName name="BExVTTJVTNRSBHBTUZ78WG2JM5MK" hidden="1">[2]Table!$I$6:$J$6</definedName>
    <definedName name="BExVTUAYUR922VXBNO4MN569BULR" hidden="1">[2]Graph!$F$10:$G$10</definedName>
    <definedName name="BExVTW3OZ04QHKTFPPDM5JDNT6C1" hidden="1">[2]Graph!$C$15:$D$29</definedName>
    <definedName name="BExVTXLMYR87BC04D1ERALPUFVPG" hidden="1">[2]Table!$F$15</definedName>
    <definedName name="BExVU3FYJV083D8THIR7FKSPABCE" hidden="1">[2]Table!$H$1:$H$1</definedName>
    <definedName name="BExVU6QMM5J49S1312H8AMNK3Y8U" hidden="1">[2]Graph!$I$8:$J$8</definedName>
    <definedName name="BExVUL9V3H8ZF6Y72LQBBN639YAA" hidden="1">[2]Table!$F$8:$G$8</definedName>
    <definedName name="BExVUT7WADDFTH8M1FXSJ4F5TUID" hidden="1">[2]Table!$I$6:$J$6</definedName>
    <definedName name="BExVUZD0N0FY9K19Q81BS670QVX4" hidden="1">[2]Table!$F$15:$G$22</definedName>
    <definedName name="BExVV222NGDR6H7U9ACGNHCSNQAJ" hidden="1">[2]Table!$F$15:$F$17</definedName>
    <definedName name="BExVV5T14N2HZIK7HQ4P2KG09U0J" hidden="1">[2]Table!$I$10:$J$10</definedName>
    <definedName name="BExVV695G5C9EZWIRDWFA6DF64TO" hidden="1">[2]Table!$J$2:$J$2</definedName>
    <definedName name="BExVV7R410VYLADLX9LNG63ID6H1" hidden="1">[2]Table!$I$10:$J$10</definedName>
    <definedName name="BExVVA033OB71P301YYKYS90S2LK" hidden="1">[2]Graph!$I$7:$J$7</definedName>
    <definedName name="BExVVCEED4JEKF59OV0G3T4XFMFO" hidden="1">[2]Table!$F$15</definedName>
    <definedName name="BExVVPFO2J7FMSRPD36909HN4BZJ" hidden="1">[2]Table!$C$15:$D$20</definedName>
    <definedName name="BExVVPVSIY4SXXPL1I8OU8TK5EGD" hidden="1">[2]Table!$H$1</definedName>
    <definedName name="BExVVQ19AQ3VCARJOC38SF7OYE9Y" hidden="1">[2]Table!$I$11:$J$11</definedName>
    <definedName name="BExVVQ19TAECID45CS4HXT1RD3AQ" hidden="1">[2]Table!$C$15:$D$20</definedName>
    <definedName name="BExVVTMQVNIRAAFJOM44CR0B0K2J" hidden="1">[2]Table!$I$9:$J$9</definedName>
    <definedName name="BExVVWBUN1FNF8X26FE9WD51PS8D" hidden="1">[2]Table!$I$6:$J$6</definedName>
    <definedName name="BExVVXOHAPTV6XNXEOJMWAW85EFK" hidden="1">[2]Table!$F$7:$G$7</definedName>
    <definedName name="BExVVZRZRZQDTYWZC20TE3K9I1DF" hidden="1">[2]Table!$K$2</definedName>
    <definedName name="BExVW3YV5XGIVJ97UUPDJGJ2P15B" hidden="1">[2]Table!$I$8:$J$8</definedName>
    <definedName name="BExVW44CLE4DNXO1NSIT8LJWELGA" hidden="1">[2]Table!$F$15:$F$17</definedName>
    <definedName name="BExVW5MC0ZRRH9DUOLII5MOZJNE0" hidden="1">[2]Graph!$C$15:$D$31</definedName>
    <definedName name="BExVW5X571GEYR5SCU1Z2DHKWM79" hidden="1">[2]Table!$H$2:$I$2</definedName>
    <definedName name="BExVW6IO8HY21JYFA5EOTF44T4IH" hidden="1">[2]Table!$I$8:$J$8</definedName>
    <definedName name="BExVW6YTKA098AF57M4PHNQ54XMH" hidden="1">[2]Table!$F$8:$G$8</definedName>
    <definedName name="BExVWINKCH0V0NUWH363SMXAZE62" hidden="1">[2]Table!$F$6:$G$6</definedName>
    <definedName name="BExVWYU8EK669NP172GEIGCTVPPA" hidden="1">[2]Table!$I$8:$J$8</definedName>
    <definedName name="BExVX1ZFLNSIE0G860P7MVMUHPCN" hidden="1">[2]Graph!$I$8:$J$8</definedName>
    <definedName name="BExVX3HJPV9ZPAY12RMBV261NE68" hidden="1">[2]Graph!$F$8:$G$8</definedName>
    <definedName name="BExVX3XN2DRJKL8EDBIG58RYQ36R" hidden="1">[2]Table!$I$6:$J$6</definedName>
    <definedName name="BExVXAOBWBWVI3P0N3ICOR2V7S3A" hidden="1">[2]Table!$F$6:$G$6</definedName>
    <definedName name="BExVXFBOZFQ6SGEGI9YD6AQF13PO" hidden="1">[2]Table!$I$9:$J$9</definedName>
    <definedName name="BExVXHKI6LFYMGWISMPACMO247HL" hidden="1">[2]Table!$F$9:$G$9</definedName>
    <definedName name="BExVXLX2BZ5EF2X6R41BTKRJR1NM" hidden="1">[2]Table!$H$1</definedName>
    <definedName name="BExVXNEZ22GJTTHZV422V1L4QZY9" hidden="1">[2]Graph!$C$15:$D$31</definedName>
    <definedName name="BExVY11V7U1SAY4QKYE0PBSPD7LW" hidden="1">[2]Table!$F$7:$G$7</definedName>
    <definedName name="BExVY1SV37DL5YU59HS4IG3VBCP4" hidden="1">[2]Table!$C$15:$D$20</definedName>
    <definedName name="BExVY3WFGJKSQA08UF9NCMST928Y" hidden="1">[2]Table!$F$7:$G$7</definedName>
    <definedName name="BExVY7N7APOSX562C86T41J73BNN" hidden="1">[2]Graph!$C$15:$D$29</definedName>
    <definedName name="BExVY7XZS7ZEEEI66TWUYUKRGMHJ" hidden="1">[2]Graph!$F$8:$G$8</definedName>
    <definedName name="BExVY954UOEVQEIC5OFO4NEWVKAQ" hidden="1">[2]Table!$F$11:$G$11</definedName>
    <definedName name="BExVYGC4ZIXC1I33QRLLDYBIR1UJ" hidden="1">[2]Table!$K$6:$L$6</definedName>
    <definedName name="BExVYHDYIV5397LC02V4FEP8VD6W" hidden="1">[2]Table!$I$10:$J$10</definedName>
    <definedName name="BExVYOVIZDA18YIQ0A30Q052PCAK" hidden="1">[2]Table!$H$2:$I$2</definedName>
    <definedName name="BExVYPBSHEILXGCE5B6KER8WC115" hidden="1">[2]Table!$F$11:$G$11</definedName>
    <definedName name="BExVYVGWN7SONLVDH9WJ2F1JS264" hidden="1">[2]Table!$I$7:$J$7</definedName>
    <definedName name="BExVZ2NVGHDE4X1100P3PTM31CIA" hidden="1">[2]Table!$F$8:$G$8</definedName>
    <definedName name="BExVZ9EO732IK6MNMG17Y1EFTJQC" hidden="1">[2]Table!$F$8:$G$8</definedName>
    <definedName name="BExVZB1Y5J4UL2LKK0363EU7GIJ1" hidden="1">[2]Table!$F$7:$G$7</definedName>
    <definedName name="BExVZDAY9B4FI5XQZJ421MW4WTDH" hidden="1">[2]Table!$I$7:$J$7</definedName>
    <definedName name="BExVZECN0EX9L6IV96CCAO6ONYVW" hidden="1">[2]Table!$F$6:$G$6</definedName>
    <definedName name="BExVZENF6M4O3L0L9BUWK4PYPS1O" hidden="1">[2]Table!$K$6:$L$6</definedName>
    <definedName name="BExVZESW4KWQ72XZ6AAT3JSAGMMO" hidden="1">[2]Graph!$F$9:$G$9</definedName>
    <definedName name="BExVZJQVO5LQ0BJH5JEN5NOBIAF6" hidden="1">[2]Table!$C$15:$D$20</definedName>
    <definedName name="BExVZNXWS91RD7NXV5NE2R3C8WW7" hidden="1">[2]Table!$I$8:$J$8</definedName>
    <definedName name="BExVZRDWG7XWSJTMEMOMQY3YTLO0" hidden="1">[2]Table!$I$9:$J$9</definedName>
    <definedName name="BExVZVA6REJXYCUE5RQN0O4P5X7Z" hidden="1">[2]Table!$K$2</definedName>
    <definedName name="BExVZZMP7JRFS9ZLCKT1G6C1BO71" hidden="1">[2]Table!$I$6:$J$6</definedName>
    <definedName name="BExW00TVWOHRG2LIVQXJQT5TSFWD" hidden="1">[2]Table!$F$7:$G$7</definedName>
    <definedName name="BExW02XFU8ALR7O8RK1H6GAELHAK" hidden="1">[2]Table!$F$6:$G$6</definedName>
    <definedName name="BExW0386REQRCQCVT9BCX80UPTRY" hidden="1">[2]Table!$K$2</definedName>
    <definedName name="BExW0FNVC917PIQE0UUBHSIJAKDM" hidden="1">[2]Table!$F$15:$M$152</definedName>
    <definedName name="BExW0FYP4WXY71CYUG40SUBG9UWU" hidden="1">[2]Table!$H$2:$I$2</definedName>
    <definedName name="BExW0GEY1ECYVT5D0CBEXU66EEWR" hidden="1">[2]Table!$I$9:$J$9</definedName>
    <definedName name="BExW0HBAR94L0RTT4FLGEJ88FO94" hidden="1">[2]Graph!$I$10:$J$10</definedName>
    <definedName name="BExW0HBC1RMZ2GDGOGDTNAOOFO74" hidden="1">[2]Graph!$C$15:$D$29</definedName>
    <definedName name="BExW0PJY0QT1YYHEOQPDHHNJJOC5" hidden="1">[2]Graph!$F$10:$G$10</definedName>
    <definedName name="BExW0RI61B4VV0ARXTFVBAWRA1C5" hidden="1">[2]Table!$F$9:$G$9</definedName>
    <definedName name="BExW0RSYZOAJ83TN0TU5L54EGYFJ" hidden="1">[2]Table!$J$2:$J$2</definedName>
    <definedName name="BExW0WLEH1T0ROEGVXSD56OU5T05" hidden="1">[2]Table!$L$2</definedName>
    <definedName name="BExW1ADQRZ72KFON77PLOXFE7RH5" hidden="1">[2]Table!$F$15</definedName>
    <definedName name="BExW1BVUYQTKMOR56MW7RVRX4L1L" hidden="1">[2]Table!$F$15</definedName>
    <definedName name="BExW1EVR0672EIL5VZGIVGKVKZLO" hidden="1">[2]Graph!$C$15:$D$30</definedName>
    <definedName name="BExW1F1220628FOMTW5UAATHRJHK" hidden="1">[2]Table!$F$8:$G$8</definedName>
    <definedName name="BExW1NF5L4ZVUV0NFZNNH1VXGYPX" hidden="1">[2]Table!$I$10:$J$10</definedName>
    <definedName name="BExW1RBG52JDKEEGZNQMJILTHGRY" hidden="1">[2]Table!$I$15</definedName>
    <definedName name="BExW1TKA0Z9OP2DTG50GZR5EG8C7" hidden="1">[2]Table!$K$2</definedName>
    <definedName name="BExW1U0JLKQ094DW5MMOI8UHO09V" hidden="1">[2]Table!$I$8:$J$8</definedName>
    <definedName name="BExW1XWTQZYF15WRTIIMSU3JBLFC" hidden="1">[2]Table!$K$7:$K$8</definedName>
    <definedName name="BExW22PFRC5Z8F9CWYZ7NKJ814DQ" hidden="1">[2]Table!$F$7:$G$7</definedName>
    <definedName name="BExW22PGTQTO5C5TK1RQUWPR4X8X" hidden="1">[2]Graph!$F$6:$G$6</definedName>
    <definedName name="BExW27CKTHXIQCUL3RSLAFEQV8VT" hidden="1">[2]Graph!$F$8:$G$8</definedName>
    <definedName name="BExW283NP9D366XFPXLGSCI5UB0L" hidden="1">[2]Table!$F$6:$G$6</definedName>
    <definedName name="BExW29QXC6LUVX51Q94YHC35CJVU" hidden="1">[2]Table!$C$15:$D$32</definedName>
    <definedName name="BExW2H3C8WJSBW5FGTFKVDVJC4CL" hidden="1">[2]Table!$I$7:$J$7</definedName>
    <definedName name="BExW2MSCKPGF5K3I7TL4KF5ISUOL" hidden="1">[2]Table!$F$15</definedName>
    <definedName name="BExW2SMO90FU9W8DVVES6Q4E6BZR" hidden="1">[2]Table!$F$6:$G$6</definedName>
    <definedName name="BExW34RKT797W81H4FMZS9C5DHS4" hidden="1">[2]Table!$I$8:$J$8</definedName>
    <definedName name="BExW35YV9V70DFOPLUGI2W7IYOU2" hidden="1">[2]Graph!$C$15:$D$29</definedName>
    <definedName name="BExW36V9N91OHCUMGWJQL3I5P4JK" hidden="1">[2]Table!$F$15</definedName>
    <definedName name="BExW3EIBA1J9Q9NA9VCGZGRS8WV7" hidden="1">[2]Table!$F$9:$G$9</definedName>
    <definedName name="BExW3FEO8FI8N6AGQKYEG4SQVJWB" hidden="1">[2]Table!$K$2</definedName>
    <definedName name="BExW3GB28STOMJUSZEIA7YKYNS4Y" hidden="1">[2]Table!$H$2:$I$2</definedName>
    <definedName name="BExW3R8T2MXWYFEU5C2B5YCW5CZF" hidden="1">[2]Graph!$F$11:$G$11</definedName>
    <definedName name="BExW3T1K638HT5E0Y8MMK108P5JT" hidden="1">[2]Table!$F$6:$G$6</definedName>
    <definedName name="BExW4217ZHL9VO39POSTJOD090WU" hidden="1">[2]Table!$F$6:$G$6</definedName>
    <definedName name="BExW4332DC8PWTWXCNJO6BSV7K40" hidden="1">[2]Table!$I$9:$J$9</definedName>
    <definedName name="BExW45HCL8KXS4E8JZMVLBHPDA0T" hidden="1">[2]Table!$F$15:$G$23</definedName>
    <definedName name="BExW4CZ38BU6S6YS3EXAHMSG65D1" hidden="1">[2]Graph!$I$8:$J$8</definedName>
    <definedName name="BExW4GPW71EBF8XPS2QGVQHBCDX3" hidden="1">[2]Table!$H$2:$I$2</definedName>
    <definedName name="BExW4L7R1NVUKEQSVWZPXWCI6NVN" hidden="1">[2]Graph!$F$10:$G$10</definedName>
    <definedName name="BExW4QR9FV9MP5K610THBSM51RYO" hidden="1">[2]Table!$H$2:$I$2</definedName>
    <definedName name="BExW4Z029R9E19ZENN3WEA3VDAD1" hidden="1">[2]Table!$G$2</definedName>
    <definedName name="BExW4ZG70EV8RTSX1Q1VN99M9YDZ" hidden="1">[2]Table!$F$6:$G$6</definedName>
    <definedName name="BExW57ZSKZHM4WWSOYFJDGSG82YD" hidden="1">[2]Table!$F$11:$G$11</definedName>
    <definedName name="BExW5AOV3CNJ2YVZIPOKO60TZNT9" hidden="1">[2]Table!$C$15:$D$30</definedName>
    <definedName name="BExW5AZNT6IAZGNF2C879ODHY1B8" hidden="1">[2]Table!$F$11:$G$11</definedName>
    <definedName name="BExW5EFO6R6U4UQLT4G2G4W9SX94" hidden="1">[2]Graph!$F$11:$G$11</definedName>
    <definedName name="BExW5K4NUVH2E4ZFN89DNMA6UH9B" hidden="1">[2]Table!$C$50:$E$60</definedName>
    <definedName name="BExW5QF9MC4NGB8PGXP99SHUV8UH" hidden="1">[2]Table!$K$9:$L$9</definedName>
    <definedName name="BExW5WPU27WD4NWZOT0ZEJIDLX5J" hidden="1">[2]Table!$I$6:$J$6</definedName>
    <definedName name="BExW5X64UZDAB8GEIIQBWQV66NV9" hidden="1">[2]Graph!$C$15:$D$29</definedName>
    <definedName name="BExW5ZEYRJ59IJLZU9RM9Z8W7GQF" hidden="1">[2]Graph!$C$15:$D$32</definedName>
    <definedName name="BExW61NYOHBXEBCZ80ZJTB38E7BS" hidden="1">[2]Graph!$I$7:$J$7</definedName>
    <definedName name="BExW660AV1TUV2XNUPD65RZR3QOO" hidden="1">[2]Table!$F$9:$G$9</definedName>
    <definedName name="BExW66GF9BVHUMK0MT0E8HWQ8JWS" hidden="1">[2]Table!$I$6:$J$6</definedName>
    <definedName name="BExW66LVVZK656PQY1257QMHP2AY" hidden="1">[2]Table!$H$1</definedName>
    <definedName name="BExW6EJPHAP1TWT380AZLXNHR22P" hidden="1">[2]Table!$I$7:$J$7</definedName>
    <definedName name="BExW6G1PJ38H10DVLL8WPQ736OEB" hidden="1">[2]Table!$I$6:$J$6</definedName>
    <definedName name="BExW6M6Y9GCJHV8VLB6B4I0IETV6" hidden="1">[2]Table!$K$11:$L$11</definedName>
    <definedName name="BExW6OVXAQPJWWGYCBA032CIA02Y" hidden="1">[2]Graph!$C$15:$D$31</definedName>
    <definedName name="BExW6QE0VJ5RRAQZB4SWWF8JTHCL" hidden="1">[2]Graph!$F$7:$G$7</definedName>
    <definedName name="BExW6WJ2VW51JNF32JZF98WJDRR3" hidden="1">[2]Graph!$I$8:$J$8</definedName>
    <definedName name="BExW74MG1WIOS7FRGX4CXWYNPZV1" hidden="1">[2]Graph!$I$7:$J$7</definedName>
    <definedName name="BExW794A74Z5F2K8LVQLD6VSKXUE" hidden="1">[2]Table!$F$8:$G$8</definedName>
    <definedName name="BExW7NSY9CQA1O23DAZ9TYTC0PAO" hidden="1">[2]Graph!$F$7:$G$7</definedName>
    <definedName name="BExW7S5D2G144QB2URCM0MUW7F92" hidden="1">[2]Graph!$I$10:$J$10</definedName>
    <definedName name="BExW80ZPMR9RC30THJL4EL4F8P7R" hidden="1">[2]Table!$F$7:$G$7</definedName>
    <definedName name="BExW89DT2OUQ24LOFUS7BMP44P4B" hidden="1">[2]Graph!$F$11:$G$11</definedName>
    <definedName name="BExW8K0SSIPSKBVP06IJ71600HJZ" hidden="1">[2]Table!$H$2:$I$2</definedName>
    <definedName name="BExW8T0GVY3ZYO4ACSBLHS8SH895" hidden="1">[2]Table!$F$15</definedName>
    <definedName name="BExW8YEP73JMMU9HZ08PM4WHJQZ4" hidden="1">[2]Table!$I$8:$J$8</definedName>
    <definedName name="BExW937AT53OZQRHNWQZ5BVH24IE" hidden="1">[2]Table!$I$11:$J$11</definedName>
    <definedName name="BExW95LN5N0LYFFVP7GJEGDVDLF0" hidden="1">[2]Table!$G$2</definedName>
    <definedName name="BExW967733Q8RAJOHR2GJ3HO8JIW" hidden="1">[2]Table!$I$6:$J$6</definedName>
    <definedName name="BExW9G39X58B5FGJEE8EY65TJ80A" hidden="1">[2]Graph!$I$6:$J$6</definedName>
    <definedName name="BExW9JZK2CSFMKED1TX7YD9FRDO3" hidden="1">[2]Graph!$I$8:$J$8</definedName>
    <definedName name="BExW9POK1KIOI0ALS5MZIKTDIYMA" hidden="1">[2]Table!$I$10:$J$10</definedName>
    <definedName name="BExXLDE6PN4ESWT3LXJNQCY94NE4" hidden="1">[2]Table!$C$15:$D$20</definedName>
    <definedName name="BExXLQVPK2H3IF0NDDA5CT612EUK" hidden="1">[2]Table!$I$6:$J$6</definedName>
    <definedName name="BExXLR6IO70TYTACKQH9M5PGV24J" hidden="1">[2]Table!$F$11:$G$11</definedName>
    <definedName name="BExXM065WOLYRYHGHOJE0OOFXA4M" hidden="1">[2]Table!$C$15:$D$20</definedName>
    <definedName name="BExXM3GUNXVDM82KUR17NNUMQCNI" hidden="1">[2]Table!$F$7:$G$7</definedName>
    <definedName name="BExXMA28M8SH7MKIGETSDA72WUIZ" hidden="1">[2]Table!$I$9:$J$9</definedName>
    <definedName name="BExXMOLHIAHDLFSA31PUB36SC3I9" hidden="1">[2]Table!$G$2</definedName>
    <definedName name="BExXMT8T5Z3M2JBQN65X2LKH0YQI" hidden="1">[2]Table!$I$7:$J$7</definedName>
    <definedName name="BExXMXQN6IJ852T4D54VEBVK7JWY" hidden="1">[2]Table!$I$9:$J$9</definedName>
    <definedName name="BExXN1XNO7H60M9X1E7EVWFJDM5N" hidden="1">[2]Table!$I$7:$J$7</definedName>
    <definedName name="BExXN22ZOTIW49GPLWFYKVM90FNZ" hidden="1">[2]Table!$F$6:$G$6</definedName>
    <definedName name="BExXN6QAP8UJQVN4R4BQKPP4QK35" hidden="1">[2]Table!$F$7:$G$7</definedName>
    <definedName name="BExXN6VMV6XK4PQG0WBIDW5BUDRR" hidden="1">[2]Table!$I$6:$I$7</definedName>
    <definedName name="BExXNBOA39T2X6Y5Y5GZ5DDNA1AX" hidden="1">[2]Table!$F$8:$G$8</definedName>
    <definedName name="BExXND6872VJ3M2PGT056WQMWBHD" hidden="1">[2]Table!$G$2</definedName>
    <definedName name="BExXNG0SH2HU5JRTXXMYSWZ42WE8" hidden="1">[2]Graph!$C$15:$D$31</definedName>
    <definedName name="BExXNPM24UN2PGVL9D1TUBFRIKR4" hidden="1">[2]Table!$F$7:$G$7</definedName>
    <definedName name="BExXNSLYWITH4246M4YVOUIV04ZJ" hidden="1">[2]Graph!$C$15:$D$29</definedName>
    <definedName name="BExXNU98L5JGD5HUU3895IEOEU5W" hidden="1">[2]Table!$G$2</definedName>
    <definedName name="BExXNWYB165VO9MHARCL5WLCHWS0" hidden="1">[2]Table!$C$15:$D$20</definedName>
    <definedName name="BExXO1G5TG80TSHNS86X0DXO6YHY" hidden="1">[2]Graph!$I$11:$J$11</definedName>
    <definedName name="BExXO278QHQN8JDK5425EJ615ECC" hidden="1">[2]Table!$F$7:$G$7</definedName>
    <definedName name="BExXO6E9ABFOYA2LVN6RLW4BO9G6" hidden="1">[2]Graph!$F$7:$G$7</definedName>
    <definedName name="BExXO6ZP85325PSLSXWM38N73O6V" hidden="1">[2]Graph!$F$10:$G$10</definedName>
    <definedName name="BExXO756SQ2Q8RYEMPBDFHTXYX1U" hidden="1">[2]Graph!$F$10:$G$10</definedName>
    <definedName name="BExXOHC17UAUP444LYCM8J04IOIF" hidden="1">[2]Table!$F$10:$G$10</definedName>
    <definedName name="BExXOHSAD2NSHOLLMZ2JWA4I3I1R" hidden="1">[2]Table!$I$7:$J$7</definedName>
    <definedName name="BExXOJQBVBDGLVEYZAE7AL8F0VWX" hidden="1">[2]Graph!$I$8:$J$8</definedName>
    <definedName name="BExXOMQ9421Y32TZ81U6YGIP35QU" hidden="1">[2]Graph!$C$15:$D$29</definedName>
    <definedName name="BExXP1K8HX4HQVOOX9EOMQHCYBS4" hidden="1">[2]Table!$C$15:$D$16</definedName>
    <definedName name="BExXP1V2GCFJTX3DR537V3H97QUF" hidden="1">[2]Graph!$F$9:$G$9</definedName>
    <definedName name="BExXP80B5FGA00JCM7UXKPI3PB7Y" hidden="1">[2]Table!$I$9:$J$9</definedName>
    <definedName name="BExXP85M4WXYVN1UVHUTOEKEG5XS" hidden="1">[2]Table!$F$8:$G$8</definedName>
    <definedName name="BExXPA3UADYTDSQIP3ADF2TRUAN0" hidden="1">[2]Table!$J$2</definedName>
    <definedName name="BExXPDUMN4B85QFXGPSJPII52QR3" hidden="1">[2]Graph!$I$8:$J$8</definedName>
    <definedName name="BExXPELOTHOAG0OWILLAH94OZV5J" hidden="1">[2]Table!$H$2:$I$2</definedName>
    <definedName name="BExXPPJF8TG9M69V7CXQHKD3Y425" hidden="1">[2]Table!$I$6:$J$6</definedName>
    <definedName name="BExXPS31W1VD2NMIE4E37LHVDF0L" hidden="1">[2]Table!$F$8:$G$8</definedName>
    <definedName name="BExXPUMU4BLFWI2L0MHMM5F3OUPL" hidden="1">[2]Graph!$F$11:$G$11</definedName>
    <definedName name="BExXPUSC4HAR541QPUIBRPLH6DSI" hidden="1">[2]Table!$F$9:$G$9</definedName>
    <definedName name="BExXPX14XCDBGMH54Q0CV7EB1AZI" hidden="1">[2]Table!$J$2:$J$2</definedName>
    <definedName name="BExXPXS1OV5732ZY6JN4ZR68NFYR" hidden="1">[2]Table!$I$15:$Z$3079</definedName>
    <definedName name="BExXPY8B1COMTQCF867UZ00ZWN7S" hidden="1">[2]Table!$I$15</definedName>
    <definedName name="BExXPZKYEMVF5JOC14HYOOYQK6JK" hidden="1">[2]Table!$G$2</definedName>
    <definedName name="BExXQ06J7OF0O2FO4WR0QK93RJ17" hidden="1">[2]Graph!$F$9:$G$9</definedName>
    <definedName name="BExXQ6RQDEZQMO8Y78KP5AN1RRE4" hidden="1">[2]Table!$I$6:$J$6</definedName>
    <definedName name="BExXQ84CNFTSXM13D4EWOGEE5XVB" hidden="1">[2]Table!$L$2:$L$2</definedName>
    <definedName name="BExXQ89PA10X79WBWOEP1AJX1OQM" hidden="1">[2]Table!$F$11:$G$11</definedName>
    <definedName name="BExXQCGQGGYSI0LTRVR73MUO50AW" hidden="1">[2]Table!$I$6:$J$6</definedName>
    <definedName name="BExXQEEXFHDQ8DSRAJSB5ET6J004" hidden="1">[2]Table!$F$6:$G$6</definedName>
    <definedName name="BExXQFBBF7MZ5K6KEY6602YE4MDQ" hidden="1">[2]Table!$I$9:$J$9</definedName>
    <definedName name="BExXQH41O5HZAH8BO6HCFY8YC3TU" hidden="1">[2]Table!$C$15:$D$19</definedName>
    <definedName name="BExXQHPNAFE4M6C2HYRCQNIU9D31" hidden="1">[2]Graph!$C$15:$D$29</definedName>
    <definedName name="BExXQJIEF5R3QQ6D8HO3NGPU0IQC" hidden="1">[2]Table!$G$2</definedName>
    <definedName name="BExXQMYEOGRO69K9BLZF14USRMVP" hidden="1">[2]Graph!$I$7:$J$7</definedName>
    <definedName name="BExXQS1SGPIQX0ESRMCECOYMUQQJ" hidden="1">[2]Graph!$C$15:$D$29</definedName>
    <definedName name="BExXQTE9H7T2X1U7HJ6UPE6C0OM3" hidden="1">[2]Table!$I$10:$J$10</definedName>
    <definedName name="BExXQU00K9ER4I1WM7T9J0W1E7ZC" hidden="1">[2]Table!$I$10:$J$10</definedName>
    <definedName name="BExXQU00KOR7XLM8B13DGJ1MIQDY" hidden="1">[2]Table!$F$10:$G$10</definedName>
    <definedName name="BExXQXG0NDNQ4YBKN16G3C5GTTUZ" hidden="1">[2]Table!$I$6:$J$6</definedName>
    <definedName name="BExXQXG18PS8HGBOS03OSTQ0KEYC" hidden="1">[2]Table!$G$2</definedName>
    <definedName name="BExXR3FSEXAHSXEQNJORWFCPX86N" hidden="1">[2]Table!$I$6:$J$6</definedName>
    <definedName name="BExXR3W3FKYQBLR299HO9RZ70C43" hidden="1">[2]Table!$F$6:$G$6</definedName>
    <definedName name="BExXR41ECIAGQ9VR5MK3CQJQ9MIU" hidden="1">[2]Table!$I$6:$J$6</definedName>
    <definedName name="BExXR46U23CRRBV6IZT982MAEQKI" hidden="1">[2]Table!$I$7:$J$7</definedName>
    <definedName name="BExXR8OKAVX7O70V5IYG2PRKXSTI" hidden="1">[2]Table!$I$7:$J$7</definedName>
    <definedName name="BExXRA6N6XCLQM6XDV724ZIH6G93" hidden="1">[2]Table!$F$10:$G$10</definedName>
    <definedName name="BExXRABZ1CNKCG6K1MR6OUFHF7J9" hidden="1">[2]Table!$F$10:$G$10</definedName>
    <definedName name="BExXRBOFETC0OTJ6WY3VPMFH03VB" hidden="1">[2]Table!$I$8:$J$8</definedName>
    <definedName name="BExXRD13K1S9Y3JGR7CXSONT7RJZ" hidden="1">[2]Table!$C$15:$D$20</definedName>
    <definedName name="BExXRDMNT8XJ08BMYBCQHDXRCE0S" hidden="1">[2]Table!$I$11:$J$11</definedName>
    <definedName name="BExXRF4L7VMNORWGJGMM5VOBN7D5" hidden="1">[2]Table!$F$9:$G$9</definedName>
    <definedName name="BExXRHIY77F53DUYX7CMZPXGRDAG" hidden="1">[2]Graph!$F$6:$G$6</definedName>
    <definedName name="BExXRIFB4QQ87QIGA9AG0NXP577K" hidden="1">[2]Table!$F$10:$G$10</definedName>
    <definedName name="BExXRIQ2JF2CVTRDQX2D9SPH7FTN" hidden="1">[2]Table!$I$11:$J$11</definedName>
    <definedName name="BExXRO4A6VUH1F4XV8N1BRJ4896W" hidden="1">[2]Table!$C$15:$D$20</definedName>
    <definedName name="BExXRO9N1SNJZGKD90P4K7FU1J0P" hidden="1">[2]Table!$F$15</definedName>
    <definedName name="BExXROPVBG7AK5OIK1CU8DJ0QPLB" hidden="1">[2]Table!$I$10:$J$10</definedName>
    <definedName name="BExXRS0K9QXJDFOL2OFW4J1BIMDH" hidden="1">[2]Table!$I$9:$J$9</definedName>
    <definedName name="BExXRV5QP3Z0KAQ1EQT9JYT2FV0L" hidden="1">[2]Table!$F$10:$G$10</definedName>
    <definedName name="BExXRZ20LZZCW8LVGDK0XETOTSAI" hidden="1">[2]Table!$F$15</definedName>
    <definedName name="BExXS0EOEUV9OZS9AS26AKLMCL6C" hidden="1">[2]Table!$J$2:$J$2</definedName>
    <definedName name="BExXS0URSNGWG0H6UZHLIVU6RHOJ" hidden="1">[2]Table!$F$8:$G$8</definedName>
    <definedName name="BExXS4WD2W8SB55UAX2LY5DJ5HQX" hidden="1">[2]Table!$F$8:$G$8</definedName>
    <definedName name="BExXS4WILL35SI8F9RYL55GJV8MT" hidden="1">[2]Table!$I$11:$J$11</definedName>
    <definedName name="BExXS63O4OMWMNXXAODZQFSDG33N" hidden="1">[2]Table!$F$6:$G$6</definedName>
    <definedName name="BExXSBY0S70HRJ1R0POASBK3RJTG" hidden="1">[2]Graph!$I$9:$J$9</definedName>
    <definedName name="BExXSC8RFK5D68FJD2HI4K66SA6I" hidden="1">[2]Table!$F$10:$G$10</definedName>
    <definedName name="BExXSGQNYS5D1JNLJDWL3KO5DBL0" hidden="1">[2]Table!$I$6:$J$6</definedName>
    <definedName name="BExXSIJCKMADFNJOBP40HBR1ZB9T" hidden="1">[2]Table!$K$11:$L$11</definedName>
    <definedName name="BExXSNHC88W4UMXEOIOOATJAIKZO" hidden="1">[2]Table!$I$8:$J$8</definedName>
    <definedName name="BExXSOTYZC7V6TU284TWSZJFO64M" hidden="1">[2]Table!$F$6:$G$6</definedName>
    <definedName name="BExXSVQ2WOJJ73YEO8Q2FK60V4G8" hidden="1">[2]Table!$I$8:$J$8</definedName>
    <definedName name="BExXT1KFEFKIPKG2SIV49X94BT3C" hidden="1">[2]Graph!$F$7:$G$7</definedName>
    <definedName name="BExXT3TG2OYGGLLYYS7BOCC42VLH" hidden="1">[2]Graph!$I$11:$J$11</definedName>
    <definedName name="BExXTHLRNL82GN7KZY3TOLO508N7" hidden="1">[2]Table!$F$8:$G$8</definedName>
    <definedName name="BExXTINEGPKZ75DCUCEF3QOV6OES" hidden="1">[2]Graph!$F$11:$G$11</definedName>
    <definedName name="BExXTKAV4Y4JQ7D62LKGD89F9WMF" hidden="1">[2]Graph!$I$9:$J$9</definedName>
    <definedName name="BExXTL72MKEQSQH9L2OTFLU8DM2B" hidden="1">[2]Table!$F$8:$G$8</definedName>
    <definedName name="BExXTM3LQ1SRN0TERH4AGJQH932V" hidden="1">[2]Table!$H$1</definedName>
    <definedName name="BExXTM3M4RTCRSX7VGAXGQNPP668" hidden="1">[2]Table!$F$7:$G$7</definedName>
    <definedName name="BExXTP3GYO6Z9RTKKT10XA0UTV3T" hidden="1">[2]Table!$I$8:$J$8</definedName>
    <definedName name="BExXTTLC5O801D1CGLR8NMPWNI81" hidden="1">[2]Table!$I$10:$J$10</definedName>
    <definedName name="BExXTUC7NQVNEOVSUMKLEQG21X82" hidden="1">[2]Table!$C$46:$E$53</definedName>
    <definedName name="BExXTUC8Y9ETEK4ILXEJ9QPKQ15I" hidden="1">[2]Table!$F$15</definedName>
    <definedName name="BExXTUN111OPSV8A2URMNRKXUWFT" hidden="1">[2]Table!$I$9:$J$9</definedName>
    <definedName name="BExXTZKZ4CG92ZQLIRKEXXH9BFIR" hidden="1">[2]Table!$F$7:$G$7</definedName>
    <definedName name="BExXU4J2BM2964GD5UZHM752Q4NS" hidden="1">[2]Table!$F$9:$G$9</definedName>
    <definedName name="BExXU6XDTT7RM93KILIDEYPA9XKF" hidden="1">[2]Table!$I$6:$J$6</definedName>
    <definedName name="BExXU8VLZA7WLPZ3RAQZGNERUD26" hidden="1">[2]Table!$H$1</definedName>
    <definedName name="BExXUAYZWNAKQLJF7Q62873SCOT6" hidden="1">[2]Table!$K$6:$K$7</definedName>
    <definedName name="BExXUB9RSLSCNN5ETLXY72DAPZZM" hidden="1">[2]Table!$I$10:$J$10</definedName>
    <definedName name="BExXUFRM82XQIN2T8KGLDQL1IBQW" hidden="1">[2]Table!$G$2</definedName>
    <definedName name="BExXUJTCKL3BG3YGLFNIH450ZJAX" hidden="1">[2]Table!$I$8:$J$8</definedName>
    <definedName name="BExXUQ3XNQ4E2KPX7RSFE3TCBI5F" hidden="1">[2]Table!$I$9:$J$9</definedName>
    <definedName name="BExXUWJU0SZUKJKFO79CBNKTOY92" hidden="1">[2]Table!$I$11:$J$11</definedName>
    <definedName name="BExXUYND6EJO7CJ5KRICV4O1JNWK" hidden="1">[2]Table!$F$9:$G$9</definedName>
    <definedName name="BExXV1HWKTB46UXT08JLMPP8P4SP" hidden="1">[2]Graph!$F$11:$G$11</definedName>
    <definedName name="BExXV2JN7K57LUPN6KMWZIXWGNQK" hidden="1">[2]Table!$I$10:$J$10</definedName>
    <definedName name="BExXV6FWG4H3S2QEUJZYIXILNGJ7" hidden="1">[2]Table!$F$8:$G$8</definedName>
    <definedName name="BExXV8U6KLWCDCV2U8PHZW0TZ4U2" hidden="1">[2]Table!$I$6:$J$6</definedName>
    <definedName name="BExXV9L9O1UPHMV9E17058QFMP7X" hidden="1">[2]Table!$I$9:$J$9</definedName>
    <definedName name="BExXVK87BMMO6LHKV0CFDNIQVIBS" hidden="1">[2]Table!$I$11:$J$11</definedName>
    <definedName name="BExXVKZ9WXPGL6IVY6T61IDD771I" hidden="1">[2]Table!$F$8:$G$8</definedName>
    <definedName name="BExXVU9S1K7T2LQ95LLWOPCSV3SN" hidden="1">[2]Table!$K$7:$L$7</definedName>
    <definedName name="BExXW15RIU10U96AKYXOKZZEVQAX" hidden="1">[2]Graph!$C$15:$D$31</definedName>
    <definedName name="BExXW27MMXHXUXX78SDTBE1JYTHT" hidden="1">[2]Table!$I$7:$J$7</definedName>
    <definedName name="BExXW2YIM2MYBSHRIX0RP9D4PRMN" hidden="1">[2]Table!$I$6:$J$6</definedName>
    <definedName name="BExXW33YPYC05TFK748SWE2DUFUM" hidden="1">[2]Graph!$F$6:$G$6</definedName>
    <definedName name="BExXW707YQDDRZ7FJ5XVQXGCEY8K" hidden="1">[2]Table!$F$9:$G$9</definedName>
    <definedName name="BExXW708ISEFKLOQOWFRLDHEEDZE" hidden="1">[2]Table!$I$7:$J$7</definedName>
    <definedName name="BExXWBNE4KTFSXKVSRF6WX039WPB" hidden="1">[2]Table!$F$9:$G$9</definedName>
    <definedName name="BExXWDAT2Q2IVLMQ4CVYVQXEASIH" hidden="1">[2]Table!$K$2:$K$2</definedName>
    <definedName name="BExXWFP5AYE7EHYTJWBZSQ8PQ0YX" hidden="1">[2]Table!$I$9:$J$9</definedName>
    <definedName name="BExXWRJ8U07O4J2CYBEIY1UT6ZXV" hidden="1">[2]Table!$K$6:$L$6</definedName>
    <definedName name="BExXWVFIBQT8OY1O41FRFPFGXQHK" hidden="1">[2]Table!$K$2</definedName>
    <definedName name="BExXWWXHBZHA9J3N8K47F84X0M0L" hidden="1">[2]Table!$I$10:$J$10</definedName>
    <definedName name="BExXXBM521DL8R4ZX7NZ3DBCUOR5" hidden="1">[2]Table!$C$15:$D$20</definedName>
    <definedName name="BExXXBWXLOHWA8BGJ9FE274F8IXE" hidden="1">[2]Table!$F$15:$G$22</definedName>
    <definedName name="BExXXC7OZI33XZ03NRMEP7VRLQK4" hidden="1">[2]Table!$I$7:$J$7</definedName>
    <definedName name="BExXXGESOML1NCOJDQ5MVJFX578U" hidden="1">[2]Table!$F$9:$G$9</definedName>
    <definedName name="BExXXH5N3NKBQ7BCJPJTBF8CYM2Q" hidden="1">[2]Table!$I$6:$J$6</definedName>
    <definedName name="BExXXKWLM4D541BH6O8GOJMHFHMW" hidden="1">[2]Table!$I$9:$J$9</definedName>
    <definedName name="BExXXPPA1Q87XPI97X0OXCPBPDON" hidden="1">[2]Table!$I$11:$J$11</definedName>
    <definedName name="BExXXQQWTCUKNIYJQCMD6XJ0SGT9" hidden="1">[2]Table!$I$11:$J$11</definedName>
    <definedName name="BExXXZQNZY6IZI45DJXJK0MQZWA7" hidden="1">[2]Table!$H$1</definedName>
    <definedName name="BExXY0SAZOPJMDG9GOR625UDCCS8" hidden="1">[2]Graph!$F$8:$G$8</definedName>
    <definedName name="BExXY5QFG6QP94SFT3935OBM8Y4K" hidden="1">[2]Table!$I$7:$J$7</definedName>
    <definedName name="BExXY6C08SVK32RECCDMUQ0IQ2A4" hidden="1">[2]Table!$K$6:$L$6</definedName>
    <definedName name="BExXY7TYEBFXRYUYIFHTN65RJ8EW" hidden="1">[2]Table!$C$15:$D$20</definedName>
    <definedName name="BExXYB4NI5UNDLSY35FBTMPRLLQX" hidden="1">[2]Table!$I$10:$J$10</definedName>
    <definedName name="BExXYIRPA2OKGBQZJ2DH04AWY0T5" hidden="1">[2]Table!$I$11:$J$11</definedName>
    <definedName name="BExXYJ2HMVYYLXJUAI7BRJZ66UB9" hidden="1">[2]Table!$K$10:$L$10</definedName>
    <definedName name="BExXYLBHANUXC5FCTDDTGOVD3GQS" hidden="1">[2]Table!$I$8:$J$8</definedName>
    <definedName name="BExXYMNYAYH3WA2ZCFAYKZID9ZCI" hidden="1">[2]Table!$I$9:$J$9</definedName>
    <definedName name="BExXYYT12SVN2VDMLVNV4P3ISD8T" hidden="1">[2]Table!$I$7:$J$7</definedName>
    <definedName name="BExXZ4CKWN3R9HA311KINBA3R2K4" hidden="1">[2]Graph!$F$11:$G$11</definedName>
    <definedName name="BExXZ6QU5C0UMWY7U4BHVZNIPANK" hidden="1">[2]Graph!$F$8:$G$8</definedName>
    <definedName name="BExXZ71NOLX59DGX1VVQA716UESL" hidden="1">[2]Table!$I$7:$J$7</definedName>
    <definedName name="BExXZFVV4YB42AZ3H1I40YG3JAPU" hidden="1">[2]Table!$I$11:$J$11</definedName>
    <definedName name="BExXZHJ9T2JELF12CHHGD54J1B0C" hidden="1">[2]Table!$F$7:$G$7</definedName>
    <definedName name="BExXZM14XID3OAA88OURJ7QSZW1E" hidden="1">[2]Graph!$F$10:$G$10</definedName>
    <definedName name="BExXZOVPCEP495TQSON6PSRQ8XCY" hidden="1">[2]Table!$C$15:$D$20</definedName>
    <definedName name="BExXZXKH7NBARQQAZM69Z57IH1MM" hidden="1">[2]Table!$F$6:$G$6</definedName>
    <definedName name="BExXZZ7WXYHT88I3WTAGJL90SC2Z" hidden="1">[2]Table!$G$2</definedName>
    <definedName name="BExY05T95YHBLI9ZYWFFT2O2B871" hidden="1">[2]Graph!$I$6:$J$6</definedName>
    <definedName name="BExY0C3UBVC4M59JIRXVQ8OWAJC1" hidden="1">[2]Table!$I$7:$J$7</definedName>
    <definedName name="BExY0FPC3EUFUL9P7SZX2IFX00ND" hidden="1">[2]Graph!$F$8:$G$8</definedName>
    <definedName name="BExY0HY44405QX1SUHT1TIHXMGAI" hidden="1">[2]Table!$C$15:$D$20</definedName>
    <definedName name="BExY0OE8GFHMLLTEAFIOQTOPEVPB" hidden="1">[2]Table!$F$8:$G$8</definedName>
    <definedName name="BExY0OJHW85S0VKBA8T4HTYPYBOS" hidden="1">[2]Table!$I$10:$J$10</definedName>
    <definedName name="BExY0T1E034D7XAXNC6F7540LLIE" hidden="1">[2]Table!$F$15</definedName>
    <definedName name="BExY0TC67ZR18QZULTJLZR35LRPR" hidden="1">[2]Graph!$I$10:$J$10</definedName>
    <definedName name="BExY0VVRW0R2BXORSZEA0PH6AX75" hidden="1">[2]Graph!$C$15:$D$31</definedName>
    <definedName name="BExY0XTZLHN49J2JH94BYTKBJLT3" hidden="1">[2]Table!$F$10:$G$10</definedName>
    <definedName name="BExY11FH9TXHERUYGG8FE50U7H7J" hidden="1">[2]Table!$F$10:$G$10</definedName>
    <definedName name="BExY180UKNW5NIAWD6ZUYTFEH8QS" hidden="1">[2]Table!$F$15</definedName>
    <definedName name="BExY1DPTV4LSY9MEOUGXF8X052NA" hidden="1">[2]Table!$F$7:$G$7</definedName>
    <definedName name="BExY1FIMLW9L499KIE7ZJ706UYLM" hidden="1">[2]Graph!$F$6:$G$6</definedName>
    <definedName name="BExY1GK9ELBEKDD7O6HR6DUO8YGO" hidden="1">[2]Table!$I$11:$J$11</definedName>
    <definedName name="BExY1NWOXXFV9GGZ3PX444LZ8TVX" hidden="1">[2]Table!$F$10:$G$10</definedName>
    <definedName name="BExY1ONMI973LYH6W67SZIDXWDA0" hidden="1">[2]Graph!$F$9:$G$9</definedName>
    <definedName name="BExY1UCL0RND63LLSM9X5SFRG117" hidden="1">[2]Table!$H$2:$I$2</definedName>
    <definedName name="BExY1WAT3937L08HLHIRQHMP2A3H" hidden="1">[2]Table!$I$10:$J$10</definedName>
    <definedName name="BExY1YEBOSLMID7LURP8QB46AI91" hidden="1">[2]Table!$I$10:$J$10</definedName>
    <definedName name="BExY29MVXFBQIPIYPWKSW7US58ZM" hidden="1">[2]Table!$K$9:$L$9</definedName>
    <definedName name="BExY2BVUZ0C8Z9KWVA0S99W74M5U" hidden="1">[2]Table!$J$2</definedName>
    <definedName name="BExY2FS4LFX9OHOTQT7SJ2PXAC25" hidden="1">[2]Table!$I$10:$J$10</definedName>
    <definedName name="BExY2GDPCZPVU0IQ6IJIB1YQQRQ6" hidden="1">[2]Table!$F$6:$G$6</definedName>
    <definedName name="BExY2GTSZ3VA9TXLY7KW1LIAKJ61" hidden="1">[2]Table!$F$6:$G$6</definedName>
    <definedName name="BExY2IXBR1SGYZH08T7QHKEFS8HA" hidden="1">[2]Table!$F$15</definedName>
    <definedName name="BExY2MITJVFIMRNGC69KOM6RF69W" hidden="1">[2]Table!$I$15:$M$20</definedName>
    <definedName name="BExY2Q4B5FUDA5VU4VRUHX327QN0" hidden="1">[2]Table!$F$9:$G$9</definedName>
    <definedName name="BExY2TKA8HYN3D5TZYF672YNGOP3" hidden="1">[2]Table!$K$11:$L$11</definedName>
    <definedName name="BExY3BUHF49HBMC20Z30YPLFCPS7" hidden="1">[2]Graph!$F$8:$G$8</definedName>
    <definedName name="BExY3FAME3HIN2RXBJJ7BFZOQELW" hidden="1">[2]Graph!$F$8:$G$8</definedName>
    <definedName name="BExY3HOSK7YI364K15OX70AVR6F1" hidden="1">[2]Table!$C$15:$D$20</definedName>
    <definedName name="BExY3JXT10HDV8IRQXYNHEEU49VD" hidden="1">[2]Graph!$F$10:$G$10</definedName>
    <definedName name="BExY3T89AUR83SOAZZ3OMDEJDQ39" hidden="1">[2]Table!$F$10:$G$10</definedName>
    <definedName name="BExY3YMHKXSM8ZA6J2QVK2F5QV01" hidden="1">[2]Graph!$F$8:$G$8</definedName>
    <definedName name="BExY48IKTHLLHVNNX95C4RW3B4VR" hidden="1">[2]Table!$F$15</definedName>
    <definedName name="BExY4DRA1NB56I6KHB22C0U0NKPH" hidden="1">[2]Graph!$I$11:$J$11</definedName>
    <definedName name="BExY4MG771JQ84EMIVB6HQGGHZY7" hidden="1">[2]Table!$H$2:$I$2</definedName>
    <definedName name="BExY4MWGMIMFXFS61OY8143GYFT1" hidden="1">[2]Table!$C$15:$D$31</definedName>
    <definedName name="BExY4O8VWAL9HN88DOG0N6YC978L" hidden="1">[2]Table!$F$10:$G$10</definedName>
    <definedName name="BExY4PQUTBYZGBCOH80JJH5VLRD6" hidden="1">[2]Graph!$I$9:$J$9</definedName>
    <definedName name="BExY4PWC8D99MVZYNM1O4IH8B6CQ" hidden="1">[2]Table!$I$7:$J$7</definedName>
    <definedName name="BExY4PWCSFB8P3J3TBQB2MD67263" hidden="1">[2]Table!$I$8:$J$8</definedName>
    <definedName name="BExY4XOVTTNVZ577RLIEC7NZQFIX" hidden="1">[2]Table!$F$7:$G$7</definedName>
    <definedName name="BExY50JAF5CG01GTHAUS7I4ZLUDC" hidden="1">[2]Table!$I$8:$J$8</definedName>
    <definedName name="BExY53J7EXFEOFTRNAHLK7IH3ACB" hidden="1">[2]Table!$F$8:$G$8</definedName>
    <definedName name="BExY5514VOXO9HOBR94D6RMJRRQ2" hidden="1">[2]Graph!$I$9:$J$9</definedName>
    <definedName name="BExY5515SJTJS3VM80M3YYR0WF37" hidden="1">[2]Table!$F$15:$G$16</definedName>
    <definedName name="BExY5515WE39FQ3EG5QHG67V9C0O" hidden="1">[2]Table!$F$11:$G$11</definedName>
    <definedName name="BExY5DF9MS25IFNWGJ1YAS5MDN8R" hidden="1">[2]Table!$K$2</definedName>
    <definedName name="BExY5ERVGL3UM2MGT8LJ0XPKTZEK" hidden="1">[2]Table!$I$7:$J$7</definedName>
    <definedName name="BExY5EX6NJFK8W754ZVZDN5DS04K" hidden="1">[2]Table!$I$6:$J$6</definedName>
    <definedName name="BExY5S3XD1NJT109CV54IFOHVLQ6" hidden="1">[2]Table!$F$9:$G$9</definedName>
    <definedName name="BExY5UI8KD3D5ORTZZ8Y5OCAWP2F" hidden="1">[2]Table!$F$6:$G$6</definedName>
    <definedName name="BExY65W9TQEXYMY0FWC9YP18A7L6" hidden="1">[2]Table!$I$8:$J$8</definedName>
    <definedName name="BExY6KVS1MMZ2R34PGEFR2BMTU9W" hidden="1">[2]Table!$I$11:$J$11</definedName>
    <definedName name="BExY6Q9YY7LW745GP7CYOGGSPHGE" hidden="1">[2]Table!$F$6:$G$6</definedName>
    <definedName name="BExY7429BKVI2BB60HR9W2XOYM0Y" hidden="1">[2]Table!$I$10:$J$10</definedName>
    <definedName name="BExZIA3C8LKJTEH3MKQ57KJH5TA2" hidden="1">[2]Table!$I$11:$J$11</definedName>
    <definedName name="BExZIIHH3QNQE3GFMHEE4UMHY6WQ" hidden="1">[2]Table!$F$6:$G$6</definedName>
    <definedName name="BExZIPZ6SWM0D0BFDFC0LBRJ9KVV" hidden="1">[2]Table!$G$1:$G$1</definedName>
    <definedName name="BExZIYO22G5UXOB42GDLYGVRJ6U7" hidden="1">[2]Table!$F$11:$G$11</definedName>
    <definedName name="BExZJ1NZ9216G3FLO4XFH90USJKO" hidden="1">[2]Table!$I$7:$J$7</definedName>
    <definedName name="BExZJ7I9T8XU4MZRKJ1VVU76V2LZ" hidden="1">[2]Table!$F$15</definedName>
    <definedName name="BExZJMY170JCUU1RWASNZ1HJPRTA" hidden="1">[2]Table!$F$8:$G$8</definedName>
    <definedName name="BExZJOQR77H0P4SUKVYACDCFBBXO" hidden="1">[2]Table!$I$6:$J$6</definedName>
    <definedName name="BExZJS6RG34ODDY9HMZ0O34MEMSB" hidden="1">[2]Table!$I$8:$J$8</definedName>
    <definedName name="BExZJU4ZJUO53Z0ZDKXRX3KI682X" hidden="1">[2]Graph!$F$9:$G$9</definedName>
    <definedName name="BExZK0KWL1JL8JNCPLNA887FVQ2U" hidden="1">[2]Table!$F$15:$G$23</definedName>
    <definedName name="BExZK34NR4BAD7HJAP7SQ926UQP3" hidden="1">[2]Table!$F$11:$G$11</definedName>
    <definedName name="BExZK3FGPHH5H771U7D5XY7XBS6E" hidden="1">[2]Table!$H$1</definedName>
    <definedName name="BExZKGRIH1C8XY2R7Z1LHBXCBRJC" hidden="1">[2]Graph!$I$10:$J$10</definedName>
    <definedName name="BExZKHYORG3O8C772XPFHM1N8T80" hidden="1">[2]Table!$H$1</definedName>
    <definedName name="BExZKJRF2IRR57DG9CLC7MSHWNNN" hidden="1">[2]Table!$F$8:$G$8</definedName>
    <definedName name="BExZKKYL9IM18BBUCBCFYMLSQS0N" hidden="1">[2]Table!$C$15:$D$31</definedName>
    <definedName name="BExZKLK5JS7OW7ASZUBMINWZ97DC" hidden="1">[2]Table!$K$11:$L$11</definedName>
    <definedName name="BExZKV5GYXO0X760SBD9TWTIQHGI" hidden="1">[2]Table!$F$10:$G$10</definedName>
    <definedName name="BExZL6E4YVXRUN7ZGF2BIGIXFR8K" hidden="1">[2]Table!$H$1</definedName>
    <definedName name="BExZLCDWOXSAL3E45Y87GOH1NUUX" hidden="1">[2]Graph!$I$6:$J$6</definedName>
    <definedName name="BExZLF8BO4RP43ZEY7CTBZ9IE0O3" hidden="1">[2]Table!$I$9:$J$9</definedName>
    <definedName name="BExZLGVLMKTPFXG42QYT0PO81G7F" hidden="1">[2]Table!$F$9:$G$9</definedName>
    <definedName name="BExZLHRZMB1LAT56CZDZRRPS2Q5E" hidden="1">[2]Graph!$F$10:$G$10</definedName>
    <definedName name="BExZLKMK7LRK14S09WLMH7MXSQXM" hidden="1">[2]Table!$F$7:$G$7</definedName>
    <definedName name="BExZLT5ZPFGYISDYWOPOK90JLRBR" hidden="1">[2]Graph!$I$11:$J$11</definedName>
    <definedName name="BExZM321G7M4NUAJ29PBR063YFZI" hidden="1">[2]Graph!$F$9:$G$9</definedName>
    <definedName name="BExZM7JVLG0W8EG5RBU915U3SKBY" hidden="1">[2]Table!$F$7:$G$7</definedName>
    <definedName name="BExZM85FOVUFF110XMQ9O2ODSJUK" hidden="1">[2]Table!$I$7:$J$7</definedName>
    <definedName name="BExZMF1MMTZ1TA14PZ8ASSU2CBSP" hidden="1">[2]Table!$I$8:$J$8</definedName>
    <definedName name="BExZMKL5YQZD7F0FUCSVFGLPFK52" hidden="1">[2]Table!$F$9:$G$9</definedName>
    <definedName name="BExZMOC3VNZALJM71X2T6FV91GTB" hidden="1">[2]Table!$I$8:$J$8</definedName>
    <definedName name="BExZMS31N8Y04YWNQ2IEOCXJ5UI7" hidden="1">[2]Graph!$C$15:$D$31</definedName>
    <definedName name="BExZMXH39OB0I43XEL3K11U3G9PM" hidden="1">[2]Table!$I$6:$J$6</definedName>
    <definedName name="BExZMZQ3RBKDHT5GLFNLS52OSJA0" hidden="1">[2]Table!$F$11:$G$11</definedName>
    <definedName name="BExZN2F7Y2J2L2LN5WZRG949MS4A" hidden="1">[2]Table!$F$6:$G$6</definedName>
    <definedName name="BExZN30T1CRJ1OZ3L6JGC9I2C5DI" hidden="1">[2]Table!$K$2</definedName>
    <definedName name="BExZN4IRM0O1PT42Z4ERC2ULOIFM" hidden="1">[2]Table!$J$2:$J$2</definedName>
    <definedName name="BExZN847WUWKRYTZWG9TCQZJS3OL" hidden="1">[2]Table!$I$6:$J$6</definedName>
    <definedName name="BExZND26TLO8CJND1X01WTQURMFW" hidden="1">[2]Table!$K$11:$K$12</definedName>
    <definedName name="BExZNH3VISFF4NQI11BZDP5IQ7VG" hidden="1">[2]Table!$F$6:$G$6</definedName>
    <definedName name="BExZNH3X176AL71MJXZOKASUQ398" hidden="1">[2]Table!$G$2:$G$2</definedName>
    <definedName name="BExZNIB2Z0PW4MJVTRVEDQX8NTGC" hidden="1">[2]Graph!$I$6:$J$6</definedName>
    <definedName name="BExZNJ1Y8RSOGU7HCLNI4JJ9WA8U" hidden="1">[2]Graph!$F$11:$G$11</definedName>
    <definedName name="BExZNJYCFYVMAOI62GB2BABK1ELE" hidden="1">[2]Table!$I$8:$J$8</definedName>
    <definedName name="BExZNV707LIU6Z5H6QI6H67LHTI1" hidden="1">[2]Table!$F$9:$G$9</definedName>
    <definedName name="BExZNVCBKB930QQ9QW7KSGOZ0V1M" hidden="1">[2]Table!$I$9:$J$9</definedName>
    <definedName name="BExZNW8QJ18X0RSGFDWAE9ZSDX39" hidden="1">[2]Table!$H$2:$I$2</definedName>
    <definedName name="BExZNYXT9XMHTYN7BVWPJF9DWTZZ" hidden="1">[2]Table!$I$6:$J$6</definedName>
    <definedName name="BExZNZDWRS6Q40L8OCWFEIVI0A1O" hidden="1">[2]Table!$I$6:$J$6</definedName>
    <definedName name="BExZNZOPDCFQL67NU93AFYLQTY5G" hidden="1">[2]Table!$I$8:$J$8</definedName>
    <definedName name="BExZOBO9NYLGVJQ31LVQ9XS2ZT4N" hidden="1">[2]Table!$I$10:$J$10</definedName>
    <definedName name="BExZOCVGT3GB8GNGCQ21SJGGVLWM" hidden="1">[2]Table!$I$6:$J$6</definedName>
    <definedName name="BExZOETNB1CJ3Y2RKLI1ZK0S8Z6H" hidden="1">[2]Table!$I$10:$J$10</definedName>
    <definedName name="BExZOGBLV9VKIJSZA9FTH6F6I902" hidden="1">[2]Graph!$I$11:$J$11</definedName>
    <definedName name="BExZOREMVSK4E5VSWM838KHUB8AI" hidden="1">[2]Table!$I$6:$J$6</definedName>
    <definedName name="BExZOVR745T5P1KS9NV2PXZPZVRG" hidden="1">[2]Table!$I$11:$J$11</definedName>
    <definedName name="BExZOZSWGLSY2XYVRIS6VSNJDSGD" hidden="1">[2]Table!$I$8:$J$8</definedName>
    <definedName name="BExZP7AIJKLM6C6CSUIIFAHFBNX2" hidden="1">[2]Table!$G$2</definedName>
    <definedName name="BExZP7FYB2TP2L02XSZHY6HSZZWG" hidden="1">[2]Table!$I$11:$J$11</definedName>
    <definedName name="BExZPGQGEMW8DARWHFQWI63ZTRSF" hidden="1">[2]Table!$K$9:$L$9</definedName>
    <definedName name="BExZPI8EWIXUPYG0RG74VU5M3A9M" hidden="1">[2]Table!$K$9:$L$9</definedName>
    <definedName name="BExZPQ0XY507N8FJMVPKCTK8HC9H" hidden="1">[2]Table!$K$2</definedName>
    <definedName name="BExZPTBNC85DM1CVF3PKT4I9MWQW" hidden="1">[2]Graph!$I$11:$J$11</definedName>
    <definedName name="BExZPWBJ4H8RND8XVKNCJ474L2J6" hidden="1">[2]Graph!$I$11:$J$11</definedName>
    <definedName name="BExZQ1PPENOACN5Q0A49JHOY0LWK" hidden="1">[2]Table!$I$9:$J$9</definedName>
    <definedName name="BExZQ37OVBR25U32CO2YYVPZOMR5" hidden="1">[2]Table!$K$2</definedName>
    <definedName name="BExZQ3NT7H06VO0AR48WHZULZB93" hidden="1">[2]Table!$I$8:$J$8</definedName>
    <definedName name="BExZQ4PND03R9UT74FRNJLIWA87B" hidden="1">[2]Table!$I$15</definedName>
    <definedName name="BExZQ7PJU07SEJMDX18U9YVDC2GU" hidden="1">[2]Table!$F$6:$G$6</definedName>
    <definedName name="BExZQ97GRS1JT451BUNZG7OVGF7Q" hidden="1">[2]Graph!$C$15:$D$29</definedName>
    <definedName name="BExZQJJMGU5MHQOILGXGJPAQI5XI" hidden="1">[2]Table!$C$15:$D$20</definedName>
    <definedName name="BExZQP3BYWZKC99SM3X46OVLNSE5" hidden="1">[2]Table!$F$8:$G$8</definedName>
    <definedName name="BExZQXBYEBN28QUH1KOVW6KKA5UM" hidden="1">[2]Table!$F$15</definedName>
    <definedName name="BExZQZKT146WEN8FTVZ7Y5TSB8L5" hidden="1">[2]Table!$C$15:$D$20</definedName>
    <definedName name="BExZR485AKBH93YZ08CMUC3WROED" hidden="1">[2]Table!$I$10:$J$10</definedName>
    <definedName name="BExZR7TL98P2PPUVGIZYR5873DWW" hidden="1">[2]Table!$F$9:$G$9</definedName>
    <definedName name="BExZR963XHQIBWXF3ZM0N7TMOFVN" hidden="1">[2]Table!$I$11:$J$11</definedName>
    <definedName name="BExZRDYOUS9LFZJTGV0WE6FP6QGA" hidden="1">[2]Table!$K$6:$L$6</definedName>
    <definedName name="BExZRGD1603X5ACFALUUDKCD7X48" hidden="1">[2]Table!$I$9:$J$9</definedName>
    <definedName name="BExZRGNSUPG6TBX2L292MP1PLVMU" hidden="1">[2]Graph!$I$11:$J$11</definedName>
    <definedName name="BExZRJCWXTTGPCG71YB2RJ61HOQK" hidden="1">[2]Graph!$I$10:$J$10</definedName>
    <definedName name="BExZRJCY30AVUYRXL8QMVH25GISA" hidden="1">[2]Table!$K$11:$L$11</definedName>
    <definedName name="BExZRNEOOWG7L7O3SJQMH89QQVIS" hidden="1">[2]Graph!$C$15:$D$31</definedName>
    <definedName name="BExZRP1X6UVLN1UOLHH5VF4STP1O" hidden="1">[2]Table!$C$15:$D$20</definedName>
    <definedName name="BExZRQ930U6OCYNV00CH5I0Q4LPE" hidden="1">[2]Table!$I$8:$J$8</definedName>
    <definedName name="BExZRWJP2BUVFJPO8U8ATQEP0LZU" hidden="1">[2]Table!$F$15</definedName>
    <definedName name="BExZRYN6TKLS1N70DLRI2IKWN37Q" hidden="1">[2]Graph!$I$6:$J$6</definedName>
    <definedName name="BExZS1CBTC8QC8S2HIB93A2TPFQA" hidden="1">[2]Graph!$F$7:$G$7</definedName>
    <definedName name="BExZSCL123IYPP8DB8UXVRVBKRRL" hidden="1">[2]Table!$I$10:$J$10</definedName>
    <definedName name="BExZSI9USDLZAN8LI8M4YYQL24GZ" hidden="1">[2]Table!$F$7:$G$7</definedName>
    <definedName name="BExZSKDDFMKBKZ726AV1AUN59H74" hidden="1">[2]Table!$K$8:$L$8</definedName>
    <definedName name="BExZSYB6DUMAELK0LN42SGYZLD0D" hidden="1">[2]Table!$F$11:$G$11</definedName>
    <definedName name="BExZSZ21VX9ESDG8PFXHDLT82KLO" hidden="1">[2]Graph!$F$11:$G$11</definedName>
    <definedName name="BExZT4AYIU6UI0KC0M7QQXQY0K6O" hidden="1">[2]Table!$I$6:$J$6</definedName>
    <definedName name="BExZT9P5NYFFSHFOGB77DHM6W210" hidden="1">[2]Table!$L$2</definedName>
    <definedName name="BExZTAQV2QVSZY5Y3VCCWUBSBW9P" hidden="1">[2]Table!$C$15:$D$20</definedName>
    <definedName name="BExZTC8S1L60TW34BLBQLDKD9RH4" hidden="1">[2]Graph!$F$7:$G$7</definedName>
    <definedName name="BExZTCP3AS1RQUH3NNZGOJY7ORHW" hidden="1">[2]Graph!$C$15:$D$29</definedName>
    <definedName name="BExZTHSI2FX56PWRSNX9H5EWTZFO" hidden="1">[2]Table!$F$6:$G$6</definedName>
    <definedName name="BExZTJL3HVBFY139H6CJHEQCT1EL" hidden="1">[2]Table!$F$9:$G$9</definedName>
    <definedName name="BExZTLJA30G2RPGTLAC1BOIV81E2" hidden="1">[2]Table!$F$6:$G$6</definedName>
    <definedName name="BExZTLOL8OPABZI453E0KVNA1GJS" hidden="1">[2]Table!$F$11:$G$11</definedName>
    <definedName name="BExZTT6J3X0TOX0ZY6YPLUVMCW9X" hidden="1">[2]Table!$H$1</definedName>
    <definedName name="BExZTW6ECBRA0BBITWBQ8R93RMCL" hidden="1">[2]Table!$G$2</definedName>
    <definedName name="BExZTYQ1JEJ7OY2XU5OVPIV2ST7B" hidden="1">[2]Graph!$I$9:$J$9</definedName>
    <definedName name="BExZU2BHYAOKSCBM3C5014ZF6IXS" hidden="1">[2]Table!$H$2:$I$2</definedName>
    <definedName name="BExZU2RMJTXOCS0ROPMYPE6WTD87" hidden="1">[2]Table!$F$7:$G$7</definedName>
    <definedName name="BExZU926LUEPGA09U4YQE8LT61XE" hidden="1">[2]Graph!$C$15:$D$31</definedName>
    <definedName name="BExZUC23QJ4WC6C54EE1YY8W8LT9" hidden="1">[2]Table!$F$7:$G$7</definedName>
    <definedName name="BExZUF7G8FENTJKH9R1XUWXM6CWD" hidden="1">[2]Table!$I$9:$J$9</definedName>
    <definedName name="BExZUNARUJBIZ08VCAV3GEVBIR3D" hidden="1">[2]Table!$I$8:$J$8</definedName>
    <definedName name="BExZUQW33YV2J6PGSOW9IVUCP01O" hidden="1">[2]Table!$I$8:$J$8</definedName>
    <definedName name="BExZUSZSJZU49WES7TCI0N0HW4M5" hidden="1">[2]Graph!$F$8:$G$8</definedName>
    <definedName name="BExZUSZT5496UMBP4LFSLTR1GVEW" hidden="1">[2]Table!$I$9:$J$9</definedName>
    <definedName name="BExZUT54340I38GVCV79EL116WR0" hidden="1">[2]Table!$I$11:$J$11</definedName>
    <definedName name="BExZUYDULCX65H9OZ9JHPBNKF3MI" hidden="1">[2]Table!$F$7:$G$7</definedName>
    <definedName name="BExZV2QD5ZDK3AGDRULLA7JB46C3" hidden="1">[2]Table!$F$8:$G$8</definedName>
    <definedName name="BExZV4OFC4E044NV2AK8G2UA1XAF" hidden="1">[2]Graph!$F$11:$G$11</definedName>
    <definedName name="BExZVBQ29OM0V8XAL3HL0JIM0MMU" hidden="1">[2]Table!$I$9:$J$9</definedName>
    <definedName name="BExZVCRVE34BDOXEUFF5Q350QUIH" hidden="1">[2]Table!$K$8:$L$8</definedName>
    <definedName name="BExZVLM4BRUZP54VN9ZBUKPG31TV" hidden="1">[2]Graph!$C$15:$D$31</definedName>
    <definedName name="BExZVM7OZWPPRH5YQW50EYMMIW1A" hidden="1">[2]Table!$I$6:$J$6</definedName>
    <definedName name="BExZVP249CE0R9Z6H4RHHVFJO8N8" hidden="1">[2]Table!$I$7:$J$7</definedName>
    <definedName name="BExZVPYGX2C5OSHMZ6F0KBKZ6B1S" hidden="1">[2]Table!$H$2:$I$2</definedName>
    <definedName name="BExZVW92BIGOE7S7BGNAK369OBAA" hidden="1">[2]Graph!$C$15:$D$29</definedName>
    <definedName name="BExZVXWIHTQP8VPSZQZFOX7ET07A" hidden="1">[2]Graph!$C$15:$D$29</definedName>
    <definedName name="BExZVY1SV4D5WNY17LICEK1ZGAKU" hidden="1">[2]Table!$F$9:$G$9</definedName>
    <definedName name="BExZW58QX2SHVI4E6FK5KN6W6GBQ" hidden="1">[2]Table!$K$2:$K$2</definedName>
    <definedName name="BExZW5UARC8W9AQNLJX2I5WQWS5F" hidden="1">[2]Table!$I$9:$J$9</definedName>
    <definedName name="BExZW8ZPNV43UXGOT98FDNIBQHZY" hidden="1">[2]Table!$I$11:$J$11</definedName>
    <definedName name="BExZW950GQJAPOI615BMZ9D6C28R" hidden="1">[2]Table!$F$9:$G$9</definedName>
    <definedName name="BExZW9W3TCQWFFPRFN2ROCPHVO0E" hidden="1">[2]Graph!$F$10:$G$10</definedName>
    <definedName name="BExZWC4WKQ27YWSF6SPRQE4A3WCP" hidden="1">[2]Graph!$F$8:$G$8</definedName>
    <definedName name="BExZWKZ5N3RDXU8MZ8HQVYYD8O0F" hidden="1">[2]Table!$F$6:$G$6</definedName>
    <definedName name="BExZWO4ITR24TI60TY7ZB4VTJJ3K" hidden="1">[2]Graph!$F$10:$G$10</definedName>
    <definedName name="BExZWOQ2DRV0K5P99ZWFLLDM60A6" hidden="1">[2]Table!$I$6:$J$6</definedName>
    <definedName name="BExZWX45URTK9KYDJHEXL1OTZ833" hidden="1">[2]Table!$I$9:$J$9</definedName>
    <definedName name="BExZX0EWQEZO86WDAD9A4EAEZ012" hidden="1">[2]Table!$F$9:$G$9</definedName>
    <definedName name="BExZX2T6ZT2DZLYSDJJBPVIT5OK2" hidden="1">[2]Table!$I$10:$J$10</definedName>
    <definedName name="BExZX39ALPKGRBRJQ6DFJZ4WPT8O" hidden="1">[2]Table!$C$202:$D$250</definedName>
    <definedName name="BExZXAG80EO621IU3FMDPSU2HLAZ" hidden="1">[2]Graph!$F$6:$G$6</definedName>
    <definedName name="BExZXNC65UF8R59GWMK9ETN0MER1" hidden="1">[2]Table!$I$9:$J$9</definedName>
    <definedName name="BExZXOJDELULNLEH7WG0OYJT0NJ4" hidden="1">[2]Table!$I$6:$J$6</definedName>
    <definedName name="BExZXPFQ9DA6A3IKRNA0VOVEE612" hidden="1">[2]Table!$H$2:$I$2</definedName>
    <definedName name="BExZXT6JOXNKEDU23DKL8XZAJZIH" hidden="1">[2]Table!$I$8:$J$8</definedName>
    <definedName name="BExZXUTYW1HWEEZ1LIX4OQWC7HL1" hidden="1">[2]Table!$F$9:$G$9</definedName>
    <definedName name="BExZXVKT3LMRLI57MBTLZP23KEA2" hidden="1">[2]Table!$F$11:$G$11</definedName>
    <definedName name="BExZXYA4YA3LROELPDUCJ8SP9YM0" hidden="1">[2]Graph!$C$15:$D$29</definedName>
    <definedName name="BExZXYQ7U5G08FQGUIGYT14QCBOF" hidden="1">[2]Table!$F$9:$G$9</definedName>
    <definedName name="BExZY02V77YJBMODJSWZOYCMPS5X" hidden="1">[2]Table!$H$1</definedName>
    <definedName name="BExZY49QRZIR6CA41LFA9LM6EULU" hidden="1">[2]Table!$F$7:$G$7</definedName>
    <definedName name="BExZYDUZP3GV90EAJ70N4LZVQD7N" hidden="1">[2]Table!$I$7:$J$7</definedName>
    <definedName name="BExZYKWO5A3Q7YYXFJZJY2W1ILYK" hidden="1">[2]Table!$G$2</definedName>
    <definedName name="BExZYP3OBNY0F4PP2NRHKJFC2BXZ" hidden="1">[2]Graph!$I$6:$J$6</definedName>
    <definedName name="BExZYQAU8UFDOM58MUP47CHZ0UAR" hidden="1">[2]Table!$G$1:$G$1</definedName>
    <definedName name="BExZYRI0LLNPN9MLTJEPBQ17RIEH" hidden="1">[2]Graph!$I$8:$J$8</definedName>
    <definedName name="BExZYYJINXZ37EN83E0LACFTQK0Z" hidden="1">[2]Graph!$F$7:$G$7</definedName>
    <definedName name="BExZZ24YQOBUJTDPVU4JE2DI81OU" hidden="1">[2]Graph!$F$11:$G$11</definedName>
    <definedName name="BExZZ5VWIGYZ94XFEUPMPHA2UXOK" hidden="1">[2]Table!$J$2</definedName>
    <definedName name="BExZZC6HAIITD2LG9VYL7VF2213L" hidden="1">[2]Graph!$I$6:$J$6</definedName>
    <definedName name="BExZZCHAVHW8C2H649KRGVQ0WVRT" hidden="1">[2]Table!$I$9:$J$9</definedName>
    <definedName name="BExZZTK54OTLF2YB68BHGOS27GEN" hidden="1">[2]Table!$H$1</definedName>
    <definedName name="BExZZWK10S6OCOK2N0QB8G1QPANR" hidden="1">[2]Table!$C$15:$D$31</definedName>
    <definedName name="BExZZXB3JQQG4SIZS4MRU6NNW7HI" hidden="1">[2]Table!$F$7:$G$7</definedName>
    <definedName name="BExZZZEMIIFKMLLV4DJKX5TB9R5V" hidden="1">[2]Table!$C$15:$D$20</definedName>
    <definedName name="d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da" hidden="1">{#N/A,#N/A,FALSE,"A&amp;E";#N/A,#N/A,FALSE,"HighTop";#N/A,#N/A,FALSE,"JG";#N/A,#N/A,FALSE,"RI";#N/A,#N/A,FALSE,"woHT";#N/A,#N/A,FALSE,"woHT&amp;JG"}</definedName>
    <definedName name="df" hidden="1">{"'Summary P&amp;L'!$A$1:$M$70","'Summary P&amp;L'!$A$1:$M$70"}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localSheetId="0" hidden="1">"m3FeIocTK7T00g7i155YYzII5xVFTgxBon8IEeL4xiLwgoT687neHX/pG70aRh7dJEB5hTBgSYS4S/wFRhkORAJNCFEijYCzdDW/7jaFj3jStoSLzX9El/54gL4Q7XVoWsi6rEQQeHqMNCnOXt8qRzrJhTnpdjyrYajjmak1fQXrR1cKuC|QKz4CEUZkvQ9clhikMR9lTf/Gcw/A9n9YZnYMuZTheC416kRG507skkOuBwSO7Rg8|xYzXFd2HOH"</definedName>
    <definedName name="EPMWorkbookOptions_2" hidden="1">"73ImntHK7EFLONWYoC7fE37y7nXi63fxHS3iv392AQAA"</definedName>
    <definedName name="EPMWorkbookOptions_3">"jHlyP|GtOQbRSQ7d9K9FzlywTlRW3iBgT/mkPU84ZhmIOeo0tZztdyxIzzUV2WFbWmbCTIuhdRrEldoHVZl|KLzOxh4KGnPvUDoOyprpQr5QmMJsVyxdWKWmnyqVgrAxRlBCXNHVW16khdtpyOykjcQSGzweMDHNwuzEZ8nsqApUWZCeCQOH6DptuExDuRD2Gr2XNaCr9sdDrDxGHz4bsT9UL2FgaK6Hj6tIYW|OR4QbB3KSzlI2yNo9dvcL5YX"</definedName>
    <definedName name="EPMWorkbookOptions_4" hidden="1">"Xq937qUh8ANDfwzvX5pOEZrf7XKslaT5fxiVU5PrBGDaanK8aemHLtOD86JWpLPnKQ4UZVq7czJtk5K1eqZk|2xo6jHzsn7WfeMhtP8alo/9l76VLVc1jQt/9JXOr2lb0Uil|hyg2Y4Z31mlrmHPq2|YwwsPgMY|0u0UlXkWq2aX6Lq6Ul0g8dYpR3j2EV6MCqM1vWxc/F|BqztmFbja3PYMfms2DZ7f/NMVamo6h88VGmnN2y32Uzvh3rmcAdw"</definedName>
    <definedName name="EPMWorkbookOptions_5" hidden="1">"FnJWmXsI2Wl3m2/4|qp8euJdMpgWbElWNNE8/v3RgRmxm/0zIylG/hsc/Ux2cEY6Z0bWjMifRMd0GkfPyftZ7wa99lv|XVM5vfVuyeDOBi0ynkWaVeYeIu02G/bAatpvKNTq6Ql1xWL8|NtvWm3zqn307wMOqNIcoFQ12SBdyjoHkbKu4Dzb7jmRTePu2RLdggmFcGoSMwCSnABI2yKY4QGiy5wmsdEDrM4bbJsj7OoMDZcmi1hcoXcdafzCTW6"</definedName>
    <definedName name="EPMWorkbookOptions_6" hidden="1">"a3g6/IYrRyIMu0Pt1hh37xw/rtMmZnfr/tQEq6O4jAAA="</definedName>
    <definedName name="EPMWorkbookOptions_7" hidden="1">"VkElWzGe4dbysDmw3e4bw0nqBxi31scdUfvlZHPVuLY3NJBpjCzYg+hpH+Go/fu3fdjNPrXaf+7pIr7iNgAA"</definedName>
    <definedName name="f" hidden="1">{"mgmt forecast",#N/A,FALSE,"Mgmt Forecast";"dcf table",#N/A,FALSE,"Mgmt Forecast";"sensitivity",#N/A,FALSE,"Mgmt Forecast";"table inputs",#N/A,FALSE,"Mgmt Forecast";"calculations",#N/A,FALSE,"Mgmt Forecast"}</definedName>
    <definedName name="fafate" hidden="1">{"mgmt forecast",#N/A,FALSE,"Mgmt Forecast";"dcf table",#N/A,FALSE,"Mgmt Forecast";"sensitivity",#N/A,FALSE,"Mgmt Forecast";"table inputs",#N/A,FALSE,"Mgmt Forecast";"calculations",#N/A,FALSE,"Mgmt Forecast"}</definedName>
    <definedName name="fff" hidden="1">{"standalone1",#N/A,FALSE,"DCFBase";"standalone2",#N/A,FALSE,"DCFBase"}</definedName>
    <definedName name="g" hidden="1">{#N/A,#N/A,FALSE,"Antony Financials";#N/A,#N/A,FALSE,"Cowboy Financials";#N/A,#N/A,FALSE,"Combined";#N/A,#N/A,FALSE,"Valuematrix";#N/A,#N/A,FALSE,"DCFAntony";#N/A,#N/A,FALSE,"DCFCowboy";#N/A,#N/A,FALSE,"DCFCombined"}</definedName>
    <definedName name="h" hidden="1">{#N/A,#N/A,FALSE,"CreditStat";#N/A,#N/A,FALSE,"SPbrkup";#N/A,#N/A,FALSE,"MerSPsyn";#N/A,#N/A,FALSE,"MerSPwKCsyn";#N/A,#N/A,FALSE,"MerSPwKCsyn (2)";#N/A,#N/A,FALSE,"CreditStat (2)"}</definedName>
    <definedName name="HTML_CodePage" hidden="1">1252</definedName>
    <definedName name="HTML_Control" hidden="1">{"'Summary P&amp;L'!$A$1:$M$70","'Summary P&amp;L'!$A$1:$M$70"}</definedName>
    <definedName name="HTML_Description" hidden="1">""</definedName>
    <definedName name="HTML_Email" hidden="1">""</definedName>
    <definedName name="HTML_Header" hidden="1">"Summary P&amp;L"</definedName>
    <definedName name="HTML_LastUpdate" hidden="1">"9/03/01"</definedName>
    <definedName name="HTML_LineAfter" hidden="1">FALSE</definedName>
    <definedName name="HTML_LineBefore" hidden="1">FALSE</definedName>
    <definedName name="HTML_Name" hidden="1">"Hans Verheul"</definedName>
    <definedName name="HTML_OBDlg2" hidden="1">TRUE</definedName>
    <definedName name="HTML_OBDlg4" hidden="1">TRUE</definedName>
    <definedName name="HTML_OS" hidden="1">0</definedName>
    <definedName name="HTML_PathFile" hidden="1">"G:\Finlog\html\FINANCE.htm"</definedName>
    <definedName name="HTML_Title" hidden="1">"INCOME STATEMENT FEBRUARY 2001"</definedName>
    <definedName name="iui" hidden="1">{#N/A,#N/A,FALSE,"A&amp;E";#N/A,#N/A,FALSE,"HighTop";#N/A,#N/A,FALSE,"JG";#N/A,#N/A,FALSE,"RI";#N/A,#N/A,FALSE,"woHT";#N/A,#N/A,FALSE,"woHT&amp;JG"}</definedName>
    <definedName name="j" hidden="1">{"standalone1",#N/A,FALSE,"DCFBase";"standalone2",#N/A,FALSE,"DCFBase"}</definedName>
    <definedName name="k" hidden="1">{#N/A,#N/A,FALSE,"Antony Financials";#N/A,#N/A,FALSE,"Cowboy Financials";#N/A,#N/A,FALSE,"Combined";#N/A,#N/A,FALSE,"Valuematrix";#N/A,#N/A,FALSE,"DCFAntony";#N/A,#N/A,FALSE,"DCFCowboy";#N/A,#N/A,FALSE,"DCFCombined"}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{"mgmt forecast",#N/A,FALSE,"Mgmt Forecast";"dcf table",#N/A,FALSE,"Mgmt Forecast";"sensitivity",#N/A,FALSE,"Mgmt Forecast";"table inputs",#N/A,FALSE,"Mgmt Forecast";"calculations",#N/A,FALSE,"Mgmt Forecast"}</definedName>
    <definedName name="m" hidden="1">{"standalone1",#N/A,FALSE,"DCFBase";"standalone2",#N/A,FALSE,"DCFBase"}</definedName>
    <definedName name="Month">[3]Data!$F:$F</definedName>
    <definedName name="MR" hidden="1">{#N/A,#N/A,FALSE,"sales ytd";#N/A,#N/A,FALSE,"investments";#N/A,#N/A,FALSE,"bus. synergies 1997";#N/A,#N/A,FALSE,"synergies outlook"}</definedName>
    <definedName name="n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Period">[3]Data!$C:$C</definedName>
    <definedName name="Product">[3]Data!$D:$D</definedName>
    <definedName name="q" hidden="1">{#N/A,#N/A,FALSE,"Antony Financials";#N/A,#N/A,FALSE,"Cowboy Financials";#N/A,#N/A,FALSE,"Combined";#N/A,#N/A,FALSE,"Valuematrix";#N/A,#N/A,FALSE,"DCFAntony";#N/A,#N/A,FALSE,"DCFCowboy";#N/A,#N/A,FALSE,"DCFCombined"}</definedName>
    <definedName name="rr" hidden="1">{#N/A,#N/A,FALSE,"Antony Financials";#N/A,#N/A,FALSE,"Cowboy Financials";#N/A,#N/A,FALSE,"Combined";#N/A,#N/A,FALSE,"Valuematrix";#N/A,#N/A,FALSE,"DCFAntony";#N/A,#N/A,FALSE,"DCFCowboy";#N/A,#N/A,FALSE,"DCFCombined"}</definedName>
    <definedName name="Sales">[3]Data!$E:$E</definedName>
    <definedName name="SAPBEXhrIndnt" hidden="1">"Wide"</definedName>
    <definedName name="SAPsysID" hidden="1">"708C5W7SBKP804JT78WJ0JNKI"</definedName>
    <definedName name="SAPwbID" hidden="1">"ARS"</definedName>
    <definedName name="sd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sdfasefr" hidden="1">{#N/A,#N/A,FALSE,"Antony Financials";#N/A,#N/A,FALSE,"Cowboy Financials";#N/A,#N/A,FALSE,"Combined";#N/A,#N/A,FALSE,"Valuematrix";#N/A,#N/A,FALSE,"DCFAntony";#N/A,#N/A,FALSE,"DCFCowboy";#N/A,#N/A,FALSE,"DCFCombined"}</definedName>
    <definedName name="t" hidden="1">{#N/A,#N/A,FALSE,"A&amp;E";#N/A,#N/A,FALSE,"HighTop";#N/A,#N/A,FALSE,"JG";#N/A,#N/A,FALSE,"RI";#N/A,#N/A,FALSE,"woHT";#N/A,#N/A,FALSE,"woHT&amp;JG"}</definedName>
    <definedName name="ttt" hidden="1">{#N/A,#N/A,FALSE,"CreditStat";#N/A,#N/A,FALSE,"SPbrkup";#N/A,#N/A,FALSE,"MerSPsyn";#N/A,#N/A,FALSE,"MerSPwKCsyn";#N/A,#N/A,FALSE,"MerSPwKCsyn (2)";#N/A,#N/A,FALSE,"CreditStat (2)"}</definedName>
    <definedName name="v" hidden="1">{"standalone1",#N/A,FALSE,"DCFBase";"standalone2",#N/A,FALSE,"DCFBase"}</definedName>
    <definedName name="Version">[3]Data!$B:$B</definedName>
    <definedName name="vv" hidden="1">{#N/A,#N/A,FALSE,"CreditStat";#N/A,#N/A,FALSE,"SPbrkup";#N/A,#N/A,FALSE,"MerSPsyn";#N/A,#N/A,FALSE,"MerSPwKCsyn";#N/A,#N/A,FALSE,"MerSPwKCsyn (2)";#N/A,#N/A,FALSE,"CreditStat (2)"}</definedName>
    <definedName name="vvv" hidden="1">{#N/A,#N/A,FALSE,"Antony Financials";#N/A,#N/A,FALSE,"Cowboy Financials";#N/A,#N/A,FALSE,"Combined";#N/A,#N/A,FALSE,"Valuematrix";#N/A,#N/A,FALSE,"DCFAntony";#N/A,#N/A,FALSE,"DCFCowboy";#N/A,#N/A,FALSE,"DCFCombined"}</definedName>
    <definedName name="w" hidden="1">{#N/A,#N/A,FALSE,"CreditStat";#N/A,#N/A,FALSE,"SPbrkup";#N/A,#N/A,FALSE,"MerSPsyn";#N/A,#N/A,FALSE,"MerSPwKCsyn";#N/A,#N/A,FALSE,"MerSPwKCsyn (2)";#N/A,#N/A,FALSE,"CreditStat (2)"}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print._.standalone." hidden="1">{"standalone1",#N/A,FALSE,"DCFBase";"standalone2",#N/A,FALSE,"DCFBase"}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op._.Level._.Summaries.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weety." hidden="1">{#N/A,#N/A,FALSE,"A&amp;E";#N/A,#N/A,FALSE,"HighTop";#N/A,#N/A,FALSE,"JG";#N/A,#N/A,FALSE,"RI";#N/A,#N/A,FALSE,"woHT";#N/A,#N/A,FALSE,"woHT&amp;JG"}</definedName>
    <definedName name="wrn.vortrag." hidden="1">{#N/A,#N/A,FALSE,"sales ytd";#N/A,#N/A,FALSE,"investments";#N/A,#N/A,FALSE,"bus. synergies 1997";#N/A,#N/A,FALSE,"synergies outlook"}</definedName>
    <definedName name="Year">[3]Data!$A:$A</definedName>
    <definedName name="zzz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4" i="96" l="1"/>
  <c r="V24" i="96"/>
  <c r="U24" i="96"/>
  <c r="W23" i="96"/>
  <c r="V23" i="96"/>
  <c r="U23" i="96"/>
  <c r="W22" i="96"/>
  <c r="V22" i="96"/>
  <c r="U22" i="96"/>
  <c r="W21" i="96"/>
  <c r="V21" i="96"/>
  <c r="U21" i="96"/>
  <c r="W20" i="96"/>
  <c r="V20" i="96"/>
  <c r="U20" i="96"/>
  <c r="W19" i="96"/>
  <c r="V19" i="96"/>
  <c r="U19" i="96"/>
  <c r="W18" i="96"/>
  <c r="V18" i="96"/>
  <c r="U18" i="96"/>
  <c r="W17" i="96"/>
  <c r="V17" i="96"/>
  <c r="U17" i="96"/>
  <c r="W16" i="96"/>
  <c r="V16" i="96"/>
  <c r="U16" i="96"/>
  <c r="W15" i="96"/>
  <c r="V15" i="96"/>
  <c r="U15" i="96"/>
  <c r="W14" i="96"/>
  <c r="V14" i="96"/>
  <c r="U14" i="96"/>
  <c r="W13" i="96"/>
  <c r="V13" i="96"/>
  <c r="U13" i="96"/>
  <c r="W12" i="96"/>
  <c r="V12" i="96"/>
  <c r="U12" i="96"/>
  <c r="W11" i="96"/>
  <c r="V11" i="96"/>
  <c r="U11" i="96"/>
  <c r="W10" i="96"/>
  <c r="V10" i="96"/>
  <c r="U10" i="96"/>
  <c r="W9" i="96"/>
  <c r="V9" i="96"/>
  <c r="U9" i="96"/>
  <c r="W8" i="96"/>
  <c r="V8" i="96"/>
  <c r="U8" i="96"/>
  <c r="W7" i="96"/>
  <c r="V7" i="96"/>
  <c r="U7" i="96"/>
  <c r="F3" i="135" l="1"/>
  <c r="F4" i="135"/>
  <c r="F5" i="135"/>
  <c r="F6" i="135"/>
  <c r="F7" i="135"/>
  <c r="F8" i="135"/>
  <c r="F9" i="135"/>
  <c r="F10" i="135"/>
  <c r="F11" i="135"/>
  <c r="F12" i="135"/>
  <c r="F13" i="135"/>
  <c r="F14" i="135"/>
  <c r="F15" i="135"/>
  <c r="F16" i="135"/>
  <c r="F17" i="135"/>
  <c r="F18" i="135"/>
  <c r="F19" i="135"/>
  <c r="F20" i="135"/>
  <c r="F21" i="135"/>
  <c r="F22" i="135"/>
  <c r="F23" i="135"/>
  <c r="F24" i="135"/>
  <c r="F25" i="135"/>
  <c r="F26" i="135"/>
  <c r="F27" i="135"/>
  <c r="F28" i="135"/>
  <c r="F29" i="135"/>
  <c r="F30" i="135"/>
  <c r="F31" i="135"/>
  <c r="F32" i="135"/>
  <c r="F33" i="135"/>
  <c r="F34" i="135"/>
  <c r="F35" i="135"/>
  <c r="F36" i="135"/>
  <c r="F37" i="135"/>
  <c r="F38" i="135"/>
  <c r="F39" i="135"/>
  <c r="F40" i="135"/>
  <c r="F41" i="135"/>
  <c r="F42" i="135"/>
  <c r="F43" i="135"/>
  <c r="F44" i="135"/>
  <c r="F45" i="135"/>
  <c r="F46" i="135"/>
  <c r="F47" i="135"/>
  <c r="F48" i="135"/>
  <c r="F49" i="135"/>
  <c r="F50" i="135"/>
  <c r="F51" i="135"/>
  <c r="F52" i="135"/>
  <c r="F53" i="135"/>
  <c r="F54" i="135"/>
  <c r="F55" i="135"/>
  <c r="F56" i="135"/>
  <c r="F57" i="135"/>
  <c r="F58" i="135"/>
  <c r="F59" i="135"/>
  <c r="F60" i="135"/>
  <c r="F61" i="135"/>
  <c r="F62" i="135"/>
  <c r="F63" i="135"/>
  <c r="F64" i="135"/>
  <c r="F65" i="135"/>
  <c r="F66" i="135"/>
  <c r="F67" i="135"/>
  <c r="F68" i="135"/>
  <c r="F69" i="135"/>
  <c r="F70" i="135"/>
  <c r="F71" i="135"/>
  <c r="F72" i="135"/>
  <c r="F73" i="135"/>
  <c r="F74" i="135"/>
  <c r="F75" i="135"/>
  <c r="F76" i="135"/>
  <c r="F77" i="135"/>
  <c r="F78" i="135"/>
  <c r="F79" i="135"/>
  <c r="F80" i="135"/>
  <c r="F81" i="135"/>
  <c r="F82" i="135"/>
  <c r="F83" i="135"/>
  <c r="F84" i="135"/>
  <c r="F85" i="135"/>
  <c r="F86" i="135"/>
  <c r="F87" i="135"/>
  <c r="F88" i="135"/>
  <c r="F89" i="135"/>
  <c r="F90" i="135"/>
  <c r="F91" i="135"/>
  <c r="F92" i="135"/>
  <c r="F93" i="135"/>
  <c r="F94" i="135"/>
  <c r="F95" i="135"/>
  <c r="F96" i="135"/>
  <c r="F97" i="135"/>
  <c r="F98" i="135"/>
  <c r="F99" i="135"/>
  <c r="F100" i="135"/>
  <c r="F101" i="135"/>
  <c r="F102" i="135"/>
  <c r="F103" i="135"/>
  <c r="F104" i="135"/>
  <c r="F105" i="135"/>
  <c r="F106" i="135"/>
  <c r="F107" i="135"/>
  <c r="F108" i="135"/>
  <c r="F109" i="135"/>
  <c r="F110" i="135"/>
  <c r="F111" i="135"/>
  <c r="F112" i="135"/>
  <c r="F113" i="135"/>
  <c r="F114" i="135"/>
  <c r="F115" i="135"/>
  <c r="F116" i="135"/>
  <c r="F117" i="135"/>
  <c r="F118" i="135"/>
  <c r="F119" i="135"/>
  <c r="F120" i="135"/>
  <c r="F121" i="135"/>
  <c r="F122" i="135"/>
  <c r="F123" i="135"/>
  <c r="F124" i="135"/>
  <c r="F125" i="135"/>
  <c r="F126" i="135"/>
  <c r="F127" i="135"/>
  <c r="F128" i="135"/>
  <c r="F129" i="135"/>
  <c r="F130" i="135"/>
  <c r="F131" i="135"/>
  <c r="F132" i="135"/>
  <c r="F133" i="135"/>
  <c r="F134" i="135"/>
  <c r="F135" i="135"/>
  <c r="F136" i="135"/>
  <c r="F137" i="135"/>
  <c r="F138" i="135"/>
  <c r="F139" i="135"/>
  <c r="F140" i="135"/>
  <c r="F141" i="135"/>
  <c r="F142" i="135"/>
  <c r="F143" i="135"/>
  <c r="F144" i="135"/>
  <c r="F145" i="135"/>
  <c r="F2" i="135"/>
  <c r="G3" i="135" l="1"/>
  <c r="G4" i="135"/>
  <c r="G5" i="135"/>
  <c r="G6" i="135"/>
  <c r="G7" i="135"/>
  <c r="G8" i="135"/>
  <c r="G9" i="135"/>
  <c r="G10" i="135"/>
  <c r="G11" i="135"/>
  <c r="G12" i="135"/>
  <c r="G13" i="135"/>
  <c r="G14" i="135"/>
  <c r="G15" i="135"/>
  <c r="G16" i="135"/>
  <c r="G17" i="135"/>
  <c r="G18" i="135"/>
  <c r="G19" i="135"/>
  <c r="G20" i="135"/>
  <c r="G21" i="135"/>
  <c r="G22" i="135"/>
  <c r="G23" i="135"/>
  <c r="G24" i="135"/>
  <c r="G25" i="135"/>
  <c r="G26" i="135"/>
  <c r="G27" i="135"/>
  <c r="G28" i="135"/>
  <c r="G29" i="135"/>
  <c r="G30" i="135"/>
  <c r="G31" i="135"/>
  <c r="G32" i="135"/>
  <c r="G33" i="135"/>
  <c r="G34" i="135"/>
  <c r="G35" i="135"/>
  <c r="G36" i="135"/>
  <c r="G37" i="135"/>
  <c r="G38" i="135"/>
  <c r="G39" i="135"/>
  <c r="G40" i="135"/>
  <c r="G41" i="135"/>
  <c r="G42" i="135"/>
  <c r="G43" i="135"/>
  <c r="G44" i="135"/>
  <c r="G45" i="135"/>
  <c r="G46" i="135"/>
  <c r="G47" i="135"/>
  <c r="G48" i="135"/>
  <c r="G49" i="135"/>
  <c r="G50" i="135"/>
  <c r="G51" i="135"/>
  <c r="G52" i="135"/>
  <c r="G53" i="135"/>
  <c r="G54" i="135"/>
  <c r="G55" i="135"/>
  <c r="G56" i="135"/>
  <c r="G57" i="135"/>
  <c r="G58" i="135"/>
  <c r="G59" i="135"/>
  <c r="G60" i="135"/>
  <c r="G61" i="135"/>
  <c r="G62" i="135"/>
  <c r="G63" i="135"/>
  <c r="G64" i="135"/>
  <c r="G65" i="135"/>
  <c r="G66" i="135"/>
  <c r="G67" i="135"/>
  <c r="G68" i="135"/>
  <c r="G69" i="135"/>
  <c r="G70" i="135"/>
  <c r="G71" i="135"/>
  <c r="G72" i="135"/>
  <c r="G73" i="135"/>
  <c r="G74" i="135"/>
  <c r="G75" i="135"/>
  <c r="G76" i="135"/>
  <c r="G77" i="135"/>
  <c r="G78" i="135"/>
  <c r="G79" i="135"/>
  <c r="G80" i="135"/>
  <c r="G81" i="135"/>
  <c r="G82" i="135"/>
  <c r="G83" i="135"/>
  <c r="G84" i="135"/>
  <c r="G85" i="135"/>
  <c r="G86" i="135"/>
  <c r="G87" i="135"/>
  <c r="G88" i="135"/>
  <c r="G89" i="135"/>
  <c r="G90" i="135"/>
  <c r="G91" i="135"/>
  <c r="G92" i="135"/>
  <c r="G93" i="135"/>
  <c r="G94" i="135"/>
  <c r="G95" i="135"/>
  <c r="G96" i="135"/>
  <c r="G97" i="135"/>
  <c r="G98" i="135"/>
  <c r="G99" i="135"/>
  <c r="G100" i="135"/>
  <c r="G101" i="135"/>
  <c r="G102" i="135"/>
  <c r="G103" i="135"/>
  <c r="G104" i="135"/>
  <c r="G105" i="135"/>
  <c r="G106" i="135"/>
  <c r="G107" i="135"/>
  <c r="G108" i="135"/>
  <c r="G109" i="135"/>
  <c r="G110" i="135"/>
  <c r="G111" i="135"/>
  <c r="G112" i="135"/>
  <c r="G113" i="135"/>
  <c r="G114" i="135"/>
  <c r="G115" i="135"/>
  <c r="G116" i="135"/>
  <c r="G117" i="135"/>
  <c r="G118" i="135"/>
  <c r="G119" i="135"/>
  <c r="G120" i="135"/>
  <c r="G121" i="135"/>
  <c r="G122" i="135"/>
  <c r="G123" i="135"/>
  <c r="G124" i="135"/>
  <c r="G125" i="135"/>
  <c r="G126" i="135"/>
  <c r="G127" i="135"/>
  <c r="G128" i="135"/>
  <c r="G129" i="135"/>
  <c r="G130" i="135"/>
  <c r="G131" i="135"/>
  <c r="G132" i="135"/>
  <c r="G133" i="135"/>
  <c r="G134" i="135"/>
  <c r="G135" i="135"/>
  <c r="G136" i="135"/>
  <c r="G137" i="135"/>
  <c r="G138" i="135"/>
  <c r="G139" i="135"/>
  <c r="G140" i="135"/>
  <c r="G141" i="135"/>
  <c r="G142" i="135"/>
  <c r="G143" i="135"/>
  <c r="G144" i="135"/>
  <c r="G145" i="135"/>
  <c r="G2" i="135"/>
  <c r="B6" i="96" l="1"/>
  <c r="A16" i="140" l="1"/>
  <c r="A15" i="140"/>
  <c r="A14" i="140"/>
  <c r="A13" i="140"/>
  <c r="A16" i="142"/>
  <c r="A15" i="142"/>
  <c r="A14" i="142"/>
  <c r="A13" i="142"/>
  <c r="N13" i="142" s="1"/>
  <c r="A16" i="143"/>
  <c r="A15" i="143"/>
  <c r="A14" i="143"/>
  <c r="A13" i="143"/>
  <c r="O13" i="143" s="1"/>
  <c r="A16" i="141"/>
  <c r="A15" i="141"/>
  <c r="A14" i="141"/>
  <c r="A13" i="141"/>
  <c r="P13" i="141" s="1"/>
  <c r="A6" i="140"/>
  <c r="A6" i="142"/>
  <c r="A6" i="143"/>
  <c r="N6" i="143" s="1"/>
  <c r="A6" i="141"/>
  <c r="J6" i="141" s="1"/>
  <c r="B8" i="140"/>
  <c r="B8" i="142"/>
  <c r="B8" i="143"/>
  <c r="B8" i="141"/>
  <c r="B15" i="140"/>
  <c r="B15" i="142"/>
  <c r="B15" i="143"/>
  <c r="B15" i="141"/>
  <c r="B16" i="140"/>
  <c r="B16" i="142"/>
  <c r="B16" i="143"/>
  <c r="B16" i="141"/>
  <c r="B14" i="140"/>
  <c r="B14" i="142"/>
  <c r="B14" i="143"/>
  <c r="B14" i="141"/>
  <c r="B13" i="140"/>
  <c r="B13" i="142"/>
  <c r="B13" i="143"/>
  <c r="B13" i="141"/>
  <c r="E13" i="141" s="1"/>
  <c r="B9" i="140"/>
  <c r="B9" i="142"/>
  <c r="B9" i="143"/>
  <c r="B9" i="141"/>
  <c r="B7" i="140"/>
  <c r="B7" i="142"/>
  <c r="B7" i="143"/>
  <c r="B7" i="141"/>
  <c r="B6" i="140"/>
  <c r="B6" i="142"/>
  <c r="B6" i="143"/>
  <c r="B6" i="141"/>
  <c r="E6" i="141" s="1"/>
  <c r="T18" i="141" s="1"/>
  <c r="CS6" i="96"/>
  <c r="CR6" i="96"/>
  <c r="CQ6" i="96"/>
  <c r="CP6" i="96"/>
  <c r="CO6" i="96"/>
  <c r="CN6" i="96"/>
  <c r="CM6" i="96"/>
  <c r="CL6" i="96"/>
  <c r="CK6" i="96"/>
  <c r="CJ6" i="96"/>
  <c r="CI6" i="96"/>
  <c r="CH6" i="96"/>
  <c r="CE6" i="96"/>
  <c r="CD6" i="96"/>
  <c r="CC6" i="96"/>
  <c r="CB6" i="96"/>
  <c r="CA6" i="96"/>
  <c r="BZ6" i="96"/>
  <c r="BY6" i="96"/>
  <c r="BX6" i="96"/>
  <c r="BW6" i="96"/>
  <c r="BV6" i="96"/>
  <c r="BU6" i="96"/>
  <c r="BT6" i="96"/>
  <c r="Q19" i="140"/>
  <c r="P19" i="140"/>
  <c r="O19" i="140"/>
  <c r="N19" i="140"/>
  <c r="M19" i="140"/>
  <c r="L19" i="140"/>
  <c r="K19" i="140"/>
  <c r="J19" i="140"/>
  <c r="I19" i="140"/>
  <c r="H19" i="140"/>
  <c r="G19" i="140"/>
  <c r="F19" i="140"/>
  <c r="Q19" i="142"/>
  <c r="P19" i="142"/>
  <c r="O19" i="142"/>
  <c r="N19" i="142"/>
  <c r="M19" i="142"/>
  <c r="L19" i="142"/>
  <c r="K19" i="142"/>
  <c r="J19" i="142"/>
  <c r="I19" i="142"/>
  <c r="H19" i="142"/>
  <c r="G19" i="142"/>
  <c r="F19" i="142"/>
  <c r="Q19" i="143"/>
  <c r="P19" i="143"/>
  <c r="O19" i="143"/>
  <c r="N19" i="143"/>
  <c r="M19" i="143"/>
  <c r="L19" i="143"/>
  <c r="K19" i="143"/>
  <c r="J19" i="143"/>
  <c r="I19" i="143"/>
  <c r="H19" i="143"/>
  <c r="G19" i="143"/>
  <c r="F19" i="143"/>
  <c r="Q19" i="141"/>
  <c r="P19" i="141"/>
  <c r="O19" i="141"/>
  <c r="N19" i="141"/>
  <c r="M19" i="141"/>
  <c r="L19" i="141"/>
  <c r="K19" i="141"/>
  <c r="J19" i="141"/>
  <c r="I19" i="141"/>
  <c r="H19" i="141"/>
  <c r="G19" i="141"/>
  <c r="F19" i="141"/>
  <c r="Q12" i="140"/>
  <c r="P12" i="140"/>
  <c r="O12" i="140"/>
  <c r="N12" i="140"/>
  <c r="N13" i="140" s="1"/>
  <c r="M12" i="140"/>
  <c r="L12" i="140"/>
  <c r="K12" i="140"/>
  <c r="J12" i="140"/>
  <c r="J13" i="140" s="1"/>
  <c r="I12" i="140"/>
  <c r="H12" i="140"/>
  <c r="G12" i="140"/>
  <c r="Q12" i="142"/>
  <c r="P12" i="142"/>
  <c r="O12" i="142"/>
  <c r="N12" i="142"/>
  <c r="M12" i="142"/>
  <c r="L12" i="142"/>
  <c r="K12" i="142"/>
  <c r="J12" i="142"/>
  <c r="I12" i="142"/>
  <c r="H12" i="142"/>
  <c r="G12" i="142"/>
  <c r="Q12" i="143"/>
  <c r="P12" i="143"/>
  <c r="P13" i="143" s="1"/>
  <c r="O12" i="143"/>
  <c r="N12" i="143"/>
  <c r="M12" i="143"/>
  <c r="L12" i="143"/>
  <c r="L13" i="143" s="1"/>
  <c r="K12" i="143"/>
  <c r="J12" i="143"/>
  <c r="I12" i="143"/>
  <c r="H12" i="143"/>
  <c r="H13" i="143" s="1"/>
  <c r="G12" i="143"/>
  <c r="Q12" i="141"/>
  <c r="P12" i="141"/>
  <c r="O12" i="141"/>
  <c r="N12" i="141"/>
  <c r="M12" i="141"/>
  <c r="L12" i="141"/>
  <c r="K12" i="141"/>
  <c r="J12" i="141"/>
  <c r="I12" i="141"/>
  <c r="H12" i="141"/>
  <c r="G12" i="141"/>
  <c r="F12" i="140"/>
  <c r="F12" i="142"/>
  <c r="F12" i="143"/>
  <c r="F12" i="141"/>
  <c r="F13" i="141" s="1"/>
  <c r="Q5" i="140"/>
  <c r="Q5" i="142"/>
  <c r="Q6" i="142" s="1"/>
  <c r="Q5" i="143"/>
  <c r="Q5" i="141"/>
  <c r="Q6" i="141" s="1"/>
  <c r="P5" i="140"/>
  <c r="P5" i="142"/>
  <c r="P5" i="143"/>
  <c r="P6" i="143" s="1"/>
  <c r="P5" i="141"/>
  <c r="P6" i="141" s="1"/>
  <c r="P6" i="142"/>
  <c r="O5" i="140"/>
  <c r="O5" i="142"/>
  <c r="O5" i="143"/>
  <c r="O5" i="141"/>
  <c r="N5" i="140"/>
  <c r="N6" i="140" s="1"/>
  <c r="N5" i="142"/>
  <c r="N5" i="143"/>
  <c r="N5" i="141"/>
  <c r="M5" i="140"/>
  <c r="M5" i="142"/>
  <c r="M5" i="143"/>
  <c r="M5" i="141"/>
  <c r="L5" i="140"/>
  <c r="L5" i="142"/>
  <c r="L5" i="143"/>
  <c r="L5" i="141"/>
  <c r="K5" i="140"/>
  <c r="K5" i="142"/>
  <c r="K5" i="143"/>
  <c r="K5" i="141"/>
  <c r="J5" i="140"/>
  <c r="J5" i="142"/>
  <c r="J5" i="143"/>
  <c r="J5" i="141"/>
  <c r="I5" i="140"/>
  <c r="I5" i="142"/>
  <c r="I5" i="143"/>
  <c r="I6" i="143" s="1"/>
  <c r="I5" i="141"/>
  <c r="H5" i="140"/>
  <c r="H5" i="142"/>
  <c r="H5" i="143"/>
  <c r="H5" i="141"/>
  <c r="G5" i="140"/>
  <c r="G5" i="142"/>
  <c r="G5" i="143"/>
  <c r="G5" i="141"/>
  <c r="F5" i="140"/>
  <c r="F5" i="142"/>
  <c r="F5" i="143"/>
  <c r="F5" i="141"/>
  <c r="L5" i="96"/>
  <c r="C5" i="96"/>
  <c r="D3" i="96"/>
  <c r="E1" i="135"/>
  <c r="D1" i="135"/>
  <c r="E1" i="138"/>
  <c r="D1" i="138"/>
  <c r="D6" i="96"/>
  <c r="BF47" i="143"/>
  <c r="BE47" i="143"/>
  <c r="BD47" i="143"/>
  <c r="BC47" i="143"/>
  <c r="BB47" i="143"/>
  <c r="BA47" i="143"/>
  <c r="AZ47" i="143"/>
  <c r="AY47" i="143"/>
  <c r="AX47" i="143"/>
  <c r="AW47" i="143"/>
  <c r="AV47" i="143"/>
  <c r="AU47" i="143"/>
  <c r="BF46" i="143"/>
  <c r="BE46" i="143"/>
  <c r="BD46" i="143"/>
  <c r="BC46" i="143"/>
  <c r="BB46" i="143"/>
  <c r="BA46" i="143"/>
  <c r="AZ46" i="143"/>
  <c r="AY46" i="143"/>
  <c r="AX46" i="143"/>
  <c r="AW46" i="143"/>
  <c r="AV46" i="143"/>
  <c r="AU46" i="143"/>
  <c r="AH46" i="143"/>
  <c r="BF45" i="143"/>
  <c r="BE45" i="143"/>
  <c r="BD45" i="143"/>
  <c r="BC45" i="143"/>
  <c r="BB45" i="143"/>
  <c r="BA45" i="143"/>
  <c r="AZ45" i="143"/>
  <c r="AY45" i="143"/>
  <c r="AX45" i="143"/>
  <c r="AW45" i="143"/>
  <c r="AV45" i="143"/>
  <c r="AU45" i="143"/>
  <c r="AH45" i="143"/>
  <c r="BF44" i="143"/>
  <c r="BE44" i="143"/>
  <c r="BD44" i="143"/>
  <c r="BC44" i="143"/>
  <c r="BB44" i="143"/>
  <c r="BA44" i="143"/>
  <c r="AZ44" i="143"/>
  <c r="AY44" i="143"/>
  <c r="AX44" i="143"/>
  <c r="AW44" i="143"/>
  <c r="AV44" i="143"/>
  <c r="AU44" i="143"/>
  <c r="AH44" i="143"/>
  <c r="AH43" i="143"/>
  <c r="X34" i="143"/>
  <c r="W34" i="143"/>
  <c r="V34" i="143"/>
  <c r="U34" i="143"/>
  <c r="BF29" i="143"/>
  <c r="BE29" i="143"/>
  <c r="BD29" i="143"/>
  <c r="BC29" i="143"/>
  <c r="BB29" i="143"/>
  <c r="BA29" i="143"/>
  <c r="AZ29" i="143"/>
  <c r="AY29" i="143"/>
  <c r="AX29" i="143"/>
  <c r="AW29" i="143"/>
  <c r="AV29" i="143"/>
  <c r="AU29" i="143"/>
  <c r="X29" i="143"/>
  <c r="W29" i="143"/>
  <c r="V29" i="143"/>
  <c r="U29" i="143"/>
  <c r="BF28" i="143"/>
  <c r="BE28" i="143"/>
  <c r="BD28" i="143"/>
  <c r="BC28" i="143"/>
  <c r="BB28" i="143"/>
  <c r="BA28" i="143"/>
  <c r="AZ28" i="143"/>
  <c r="AY28" i="143"/>
  <c r="AX28" i="143"/>
  <c r="AW28" i="143"/>
  <c r="AV28" i="143"/>
  <c r="AU28" i="143"/>
  <c r="AH28" i="143"/>
  <c r="BF27" i="143"/>
  <c r="BE27" i="143"/>
  <c r="BD27" i="143"/>
  <c r="BC27" i="143"/>
  <c r="BB27" i="143"/>
  <c r="BA27" i="143"/>
  <c r="AZ27" i="143"/>
  <c r="AY27" i="143"/>
  <c r="AX27" i="143"/>
  <c r="AW27" i="143"/>
  <c r="AV27" i="143"/>
  <c r="AU27" i="143"/>
  <c r="AH27" i="143"/>
  <c r="BF26" i="143"/>
  <c r="BE26" i="143"/>
  <c r="BD26" i="143"/>
  <c r="BC26" i="143"/>
  <c r="BB26" i="143"/>
  <c r="BA26" i="143"/>
  <c r="AZ26" i="143"/>
  <c r="AY26" i="143"/>
  <c r="AX26" i="143"/>
  <c r="AW26" i="143"/>
  <c r="AV26" i="143"/>
  <c r="AU26" i="143"/>
  <c r="AH26" i="143"/>
  <c r="AH25" i="143"/>
  <c r="T25" i="143"/>
  <c r="T30" i="143" s="1"/>
  <c r="X24" i="143"/>
  <c r="W24" i="143"/>
  <c r="V24" i="143"/>
  <c r="U24" i="143"/>
  <c r="E24" i="143"/>
  <c r="X17" i="143"/>
  <c r="W17" i="143"/>
  <c r="V17" i="143"/>
  <c r="U17" i="143"/>
  <c r="Q16" i="143"/>
  <c r="J15" i="143"/>
  <c r="Q14" i="143"/>
  <c r="BE13" i="143"/>
  <c r="BF13" i="143" s="1"/>
  <c r="BG13" i="143" s="1"/>
  <c r="BH13" i="143" s="1"/>
  <c r="BI13" i="143" s="1"/>
  <c r="BJ13" i="143" s="1"/>
  <c r="BK13" i="143" s="1"/>
  <c r="BL13" i="143" s="1"/>
  <c r="BM13" i="143" s="1"/>
  <c r="BN13" i="143" s="1"/>
  <c r="BO13" i="143" s="1"/>
  <c r="BP13" i="143" s="1"/>
  <c r="BQ13" i="143" s="1"/>
  <c r="BR13" i="143" s="1"/>
  <c r="BA13" i="143"/>
  <c r="BB13" i="143" s="1"/>
  <c r="BC13" i="143" s="1"/>
  <c r="BD13" i="143" s="1"/>
  <c r="AX13" i="143"/>
  <c r="AY13" i="143" s="1"/>
  <c r="AZ13" i="143" s="1"/>
  <c r="AW13" i="143"/>
  <c r="T13" i="143"/>
  <c r="Q13" i="143"/>
  <c r="BD12" i="143"/>
  <c r="BE12" i="143" s="1"/>
  <c r="BF12" i="143" s="1"/>
  <c r="BG12" i="143" s="1"/>
  <c r="BH12" i="143" s="1"/>
  <c r="BI12" i="143" s="1"/>
  <c r="BJ12" i="143" s="1"/>
  <c r="BK12" i="143" s="1"/>
  <c r="BL12" i="143" s="1"/>
  <c r="BM12" i="143" s="1"/>
  <c r="BN12" i="143" s="1"/>
  <c r="BO12" i="143" s="1"/>
  <c r="BP12" i="143" s="1"/>
  <c r="BQ12" i="143" s="1"/>
  <c r="BR12" i="143" s="1"/>
  <c r="BC12" i="143"/>
  <c r="X12" i="143"/>
  <c r="W12" i="143"/>
  <c r="V12" i="143"/>
  <c r="A9" i="143"/>
  <c r="A8" i="143"/>
  <c r="A7" i="143"/>
  <c r="T6" i="143"/>
  <c r="Q6" i="143"/>
  <c r="O6" i="143"/>
  <c r="L6" i="143"/>
  <c r="K6" i="143"/>
  <c r="G6" i="143"/>
  <c r="F6" i="143"/>
  <c r="X5" i="143"/>
  <c r="W5" i="143"/>
  <c r="T5" i="143"/>
  <c r="BF47" i="142"/>
  <c r="BE47" i="142"/>
  <c r="BD47" i="142"/>
  <c r="BC47" i="142"/>
  <c r="BB47" i="142"/>
  <c r="BA47" i="142"/>
  <c r="AZ47" i="142"/>
  <c r="AY47" i="142"/>
  <c r="AX47" i="142"/>
  <c r="AW47" i="142"/>
  <c r="AV47" i="142"/>
  <c r="AU47" i="142"/>
  <c r="BF46" i="142"/>
  <c r="BE46" i="142"/>
  <c r="BD46" i="142"/>
  <c r="BC46" i="142"/>
  <c r="BB46" i="142"/>
  <c r="BA46" i="142"/>
  <c r="AZ46" i="142"/>
  <c r="AY46" i="142"/>
  <c r="AX46" i="142"/>
  <c r="AW46" i="142"/>
  <c r="AV46" i="142"/>
  <c r="AU46" i="142"/>
  <c r="AH46" i="142"/>
  <c r="BF45" i="142"/>
  <c r="BE45" i="142"/>
  <c r="BD45" i="142"/>
  <c r="BC45" i="142"/>
  <c r="BB45" i="142"/>
  <c r="BA45" i="142"/>
  <c r="AZ45" i="142"/>
  <c r="AY45" i="142"/>
  <c r="AX45" i="142"/>
  <c r="AW45" i="142"/>
  <c r="AV45" i="142"/>
  <c r="AU45" i="142"/>
  <c r="AH45" i="142"/>
  <c r="BF44" i="142"/>
  <c r="BE44" i="142"/>
  <c r="BD44" i="142"/>
  <c r="BC44" i="142"/>
  <c r="BB44" i="142"/>
  <c r="BA44" i="142"/>
  <c r="AZ44" i="142"/>
  <c r="AY44" i="142"/>
  <c r="AX44" i="142"/>
  <c r="AW44" i="142"/>
  <c r="AV44" i="142"/>
  <c r="AU44" i="142"/>
  <c r="AH44" i="142"/>
  <c r="AH43" i="142"/>
  <c r="X34" i="142"/>
  <c r="W34" i="142"/>
  <c r="V34" i="142"/>
  <c r="U34" i="142"/>
  <c r="BF29" i="142"/>
  <c r="BE29" i="142"/>
  <c r="BD29" i="142"/>
  <c r="BC29" i="142"/>
  <c r="BB29" i="142"/>
  <c r="BA29" i="142"/>
  <c r="AZ29" i="142"/>
  <c r="AY29" i="142"/>
  <c r="AX29" i="142"/>
  <c r="AW29" i="142"/>
  <c r="AV29" i="142"/>
  <c r="AU29" i="142"/>
  <c r="X29" i="142"/>
  <c r="W29" i="142"/>
  <c r="V29" i="142"/>
  <c r="U29" i="142"/>
  <c r="BF28" i="142"/>
  <c r="BE28" i="142"/>
  <c r="BD28" i="142"/>
  <c r="BC28" i="142"/>
  <c r="BB28" i="142"/>
  <c r="BA28" i="142"/>
  <c r="AZ28" i="142"/>
  <c r="AY28" i="142"/>
  <c r="AX28" i="142"/>
  <c r="AW28" i="142"/>
  <c r="AV28" i="142"/>
  <c r="AU28" i="142"/>
  <c r="AH28" i="142"/>
  <c r="BF27" i="142"/>
  <c r="BE27" i="142"/>
  <c r="BD27" i="142"/>
  <c r="BC27" i="142"/>
  <c r="BB27" i="142"/>
  <c r="BA27" i="142"/>
  <c r="AZ27" i="142"/>
  <c r="AY27" i="142"/>
  <c r="AX27" i="142"/>
  <c r="AW27" i="142"/>
  <c r="AV27" i="142"/>
  <c r="AU27" i="142"/>
  <c r="AH27" i="142"/>
  <c r="BF26" i="142"/>
  <c r="BE26" i="142"/>
  <c r="BD26" i="142"/>
  <c r="BC26" i="142"/>
  <c r="BB26" i="142"/>
  <c r="BA26" i="142"/>
  <c r="AZ26" i="142"/>
  <c r="AY26" i="142"/>
  <c r="AX26" i="142"/>
  <c r="AW26" i="142"/>
  <c r="AV26" i="142"/>
  <c r="AU26" i="142"/>
  <c r="AH26" i="142"/>
  <c r="AH25" i="142"/>
  <c r="Z25" i="142"/>
  <c r="Z30" i="142" s="1"/>
  <c r="T25" i="142"/>
  <c r="T30" i="142" s="1"/>
  <c r="X24" i="142"/>
  <c r="W24" i="142"/>
  <c r="V24" i="142"/>
  <c r="U24" i="142"/>
  <c r="E24" i="142"/>
  <c r="X17" i="142"/>
  <c r="W17" i="142"/>
  <c r="V17" i="142"/>
  <c r="U17" i="142"/>
  <c r="L16" i="142"/>
  <c r="P14" i="142"/>
  <c r="AW13" i="142"/>
  <c r="AX13" i="142" s="1"/>
  <c r="AY13" i="142" s="1"/>
  <c r="AZ13" i="142" s="1"/>
  <c r="BA13" i="142" s="1"/>
  <c r="BB13" i="142" s="1"/>
  <c r="BC13" i="142" s="1"/>
  <c r="BD13" i="142" s="1"/>
  <c r="BE13" i="142" s="1"/>
  <c r="BF13" i="142" s="1"/>
  <c r="BG13" i="142" s="1"/>
  <c r="BH13" i="142" s="1"/>
  <c r="BI13" i="142" s="1"/>
  <c r="BJ13" i="142" s="1"/>
  <c r="BK13" i="142" s="1"/>
  <c r="BL13" i="142" s="1"/>
  <c r="BM13" i="142" s="1"/>
  <c r="BN13" i="142" s="1"/>
  <c r="BO13" i="142" s="1"/>
  <c r="BP13" i="142" s="1"/>
  <c r="BQ13" i="142" s="1"/>
  <c r="BR13" i="142" s="1"/>
  <c r="T13" i="142"/>
  <c r="O13" i="142"/>
  <c r="K13" i="142"/>
  <c r="G13" i="142"/>
  <c r="BF12" i="142"/>
  <c r="BG12" i="142" s="1"/>
  <c r="BH12" i="142" s="1"/>
  <c r="BI12" i="142" s="1"/>
  <c r="BJ12" i="142" s="1"/>
  <c r="BK12" i="142" s="1"/>
  <c r="BL12" i="142" s="1"/>
  <c r="BM12" i="142" s="1"/>
  <c r="BN12" i="142" s="1"/>
  <c r="BO12" i="142" s="1"/>
  <c r="BP12" i="142" s="1"/>
  <c r="BQ12" i="142" s="1"/>
  <c r="BR12" i="142" s="1"/>
  <c r="BD12" i="142"/>
  <c r="BE12" i="142" s="1"/>
  <c r="BC12" i="142"/>
  <c r="X12" i="142"/>
  <c r="W12" i="142"/>
  <c r="V12" i="142"/>
  <c r="A9" i="142"/>
  <c r="P9" i="142" s="1"/>
  <c r="A8" i="142"/>
  <c r="O8" i="142" s="1"/>
  <c r="A7" i="142"/>
  <c r="F7" i="142" s="1"/>
  <c r="T6" i="142"/>
  <c r="O6" i="142"/>
  <c r="N6" i="142"/>
  <c r="M6" i="142"/>
  <c r="L6" i="142"/>
  <c r="K6" i="142"/>
  <c r="J6" i="142"/>
  <c r="I6" i="142"/>
  <c r="H6" i="142"/>
  <c r="G6" i="142"/>
  <c r="F6" i="142"/>
  <c r="E6" i="142"/>
  <c r="T18" i="142" s="1"/>
  <c r="X5" i="142"/>
  <c r="W5" i="142"/>
  <c r="T5" i="142"/>
  <c r="BF47" i="141"/>
  <c r="BE47" i="141"/>
  <c r="BD47" i="141"/>
  <c r="BC47" i="141"/>
  <c r="BB47" i="141"/>
  <c r="BA47" i="141"/>
  <c r="AZ47" i="141"/>
  <c r="AY47" i="141"/>
  <c r="AX47" i="141"/>
  <c r="AW47" i="141"/>
  <c r="AV47" i="141"/>
  <c r="AU47" i="141"/>
  <c r="BF46" i="141"/>
  <c r="BE46" i="141"/>
  <c r="BD46" i="141"/>
  <c r="BC46" i="141"/>
  <c r="BB46" i="141"/>
  <c r="BA46" i="141"/>
  <c r="AZ46" i="141"/>
  <c r="AY46" i="141"/>
  <c r="AX46" i="141"/>
  <c r="AW46" i="141"/>
  <c r="AV46" i="141"/>
  <c r="AU46" i="141"/>
  <c r="AH46" i="141"/>
  <c r="BF45" i="141"/>
  <c r="BE45" i="141"/>
  <c r="BD45" i="141"/>
  <c r="BC45" i="141"/>
  <c r="BB45" i="141"/>
  <c r="BA45" i="141"/>
  <c r="AZ45" i="141"/>
  <c r="AY45" i="141"/>
  <c r="AX45" i="141"/>
  <c r="AW45" i="141"/>
  <c r="AV45" i="141"/>
  <c r="AU45" i="141"/>
  <c r="AH45" i="141"/>
  <c r="BF44" i="141"/>
  <c r="BE44" i="141"/>
  <c r="BD44" i="141"/>
  <c r="BC44" i="141"/>
  <c r="BB44" i="141"/>
  <c r="BA44" i="141"/>
  <c r="AZ44" i="141"/>
  <c r="AY44" i="141"/>
  <c r="AX44" i="141"/>
  <c r="AW44" i="141"/>
  <c r="AV44" i="141"/>
  <c r="AU44" i="141"/>
  <c r="AH44" i="141"/>
  <c r="AH43" i="141"/>
  <c r="X34" i="141"/>
  <c r="W34" i="141"/>
  <c r="V34" i="141"/>
  <c r="U34" i="141"/>
  <c r="BF29" i="141"/>
  <c r="BE29" i="141"/>
  <c r="BD29" i="141"/>
  <c r="BC29" i="141"/>
  <c r="BB29" i="141"/>
  <c r="BA29" i="141"/>
  <c r="AZ29" i="141"/>
  <c r="AY29" i="141"/>
  <c r="AX29" i="141"/>
  <c r="AW29" i="141"/>
  <c r="AV29" i="141"/>
  <c r="AU29" i="141"/>
  <c r="X29" i="141"/>
  <c r="W29" i="141"/>
  <c r="V29" i="141"/>
  <c r="U29" i="141"/>
  <c r="BF28" i="141"/>
  <c r="BE28" i="141"/>
  <c r="BD28" i="141"/>
  <c r="BC28" i="141"/>
  <c r="BB28" i="141"/>
  <c r="BA28" i="141"/>
  <c r="AZ28" i="141"/>
  <c r="AY28" i="141"/>
  <c r="AX28" i="141"/>
  <c r="AW28" i="141"/>
  <c r="AV28" i="141"/>
  <c r="AU28" i="141"/>
  <c r="AH28" i="141"/>
  <c r="BF27" i="141"/>
  <c r="BE27" i="141"/>
  <c r="BD27" i="141"/>
  <c r="BC27" i="141"/>
  <c r="BB27" i="141"/>
  <c r="BA27" i="141"/>
  <c r="AZ27" i="141"/>
  <c r="AY27" i="141"/>
  <c r="AX27" i="141"/>
  <c r="AW27" i="141"/>
  <c r="AV27" i="141"/>
  <c r="AU27" i="141"/>
  <c r="AH27" i="141"/>
  <c r="BF26" i="141"/>
  <c r="BE26" i="141"/>
  <c r="BD26" i="141"/>
  <c r="BC26" i="141"/>
  <c r="BB26" i="141"/>
  <c r="BA26" i="141"/>
  <c r="AZ26" i="141"/>
  <c r="AY26" i="141"/>
  <c r="AX26" i="141"/>
  <c r="AW26" i="141"/>
  <c r="AV26" i="141"/>
  <c r="AU26" i="141"/>
  <c r="AH26" i="141"/>
  <c r="AH25" i="141"/>
  <c r="X24" i="141"/>
  <c r="W24" i="141"/>
  <c r="V24" i="141"/>
  <c r="U24" i="141"/>
  <c r="E24" i="141"/>
  <c r="X17" i="141"/>
  <c r="W17" i="141"/>
  <c r="V17" i="141"/>
  <c r="U17" i="141"/>
  <c r="O16" i="141"/>
  <c r="M15" i="141"/>
  <c r="AW13" i="141"/>
  <c r="AX13" i="141" s="1"/>
  <c r="AY13" i="141" s="1"/>
  <c r="AZ13" i="141" s="1"/>
  <c r="BA13" i="141" s="1"/>
  <c r="BB13" i="141" s="1"/>
  <c r="BC13" i="141" s="1"/>
  <c r="BD13" i="141" s="1"/>
  <c r="BE13" i="141" s="1"/>
  <c r="BF13" i="141" s="1"/>
  <c r="BG13" i="141" s="1"/>
  <c r="BH13" i="141" s="1"/>
  <c r="BI13" i="141" s="1"/>
  <c r="BJ13" i="141" s="1"/>
  <c r="BK13" i="141" s="1"/>
  <c r="BL13" i="141" s="1"/>
  <c r="BM13" i="141" s="1"/>
  <c r="BN13" i="141" s="1"/>
  <c r="BO13" i="141" s="1"/>
  <c r="BP13" i="141" s="1"/>
  <c r="BQ13" i="141" s="1"/>
  <c r="BR13" i="141" s="1"/>
  <c r="T13" i="141"/>
  <c r="Q13" i="141"/>
  <c r="M13" i="141"/>
  <c r="I13" i="141"/>
  <c r="BD12" i="141"/>
  <c r="BE12" i="141" s="1"/>
  <c r="BF12" i="141" s="1"/>
  <c r="BG12" i="141" s="1"/>
  <c r="BH12" i="141" s="1"/>
  <c r="BI12" i="141" s="1"/>
  <c r="BJ12" i="141" s="1"/>
  <c r="BK12" i="141" s="1"/>
  <c r="BL12" i="141" s="1"/>
  <c r="BM12" i="141" s="1"/>
  <c r="BN12" i="141" s="1"/>
  <c r="BO12" i="141" s="1"/>
  <c r="BP12" i="141" s="1"/>
  <c r="BQ12" i="141" s="1"/>
  <c r="BR12" i="141" s="1"/>
  <c r="BC12" i="141"/>
  <c r="X12" i="141"/>
  <c r="W12" i="141"/>
  <c r="V12" i="141"/>
  <c r="A9" i="141"/>
  <c r="A8" i="141"/>
  <c r="A7" i="141"/>
  <c r="T6" i="141"/>
  <c r="K6" i="141"/>
  <c r="X5" i="141"/>
  <c r="W5" i="141"/>
  <c r="T5" i="141"/>
  <c r="B8" i="96"/>
  <c r="B9" i="96"/>
  <c r="B10" i="96"/>
  <c r="AD10" i="96" s="1"/>
  <c r="B11" i="96"/>
  <c r="B12" i="96"/>
  <c r="B13" i="96"/>
  <c r="B14" i="96"/>
  <c r="B15" i="96"/>
  <c r="B16" i="96"/>
  <c r="B17" i="96"/>
  <c r="B18" i="96"/>
  <c r="B19" i="96"/>
  <c r="AC19" i="96" s="1"/>
  <c r="B20" i="96"/>
  <c r="B21" i="96"/>
  <c r="B22" i="96"/>
  <c r="B23" i="96"/>
  <c r="B24" i="96"/>
  <c r="W6" i="96"/>
  <c r="B7" i="96"/>
  <c r="Z25" i="140"/>
  <c r="T25" i="140"/>
  <c r="H13" i="140"/>
  <c r="M13" i="140"/>
  <c r="F6" i="140"/>
  <c r="G6" i="140"/>
  <c r="H6" i="140"/>
  <c r="I6" i="140"/>
  <c r="J6" i="140"/>
  <c r="K6" i="140"/>
  <c r="L6" i="140"/>
  <c r="M6" i="140"/>
  <c r="O6" i="140"/>
  <c r="P6" i="140"/>
  <c r="Q6" i="140"/>
  <c r="E6" i="140"/>
  <c r="T18" i="140" s="1"/>
  <c r="N24" i="96" l="1"/>
  <c r="M23" i="96"/>
  <c r="L22" i="96"/>
  <c r="N20" i="96"/>
  <c r="M19" i="96"/>
  <c r="L18" i="96"/>
  <c r="N16" i="96"/>
  <c r="M15" i="96"/>
  <c r="L14" i="96"/>
  <c r="N12" i="96"/>
  <c r="M11" i="96"/>
  <c r="N22" i="96"/>
  <c r="M21" i="96"/>
  <c r="N18" i="96"/>
  <c r="L16" i="96"/>
  <c r="M13" i="96"/>
  <c r="M22" i="96"/>
  <c r="N19" i="96"/>
  <c r="M18" i="96"/>
  <c r="N15" i="96"/>
  <c r="L13" i="96"/>
  <c r="M24" i="96"/>
  <c r="L23" i="96"/>
  <c r="N21" i="96"/>
  <c r="M20" i="96"/>
  <c r="L19" i="96"/>
  <c r="N17" i="96"/>
  <c r="M16" i="96"/>
  <c r="L15" i="96"/>
  <c r="N13" i="96"/>
  <c r="M12" i="96"/>
  <c r="L11" i="96"/>
  <c r="L24" i="96"/>
  <c r="L20" i="96"/>
  <c r="M17" i="96"/>
  <c r="N14" i="96"/>
  <c r="L12" i="96"/>
  <c r="N23" i="96"/>
  <c r="L21" i="96"/>
  <c r="L17" i="96"/>
  <c r="M14" i="96"/>
  <c r="N11" i="96"/>
  <c r="E3" i="96"/>
  <c r="L10" i="96"/>
  <c r="N8" i="96"/>
  <c r="M7" i="96"/>
  <c r="N9" i="96"/>
  <c r="M8" i="96"/>
  <c r="L7" i="96"/>
  <c r="N10" i="96"/>
  <c r="M9" i="96"/>
  <c r="L8" i="96"/>
  <c r="M10" i="96"/>
  <c r="L9" i="96"/>
  <c r="N7" i="96"/>
  <c r="F13" i="143"/>
  <c r="K13" i="143"/>
  <c r="E13" i="140"/>
  <c r="E20" i="140" s="1"/>
  <c r="Q13" i="140"/>
  <c r="L13" i="140"/>
  <c r="G13" i="140"/>
  <c r="J13" i="141"/>
  <c r="N13" i="141"/>
  <c r="H13" i="142"/>
  <c r="L13" i="142"/>
  <c r="P13" i="142"/>
  <c r="P20" i="142" s="1"/>
  <c r="G13" i="143"/>
  <c r="M13" i="143"/>
  <c r="E13" i="143"/>
  <c r="Z18" i="143" s="1"/>
  <c r="P13" i="140"/>
  <c r="P20" i="140" s="1"/>
  <c r="K13" i="140"/>
  <c r="K20" i="140" s="1"/>
  <c r="F13" i="140"/>
  <c r="G13" i="141"/>
  <c r="K13" i="141"/>
  <c r="O13" i="141"/>
  <c r="AD18" i="141" s="1"/>
  <c r="E13" i="142"/>
  <c r="I13" i="142"/>
  <c r="M13" i="142"/>
  <c r="AC18" i="142" s="1"/>
  <c r="Q13" i="142"/>
  <c r="Q20" i="142" s="1"/>
  <c r="I13" i="143"/>
  <c r="N13" i="143"/>
  <c r="O13" i="140"/>
  <c r="I13" i="140"/>
  <c r="AB18" i="140" s="1"/>
  <c r="H13" i="141"/>
  <c r="L13" i="141"/>
  <c r="F13" i="142"/>
  <c r="AA18" i="142" s="1"/>
  <c r="J13" i="142"/>
  <c r="J13" i="143"/>
  <c r="N6" i="141"/>
  <c r="T25" i="141"/>
  <c r="T30" i="141" s="1"/>
  <c r="H6" i="141"/>
  <c r="O6" i="141"/>
  <c r="X18" i="141" s="1"/>
  <c r="Z25" i="141"/>
  <c r="Z30" i="141" s="1"/>
  <c r="H6" i="143"/>
  <c r="H20" i="143" s="1"/>
  <c r="M6" i="143"/>
  <c r="M20" i="143" s="1"/>
  <c r="Z25" i="143"/>
  <c r="Z30" i="143" s="1"/>
  <c r="E6" i="143"/>
  <c r="T18" i="143" s="1"/>
  <c r="J6" i="143"/>
  <c r="V18" i="143" s="1"/>
  <c r="F6" i="141"/>
  <c r="G6" i="141"/>
  <c r="I6" i="141"/>
  <c r="L6" i="141"/>
  <c r="M6" i="141"/>
  <c r="K14" i="141"/>
  <c r="P9" i="143"/>
  <c r="F9" i="141"/>
  <c r="Z7" i="142"/>
  <c r="T7" i="142" s="1"/>
  <c r="Z8" i="142"/>
  <c r="Z7" i="141"/>
  <c r="T7" i="141" s="1"/>
  <c r="Z8" i="141"/>
  <c r="Z7" i="143"/>
  <c r="Z8" i="143"/>
  <c r="V18" i="141"/>
  <c r="K20" i="141"/>
  <c r="G9" i="143"/>
  <c r="Y12" i="96"/>
  <c r="AB15" i="96"/>
  <c r="E8" i="142"/>
  <c r="T20" i="142" s="1"/>
  <c r="T36" i="142" s="1"/>
  <c r="F14" i="142"/>
  <c r="F21" i="142" s="1"/>
  <c r="AB10" i="96"/>
  <c r="AB14" i="96"/>
  <c r="AA19" i="96"/>
  <c r="AB12" i="96"/>
  <c r="G20" i="141"/>
  <c r="V18" i="142"/>
  <c r="J20" i="141"/>
  <c r="N20" i="141"/>
  <c r="U18" i="142"/>
  <c r="N20" i="143"/>
  <c r="G20" i="142"/>
  <c r="K20" i="142"/>
  <c r="O20" i="142"/>
  <c r="AC18" i="143"/>
  <c r="G14" i="142"/>
  <c r="T7" i="143"/>
  <c r="F14" i="143"/>
  <c r="K9" i="141"/>
  <c r="I7" i="142"/>
  <c r="J14" i="143"/>
  <c r="J9" i="141"/>
  <c r="Y14" i="96"/>
  <c r="J14" i="141"/>
  <c r="K16" i="141"/>
  <c r="J7" i="142"/>
  <c r="M14" i="142"/>
  <c r="E16" i="142"/>
  <c r="Z21" i="142" s="1"/>
  <c r="Z37" i="142" s="1"/>
  <c r="Y21" i="96"/>
  <c r="O14" i="142"/>
  <c r="Y10" i="96"/>
  <c r="Q7" i="142"/>
  <c r="J8" i="142"/>
  <c r="J14" i="142"/>
  <c r="Q14" i="142"/>
  <c r="J16" i="142"/>
  <c r="J17" i="142" s="1"/>
  <c r="M9" i="143"/>
  <c r="K14" i="143"/>
  <c r="E14" i="142"/>
  <c r="K14" i="142"/>
  <c r="T8" i="143"/>
  <c r="E14" i="143"/>
  <c r="E21" i="143" s="1"/>
  <c r="N8" i="141"/>
  <c r="O8" i="141"/>
  <c r="Q15" i="142"/>
  <c r="H15" i="142"/>
  <c r="P15" i="142"/>
  <c r="E15" i="142"/>
  <c r="Z20" i="142" s="1"/>
  <c r="Z36" i="142" s="1"/>
  <c r="G8" i="141"/>
  <c r="P14" i="141"/>
  <c r="N14" i="141"/>
  <c r="F14" i="141"/>
  <c r="O14" i="141"/>
  <c r="I15" i="142"/>
  <c r="P16" i="142"/>
  <c r="P17" i="142" s="1"/>
  <c r="H16" i="142"/>
  <c r="H17" i="142" s="1"/>
  <c r="M16" i="142"/>
  <c r="F16" i="142"/>
  <c r="F17" i="142" s="1"/>
  <c r="Q16" i="142"/>
  <c r="Q7" i="143"/>
  <c r="Q21" i="143" s="1"/>
  <c r="M7" i="143"/>
  <c r="E7" i="143"/>
  <c r="T19" i="143" s="1"/>
  <c r="T35" i="143" s="1"/>
  <c r="P15" i="143"/>
  <c r="Q15" i="143"/>
  <c r="Q17" i="143" s="1"/>
  <c r="I15" i="143"/>
  <c r="N15" i="143"/>
  <c r="F15" i="143"/>
  <c r="M15" i="143"/>
  <c r="E15" i="143"/>
  <c r="Z20" i="143" s="1"/>
  <c r="Z36" i="143" s="1"/>
  <c r="K8" i="141"/>
  <c r="Q9" i="141"/>
  <c r="O9" i="141"/>
  <c r="O23" i="141" s="1"/>
  <c r="G9" i="141"/>
  <c r="N9" i="141"/>
  <c r="G14" i="141"/>
  <c r="N16" i="141"/>
  <c r="G16" i="141"/>
  <c r="G17" i="141" s="1"/>
  <c r="O7" i="142"/>
  <c r="M7" i="142"/>
  <c r="E7" i="142"/>
  <c r="T19" i="142" s="1"/>
  <c r="T35" i="142" s="1"/>
  <c r="N7" i="142"/>
  <c r="M15" i="142"/>
  <c r="K16" i="143"/>
  <c r="K17" i="143" s="1"/>
  <c r="I9" i="143"/>
  <c r="N9" i="143"/>
  <c r="F16" i="143"/>
  <c r="N16" i="143"/>
  <c r="I14" i="142"/>
  <c r="N14" i="142"/>
  <c r="E9" i="143"/>
  <c r="T21" i="143" s="1"/>
  <c r="T37" i="143" s="1"/>
  <c r="J9" i="143"/>
  <c r="O9" i="143"/>
  <c r="G14" i="143"/>
  <c r="N14" i="143"/>
  <c r="G16" i="143"/>
  <c r="O16" i="143"/>
  <c r="F9" i="143"/>
  <c r="K9" i="143"/>
  <c r="Q9" i="143"/>
  <c r="Q23" i="143" s="1"/>
  <c r="I14" i="143"/>
  <c r="O14" i="143"/>
  <c r="J16" i="143"/>
  <c r="J17" i="143" s="1"/>
  <c r="U18" i="143"/>
  <c r="N8" i="143"/>
  <c r="J8" i="143"/>
  <c r="J22" i="143" s="1"/>
  <c r="F8" i="143"/>
  <c r="Q8" i="143"/>
  <c r="M8" i="143"/>
  <c r="I8" i="143"/>
  <c r="E8" i="143"/>
  <c r="T20" i="143" s="1"/>
  <c r="T36" i="143" s="1"/>
  <c r="L8" i="143"/>
  <c r="P20" i="143"/>
  <c r="X18" i="143"/>
  <c r="H7" i="143"/>
  <c r="P7" i="143"/>
  <c r="G8" i="143"/>
  <c r="O8" i="143"/>
  <c r="I20" i="143"/>
  <c r="Q20" i="143"/>
  <c r="I7" i="143"/>
  <c r="H8" i="143"/>
  <c r="P8" i="143"/>
  <c r="F20" i="143"/>
  <c r="Z32" i="143"/>
  <c r="T32" i="143"/>
  <c r="T27" i="143"/>
  <c r="T26" i="143"/>
  <c r="T31" i="143" s="1"/>
  <c r="O7" i="143"/>
  <c r="K7" i="143"/>
  <c r="G7" i="143"/>
  <c r="Z27" i="143"/>
  <c r="N7" i="143"/>
  <c r="J7" i="143"/>
  <c r="F7" i="143"/>
  <c r="Z26" i="143"/>
  <c r="Z31" i="143" s="1"/>
  <c r="L7" i="143"/>
  <c r="K8" i="143"/>
  <c r="T9" i="143"/>
  <c r="K20" i="143"/>
  <c r="AD18" i="143"/>
  <c r="O20" i="143"/>
  <c r="AB18" i="143"/>
  <c r="Z19" i="143"/>
  <c r="Z35" i="143" s="1"/>
  <c r="L20" i="143"/>
  <c r="H9" i="143"/>
  <c r="L9" i="143"/>
  <c r="H14" i="143"/>
  <c r="L14" i="143"/>
  <c r="P14" i="143"/>
  <c r="G15" i="143"/>
  <c r="K15" i="143"/>
  <c r="O15" i="143"/>
  <c r="H16" i="143"/>
  <c r="L16" i="143"/>
  <c r="P16" i="143"/>
  <c r="E20" i="143"/>
  <c r="M14" i="143"/>
  <c r="H15" i="143"/>
  <c r="L15" i="143"/>
  <c r="E16" i="143"/>
  <c r="I16" i="143"/>
  <c r="M16" i="143"/>
  <c r="P8" i="142"/>
  <c r="L8" i="142"/>
  <c r="H8" i="142"/>
  <c r="I8" i="142"/>
  <c r="N8" i="142"/>
  <c r="H9" i="142"/>
  <c r="M9" i="142"/>
  <c r="F20" i="142"/>
  <c r="N20" i="142"/>
  <c r="R6" i="142"/>
  <c r="X18" i="142"/>
  <c r="G7" i="142"/>
  <c r="G21" i="142" s="1"/>
  <c r="K7" i="142"/>
  <c r="F8" i="142"/>
  <c r="K8" i="142"/>
  <c r="Q8" i="142"/>
  <c r="T8" i="142"/>
  <c r="E9" i="142"/>
  <c r="T21" i="142" s="1"/>
  <c r="T37" i="142" s="1"/>
  <c r="J9" i="142"/>
  <c r="H20" i="142"/>
  <c r="O15" i="142"/>
  <c r="K15" i="142"/>
  <c r="G15" i="142"/>
  <c r="N15" i="142"/>
  <c r="J15" i="142"/>
  <c r="F15" i="142"/>
  <c r="L15" i="142"/>
  <c r="O9" i="142"/>
  <c r="K9" i="142"/>
  <c r="G9" i="142"/>
  <c r="I9" i="142"/>
  <c r="N9" i="142"/>
  <c r="E21" i="142"/>
  <c r="Z19" i="142"/>
  <c r="Z35" i="142" s="1"/>
  <c r="W18" i="142"/>
  <c r="Z32" i="142"/>
  <c r="T32" i="142"/>
  <c r="T27" i="142"/>
  <c r="Z26" i="142"/>
  <c r="Z31" i="142" s="1"/>
  <c r="T26" i="142"/>
  <c r="T31" i="142" s="1"/>
  <c r="Z27" i="142"/>
  <c r="H7" i="142"/>
  <c r="L7" i="142"/>
  <c r="P7" i="142"/>
  <c r="G8" i="142"/>
  <c r="M8" i="142"/>
  <c r="F9" i="142"/>
  <c r="L9" i="142"/>
  <c r="L23" i="142" s="1"/>
  <c r="Q9" i="142"/>
  <c r="T9" i="142"/>
  <c r="E20" i="142"/>
  <c r="Z18" i="142"/>
  <c r="I20" i="142"/>
  <c r="M20" i="142"/>
  <c r="L17" i="142"/>
  <c r="L20" i="142"/>
  <c r="H14" i="142"/>
  <c r="L14" i="142"/>
  <c r="O16" i="142"/>
  <c r="K16" i="142"/>
  <c r="G16" i="142"/>
  <c r="I16" i="142"/>
  <c r="N16" i="142"/>
  <c r="O21" i="142"/>
  <c r="T32" i="141"/>
  <c r="T27" i="141"/>
  <c r="Z32" i="141"/>
  <c r="Z26" i="141"/>
  <c r="Z31" i="141" s="1"/>
  <c r="T26" i="141"/>
  <c r="T31" i="141" s="1"/>
  <c r="Z27" i="141"/>
  <c r="H7" i="141"/>
  <c r="L7" i="141"/>
  <c r="P7" i="141"/>
  <c r="E15" i="141"/>
  <c r="J15" i="141"/>
  <c r="P15" i="141"/>
  <c r="E7" i="141"/>
  <c r="T19" i="141" s="1"/>
  <c r="T35" i="141" s="1"/>
  <c r="I7" i="141"/>
  <c r="M7" i="141"/>
  <c r="Q7" i="141"/>
  <c r="H8" i="141"/>
  <c r="L8" i="141"/>
  <c r="P8" i="141"/>
  <c r="H20" i="141"/>
  <c r="P20" i="141"/>
  <c r="H14" i="141"/>
  <c r="L14" i="141"/>
  <c r="Q14" i="141"/>
  <c r="F15" i="141"/>
  <c r="L15" i="141"/>
  <c r="Q15" i="141"/>
  <c r="F7" i="141"/>
  <c r="J7" i="141"/>
  <c r="N7" i="141"/>
  <c r="E8" i="141"/>
  <c r="T20" i="141" s="1"/>
  <c r="T36" i="141" s="1"/>
  <c r="I8" i="141"/>
  <c r="M8" i="141"/>
  <c r="M22" i="141" s="1"/>
  <c r="Q8" i="141"/>
  <c r="H9" i="141"/>
  <c r="L9" i="141"/>
  <c r="P9" i="141"/>
  <c r="G7" i="141"/>
  <c r="K7" i="141"/>
  <c r="K21" i="141" s="1"/>
  <c r="O7" i="141"/>
  <c r="F8" i="141"/>
  <c r="J8" i="141"/>
  <c r="T8" i="141"/>
  <c r="E9" i="141"/>
  <c r="T21" i="141" s="1"/>
  <c r="T37" i="141" s="1"/>
  <c r="I9" i="141"/>
  <c r="M9" i="141"/>
  <c r="E20" i="141"/>
  <c r="Z18" i="141"/>
  <c r="I20" i="141"/>
  <c r="Q20" i="141"/>
  <c r="E14" i="141"/>
  <c r="I14" i="141"/>
  <c r="M14" i="141"/>
  <c r="H15" i="141"/>
  <c r="T9" i="141"/>
  <c r="AA18" i="141"/>
  <c r="O15" i="141"/>
  <c r="O17" i="141" s="1"/>
  <c r="K15" i="141"/>
  <c r="G15" i="141"/>
  <c r="G22" i="141" s="1"/>
  <c r="I15" i="141"/>
  <c r="N15" i="141"/>
  <c r="H16" i="141"/>
  <c r="L16" i="141"/>
  <c r="P16" i="141"/>
  <c r="E16" i="141"/>
  <c r="I16" i="141"/>
  <c r="M16" i="141"/>
  <c r="Q16" i="141"/>
  <c r="F16" i="141"/>
  <c r="J16" i="141"/>
  <c r="Y19" i="96"/>
  <c r="AC23" i="96"/>
  <c r="AD12" i="96"/>
  <c r="AC14" i="96"/>
  <c r="AA10" i="96"/>
  <c r="AD19" i="96"/>
  <c r="AC15" i="96"/>
  <c r="AD14" i="96"/>
  <c r="AC12" i="96"/>
  <c r="AC10" i="96"/>
  <c r="X18" i="140"/>
  <c r="U18" i="140"/>
  <c r="AA18" i="140"/>
  <c r="V18" i="140"/>
  <c r="W18" i="140"/>
  <c r="AC18" i="140"/>
  <c r="Z18" i="140"/>
  <c r="L20" i="140"/>
  <c r="H20" i="140"/>
  <c r="O20" i="140"/>
  <c r="G20" i="140"/>
  <c r="N20" i="140"/>
  <c r="J20" i="140"/>
  <c r="F20" i="140"/>
  <c r="M20" i="140"/>
  <c r="R6" i="140"/>
  <c r="U18" i="141" l="1"/>
  <c r="J21" i="142"/>
  <c r="V19" i="142"/>
  <c r="R13" i="143"/>
  <c r="AC18" i="141"/>
  <c r="L20" i="141"/>
  <c r="R13" i="140"/>
  <c r="R20" i="140" s="1"/>
  <c r="AA18" i="143"/>
  <c r="Q22" i="142"/>
  <c r="AC9" i="142"/>
  <c r="R13" i="142"/>
  <c r="R20" i="142" s="1"/>
  <c r="AD18" i="140"/>
  <c r="AB18" i="141"/>
  <c r="G21" i="141"/>
  <c r="I20" i="140"/>
  <c r="R13" i="141"/>
  <c r="AD18" i="142"/>
  <c r="O20" i="141"/>
  <c r="J20" i="142"/>
  <c r="Q20" i="140"/>
  <c r="AB18" i="142"/>
  <c r="G20" i="143"/>
  <c r="W18" i="141"/>
  <c r="Y15" i="96"/>
  <c r="AD15" i="96"/>
  <c r="Z12" i="96"/>
  <c r="AA15" i="96"/>
  <c r="AA14" i="96"/>
  <c r="Z14" i="96"/>
  <c r="Z10" i="96"/>
  <c r="W18" i="143"/>
  <c r="J20" i="143"/>
  <c r="R6" i="143"/>
  <c r="F20" i="141"/>
  <c r="M20" i="141"/>
  <c r="R6" i="141"/>
  <c r="R20" i="141" s="1"/>
  <c r="E22" i="142"/>
  <c r="E22" i="143"/>
  <c r="E23" i="142"/>
  <c r="F21" i="143"/>
  <c r="M21" i="143"/>
  <c r="G23" i="143"/>
  <c r="AA21" i="96"/>
  <c r="AA12" i="96"/>
  <c r="P22" i="142"/>
  <c r="AD19" i="142"/>
  <c r="I21" i="142"/>
  <c r="K23" i="141"/>
  <c r="X21" i="141"/>
  <c r="M21" i="142"/>
  <c r="N21" i="142"/>
  <c r="N22" i="143"/>
  <c r="AC21" i="142"/>
  <c r="AC30" i="142" s="1"/>
  <c r="I22" i="143"/>
  <c r="Q17" i="142"/>
  <c r="W19" i="142"/>
  <c r="W35" i="142" s="1"/>
  <c r="Q23" i="142"/>
  <c r="AC21" i="96"/>
  <c r="AD21" i="96"/>
  <c r="N21" i="141"/>
  <c r="P23" i="142"/>
  <c r="Q21" i="142"/>
  <c r="G17" i="143"/>
  <c r="M21" i="141"/>
  <c r="W19" i="143"/>
  <c r="X19" i="142"/>
  <c r="K22" i="141"/>
  <c r="J22" i="142"/>
  <c r="N22" i="141"/>
  <c r="N23" i="141"/>
  <c r="F21" i="141"/>
  <c r="N17" i="143"/>
  <c r="J21" i="141"/>
  <c r="P21" i="141"/>
  <c r="F23" i="142"/>
  <c r="I22" i="142"/>
  <c r="M17" i="142"/>
  <c r="M23" i="142"/>
  <c r="J21" i="143"/>
  <c r="N21" i="143"/>
  <c r="Z23" i="96"/>
  <c r="O21" i="143"/>
  <c r="Z21" i="96"/>
  <c r="AB21" i="96"/>
  <c r="F23" i="143"/>
  <c r="K17" i="141"/>
  <c r="H21" i="141"/>
  <c r="J23" i="142"/>
  <c r="M22" i="142"/>
  <c r="G22" i="143"/>
  <c r="J23" i="143"/>
  <c r="F22" i="143"/>
  <c r="AA23" i="96"/>
  <c r="U19" i="142"/>
  <c r="U35" i="142" s="1"/>
  <c r="F17" i="143"/>
  <c r="R9" i="141"/>
  <c r="X20" i="141"/>
  <c r="X20" i="142"/>
  <c r="N22" i="142"/>
  <c r="H22" i="143"/>
  <c r="H21" i="143"/>
  <c r="V21" i="143"/>
  <c r="V30" i="143" s="1"/>
  <c r="G21" i="143"/>
  <c r="X21" i="143"/>
  <c r="X30" i="143" s="1"/>
  <c r="AA19" i="141"/>
  <c r="AA35" i="141" s="1"/>
  <c r="Z19" i="96"/>
  <c r="N17" i="141"/>
  <c r="K21" i="142"/>
  <c r="Q22" i="143"/>
  <c r="K21" i="143"/>
  <c r="P22" i="143"/>
  <c r="N23" i="143"/>
  <c r="H23" i="142"/>
  <c r="H22" i="141"/>
  <c r="AB19" i="96"/>
  <c r="Z15" i="96"/>
  <c r="Y23" i="96"/>
  <c r="AB23" i="96"/>
  <c r="AD23" i="96"/>
  <c r="U21" i="141"/>
  <c r="U25" i="141" s="1"/>
  <c r="AB19" i="143"/>
  <c r="I21" i="143"/>
  <c r="O23" i="143"/>
  <c r="O17" i="143"/>
  <c r="H22" i="142"/>
  <c r="M22" i="143"/>
  <c r="G23" i="141"/>
  <c r="R16" i="143"/>
  <c r="AA21" i="142"/>
  <c r="AA25" i="142" s="1"/>
  <c r="H21" i="142"/>
  <c r="K22" i="142"/>
  <c r="AB19" i="142"/>
  <c r="AD21" i="143"/>
  <c r="AD37" i="143" s="1"/>
  <c r="K22" i="143"/>
  <c r="K23" i="143"/>
  <c r="W20" i="143"/>
  <c r="AD25" i="143"/>
  <c r="Z21" i="143"/>
  <c r="Z37" i="143" s="1"/>
  <c r="E23" i="143"/>
  <c r="L22" i="143"/>
  <c r="AC20" i="143"/>
  <c r="L23" i="143"/>
  <c r="L17" i="143"/>
  <c r="AC21" i="143"/>
  <c r="W21" i="143"/>
  <c r="V25" i="143"/>
  <c r="R15" i="143"/>
  <c r="AA19" i="143"/>
  <c r="R20" i="143"/>
  <c r="V19" i="143"/>
  <c r="R8" i="143"/>
  <c r="U20" i="143"/>
  <c r="M23" i="143"/>
  <c r="M17" i="143"/>
  <c r="H17" i="143"/>
  <c r="H23" i="143"/>
  <c r="P21" i="143"/>
  <c r="AC9" i="143"/>
  <c r="AD19" i="143"/>
  <c r="AB20" i="143"/>
  <c r="R7" i="143"/>
  <c r="U19" i="143"/>
  <c r="U35" i="143" s="1"/>
  <c r="U21" i="143"/>
  <c r="V20" i="143"/>
  <c r="V36" i="143" s="1"/>
  <c r="I23" i="143"/>
  <c r="AB21" i="143"/>
  <c r="I17" i="143"/>
  <c r="AB22" i="143" s="1"/>
  <c r="AD20" i="143"/>
  <c r="O22" i="143"/>
  <c r="L21" i="143"/>
  <c r="AC19" i="143"/>
  <c r="R14" i="143"/>
  <c r="P17" i="143"/>
  <c r="P23" i="143"/>
  <c r="AA20" i="143"/>
  <c r="AA21" i="143"/>
  <c r="W9" i="143"/>
  <c r="X19" i="143"/>
  <c r="R9" i="143"/>
  <c r="X20" i="143"/>
  <c r="U21" i="142"/>
  <c r="R9" i="142"/>
  <c r="V21" i="142"/>
  <c r="AA20" i="142"/>
  <c r="F22" i="142"/>
  <c r="R15" i="142"/>
  <c r="AD9" i="142" s="1"/>
  <c r="P21" i="142"/>
  <c r="V20" i="142"/>
  <c r="N23" i="142"/>
  <c r="N17" i="142"/>
  <c r="I23" i="142"/>
  <c r="AB21" i="142"/>
  <c r="I17" i="142"/>
  <c r="L21" i="142"/>
  <c r="AC19" i="142"/>
  <c r="R7" i="142"/>
  <c r="AD20" i="142"/>
  <c r="O22" i="142"/>
  <c r="AA19" i="142"/>
  <c r="U20" i="142"/>
  <c r="R8" i="142"/>
  <c r="W9" i="142"/>
  <c r="O23" i="142"/>
  <c r="AD21" i="142"/>
  <c r="O17" i="142"/>
  <c r="G23" i="142"/>
  <c r="G17" i="142"/>
  <c r="AA22" i="142" s="1"/>
  <c r="R14" i="142"/>
  <c r="W20" i="142"/>
  <c r="K23" i="142"/>
  <c r="K17" i="142"/>
  <c r="W21" i="142"/>
  <c r="X21" i="142"/>
  <c r="L22" i="142"/>
  <c r="AC20" i="142"/>
  <c r="G22" i="142"/>
  <c r="AB20" i="142"/>
  <c r="R16" i="142"/>
  <c r="X30" i="141"/>
  <c r="X37" i="141"/>
  <c r="X25" i="141"/>
  <c r="H23" i="141"/>
  <c r="H17" i="141"/>
  <c r="I21" i="141"/>
  <c r="AB19" i="141"/>
  <c r="V21" i="141"/>
  <c r="AA20" i="141"/>
  <c r="F22" i="141"/>
  <c r="R15" i="141"/>
  <c r="J22" i="141"/>
  <c r="W19" i="141"/>
  <c r="E21" i="141"/>
  <c r="Z19" i="141"/>
  <c r="Z35" i="141" s="1"/>
  <c r="V20" i="141"/>
  <c r="U19" i="141"/>
  <c r="U35" i="141" s="1"/>
  <c r="R7" i="141"/>
  <c r="Q21" i="141"/>
  <c r="AC9" i="141"/>
  <c r="W20" i="141"/>
  <c r="V19" i="141"/>
  <c r="E22" i="141"/>
  <c r="Z20" i="141"/>
  <c r="Z36" i="141" s="1"/>
  <c r="M17" i="141"/>
  <c r="M23" i="141"/>
  <c r="J23" i="141"/>
  <c r="J17" i="141"/>
  <c r="I23" i="141"/>
  <c r="AB21" i="141"/>
  <c r="I17" i="141"/>
  <c r="P17" i="141"/>
  <c r="P23" i="141"/>
  <c r="O22" i="141"/>
  <c r="AD20" i="141"/>
  <c r="AD21" i="141"/>
  <c r="U20" i="141"/>
  <c r="R8" i="141"/>
  <c r="Q22" i="141"/>
  <c r="AC19" i="141"/>
  <c r="L21" i="141"/>
  <c r="AD19" i="141"/>
  <c r="R14" i="141"/>
  <c r="Q17" i="141"/>
  <c r="Q23" i="141"/>
  <c r="AA21" i="141"/>
  <c r="R16" i="141"/>
  <c r="F23" i="141"/>
  <c r="F17" i="141"/>
  <c r="Z21" i="141"/>
  <c r="Z37" i="141" s="1"/>
  <c r="E23" i="141"/>
  <c r="L17" i="141"/>
  <c r="L23" i="141"/>
  <c r="AC21" i="141"/>
  <c r="I22" i="141"/>
  <c r="AB20" i="141"/>
  <c r="X19" i="141"/>
  <c r="X35" i="141" s="1"/>
  <c r="W9" i="141"/>
  <c r="W21" i="141"/>
  <c r="AC20" i="141"/>
  <c r="L22" i="141"/>
  <c r="P22" i="141"/>
  <c r="O21" i="141"/>
  <c r="Z13" i="96"/>
  <c r="AD13" i="96"/>
  <c r="AC13" i="96"/>
  <c r="Y13" i="96"/>
  <c r="AA13" i="96"/>
  <c r="AB13" i="96"/>
  <c r="Y17" i="96"/>
  <c r="AC17" i="96"/>
  <c r="AB17" i="96"/>
  <c r="AD17" i="96"/>
  <c r="Z17" i="96"/>
  <c r="AA17" i="96"/>
  <c r="Z22" i="96"/>
  <c r="AD22" i="96"/>
  <c r="AC22" i="96"/>
  <c r="Y22" i="96"/>
  <c r="AA22" i="96"/>
  <c r="AB22" i="96"/>
  <c r="AB11" i="96"/>
  <c r="Y11" i="96"/>
  <c r="AC11" i="96"/>
  <c r="Z11" i="96"/>
  <c r="AD11" i="96"/>
  <c r="AA11" i="96"/>
  <c r="AB16" i="96"/>
  <c r="Z16" i="96"/>
  <c r="AA16" i="96"/>
  <c r="AC16" i="96"/>
  <c r="Y16" i="96"/>
  <c r="AD16" i="96"/>
  <c r="AB20" i="96"/>
  <c r="AA20" i="96"/>
  <c r="AC20" i="96"/>
  <c r="Y20" i="96"/>
  <c r="AD20" i="96"/>
  <c r="Z20" i="96"/>
  <c r="Z18" i="96"/>
  <c r="AD18" i="96"/>
  <c r="AC18" i="96"/>
  <c r="Y18" i="96"/>
  <c r="AA18" i="96"/>
  <c r="AB18" i="96"/>
  <c r="AA35" i="142" l="1"/>
  <c r="AD22" i="142"/>
  <c r="AD32" i="142" s="1"/>
  <c r="U36" i="142"/>
  <c r="X9" i="141"/>
  <c r="AD35" i="142"/>
  <c r="AA36" i="142"/>
  <c r="AC25" i="142"/>
  <c r="X35" i="142"/>
  <c r="AC22" i="142"/>
  <c r="AC32" i="142" s="1"/>
  <c r="V35" i="142"/>
  <c r="AB35" i="141"/>
  <c r="AB36" i="141"/>
  <c r="AB36" i="142"/>
  <c r="AA30" i="142"/>
  <c r="AA37" i="142"/>
  <c r="AC35" i="143"/>
  <c r="AD22" i="143"/>
  <c r="AD32" i="143" s="1"/>
  <c r="X35" i="143"/>
  <c r="W35" i="143"/>
  <c r="U30" i="141"/>
  <c r="X25" i="143"/>
  <c r="X37" i="143"/>
  <c r="AD36" i="143"/>
  <c r="AA22" i="143"/>
  <c r="AB38" i="143" s="1"/>
  <c r="AC35" i="141"/>
  <c r="W36" i="142"/>
  <c r="W36" i="143"/>
  <c r="AA31" i="142"/>
  <c r="AD22" i="141"/>
  <c r="AD27" i="141" s="1"/>
  <c r="X36" i="143"/>
  <c r="V26" i="143"/>
  <c r="X9" i="142"/>
  <c r="AC35" i="142"/>
  <c r="W36" i="141"/>
  <c r="R21" i="142"/>
  <c r="AD9" i="143"/>
  <c r="AC22" i="141"/>
  <c r="AC32" i="141" s="1"/>
  <c r="AD36" i="141"/>
  <c r="AA36" i="141"/>
  <c r="U37" i="141"/>
  <c r="AD30" i="143"/>
  <c r="AD9" i="141"/>
  <c r="W35" i="141"/>
  <c r="AD35" i="143"/>
  <c r="AC36" i="143"/>
  <c r="R17" i="143"/>
  <c r="U36" i="143"/>
  <c r="AA35" i="143"/>
  <c r="AB35" i="143"/>
  <c r="W37" i="143"/>
  <c r="W31" i="143"/>
  <c r="W26" i="143"/>
  <c r="W25" i="143"/>
  <c r="W30" i="143"/>
  <c r="AD26" i="143"/>
  <c r="V35" i="143"/>
  <c r="X26" i="143"/>
  <c r="R22" i="143"/>
  <c r="V31" i="143"/>
  <c r="AC30" i="143"/>
  <c r="AC37" i="143"/>
  <c r="AC26" i="143"/>
  <c r="AC31" i="143"/>
  <c r="AC25" i="143"/>
  <c r="X9" i="143"/>
  <c r="AA36" i="143"/>
  <c r="R21" i="143"/>
  <c r="AB27" i="143"/>
  <c r="AB32" i="143"/>
  <c r="U30" i="143"/>
  <c r="U31" i="143"/>
  <c r="U37" i="143"/>
  <c r="U25" i="143"/>
  <c r="U26" i="143"/>
  <c r="X31" i="143"/>
  <c r="V37" i="143"/>
  <c r="AC22" i="143"/>
  <c r="R23" i="143"/>
  <c r="AA37" i="143"/>
  <c r="AA31" i="143"/>
  <c r="AA30" i="143"/>
  <c r="AA25" i="143"/>
  <c r="AA26" i="143"/>
  <c r="AA38" i="143"/>
  <c r="AB37" i="143"/>
  <c r="AB31" i="143"/>
  <c r="AB26" i="143"/>
  <c r="AB25" i="143"/>
  <c r="AB30" i="143"/>
  <c r="AB36" i="143"/>
  <c r="AD31" i="143"/>
  <c r="AD36" i="142"/>
  <c r="AB22" i="142"/>
  <c r="R22" i="142"/>
  <c r="AB37" i="142"/>
  <c r="AB31" i="142"/>
  <c r="AB26" i="142"/>
  <c r="AB25" i="142"/>
  <c r="AB30" i="142"/>
  <c r="V36" i="142"/>
  <c r="V37" i="142"/>
  <c r="V31" i="142"/>
  <c r="V30" i="142"/>
  <c r="V26" i="142"/>
  <c r="V25" i="142"/>
  <c r="AA26" i="142"/>
  <c r="AC26" i="142"/>
  <c r="AD30" i="142"/>
  <c r="AD31" i="142"/>
  <c r="AD26" i="142"/>
  <c r="AD37" i="142"/>
  <c r="AD25" i="142"/>
  <c r="U31" i="142"/>
  <c r="U37" i="142"/>
  <c r="U30" i="142"/>
  <c r="U26" i="142"/>
  <c r="U25" i="142"/>
  <c r="AC31" i="142"/>
  <c r="AA38" i="142"/>
  <c r="AA32" i="142"/>
  <c r="AA27" i="142"/>
  <c r="R23" i="142"/>
  <c r="X30" i="142"/>
  <c r="X25" i="142"/>
  <c r="X37" i="142"/>
  <c r="X26" i="142"/>
  <c r="X31" i="142"/>
  <c r="R17" i="142"/>
  <c r="AB35" i="142"/>
  <c r="X36" i="142"/>
  <c r="AC36" i="142"/>
  <c r="W37" i="142"/>
  <c r="W31" i="142"/>
  <c r="W26" i="142"/>
  <c r="W30" i="142"/>
  <c r="W25" i="142"/>
  <c r="AC37" i="142"/>
  <c r="AD32" i="141"/>
  <c r="AA22" i="141"/>
  <c r="R17" i="141"/>
  <c r="V37" i="141"/>
  <c r="V31" i="141"/>
  <c r="V30" i="141"/>
  <c r="V25" i="141"/>
  <c r="V26" i="141"/>
  <c r="U31" i="141"/>
  <c r="X36" i="141"/>
  <c r="X31" i="141"/>
  <c r="AB22" i="141"/>
  <c r="AC38" i="141" s="1"/>
  <c r="AC36" i="141"/>
  <c r="R23" i="141"/>
  <c r="R21" i="141"/>
  <c r="AD37" i="141"/>
  <c r="AD31" i="141"/>
  <c r="AD30" i="141"/>
  <c r="AD26" i="141"/>
  <c r="AD25" i="141"/>
  <c r="AB37" i="141"/>
  <c r="AB26" i="141"/>
  <c r="AB30" i="141"/>
  <c r="AB31" i="141"/>
  <c r="AB25" i="141"/>
  <c r="W37" i="141"/>
  <c r="W26" i="141"/>
  <c r="W30" i="141"/>
  <c r="W31" i="141"/>
  <c r="W25" i="141"/>
  <c r="AC30" i="141"/>
  <c r="AC25" i="141"/>
  <c r="AC31" i="141"/>
  <c r="AC37" i="141"/>
  <c r="AC26" i="141"/>
  <c r="AA37" i="141"/>
  <c r="AA31" i="141"/>
  <c r="AA30" i="141"/>
  <c r="AA26" i="141"/>
  <c r="AA25" i="141"/>
  <c r="AD35" i="141"/>
  <c r="U36" i="141"/>
  <c r="V35" i="141"/>
  <c r="V36" i="141"/>
  <c r="R22" i="141"/>
  <c r="U26" i="141"/>
  <c r="X26" i="141"/>
  <c r="AD27" i="142" l="1"/>
  <c r="AC27" i="141"/>
  <c r="AC38" i="142"/>
  <c r="AC27" i="142"/>
  <c r="AD38" i="142"/>
  <c r="AA32" i="143"/>
  <c r="AA27" i="143"/>
  <c r="AD38" i="141"/>
  <c r="AD27" i="143"/>
  <c r="AC32" i="143"/>
  <c r="AC27" i="143"/>
  <c r="AC38" i="143"/>
  <c r="AD38" i="143"/>
  <c r="AB38" i="142"/>
  <c r="AB32" i="142"/>
  <c r="AB27" i="142"/>
  <c r="AA38" i="141"/>
  <c r="AA27" i="141"/>
  <c r="AA32" i="141"/>
  <c r="AB38" i="141"/>
  <c r="AB27" i="141"/>
  <c r="AB32" i="141"/>
  <c r="BF47" i="140" l="1"/>
  <c r="BE47" i="140"/>
  <c r="BD47" i="140"/>
  <c r="BC47" i="140"/>
  <c r="BB47" i="140"/>
  <c r="BA47" i="140"/>
  <c r="AZ47" i="140"/>
  <c r="AY47" i="140"/>
  <c r="AX47" i="140"/>
  <c r="AW47" i="140"/>
  <c r="AV47" i="140"/>
  <c r="AU47" i="140"/>
  <c r="BF46" i="140"/>
  <c r="BE46" i="140"/>
  <c r="BD46" i="140"/>
  <c r="BC46" i="140"/>
  <c r="BB46" i="140"/>
  <c r="BA46" i="140"/>
  <c r="AZ46" i="140"/>
  <c r="AY46" i="140"/>
  <c r="AX46" i="140"/>
  <c r="AW46" i="140"/>
  <c r="AV46" i="140"/>
  <c r="AU46" i="140"/>
  <c r="AH46" i="140"/>
  <c r="BF45" i="140"/>
  <c r="BE45" i="140"/>
  <c r="BD45" i="140"/>
  <c r="BC45" i="140"/>
  <c r="BB45" i="140"/>
  <c r="BA45" i="140"/>
  <c r="AZ45" i="140"/>
  <c r="AY45" i="140"/>
  <c r="AX45" i="140"/>
  <c r="AW45" i="140"/>
  <c r="AV45" i="140"/>
  <c r="AU45" i="140"/>
  <c r="AH45" i="140"/>
  <c r="BF44" i="140"/>
  <c r="BE44" i="140"/>
  <c r="BD44" i="140"/>
  <c r="BC44" i="140"/>
  <c r="BB44" i="140"/>
  <c r="BA44" i="140"/>
  <c r="AZ44" i="140"/>
  <c r="AY44" i="140"/>
  <c r="AX44" i="140"/>
  <c r="AW44" i="140"/>
  <c r="AV44" i="140"/>
  <c r="AU44" i="140"/>
  <c r="AH43" i="140"/>
  <c r="AH44" i="140"/>
  <c r="X34" i="140"/>
  <c r="W34" i="140"/>
  <c r="V34" i="140"/>
  <c r="U34" i="140"/>
  <c r="X29" i="140"/>
  <c r="W29" i="140"/>
  <c r="V29" i="140"/>
  <c r="U29" i="140"/>
  <c r="BF29" i="140"/>
  <c r="BE29" i="140"/>
  <c r="BD29" i="140"/>
  <c r="BC29" i="140"/>
  <c r="BB29" i="140"/>
  <c r="BA29" i="140"/>
  <c r="AZ29" i="140"/>
  <c r="AY29" i="140"/>
  <c r="AX29" i="140"/>
  <c r="AW29" i="140"/>
  <c r="AV29" i="140"/>
  <c r="AU29" i="140"/>
  <c r="BF28" i="140"/>
  <c r="BE28" i="140"/>
  <c r="BD28" i="140"/>
  <c r="BC28" i="140"/>
  <c r="BB28" i="140"/>
  <c r="BA28" i="140"/>
  <c r="AZ28" i="140"/>
  <c r="AY28" i="140"/>
  <c r="AX28" i="140"/>
  <c r="AW28" i="140"/>
  <c r="AV28" i="140"/>
  <c r="AU28" i="140"/>
  <c r="AH28" i="140"/>
  <c r="BF27" i="140"/>
  <c r="BE27" i="140"/>
  <c r="BD27" i="140"/>
  <c r="BC27" i="140"/>
  <c r="BB27" i="140"/>
  <c r="BA27" i="140"/>
  <c r="AZ27" i="140"/>
  <c r="AY27" i="140"/>
  <c r="AX27" i="140"/>
  <c r="AW27" i="140"/>
  <c r="AV27" i="140"/>
  <c r="AU27" i="140"/>
  <c r="AH27" i="140"/>
  <c r="BF26" i="140"/>
  <c r="BE26" i="140"/>
  <c r="BD26" i="140"/>
  <c r="BC26" i="140"/>
  <c r="BB26" i="140"/>
  <c r="BA26" i="140"/>
  <c r="AZ26" i="140"/>
  <c r="AY26" i="140"/>
  <c r="AX26" i="140"/>
  <c r="AW26" i="140"/>
  <c r="AV26" i="140"/>
  <c r="AU26" i="140"/>
  <c r="AH25" i="140"/>
  <c r="X24" i="140"/>
  <c r="W24" i="140"/>
  <c r="V24" i="140"/>
  <c r="U24" i="140"/>
  <c r="E24" i="140"/>
  <c r="AH26" i="140"/>
  <c r="X17" i="140"/>
  <c r="W17" i="140"/>
  <c r="V17" i="140"/>
  <c r="U17" i="140"/>
  <c r="AW13" i="140"/>
  <c r="AX13" i="140" s="1"/>
  <c r="AY13" i="140" s="1"/>
  <c r="AZ13" i="140" s="1"/>
  <c r="BA13" i="140" s="1"/>
  <c r="BB13" i="140" s="1"/>
  <c r="BC13" i="140" s="1"/>
  <c r="BD13" i="140" s="1"/>
  <c r="BE13" i="140" s="1"/>
  <c r="BF13" i="140" s="1"/>
  <c r="BG13" i="140" s="1"/>
  <c r="BH13" i="140" s="1"/>
  <c r="BI13" i="140" s="1"/>
  <c r="BJ13" i="140" s="1"/>
  <c r="BK13" i="140" s="1"/>
  <c r="BL13" i="140" s="1"/>
  <c r="BM13" i="140" s="1"/>
  <c r="BN13" i="140" s="1"/>
  <c r="BO13" i="140" s="1"/>
  <c r="BP13" i="140" s="1"/>
  <c r="BQ13" i="140" s="1"/>
  <c r="BR13" i="140" s="1"/>
  <c r="T13" i="140"/>
  <c r="BC12" i="140"/>
  <c r="BD12" i="140" s="1"/>
  <c r="BE12" i="140" s="1"/>
  <c r="BF12" i="140" s="1"/>
  <c r="BG12" i="140" s="1"/>
  <c r="BH12" i="140" s="1"/>
  <c r="BI12" i="140" s="1"/>
  <c r="BJ12" i="140" s="1"/>
  <c r="BK12" i="140" s="1"/>
  <c r="BL12" i="140" s="1"/>
  <c r="BM12" i="140" s="1"/>
  <c r="BN12" i="140" s="1"/>
  <c r="BO12" i="140" s="1"/>
  <c r="BP12" i="140" s="1"/>
  <c r="BQ12" i="140" s="1"/>
  <c r="BR12" i="140" s="1"/>
  <c r="X12" i="140"/>
  <c r="W12" i="140"/>
  <c r="V12" i="140"/>
  <c r="A9" i="140"/>
  <c r="A8" i="140"/>
  <c r="T6" i="140"/>
  <c r="A7" i="140"/>
  <c r="X5" i="140"/>
  <c r="W5" i="140"/>
  <c r="T5" i="140"/>
  <c r="Z8" i="140" l="1"/>
  <c r="T8" i="140" s="1"/>
  <c r="Z7" i="140"/>
  <c r="Z27" i="140"/>
  <c r="T32" i="140"/>
  <c r="Z32" i="140"/>
  <c r="T27" i="140"/>
  <c r="Z26" i="140"/>
  <c r="Z31" i="140" s="1"/>
  <c r="T26" i="140"/>
  <c r="T31" i="140" s="1"/>
  <c r="T9" i="140"/>
  <c r="E7" i="140"/>
  <c r="T19" i="140" s="1"/>
  <c r="T35" i="140" s="1"/>
  <c r="E14" i="140"/>
  <c r="E8" i="140"/>
  <c r="T20" i="140" s="1"/>
  <c r="E15" i="140"/>
  <c r="T7" i="140"/>
  <c r="E9" i="140"/>
  <c r="T21" i="140" s="1"/>
  <c r="E16" i="140"/>
  <c r="E22" i="140" l="1"/>
  <c r="Z20" i="140"/>
  <c r="T37" i="140"/>
  <c r="Z21" i="140"/>
  <c r="E23" i="140"/>
  <c r="E21" i="140"/>
  <c r="Z19" i="140"/>
  <c r="Z35" i="140" s="1"/>
  <c r="T36" i="140"/>
  <c r="T30" i="140"/>
  <c r="Z37" i="140" l="1"/>
  <c r="Z30" i="140"/>
  <c r="Z36" i="140"/>
  <c r="E6" i="96" l="1"/>
  <c r="C6" i="96"/>
  <c r="AS5" i="96" l="1"/>
  <c r="AQ6" i="96"/>
  <c r="AP6" i="96"/>
  <c r="N6" i="96"/>
  <c r="M6" i="96"/>
  <c r="V6" i="96" s="1"/>
  <c r="L6" i="96"/>
  <c r="U6" i="96" s="1"/>
  <c r="Y4" i="139" l="1"/>
  <c r="X4" i="139"/>
  <c r="W4" i="139"/>
  <c r="V4" i="139"/>
  <c r="U4" i="139"/>
  <c r="T4" i="139"/>
  <c r="S4" i="139"/>
  <c r="R4" i="139"/>
  <c r="Q4" i="139"/>
  <c r="P4" i="139"/>
  <c r="O4" i="139"/>
  <c r="N10" i="139"/>
  <c r="N9" i="139"/>
  <c r="N8" i="139"/>
  <c r="N7" i="139"/>
  <c r="N6" i="139"/>
  <c r="N5" i="139"/>
  <c r="N4" i="139"/>
  <c r="M9" i="139"/>
  <c r="M8" i="139"/>
  <c r="M7" i="139"/>
  <c r="M6" i="139"/>
  <c r="M5" i="139"/>
  <c r="L8" i="139"/>
  <c r="L7" i="139"/>
  <c r="L6" i="139"/>
  <c r="L5" i="139"/>
  <c r="M4" i="139"/>
  <c r="L4" i="139"/>
  <c r="K7" i="139"/>
  <c r="K6" i="139"/>
  <c r="K5" i="139"/>
  <c r="K4" i="139"/>
  <c r="J6" i="139"/>
  <c r="J5" i="139"/>
  <c r="J4" i="139"/>
  <c r="I5" i="139"/>
  <c r="I4" i="139"/>
  <c r="H4" i="139"/>
  <c r="G4" i="139"/>
  <c r="F4" i="139"/>
  <c r="E4" i="139"/>
  <c r="D4" i="139"/>
  <c r="D15" i="139"/>
  <c r="D14" i="139"/>
  <c r="D13" i="139"/>
  <c r="D12" i="139"/>
  <c r="D11" i="139"/>
  <c r="D10" i="139"/>
  <c r="D9" i="139"/>
  <c r="D8" i="139"/>
  <c r="D7" i="139"/>
  <c r="D6" i="139"/>
  <c r="D5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B4" i="139"/>
  <c r="B15" i="139"/>
  <c r="B14" i="139"/>
  <c r="B13" i="139"/>
  <c r="B12" i="139"/>
  <c r="B11" i="139"/>
  <c r="B10" i="139"/>
  <c r="B9" i="139"/>
  <c r="B8" i="139"/>
  <c r="B7" i="139"/>
  <c r="B6" i="139"/>
  <c r="B5" i="139"/>
  <c r="A15" i="139"/>
  <c r="A14" i="139"/>
  <c r="A13" i="139"/>
  <c r="A12" i="139"/>
  <c r="A11" i="139"/>
  <c r="A10" i="139"/>
  <c r="A9" i="139"/>
  <c r="A8" i="139"/>
  <c r="A7" i="139"/>
  <c r="A6" i="139"/>
  <c r="A5" i="139"/>
  <c r="A4" i="139"/>
  <c r="AC6" i="96"/>
  <c r="BI15" i="143" l="1"/>
  <c r="BI15" i="142"/>
  <c r="BI15" i="141"/>
  <c r="BM15" i="143"/>
  <c r="BM15" i="142"/>
  <c r="BM15" i="141"/>
  <c r="BQ15" i="143"/>
  <c r="BQ15" i="142"/>
  <c r="BQ15" i="141"/>
  <c r="BA15" i="143"/>
  <c r="BA15" i="142"/>
  <c r="BA15" i="141"/>
  <c r="AX15" i="143"/>
  <c r="AX15" i="142"/>
  <c r="AX15" i="141"/>
  <c r="AU15" i="143"/>
  <c r="AU15" i="141"/>
  <c r="AU15" i="142"/>
  <c r="AP15" i="143"/>
  <c r="AP15" i="142"/>
  <c r="AP15" i="141"/>
  <c r="AL15" i="143"/>
  <c r="AL15" i="142"/>
  <c r="AL15" i="141"/>
  <c r="BJ15" i="143"/>
  <c r="BJ15" i="142"/>
  <c r="BJ15" i="141"/>
  <c r="BN15" i="143"/>
  <c r="BN15" i="142"/>
  <c r="BN15" i="141"/>
  <c r="BR15" i="143"/>
  <c r="BR15" i="142"/>
  <c r="BR15" i="141"/>
  <c r="BF15" i="143"/>
  <c r="BF15" i="142"/>
  <c r="BF15" i="141"/>
  <c r="BD15" i="141"/>
  <c r="BD15" i="143"/>
  <c r="BD15" i="142"/>
  <c r="AZ15" i="141"/>
  <c r="AZ15" i="143"/>
  <c r="AZ15" i="142"/>
  <c r="AS15" i="143"/>
  <c r="AS15" i="142"/>
  <c r="AS15" i="141"/>
  <c r="AO15" i="143"/>
  <c r="AO15" i="142"/>
  <c r="AO15" i="141"/>
  <c r="AK15" i="143"/>
  <c r="AK15" i="142"/>
  <c r="AK15" i="141"/>
  <c r="BG15" i="142"/>
  <c r="BG15" i="143"/>
  <c r="BG15" i="141"/>
  <c r="BK15" i="143"/>
  <c r="BK15" i="141"/>
  <c r="BK15" i="142"/>
  <c r="BO15" i="143"/>
  <c r="BO15" i="142"/>
  <c r="BO15" i="141"/>
  <c r="BE15" i="143"/>
  <c r="BE15" i="142"/>
  <c r="BE15" i="141"/>
  <c r="BC15" i="141"/>
  <c r="BC15" i="142"/>
  <c r="BC15" i="143"/>
  <c r="AY15" i="143"/>
  <c r="AY15" i="142"/>
  <c r="AY15" i="141"/>
  <c r="AT15" i="143"/>
  <c r="AT15" i="142"/>
  <c r="AT15" i="141"/>
  <c r="AR15" i="141"/>
  <c r="AR15" i="143"/>
  <c r="AR15" i="142"/>
  <c r="AN15" i="141"/>
  <c r="AN15" i="143"/>
  <c r="AN15" i="142"/>
  <c r="AJ15" i="141"/>
  <c r="AJ15" i="143"/>
  <c r="AJ15" i="142"/>
  <c r="BH15" i="141"/>
  <c r="BH15" i="143"/>
  <c r="BH15" i="142"/>
  <c r="BL15" i="141"/>
  <c r="BL15" i="143"/>
  <c r="BL15" i="142"/>
  <c r="BP15" i="141"/>
  <c r="BP15" i="143"/>
  <c r="BP15" i="142"/>
  <c r="BB15" i="143"/>
  <c r="BB15" i="142"/>
  <c r="BB15" i="141"/>
  <c r="AW15" i="143"/>
  <c r="AW15" i="142"/>
  <c r="AW15" i="141"/>
  <c r="AV15" i="141"/>
  <c r="AV15" i="143"/>
  <c r="AV15" i="142"/>
  <c r="AQ15" i="142"/>
  <c r="AQ15" i="143"/>
  <c r="AQ15" i="141"/>
  <c r="AM15" i="141"/>
  <c r="AM15" i="142"/>
  <c r="AM15" i="143"/>
  <c r="AI15" i="143"/>
  <c r="AI15" i="142"/>
  <c r="AI15" i="141"/>
  <c r="AU6" i="96"/>
  <c r="BI15" i="140"/>
  <c r="BI20" i="140" s="1"/>
  <c r="AY6" i="96"/>
  <c r="BM15" i="140"/>
  <c r="BC6" i="96"/>
  <c r="BQ15" i="140"/>
  <c r="BA15" i="140"/>
  <c r="AX15" i="140"/>
  <c r="AU15" i="140"/>
  <c r="AP15" i="140"/>
  <c r="AP16" i="140" s="1"/>
  <c r="AL15" i="140"/>
  <c r="AL16" i="140" s="1"/>
  <c r="BJ15" i="140"/>
  <c r="BN15" i="140"/>
  <c r="BD6" i="96"/>
  <c r="BR15" i="140"/>
  <c r="BF15" i="140"/>
  <c r="BD15" i="140"/>
  <c r="AZ15" i="140"/>
  <c r="AZ16" i="140" s="1"/>
  <c r="AZ25" i="140" s="1"/>
  <c r="AS15" i="140"/>
  <c r="AO15" i="140"/>
  <c r="AK15" i="140"/>
  <c r="BG15" i="140"/>
  <c r="BG20" i="140" s="1"/>
  <c r="AW6" i="96"/>
  <c r="BK15" i="140"/>
  <c r="BK20" i="140" s="1"/>
  <c r="BA6" i="96"/>
  <c r="BO15" i="140"/>
  <c r="BE15" i="140"/>
  <c r="BC15" i="140"/>
  <c r="AY15" i="140"/>
  <c r="AT15" i="140"/>
  <c r="AT16" i="140" s="1"/>
  <c r="AR15" i="140"/>
  <c r="AN15" i="140"/>
  <c r="AJ15" i="140"/>
  <c r="AT6" i="96"/>
  <c r="BH15" i="140"/>
  <c r="AX6" i="96"/>
  <c r="BL15" i="140"/>
  <c r="BP15" i="140"/>
  <c r="BP20" i="140" s="1"/>
  <c r="BB15" i="140"/>
  <c r="BB16" i="140" s="1"/>
  <c r="BB25" i="140" s="1"/>
  <c r="AW15" i="140"/>
  <c r="AV15" i="140"/>
  <c r="AQ15" i="140"/>
  <c r="AQ16" i="140" s="1"/>
  <c r="AM15" i="140"/>
  <c r="AI15" i="140"/>
  <c r="O9" i="140"/>
  <c r="K8" i="140"/>
  <c r="AX16" i="140"/>
  <c r="AX25" i="140" s="1"/>
  <c r="K9" i="140"/>
  <c r="G8" i="140"/>
  <c r="G9" i="140"/>
  <c r="BF16" i="140"/>
  <c r="BF25" i="140" s="1"/>
  <c r="Q9" i="140"/>
  <c r="BH20" i="140"/>
  <c r="BL20" i="140"/>
  <c r="N7" i="140"/>
  <c r="I7" i="140"/>
  <c r="G7" i="140"/>
  <c r="L7" i="140"/>
  <c r="J8" i="140"/>
  <c r="AN16" i="140"/>
  <c r="J9" i="140"/>
  <c r="AM16" i="140"/>
  <c r="AK16" i="140"/>
  <c r="BA16" i="140"/>
  <c r="BA25" i="140" s="1"/>
  <c r="BM20" i="140"/>
  <c r="M9" i="140"/>
  <c r="AR16" i="140"/>
  <c r="BN20" i="140"/>
  <c r="O7" i="140"/>
  <c r="L8" i="140"/>
  <c r="AS16" i="140"/>
  <c r="AY16" i="140"/>
  <c r="AY25" i="140" s="1"/>
  <c r="K7" i="140"/>
  <c r="N8" i="140"/>
  <c r="P7" i="140"/>
  <c r="AI16" i="140"/>
  <c r="BD16" i="140"/>
  <c r="BD25" i="140" s="1"/>
  <c r="J7" i="140"/>
  <c r="Q7" i="140"/>
  <c r="Q8" i="140"/>
  <c r="P8" i="140"/>
  <c r="F8" i="140"/>
  <c r="N9" i="140"/>
  <c r="AJ16" i="140"/>
  <c r="H9" i="140"/>
  <c r="AO16" i="140"/>
  <c r="BE16" i="140"/>
  <c r="BE25" i="140" s="1"/>
  <c r="AU16" i="140"/>
  <c r="AU25" i="140" s="1"/>
  <c r="AV16" i="140"/>
  <c r="AV25" i="140" s="1"/>
  <c r="BR20" i="140"/>
  <c r="M8" i="140"/>
  <c r="H7" i="140"/>
  <c r="M7" i="140"/>
  <c r="O8" i="140"/>
  <c r="F9" i="140"/>
  <c r="AW16" i="140"/>
  <c r="AW25" i="140" s="1"/>
  <c r="BC16" i="140"/>
  <c r="BC25" i="140" s="1"/>
  <c r="BJ20" i="140"/>
  <c r="F7" i="140"/>
  <c r="H8" i="140"/>
  <c r="L9" i="140"/>
  <c r="I8" i="140"/>
  <c r="P9" i="140"/>
  <c r="I9" i="140"/>
  <c r="BE34" i="140"/>
  <c r="BE43" i="140" s="1"/>
  <c r="L14" i="140"/>
  <c r="AS6" i="96"/>
  <c r="BB6" i="96"/>
  <c r="AV6" i="96"/>
  <c r="AZ6" i="96"/>
  <c r="D24" i="96" l="1"/>
  <c r="D20" i="96"/>
  <c r="D16" i="96"/>
  <c r="D12" i="96"/>
  <c r="D8" i="96"/>
  <c r="D22" i="96"/>
  <c r="D10" i="96"/>
  <c r="D17" i="96"/>
  <c r="D9" i="96"/>
  <c r="D23" i="96"/>
  <c r="D19" i="96"/>
  <c r="D15" i="96"/>
  <c r="D11" i="96"/>
  <c r="D7" i="96"/>
  <c r="D18" i="96"/>
  <c r="D14" i="96"/>
  <c r="D21" i="96"/>
  <c r="D13" i="96"/>
  <c r="AS13" i="96"/>
  <c r="AS21" i="96"/>
  <c r="AS22" i="96"/>
  <c r="AS10" i="96"/>
  <c r="AS14" i="96"/>
  <c r="AS23" i="96"/>
  <c r="AS20" i="96"/>
  <c r="AS11" i="96"/>
  <c r="AS16" i="96"/>
  <c r="AS17" i="96"/>
  <c r="AS18" i="96"/>
  <c r="AS15" i="96"/>
  <c r="AS19" i="96"/>
  <c r="AS12" i="96"/>
  <c r="AT10" i="96"/>
  <c r="AT12" i="96"/>
  <c r="AT20" i="96"/>
  <c r="AT21" i="96"/>
  <c r="AT14" i="96"/>
  <c r="AT15" i="96"/>
  <c r="AT16" i="96"/>
  <c r="AT17" i="96"/>
  <c r="AT23" i="96"/>
  <c r="AT18" i="96"/>
  <c r="AT11" i="96"/>
  <c r="AT22" i="96"/>
  <c r="AT13" i="96"/>
  <c r="AT19" i="96"/>
  <c r="BD12" i="96"/>
  <c r="BD13" i="96"/>
  <c r="BD10" i="96"/>
  <c r="BD15" i="96"/>
  <c r="BD14" i="96"/>
  <c r="BD17" i="96"/>
  <c r="BD19" i="96"/>
  <c r="BD21" i="96"/>
  <c r="BD22" i="96"/>
  <c r="BD18" i="96"/>
  <c r="BD16" i="96"/>
  <c r="BD11" i="96"/>
  <c r="BD20" i="96"/>
  <c r="BD23" i="96"/>
  <c r="AI34" i="143"/>
  <c r="AI16" i="143"/>
  <c r="AQ34" i="141"/>
  <c r="AQ16" i="141"/>
  <c r="AV34" i="143"/>
  <c r="AV43" i="143" s="1"/>
  <c r="AV16" i="143"/>
  <c r="AV25" i="143" s="1"/>
  <c r="AW34" i="143"/>
  <c r="AW43" i="143" s="1"/>
  <c r="AW16" i="143"/>
  <c r="AW25" i="143" s="1"/>
  <c r="BP38" i="142"/>
  <c r="BP20" i="142"/>
  <c r="BL38" i="143"/>
  <c r="BL20" i="143"/>
  <c r="BH38" i="141"/>
  <c r="BH20" i="141"/>
  <c r="AN34" i="142"/>
  <c r="AN16" i="142"/>
  <c r="AR16" i="143"/>
  <c r="AR34" i="143"/>
  <c r="AT34" i="143"/>
  <c r="AT16" i="143"/>
  <c r="BC34" i="143"/>
  <c r="BC43" i="143" s="1"/>
  <c r="BC16" i="143"/>
  <c r="BC25" i="143" s="1"/>
  <c r="BE16" i="142"/>
  <c r="BE25" i="142" s="1"/>
  <c r="BE34" i="142"/>
  <c r="BE43" i="142" s="1"/>
  <c r="BO38" i="143"/>
  <c r="BO20" i="143"/>
  <c r="BG38" i="141"/>
  <c r="BG20" i="141"/>
  <c r="AK34" i="142"/>
  <c r="AK16" i="142"/>
  <c r="AO34" i="143"/>
  <c r="AO16" i="143"/>
  <c r="AZ34" i="142"/>
  <c r="AZ43" i="142" s="1"/>
  <c r="AZ16" i="142"/>
  <c r="AZ25" i="142" s="1"/>
  <c r="BD34" i="143"/>
  <c r="BD43" i="143" s="1"/>
  <c r="BD16" i="143"/>
  <c r="BD25" i="143" s="1"/>
  <c r="BF34" i="143"/>
  <c r="BF43" i="143" s="1"/>
  <c r="BF16" i="143"/>
  <c r="BF25" i="143" s="1"/>
  <c r="BN38" i="141"/>
  <c r="BN20" i="141"/>
  <c r="BJ20" i="142"/>
  <c r="BJ38" i="142"/>
  <c r="AL34" i="143"/>
  <c r="AL16" i="143"/>
  <c r="AU34" i="142"/>
  <c r="AU43" i="142" s="1"/>
  <c r="AU16" i="142"/>
  <c r="AU25" i="142" s="1"/>
  <c r="AX34" i="142"/>
  <c r="AX43" i="142" s="1"/>
  <c r="AX16" i="142"/>
  <c r="AX25" i="142" s="1"/>
  <c r="BA34" i="143"/>
  <c r="BA43" i="143" s="1"/>
  <c r="BA16" i="143"/>
  <c r="BA25" i="143" s="1"/>
  <c r="BM38" i="141"/>
  <c r="BM20" i="141"/>
  <c r="BI20" i="142"/>
  <c r="BI38" i="142"/>
  <c r="AZ10" i="96"/>
  <c r="AZ22" i="96"/>
  <c r="AZ14" i="96"/>
  <c r="AZ19" i="96"/>
  <c r="AZ15" i="96"/>
  <c r="AZ13" i="96"/>
  <c r="AZ17" i="96"/>
  <c r="AZ12" i="96"/>
  <c r="AZ21" i="96"/>
  <c r="AZ18" i="96"/>
  <c r="AZ20" i="96"/>
  <c r="AZ11" i="96"/>
  <c r="AZ23" i="96"/>
  <c r="AZ16" i="96"/>
  <c r="E10" i="96"/>
  <c r="C14" i="96"/>
  <c r="C10" i="96"/>
  <c r="AP14" i="96"/>
  <c r="AP15" i="96"/>
  <c r="E17" i="96"/>
  <c r="AP22" i="96"/>
  <c r="E12" i="96"/>
  <c r="C15" i="96"/>
  <c r="AP16" i="96"/>
  <c r="C19" i="96"/>
  <c r="C21" i="96"/>
  <c r="AP12" i="96"/>
  <c r="C17" i="96"/>
  <c r="AP10" i="96"/>
  <c r="E16" i="96"/>
  <c r="AP17" i="96"/>
  <c r="E14" i="96"/>
  <c r="AP18" i="96"/>
  <c r="E21" i="96"/>
  <c r="AP23" i="96"/>
  <c r="E7" i="96"/>
  <c r="E15" i="96"/>
  <c r="E19" i="96"/>
  <c r="AP20" i="96"/>
  <c r="C20" i="96"/>
  <c r="E13" i="96"/>
  <c r="C11" i="96"/>
  <c r="AP11" i="96"/>
  <c r="C23" i="96"/>
  <c r="E23" i="96"/>
  <c r="C12" i="96"/>
  <c r="C22" i="96"/>
  <c r="E18" i="96"/>
  <c r="C16" i="96"/>
  <c r="AP19" i="96"/>
  <c r="AP13" i="96"/>
  <c r="C7" i="96"/>
  <c r="E9" i="96"/>
  <c r="C24" i="96"/>
  <c r="E8" i="96"/>
  <c r="E11" i="96"/>
  <c r="C13" i="96"/>
  <c r="C8" i="96"/>
  <c r="C18" i="96"/>
  <c r="E20" i="96"/>
  <c r="E24" i="96"/>
  <c r="E22" i="96"/>
  <c r="C9" i="96"/>
  <c r="BA10" i="96"/>
  <c r="BA21" i="96"/>
  <c r="BA16" i="96"/>
  <c r="BA14" i="96"/>
  <c r="BA22" i="96"/>
  <c r="BA20" i="96"/>
  <c r="BA15" i="96"/>
  <c r="BA12" i="96"/>
  <c r="BA18" i="96"/>
  <c r="BA17" i="96"/>
  <c r="BA19" i="96"/>
  <c r="BA23" i="96"/>
  <c r="BA13" i="96"/>
  <c r="BA11" i="96"/>
  <c r="BC14" i="96"/>
  <c r="BC12" i="96"/>
  <c r="BC10" i="96"/>
  <c r="BC15" i="96"/>
  <c r="BC21" i="96"/>
  <c r="BC23" i="96"/>
  <c r="BC20" i="96"/>
  <c r="BC19" i="96"/>
  <c r="BC18" i="96"/>
  <c r="BC22" i="96"/>
  <c r="BC11" i="96"/>
  <c r="BC17" i="96"/>
  <c r="BC16" i="96"/>
  <c r="BC13" i="96"/>
  <c r="AU14" i="96"/>
  <c r="AU10" i="96"/>
  <c r="AU12" i="96"/>
  <c r="AU18" i="96"/>
  <c r="AU23" i="96"/>
  <c r="AU17" i="96"/>
  <c r="AU15" i="96"/>
  <c r="AU16" i="96"/>
  <c r="AU20" i="96"/>
  <c r="AU21" i="96"/>
  <c r="AU22" i="96"/>
  <c r="AU19" i="96"/>
  <c r="AU13" i="96"/>
  <c r="AU11" i="96"/>
  <c r="AM34" i="143"/>
  <c r="AM16" i="143"/>
  <c r="AQ34" i="143"/>
  <c r="AQ16" i="143"/>
  <c r="AV34" i="141"/>
  <c r="AV43" i="141" s="1"/>
  <c r="AV16" i="141"/>
  <c r="AV25" i="141" s="1"/>
  <c r="BB34" i="141"/>
  <c r="BB43" i="141" s="1"/>
  <c r="BB16" i="141"/>
  <c r="BB25" i="141" s="1"/>
  <c r="BP38" i="143"/>
  <c r="BP20" i="143"/>
  <c r="BL38" i="141"/>
  <c r="BL20" i="141"/>
  <c r="AJ16" i="142"/>
  <c r="AJ34" i="142"/>
  <c r="AN34" i="143"/>
  <c r="AN16" i="143"/>
  <c r="AR34" i="141"/>
  <c r="AR16" i="141"/>
  <c r="AY34" i="141"/>
  <c r="AY43" i="141" s="1"/>
  <c r="AY16" i="141"/>
  <c r="AY25" i="141" s="1"/>
  <c r="BC16" i="142"/>
  <c r="BC25" i="142" s="1"/>
  <c r="BC34" i="142"/>
  <c r="BC43" i="142" s="1"/>
  <c r="BE34" i="143"/>
  <c r="BE43" i="143" s="1"/>
  <c r="BE16" i="143"/>
  <c r="BE25" i="143" s="1"/>
  <c r="BK20" i="142"/>
  <c r="BK38" i="142"/>
  <c r="BG38" i="143"/>
  <c r="BG20" i="143"/>
  <c r="AK34" i="143"/>
  <c r="AK16" i="143"/>
  <c r="AS16" i="141"/>
  <c r="AS34" i="141"/>
  <c r="AZ34" i="143"/>
  <c r="AZ43" i="143" s="1"/>
  <c r="AZ16" i="143"/>
  <c r="AZ25" i="143" s="1"/>
  <c r="BD34" i="141"/>
  <c r="BD43" i="141" s="1"/>
  <c r="BD16" i="141"/>
  <c r="BD25" i="141" s="1"/>
  <c r="BR38" i="141"/>
  <c r="BR20" i="141"/>
  <c r="BN38" i="142"/>
  <c r="BN20" i="142"/>
  <c r="BJ20" i="143"/>
  <c r="BJ38" i="143"/>
  <c r="AP16" i="141"/>
  <c r="AP34" i="141"/>
  <c r="AU34" i="141"/>
  <c r="AU43" i="141" s="1"/>
  <c r="AU16" i="141"/>
  <c r="AU25" i="141" s="1"/>
  <c r="AX34" i="143"/>
  <c r="AX43" i="143" s="1"/>
  <c r="AX16" i="143"/>
  <c r="AX25" i="143" s="1"/>
  <c r="BQ38" i="141"/>
  <c r="BQ20" i="141"/>
  <c r="BM38" i="142"/>
  <c r="BM20" i="142"/>
  <c r="BI38" i="143"/>
  <c r="BI20" i="143"/>
  <c r="AX10" i="96"/>
  <c r="AX21" i="96"/>
  <c r="AX12" i="96"/>
  <c r="AX14" i="96"/>
  <c r="AX15" i="96"/>
  <c r="AX22" i="96"/>
  <c r="AX16" i="96"/>
  <c r="AX11" i="96"/>
  <c r="AX13" i="96"/>
  <c r="AX19" i="96"/>
  <c r="AX17" i="96"/>
  <c r="AX20" i="96"/>
  <c r="AX23" i="96"/>
  <c r="AX18" i="96"/>
  <c r="AI34" i="141"/>
  <c r="AI16" i="141"/>
  <c r="AM16" i="142"/>
  <c r="AM34" i="142"/>
  <c r="AQ16" i="142"/>
  <c r="AQ34" i="142"/>
  <c r="AW34" i="141"/>
  <c r="AW43" i="141" s="1"/>
  <c r="AW16" i="141"/>
  <c r="AW25" i="141" s="1"/>
  <c r="BB34" i="142"/>
  <c r="BB43" i="142" s="1"/>
  <c r="BB16" i="142"/>
  <c r="BB25" i="142" s="1"/>
  <c r="BP38" i="141"/>
  <c r="BP20" i="141"/>
  <c r="BH38" i="142"/>
  <c r="BH20" i="142"/>
  <c r="AJ34" i="143"/>
  <c r="AJ16" i="143"/>
  <c r="AN16" i="141"/>
  <c r="AN34" i="141"/>
  <c r="AT34" i="141"/>
  <c r="AT16" i="141"/>
  <c r="AY16" i="142"/>
  <c r="AY25" i="142" s="1"/>
  <c r="AY34" i="142"/>
  <c r="AY43" i="142" s="1"/>
  <c r="BC34" i="141"/>
  <c r="BC43" i="141" s="1"/>
  <c r="BC16" i="141"/>
  <c r="BC25" i="141" s="1"/>
  <c r="BO38" i="141"/>
  <c r="BO20" i="141"/>
  <c r="BK38" i="141"/>
  <c r="BK20" i="141"/>
  <c r="BG38" i="142"/>
  <c r="BG20" i="142"/>
  <c r="AO34" i="141"/>
  <c r="AO16" i="141"/>
  <c r="AS34" i="142"/>
  <c r="AS16" i="142"/>
  <c r="AZ34" i="141"/>
  <c r="AZ43" i="141" s="1"/>
  <c r="AZ16" i="141"/>
  <c r="AZ25" i="141" s="1"/>
  <c r="BF34" i="141"/>
  <c r="BF43" i="141" s="1"/>
  <c r="BF16" i="141"/>
  <c r="BF25" i="141" s="1"/>
  <c r="BR20" i="142"/>
  <c r="BR38" i="142"/>
  <c r="BN20" i="143"/>
  <c r="BN38" i="143"/>
  <c r="AL16" i="141"/>
  <c r="AL34" i="141"/>
  <c r="AP34" i="142"/>
  <c r="AP16" i="142"/>
  <c r="AU34" i="143"/>
  <c r="AU43" i="143" s="1"/>
  <c r="AU16" i="143"/>
  <c r="AU25" i="143" s="1"/>
  <c r="BA34" i="141"/>
  <c r="BA43" i="141" s="1"/>
  <c r="BA16" i="141"/>
  <c r="BA25" i="141" s="1"/>
  <c r="BQ20" i="142"/>
  <c r="BQ38" i="142"/>
  <c r="BM38" i="143"/>
  <c r="BM20" i="143"/>
  <c r="AV14" i="96"/>
  <c r="AV10" i="96"/>
  <c r="AV12" i="96"/>
  <c r="AV13" i="96"/>
  <c r="AV15" i="96"/>
  <c r="AV19" i="96"/>
  <c r="AV17" i="96"/>
  <c r="AV21" i="96"/>
  <c r="AV22" i="96"/>
  <c r="AV23" i="96"/>
  <c r="AV20" i="96"/>
  <c r="AV11" i="96"/>
  <c r="AV18" i="96"/>
  <c r="AV16" i="96"/>
  <c r="BB10" i="96"/>
  <c r="BB14" i="96"/>
  <c r="BB15" i="96"/>
  <c r="BB21" i="96"/>
  <c r="BB17" i="96"/>
  <c r="BB12" i="96"/>
  <c r="BB16" i="96"/>
  <c r="BB19" i="96"/>
  <c r="BB13" i="96"/>
  <c r="BB18" i="96"/>
  <c r="BB22" i="96"/>
  <c r="BB20" i="96"/>
  <c r="BB23" i="96"/>
  <c r="BB11" i="96"/>
  <c r="AW14" i="96"/>
  <c r="AW16" i="96"/>
  <c r="AW21" i="96"/>
  <c r="AW10" i="96"/>
  <c r="AW18" i="96"/>
  <c r="AW17" i="96"/>
  <c r="AW11" i="96"/>
  <c r="AW13" i="96"/>
  <c r="AW19" i="96"/>
  <c r="AW20" i="96"/>
  <c r="AW22" i="96"/>
  <c r="AW12" i="96"/>
  <c r="AW23" i="96"/>
  <c r="AW15" i="96"/>
  <c r="AY12" i="96"/>
  <c r="AY14" i="96"/>
  <c r="AY17" i="96"/>
  <c r="AY22" i="96"/>
  <c r="AY10" i="96"/>
  <c r="AY15" i="96"/>
  <c r="AY20" i="96"/>
  <c r="AY16" i="96"/>
  <c r="AY21" i="96"/>
  <c r="AY23" i="96"/>
  <c r="AY13" i="96"/>
  <c r="AY18" i="96"/>
  <c r="AY11" i="96"/>
  <c r="AY19" i="96"/>
  <c r="AI16" i="142"/>
  <c r="AI34" i="142"/>
  <c r="AM34" i="141"/>
  <c r="AM16" i="141"/>
  <c r="AV34" i="142"/>
  <c r="AV43" i="142" s="1"/>
  <c r="AV16" i="142"/>
  <c r="AV25" i="142" s="1"/>
  <c r="AW16" i="142"/>
  <c r="AW25" i="142" s="1"/>
  <c r="AW34" i="142"/>
  <c r="AW43" i="142" s="1"/>
  <c r="BB34" i="143"/>
  <c r="BB43" i="143" s="1"/>
  <c r="BB16" i="143"/>
  <c r="BB25" i="143" s="1"/>
  <c r="BL38" i="142"/>
  <c r="BL20" i="142"/>
  <c r="BH38" i="143"/>
  <c r="BH20" i="143"/>
  <c r="AJ34" i="141"/>
  <c r="AJ16" i="141"/>
  <c r="AR16" i="142"/>
  <c r="AR34" i="142"/>
  <c r="AT34" i="142"/>
  <c r="AT16" i="142"/>
  <c r="AY34" i="143"/>
  <c r="AY43" i="143" s="1"/>
  <c r="AY16" i="143"/>
  <c r="AY25" i="143" s="1"/>
  <c r="BE34" i="141"/>
  <c r="BE43" i="141" s="1"/>
  <c r="BE16" i="141"/>
  <c r="BE25" i="141" s="1"/>
  <c r="BO38" i="142"/>
  <c r="BO20" i="142"/>
  <c r="BK38" i="143"/>
  <c r="BK20" i="143"/>
  <c r="AK16" i="141"/>
  <c r="AK34" i="141"/>
  <c r="AO16" i="142"/>
  <c r="AO34" i="142"/>
  <c r="AS34" i="143"/>
  <c r="AS16" i="143"/>
  <c r="BD34" i="142"/>
  <c r="BD43" i="142" s="1"/>
  <c r="BD16" i="142"/>
  <c r="BD25" i="142" s="1"/>
  <c r="BF34" i="142"/>
  <c r="BF43" i="142" s="1"/>
  <c r="BF16" i="142"/>
  <c r="BF25" i="142" s="1"/>
  <c r="BR20" i="143"/>
  <c r="BR38" i="143"/>
  <c r="BJ20" i="141"/>
  <c r="BJ38" i="141"/>
  <c r="AL34" i="142"/>
  <c r="AL16" i="142"/>
  <c r="AP34" i="143"/>
  <c r="AP16" i="143"/>
  <c r="AX34" i="141"/>
  <c r="AX43" i="141" s="1"/>
  <c r="AX16" i="141"/>
  <c r="AX25" i="141" s="1"/>
  <c r="BA34" i="142"/>
  <c r="BA43" i="142" s="1"/>
  <c r="BA16" i="142"/>
  <c r="BA25" i="142" s="1"/>
  <c r="BQ38" i="143"/>
  <c r="BQ20" i="143"/>
  <c r="BI38" i="141"/>
  <c r="BI20" i="141"/>
  <c r="AX7" i="96"/>
  <c r="AX24" i="96"/>
  <c r="AX9" i="96"/>
  <c r="AX8" i="96"/>
  <c r="BB8" i="96"/>
  <c r="BB7" i="96"/>
  <c r="BB24" i="96"/>
  <c r="BB9" i="96"/>
  <c r="AW9" i="96"/>
  <c r="AW7" i="96"/>
  <c r="AW24" i="96"/>
  <c r="AW8" i="96"/>
  <c r="AY7" i="96"/>
  <c r="AY24" i="96"/>
  <c r="AY8" i="96"/>
  <c r="AY9" i="96"/>
  <c r="AS9" i="96"/>
  <c r="AS7" i="96"/>
  <c r="AS24" i="96"/>
  <c r="AS8" i="96"/>
  <c r="AT24" i="96"/>
  <c r="AT9" i="96"/>
  <c r="AT8" i="96"/>
  <c r="AT7" i="96"/>
  <c r="BD8" i="96"/>
  <c r="BD7" i="96"/>
  <c r="BD24" i="96"/>
  <c r="BD9" i="96"/>
  <c r="AV24" i="96"/>
  <c r="AV9" i="96"/>
  <c r="AV8" i="96"/>
  <c r="AV7" i="96"/>
  <c r="AZ7" i="96"/>
  <c r="AZ24" i="96"/>
  <c r="AZ9" i="96"/>
  <c r="AZ8" i="96"/>
  <c r="BA24" i="96"/>
  <c r="BA9" i="96"/>
  <c r="BA7" i="96"/>
  <c r="BA8" i="96"/>
  <c r="BC8" i="96"/>
  <c r="BC7" i="96"/>
  <c r="BC9" i="96"/>
  <c r="BC24" i="96"/>
  <c r="AU24" i="96"/>
  <c r="AU9" i="96"/>
  <c r="AU7" i="96"/>
  <c r="AU8" i="96"/>
  <c r="BQ20" i="140"/>
  <c r="BO20" i="140"/>
  <c r="V21" i="140"/>
  <c r="V20" i="140"/>
  <c r="W21" i="140"/>
  <c r="X20" i="140"/>
  <c r="G16" i="140"/>
  <c r="BA34" i="140"/>
  <c r="BA43" i="140" s="1"/>
  <c r="AS34" i="140"/>
  <c r="F16" i="140"/>
  <c r="F23" i="140" s="1"/>
  <c r="AP34" i="140"/>
  <c r="J16" i="140"/>
  <c r="J23" i="140" s="1"/>
  <c r="N16" i="140"/>
  <c r="N23" i="140" s="1"/>
  <c r="AV34" i="140"/>
  <c r="AV43" i="140" s="1"/>
  <c r="AX34" i="140"/>
  <c r="AX43" i="140" s="1"/>
  <c r="BD34" i="140"/>
  <c r="BD43" i="140" s="1"/>
  <c r="BB34" i="140"/>
  <c r="BB43" i="140" s="1"/>
  <c r="M15" i="140"/>
  <c r="M22" i="140" s="1"/>
  <c r="AW34" i="140"/>
  <c r="AW43" i="140" s="1"/>
  <c r="G15" i="140"/>
  <c r="G22" i="140" s="1"/>
  <c r="AZ34" i="140"/>
  <c r="AZ43" i="140" s="1"/>
  <c r="Q16" i="140"/>
  <c r="Q23" i="140" s="1"/>
  <c r="AU34" i="140"/>
  <c r="AU43" i="140" s="1"/>
  <c r="AT34" i="140"/>
  <c r="BF34" i="140"/>
  <c r="BF43" i="140" s="1"/>
  <c r="K15" i="140"/>
  <c r="K22" i="140" s="1"/>
  <c r="P14" i="140"/>
  <c r="P21" i="140" s="1"/>
  <c r="AL34" i="140"/>
  <c r="BC34" i="140"/>
  <c r="BC43" i="140" s="1"/>
  <c r="AQ34" i="140"/>
  <c r="L15" i="140"/>
  <c r="L22" i="140" s="1"/>
  <c r="BP38" i="140"/>
  <c r="M14" i="140"/>
  <c r="M21" i="140" s="1"/>
  <c r="O15" i="140"/>
  <c r="O22" i="140" s="1"/>
  <c r="O16" i="140"/>
  <c r="O23" i="140" s="1"/>
  <c r="BI38" i="140"/>
  <c r="BN38" i="140"/>
  <c r="F14" i="140"/>
  <c r="F21" i="140" s="1"/>
  <c r="P16" i="140"/>
  <c r="P23" i="140" s="1"/>
  <c r="AK34" i="140"/>
  <c r="G14" i="140"/>
  <c r="G21" i="140" s="1"/>
  <c r="AJ34" i="140"/>
  <c r="Q14" i="140"/>
  <c r="Q21" i="140" s="1"/>
  <c r="AO34" i="140"/>
  <c r="H16" i="140"/>
  <c r="H23" i="140" s="1"/>
  <c r="I15" i="140"/>
  <c r="I22" i="140" s="1"/>
  <c r="L16" i="140"/>
  <c r="L23" i="140" s="1"/>
  <c r="BR38" i="140"/>
  <c r="K16" i="140"/>
  <c r="AM34" i="140"/>
  <c r="N15" i="140"/>
  <c r="N22" i="140" s="1"/>
  <c r="Q15" i="140"/>
  <c r="Q22" i="140" s="1"/>
  <c r="BO38" i="140"/>
  <c r="AY34" i="140"/>
  <c r="AY43" i="140" s="1"/>
  <c r="O14" i="140"/>
  <c r="O21" i="140" s="1"/>
  <c r="BH38" i="140"/>
  <c r="N14" i="140"/>
  <c r="N21" i="140" s="1"/>
  <c r="BM38" i="140"/>
  <c r="BL38" i="140"/>
  <c r="I14" i="140"/>
  <c r="I21" i="140" s="1"/>
  <c r="J15" i="140"/>
  <c r="J22" i="140" s="1"/>
  <c r="P15" i="140"/>
  <c r="P22" i="140" s="1"/>
  <c r="BJ38" i="140"/>
  <c r="F15" i="140"/>
  <c r="F22" i="140" s="1"/>
  <c r="K14" i="140"/>
  <c r="K21" i="140" s="1"/>
  <c r="BG38" i="140"/>
  <c r="BQ38" i="140"/>
  <c r="M16" i="140"/>
  <c r="M23" i="140" s="1"/>
  <c r="AI34" i="140"/>
  <c r="AN34" i="140"/>
  <c r="BK38" i="140"/>
  <c r="I16" i="140"/>
  <c r="H14" i="140"/>
  <c r="H21" i="140" s="1"/>
  <c r="AR34" i="140"/>
  <c r="J14" i="140"/>
  <c r="J21" i="140" s="1"/>
  <c r="H15" i="140"/>
  <c r="H22" i="140" s="1"/>
  <c r="W20" i="140"/>
  <c r="V19" i="140"/>
  <c r="W19" i="140"/>
  <c r="X21" i="140"/>
  <c r="U19" i="140"/>
  <c r="U35" i="140" s="1"/>
  <c r="R7" i="140"/>
  <c r="U21" i="140"/>
  <c r="R9" i="140"/>
  <c r="R8" i="140"/>
  <c r="U20" i="140"/>
  <c r="X19" i="140"/>
  <c r="W9" i="140"/>
  <c r="L21" i="140"/>
  <c r="BR6" i="96"/>
  <c r="G16" i="96" l="1"/>
  <c r="J17" i="96"/>
  <c r="K17" i="140"/>
  <c r="G17" i="140"/>
  <c r="J17" i="140"/>
  <c r="BR10" i="96"/>
  <c r="BR20" i="96"/>
  <c r="BR16" i="96"/>
  <c r="BR19" i="96"/>
  <c r="BR15" i="96"/>
  <c r="BR14" i="96"/>
  <c r="BR22" i="96"/>
  <c r="BR21" i="96"/>
  <c r="BR17" i="96"/>
  <c r="BR11" i="96"/>
  <c r="BR13" i="96"/>
  <c r="BR18" i="96"/>
  <c r="BR23" i="96"/>
  <c r="BR12" i="96"/>
  <c r="Q12" i="96"/>
  <c r="AF12" i="96"/>
  <c r="P12" i="96"/>
  <c r="AQ12" i="96"/>
  <c r="S12" i="96"/>
  <c r="R12" i="96"/>
  <c r="AQ11" i="96"/>
  <c r="S11" i="96"/>
  <c r="P11" i="96"/>
  <c r="AF11" i="96"/>
  <c r="R11" i="96"/>
  <c r="Q11" i="96"/>
  <c r="Q17" i="96"/>
  <c r="AF17" i="96"/>
  <c r="S17" i="96"/>
  <c r="AQ17" i="96"/>
  <c r="P17" i="96"/>
  <c r="R17" i="96"/>
  <c r="R18" i="96"/>
  <c r="P18" i="96"/>
  <c r="S18" i="96"/>
  <c r="AQ18" i="96"/>
  <c r="Q18" i="96"/>
  <c r="AF18" i="96"/>
  <c r="S20" i="96"/>
  <c r="P20" i="96"/>
  <c r="AF20" i="96"/>
  <c r="AQ20" i="96"/>
  <c r="R20" i="96"/>
  <c r="Q20" i="96"/>
  <c r="G23" i="96"/>
  <c r="H23" i="96"/>
  <c r="I23" i="96"/>
  <c r="J23" i="96"/>
  <c r="I19" i="96"/>
  <c r="G19" i="96"/>
  <c r="H19" i="96"/>
  <c r="J19" i="96"/>
  <c r="R15" i="96"/>
  <c r="AQ15" i="96"/>
  <c r="S15" i="96"/>
  <c r="P15" i="96"/>
  <c r="Q15" i="96"/>
  <c r="AF15" i="96"/>
  <c r="BE15" i="96"/>
  <c r="BE11" i="96"/>
  <c r="BE10" i="96"/>
  <c r="I22" i="96"/>
  <c r="G22" i="96"/>
  <c r="H22" i="96"/>
  <c r="J22" i="96"/>
  <c r="J18" i="96"/>
  <c r="I18" i="96"/>
  <c r="G18" i="96"/>
  <c r="H18" i="96"/>
  <c r="Q23" i="96"/>
  <c r="AQ23" i="96"/>
  <c r="P23" i="96"/>
  <c r="AF23" i="96"/>
  <c r="S23" i="96"/>
  <c r="R23" i="96"/>
  <c r="I15" i="96"/>
  <c r="J15" i="96"/>
  <c r="G15" i="96"/>
  <c r="H15" i="96"/>
  <c r="J14" i="96"/>
  <c r="I14" i="96"/>
  <c r="H14" i="96"/>
  <c r="G14" i="96"/>
  <c r="J16" i="96"/>
  <c r="I16" i="96"/>
  <c r="H16" i="96"/>
  <c r="P21" i="96"/>
  <c r="AP21" i="96"/>
  <c r="AF14" i="96"/>
  <c r="P14" i="96"/>
  <c r="R14" i="96"/>
  <c r="AQ14" i="96"/>
  <c r="Q14" i="96"/>
  <c r="S14" i="96"/>
  <c r="H10" i="96"/>
  <c r="G10" i="96"/>
  <c r="J10" i="96"/>
  <c r="I10" i="96"/>
  <c r="BE23" i="96"/>
  <c r="BE18" i="96"/>
  <c r="BE20" i="96"/>
  <c r="BE22" i="96"/>
  <c r="J20" i="96"/>
  <c r="I20" i="96"/>
  <c r="H20" i="96"/>
  <c r="G20" i="96"/>
  <c r="J13" i="96"/>
  <c r="I13" i="96"/>
  <c r="G13" i="96"/>
  <c r="H13" i="96"/>
  <c r="AQ13" i="96"/>
  <c r="AF13" i="96"/>
  <c r="Q13" i="96"/>
  <c r="P13" i="96"/>
  <c r="R13" i="96"/>
  <c r="S13" i="96"/>
  <c r="AF22" i="96"/>
  <c r="AQ22" i="96"/>
  <c r="R22" i="96"/>
  <c r="P22" i="96"/>
  <c r="Q22" i="96"/>
  <c r="S22" i="96"/>
  <c r="Q10" i="96"/>
  <c r="P10" i="96"/>
  <c r="S10" i="96"/>
  <c r="AQ10" i="96"/>
  <c r="R10" i="96"/>
  <c r="AF10" i="96"/>
  <c r="I12" i="96"/>
  <c r="J12" i="96"/>
  <c r="G12" i="96"/>
  <c r="G17" i="96"/>
  <c r="H17" i="96"/>
  <c r="I17" i="96"/>
  <c r="BE12" i="96"/>
  <c r="BE17" i="96"/>
  <c r="BE21" i="96"/>
  <c r="BF5" i="142"/>
  <c r="BF5" i="143"/>
  <c r="BF5" i="141"/>
  <c r="AB14" i="143"/>
  <c r="AB13" i="143"/>
  <c r="V14" i="141"/>
  <c r="V13" i="141"/>
  <c r="V14" i="143"/>
  <c r="AC13" i="143"/>
  <c r="AB14" i="141"/>
  <c r="W13" i="141"/>
  <c r="AC13" i="141"/>
  <c r="W13" i="143"/>
  <c r="AC13" i="142"/>
  <c r="V13" i="142"/>
  <c r="AB13" i="141"/>
  <c r="V14" i="142"/>
  <c r="W13" i="142"/>
  <c r="AB13" i="142"/>
  <c r="V13" i="143"/>
  <c r="AB14" i="142"/>
  <c r="I11" i="96"/>
  <c r="J11" i="96"/>
  <c r="G11" i="96"/>
  <c r="H11" i="96"/>
  <c r="H12" i="96"/>
  <c r="R19" i="96"/>
  <c r="P19" i="96"/>
  <c r="AF19" i="96"/>
  <c r="AQ19" i="96"/>
  <c r="S19" i="96"/>
  <c r="Q19" i="96"/>
  <c r="J21" i="96"/>
  <c r="I21" i="96"/>
  <c r="G21" i="96"/>
  <c r="H21" i="96"/>
  <c r="P16" i="96"/>
  <c r="AF16" i="96"/>
  <c r="Q16" i="96"/>
  <c r="AQ16" i="96"/>
  <c r="S16" i="96"/>
  <c r="R16" i="96"/>
  <c r="S21" i="96"/>
  <c r="AF21" i="96"/>
  <c r="R21" i="96"/>
  <c r="AQ21" i="96"/>
  <c r="Q21" i="96"/>
  <c r="BE19" i="96"/>
  <c r="BE16" i="96"/>
  <c r="BE14" i="96"/>
  <c r="BE13" i="96"/>
  <c r="BD25" i="96"/>
  <c r="BR8" i="96"/>
  <c r="BR7" i="96"/>
  <c r="BR24" i="96"/>
  <c r="BR9" i="96"/>
  <c r="AQ9" i="96"/>
  <c r="AQ24" i="96"/>
  <c r="AQ7" i="96"/>
  <c r="AQ8" i="96"/>
  <c r="N25" i="96"/>
  <c r="AW25" i="96"/>
  <c r="BB25" i="96"/>
  <c r="L25" i="96"/>
  <c r="AY25" i="96"/>
  <c r="V25" i="96"/>
  <c r="AZ25" i="96"/>
  <c r="AV25" i="96"/>
  <c r="AU25" i="96"/>
  <c r="AT25" i="96"/>
  <c r="W25" i="96"/>
  <c r="BA25" i="96"/>
  <c r="AX25" i="96"/>
  <c r="M25" i="96"/>
  <c r="AS25" i="96"/>
  <c r="BC25" i="96"/>
  <c r="U25" i="96"/>
  <c r="C25" i="96"/>
  <c r="E25" i="96"/>
  <c r="D25" i="96"/>
  <c r="Z8" i="96"/>
  <c r="AA8" i="96"/>
  <c r="Y8" i="96"/>
  <c r="AA9" i="96"/>
  <c r="AC9" i="96"/>
  <c r="V36" i="140"/>
  <c r="W35" i="140"/>
  <c r="F17" i="140"/>
  <c r="G23" i="140"/>
  <c r="L17" i="140"/>
  <c r="N17" i="140"/>
  <c r="AC20" i="140"/>
  <c r="AB21" i="140"/>
  <c r="AB25" i="140" s="1"/>
  <c r="K23" i="140"/>
  <c r="X35" i="140"/>
  <c r="V35" i="140"/>
  <c r="AD19" i="140"/>
  <c r="X31" i="140"/>
  <c r="X30" i="140"/>
  <c r="W31" i="140"/>
  <c r="W30" i="140"/>
  <c r="U31" i="140"/>
  <c r="U30" i="140"/>
  <c r="V30" i="140"/>
  <c r="V31" i="140"/>
  <c r="W25" i="140"/>
  <c r="W26" i="140"/>
  <c r="X25" i="140"/>
  <c r="X26" i="140"/>
  <c r="U26" i="140"/>
  <c r="U25" i="140"/>
  <c r="V26" i="140"/>
  <c r="V25" i="140"/>
  <c r="AC9" i="140"/>
  <c r="V37" i="140"/>
  <c r="AD21" i="140"/>
  <c r="AD37" i="140" s="1"/>
  <c r="AA21" i="140"/>
  <c r="H17" i="140"/>
  <c r="O17" i="140"/>
  <c r="X36" i="140"/>
  <c r="I17" i="140"/>
  <c r="P17" i="140"/>
  <c r="AC19" i="140"/>
  <c r="Y24" i="96"/>
  <c r="AB24" i="96"/>
  <c r="R16" i="140"/>
  <c r="R23" i="140" s="1"/>
  <c r="AC21" i="140"/>
  <c r="AA24" i="96"/>
  <c r="W37" i="140"/>
  <c r="W36" i="140"/>
  <c r="X37" i="140"/>
  <c r="Y7" i="96"/>
  <c r="Y9" i="96"/>
  <c r="Z9" i="96"/>
  <c r="AC24" i="96"/>
  <c r="AC8" i="96"/>
  <c r="R15" i="140"/>
  <c r="R22" i="140" s="1"/>
  <c r="AB20" i="140"/>
  <c r="Q17" i="140"/>
  <c r="AD9" i="96"/>
  <c r="AD8" i="96"/>
  <c r="AB7" i="96"/>
  <c r="AD20" i="140"/>
  <c r="M17" i="140"/>
  <c r="AB8" i="96"/>
  <c r="Z24" i="96"/>
  <c r="AB9" i="96"/>
  <c r="AD7" i="96"/>
  <c r="AC7" i="96"/>
  <c r="AD24" i="96"/>
  <c r="I23" i="140"/>
  <c r="Z7" i="96"/>
  <c r="AA7" i="96"/>
  <c r="AA19" i="140"/>
  <c r="AA35" i="140" s="1"/>
  <c r="AA20" i="140"/>
  <c r="R14" i="140"/>
  <c r="R21" i="140" s="1"/>
  <c r="AB19" i="140"/>
  <c r="BF5" i="140"/>
  <c r="X9" i="140"/>
  <c r="U36" i="140"/>
  <c r="W13" i="140"/>
  <c r="V14" i="140"/>
  <c r="V13" i="140"/>
  <c r="U37" i="140"/>
  <c r="I8" i="96"/>
  <c r="H8" i="96"/>
  <c r="G8" i="96"/>
  <c r="J8" i="96"/>
  <c r="BL6" i="96"/>
  <c r="BH6" i="96"/>
  <c r="BQ6" i="96"/>
  <c r="BP6" i="96"/>
  <c r="BM6" i="96"/>
  <c r="BN6" i="96"/>
  <c r="BG6" i="96"/>
  <c r="BJ6" i="96"/>
  <c r="BO6" i="96"/>
  <c r="BI6" i="96"/>
  <c r="BR1" i="96"/>
  <c r="BK6" i="96"/>
  <c r="AP9" i="96"/>
  <c r="AF24" i="96"/>
  <c r="P24" i="96"/>
  <c r="S24" i="96"/>
  <c r="R24" i="96"/>
  <c r="Q24" i="96"/>
  <c r="G9" i="96"/>
  <c r="J9" i="96"/>
  <c r="I9" i="96"/>
  <c r="H9" i="96"/>
  <c r="AF9" i="96"/>
  <c r="R9" i="96"/>
  <c r="Q9" i="96"/>
  <c r="P9" i="96"/>
  <c r="S9" i="96"/>
  <c r="BE7" i="96"/>
  <c r="BE24" i="96"/>
  <c r="AG10" i="96"/>
  <c r="AP8" i="96"/>
  <c r="AF8" i="96"/>
  <c r="P8" i="96"/>
  <c r="S8" i="96"/>
  <c r="R8" i="96"/>
  <c r="Q8" i="96"/>
  <c r="AP24" i="96"/>
  <c r="I24" i="96"/>
  <c r="H24" i="96"/>
  <c r="G24" i="96"/>
  <c r="J24" i="96"/>
  <c r="AF7" i="96"/>
  <c r="R7" i="96"/>
  <c r="Q7" i="96"/>
  <c r="P7" i="96"/>
  <c r="S7" i="96"/>
  <c r="BE8" i="96"/>
  <c r="BE9" i="96"/>
  <c r="AP7" i="96"/>
  <c r="G7" i="96"/>
  <c r="J7" i="96"/>
  <c r="I7" i="96"/>
  <c r="H7" i="96"/>
  <c r="X13" i="141" l="1"/>
  <c r="AD13" i="143"/>
  <c r="AB22" i="140"/>
  <c r="X13" i="142"/>
  <c r="AD13" i="142"/>
  <c r="BQ8" i="143"/>
  <c r="BG5" i="143"/>
  <c r="BH8" i="143"/>
  <c r="BN8" i="143"/>
  <c r="BO8" i="143"/>
  <c r="BJ8" i="143"/>
  <c r="BL8" i="143"/>
  <c r="BG8" i="143"/>
  <c r="BR8" i="143"/>
  <c r="BP8" i="143"/>
  <c r="BK8" i="143"/>
  <c r="BI8" i="143"/>
  <c r="BM8" i="143"/>
  <c r="AC6" i="143"/>
  <c r="AD6" i="143" s="1"/>
  <c r="W6" i="141"/>
  <c r="X6" i="141" s="1"/>
  <c r="AC6" i="142"/>
  <c r="AD6" i="142" s="1"/>
  <c r="W6" i="143"/>
  <c r="X6" i="143" s="1"/>
  <c r="AC14" i="143"/>
  <c r="AD14" i="143" s="1"/>
  <c r="W14" i="142"/>
  <c r="X14" i="142" s="1"/>
  <c r="W14" i="143"/>
  <c r="X14" i="143" s="1"/>
  <c r="AC14" i="142"/>
  <c r="AD14" i="142" s="1"/>
  <c r="W6" i="142"/>
  <c r="X6" i="142" s="1"/>
  <c r="AC6" i="141"/>
  <c r="AD6" i="141" s="1"/>
  <c r="W14" i="141"/>
  <c r="X14" i="141" s="1"/>
  <c r="AC14" i="141"/>
  <c r="AD14" i="141" s="1"/>
  <c r="AG17" i="96"/>
  <c r="AH17" i="96" s="1"/>
  <c r="AG20" i="96"/>
  <c r="AH20" i="96" s="1"/>
  <c r="AG15" i="96"/>
  <c r="AH15" i="96" s="1"/>
  <c r="AG23" i="96"/>
  <c r="AH23" i="96" s="1"/>
  <c r="AG14" i="96"/>
  <c r="AH14" i="96" s="1"/>
  <c r="AG13" i="96"/>
  <c r="AH13" i="96" s="1"/>
  <c r="AG22" i="96"/>
  <c r="AH22" i="96" s="1"/>
  <c r="BJ19" i="96"/>
  <c r="BJ22" i="96"/>
  <c r="BJ10" i="96"/>
  <c r="BJ14" i="96"/>
  <c r="BJ15" i="96"/>
  <c r="BJ13" i="96"/>
  <c r="BJ21" i="96"/>
  <c r="BJ17" i="96"/>
  <c r="BJ11" i="96"/>
  <c r="BJ20" i="96"/>
  <c r="BJ12" i="96"/>
  <c r="BJ16" i="96"/>
  <c r="BJ18" i="96"/>
  <c r="BJ23" i="96"/>
  <c r="AG7" i="96"/>
  <c r="BQ13" i="96"/>
  <c r="BQ14" i="96"/>
  <c r="BQ22" i="96"/>
  <c r="BQ10" i="96"/>
  <c r="BQ15" i="96"/>
  <c r="BQ17" i="96"/>
  <c r="BQ12" i="96"/>
  <c r="BQ18" i="96"/>
  <c r="BQ21" i="96"/>
  <c r="BQ23" i="96"/>
  <c r="BQ20" i="96"/>
  <c r="BQ11" i="96"/>
  <c r="BQ19" i="96"/>
  <c r="BQ16" i="96"/>
  <c r="AG24" i="96"/>
  <c r="BI12" i="96"/>
  <c r="BI10" i="96"/>
  <c r="BI14" i="96"/>
  <c r="BI15" i="96"/>
  <c r="BI23" i="96"/>
  <c r="BI21" i="96"/>
  <c r="BI22" i="96"/>
  <c r="BI17" i="96"/>
  <c r="BI16" i="96"/>
  <c r="BI18" i="96"/>
  <c r="BI20" i="96"/>
  <c r="BI19" i="96"/>
  <c r="BI13" i="96"/>
  <c r="BI11" i="96"/>
  <c r="BN10" i="96"/>
  <c r="BN15" i="96"/>
  <c r="BN16" i="96"/>
  <c r="BN14" i="96"/>
  <c r="BN19" i="96"/>
  <c r="BN21" i="96"/>
  <c r="BN23" i="96"/>
  <c r="BN22" i="96"/>
  <c r="BN20" i="96"/>
  <c r="BN11" i="96"/>
  <c r="BN13" i="96"/>
  <c r="BN18" i="96"/>
  <c r="BN17" i="96"/>
  <c r="BN12" i="96"/>
  <c r="BH10" i="96"/>
  <c r="BH14" i="96"/>
  <c r="BH22" i="96"/>
  <c r="BH21" i="96"/>
  <c r="BH15" i="96"/>
  <c r="BH16" i="96"/>
  <c r="BH17" i="96"/>
  <c r="BH12" i="96"/>
  <c r="BH13" i="96"/>
  <c r="BH20" i="96"/>
  <c r="BH23" i="96"/>
  <c r="BH11" i="96"/>
  <c r="BH18" i="96"/>
  <c r="BH19" i="96"/>
  <c r="AG9" i="96"/>
  <c r="AG19" i="96"/>
  <c r="AH19" i="96" s="1"/>
  <c r="AG12" i="96"/>
  <c r="AH12" i="96" s="1"/>
  <c r="BK12" i="96"/>
  <c r="BK21" i="96"/>
  <c r="BK10" i="96"/>
  <c r="BK14" i="96"/>
  <c r="BK16" i="96"/>
  <c r="BK17" i="96"/>
  <c r="BK20" i="96"/>
  <c r="BK23" i="96"/>
  <c r="BK18" i="96"/>
  <c r="BK22" i="96"/>
  <c r="BK19" i="96"/>
  <c r="BK13" i="96"/>
  <c r="BK15" i="96"/>
  <c r="BK11" i="96"/>
  <c r="BP10" i="96"/>
  <c r="BP12" i="96"/>
  <c r="BP14" i="96"/>
  <c r="BP22" i="96"/>
  <c r="BP21" i="96"/>
  <c r="BP15" i="96"/>
  <c r="BP16" i="96"/>
  <c r="BP17" i="96"/>
  <c r="CV17" i="96" s="1"/>
  <c r="CZ17" i="96" s="1"/>
  <c r="AJ17" i="96" s="1"/>
  <c r="BP20" i="96"/>
  <c r="BP18" i="96"/>
  <c r="CV18" i="96" s="1"/>
  <c r="CZ18" i="96" s="1"/>
  <c r="AJ18" i="96" s="1"/>
  <c r="BP11" i="96"/>
  <c r="BP23" i="96"/>
  <c r="CV23" i="96" s="1"/>
  <c r="CZ23" i="96" s="1"/>
  <c r="AJ23" i="96" s="1"/>
  <c r="BP13" i="96"/>
  <c r="BP19" i="96"/>
  <c r="BG10" i="96"/>
  <c r="BG16" i="96"/>
  <c r="BG17" i="96"/>
  <c r="BG20" i="96"/>
  <c r="BG21" i="96"/>
  <c r="BG14" i="96"/>
  <c r="BG12" i="96"/>
  <c r="BG19" i="96"/>
  <c r="BG15" i="96"/>
  <c r="BG18" i="96"/>
  <c r="BG11" i="96"/>
  <c r="BG23" i="96"/>
  <c r="BG13" i="96"/>
  <c r="BG22" i="96"/>
  <c r="BO21" i="96"/>
  <c r="BO14" i="96"/>
  <c r="BO10" i="96"/>
  <c r="BO12" i="96"/>
  <c r="BO22" i="96"/>
  <c r="BO17" i="96"/>
  <c r="BO11" i="96"/>
  <c r="BO23" i="96"/>
  <c r="BO16" i="96"/>
  <c r="BO15" i="96"/>
  <c r="BO20" i="96"/>
  <c r="BO18" i="96"/>
  <c r="BO19" i="96"/>
  <c r="BO13" i="96"/>
  <c r="BM14" i="96"/>
  <c r="BM17" i="96"/>
  <c r="BM23" i="96"/>
  <c r="BM10" i="96"/>
  <c r="BM13" i="96"/>
  <c r="BM15" i="96"/>
  <c r="BM12" i="96"/>
  <c r="BM21" i="96"/>
  <c r="BM22" i="96"/>
  <c r="BM19" i="96"/>
  <c r="BM11" i="96"/>
  <c r="BM18" i="96"/>
  <c r="BM16" i="96"/>
  <c r="BM20" i="96"/>
  <c r="BL10" i="96"/>
  <c r="BL12" i="96"/>
  <c r="BL21" i="96"/>
  <c r="BL15" i="96"/>
  <c r="BL20" i="96"/>
  <c r="BL14" i="96"/>
  <c r="BL16" i="96"/>
  <c r="BL22" i="96"/>
  <c r="BL17" i="96"/>
  <c r="BL23" i="96"/>
  <c r="BL19" i="96"/>
  <c r="BL18" i="96"/>
  <c r="BL11" i="96"/>
  <c r="BL13" i="96"/>
  <c r="AG8" i="96"/>
  <c r="AD13" i="141"/>
  <c r="AG18" i="96"/>
  <c r="AH18" i="96" s="1"/>
  <c r="AG11" i="96"/>
  <c r="AH11" i="96" s="1"/>
  <c r="AG21" i="96"/>
  <c r="AH21" i="96" s="1"/>
  <c r="AG16" i="96"/>
  <c r="AH16" i="96" s="1"/>
  <c r="BP8" i="141"/>
  <c r="BQ8" i="141"/>
  <c r="BK8" i="141"/>
  <c r="BG5" i="141"/>
  <c r="BN8" i="141"/>
  <c r="BG8" i="141"/>
  <c r="BM8" i="141"/>
  <c r="BR8" i="141"/>
  <c r="BJ8" i="141"/>
  <c r="BO8" i="141"/>
  <c r="BI8" i="141"/>
  <c r="BH8" i="141"/>
  <c r="BL8" i="141"/>
  <c r="X13" i="143"/>
  <c r="BQ8" i="142"/>
  <c r="BG8" i="142"/>
  <c r="BG5" i="142"/>
  <c r="BM8" i="142"/>
  <c r="BL8" i="142"/>
  <c r="BH8" i="142"/>
  <c r="BR8" i="142"/>
  <c r="BN8" i="142"/>
  <c r="BK8" i="142"/>
  <c r="BO8" i="142"/>
  <c r="BP8" i="142"/>
  <c r="BJ8" i="142"/>
  <c r="BI8" i="142"/>
  <c r="AH10" i="96"/>
  <c r="BO7" i="96"/>
  <c r="BO9" i="96"/>
  <c r="BO24" i="96"/>
  <c r="BO8" i="96"/>
  <c r="BM7" i="96"/>
  <c r="BM24" i="96"/>
  <c r="BM8" i="96"/>
  <c r="BM9" i="96"/>
  <c r="BL7" i="96"/>
  <c r="BL24" i="96"/>
  <c r="BL9" i="96"/>
  <c r="BL8" i="96"/>
  <c r="BK24" i="96"/>
  <c r="BK9" i="96"/>
  <c r="BK7" i="96"/>
  <c r="BK8" i="96"/>
  <c r="BJ8" i="96"/>
  <c r="BJ24" i="96"/>
  <c r="BJ7" i="96"/>
  <c r="BJ9" i="96"/>
  <c r="BP8" i="96"/>
  <c r="BP7" i="96"/>
  <c r="BP24" i="96"/>
  <c r="BP9" i="96"/>
  <c r="BG24" i="96"/>
  <c r="BG9" i="96"/>
  <c r="BG7" i="96"/>
  <c r="BG8" i="96"/>
  <c r="BQ8" i="96"/>
  <c r="BQ7" i="96"/>
  <c r="BQ9" i="96"/>
  <c r="BQ24" i="96"/>
  <c r="BI24" i="96"/>
  <c r="BI9" i="96"/>
  <c r="BI7" i="96"/>
  <c r="BI8" i="96"/>
  <c r="BN7" i="96"/>
  <c r="BN9" i="96"/>
  <c r="BN8" i="96"/>
  <c r="BN24" i="96"/>
  <c r="BH24" i="96"/>
  <c r="BH9" i="96"/>
  <c r="BH8" i="96"/>
  <c r="BH7" i="96"/>
  <c r="AQ25" i="96"/>
  <c r="AG25" i="96"/>
  <c r="BE25" i="96"/>
  <c r="BR25" i="96"/>
  <c r="AA36" i="140"/>
  <c r="AA37" i="140"/>
  <c r="AA22" i="140"/>
  <c r="AA38" i="140" s="1"/>
  <c r="AD22" i="140"/>
  <c r="AD32" i="140" s="1"/>
  <c r="AD9" i="140"/>
  <c r="AB32" i="140"/>
  <c r="AC22" i="140"/>
  <c r="AC32" i="140" s="1"/>
  <c r="AC37" i="140"/>
  <c r="AB30" i="140"/>
  <c r="AD36" i="140"/>
  <c r="AC35" i="140"/>
  <c r="AD35" i="140"/>
  <c r="AB37" i="140"/>
  <c r="AB14" i="140"/>
  <c r="AB26" i="140"/>
  <c r="AB35" i="140"/>
  <c r="AB36" i="140"/>
  <c r="AC36" i="140"/>
  <c r="AA30" i="140"/>
  <c r="AA31" i="140"/>
  <c r="AC31" i="140"/>
  <c r="AC30" i="140"/>
  <c r="AB31" i="140"/>
  <c r="AD31" i="140"/>
  <c r="AD30" i="140"/>
  <c r="AC25" i="140"/>
  <c r="AC26" i="140"/>
  <c r="AA26" i="140"/>
  <c r="AA25" i="140"/>
  <c r="AD25" i="140"/>
  <c r="AD26" i="140"/>
  <c r="R17" i="140"/>
  <c r="AB13" i="140"/>
  <c r="AC13" i="140"/>
  <c r="AB27" i="140"/>
  <c r="W14" i="140"/>
  <c r="X14" i="140" s="1"/>
  <c r="AC14" i="140"/>
  <c r="BP8" i="140"/>
  <c r="BO8" i="140"/>
  <c r="BG8" i="140"/>
  <c r="BK8" i="140"/>
  <c r="BN8" i="140"/>
  <c r="BR8" i="140"/>
  <c r="BJ8" i="140"/>
  <c r="BM8" i="140"/>
  <c r="BL8" i="140"/>
  <c r="BH8" i="140"/>
  <c r="BG5" i="140"/>
  <c r="BQ8" i="140"/>
  <c r="BI8" i="140"/>
  <c r="X13" i="140"/>
  <c r="BI1" i="96"/>
  <c r="BO1" i="96"/>
  <c r="BN1" i="96"/>
  <c r="BQ1" i="96"/>
  <c r="BL1" i="96"/>
  <c r="BK1" i="96"/>
  <c r="BM1" i="96"/>
  <c r="BH1" i="96"/>
  <c r="BG1" i="96"/>
  <c r="BJ1" i="96"/>
  <c r="BP1" i="96"/>
  <c r="CV13" i="96" l="1"/>
  <c r="CZ13" i="96" s="1"/>
  <c r="AJ13" i="96" s="1"/>
  <c r="CV19" i="96"/>
  <c r="CZ19" i="96" s="1"/>
  <c r="AJ19" i="96" s="1"/>
  <c r="CV15" i="96"/>
  <c r="CZ15" i="96" s="1"/>
  <c r="AJ15" i="96" s="1"/>
  <c r="CV21" i="96"/>
  <c r="CZ21" i="96" s="1"/>
  <c r="AJ21" i="96" s="1"/>
  <c r="CV14" i="96"/>
  <c r="CZ14" i="96" s="1"/>
  <c r="AJ14" i="96" s="1"/>
  <c r="CV10" i="96"/>
  <c r="CZ10" i="96" s="1"/>
  <c r="AJ10" i="96" s="1"/>
  <c r="CV11" i="96"/>
  <c r="CZ11" i="96" s="1"/>
  <c r="AJ11" i="96" s="1"/>
  <c r="CW14" i="96"/>
  <c r="DA14" i="96" s="1"/>
  <c r="AK14" i="96" s="1"/>
  <c r="BZ10" i="96"/>
  <c r="BX9" i="96"/>
  <c r="BW9" i="96"/>
  <c r="BV10" i="96"/>
  <c r="BT10" i="96"/>
  <c r="BY10" i="96"/>
  <c r="BX10" i="96"/>
  <c r="BW10" i="96"/>
  <c r="BU10" i="96"/>
  <c r="CJ10" i="96"/>
  <c r="CH10" i="96"/>
  <c r="CL10" i="96"/>
  <c r="CM9" i="96"/>
  <c r="CK10" i="96"/>
  <c r="CN9" i="96"/>
  <c r="CI10" i="96"/>
  <c r="CM10" i="96"/>
  <c r="CN10" i="96"/>
  <c r="BY9" i="96"/>
  <c r="BZ9" i="96"/>
  <c r="CL9" i="96"/>
  <c r="CK9" i="96"/>
  <c r="CW11" i="96"/>
  <c r="DA11" i="96" s="1"/>
  <c r="AK11" i="96" s="1"/>
  <c r="CV12" i="96"/>
  <c r="CZ12" i="96" s="1"/>
  <c r="AJ12" i="96" s="1"/>
  <c r="CW19" i="96"/>
  <c r="DA19" i="96" s="1"/>
  <c r="AK19" i="96" s="1"/>
  <c r="CW15" i="96"/>
  <c r="DA15" i="96" s="1"/>
  <c r="AK15" i="96" s="1"/>
  <c r="CV22" i="96"/>
  <c r="CZ22" i="96" s="1"/>
  <c r="AJ22" i="96" s="1"/>
  <c r="CW16" i="96"/>
  <c r="DA16" i="96" s="1"/>
  <c r="AK16" i="96" s="1"/>
  <c r="CW22" i="96"/>
  <c r="DA22" i="96" s="1"/>
  <c r="AK22" i="96" s="1"/>
  <c r="CW13" i="96"/>
  <c r="DA13" i="96" s="1"/>
  <c r="AK13" i="96" s="1"/>
  <c r="BX16" i="96"/>
  <c r="BW16" i="96"/>
  <c r="CD15" i="96"/>
  <c r="CC22" i="96"/>
  <c r="CC15" i="96"/>
  <c r="BW22" i="96"/>
  <c r="BW14" i="96"/>
  <c r="BV13" i="96"/>
  <c r="CD11" i="96"/>
  <c r="CA14" i="96"/>
  <c r="CE10" i="96"/>
  <c r="CA13" i="96"/>
  <c r="BW20" i="96"/>
  <c r="BY16" i="96"/>
  <c r="BV22" i="96"/>
  <c r="CD14" i="96"/>
  <c r="BZ16" i="96"/>
  <c r="BX20" i="96"/>
  <c r="CC20" i="96"/>
  <c r="BW19" i="96"/>
  <c r="BY21" i="96"/>
  <c r="BV17" i="96"/>
  <c r="CD19" i="96"/>
  <c r="CB11" i="96"/>
  <c r="CB21" i="96"/>
  <c r="CA11" i="96"/>
  <c r="CE15" i="96"/>
  <c r="BT15" i="96"/>
  <c r="BZ13" i="96"/>
  <c r="BZ17" i="96"/>
  <c r="BW18" i="96"/>
  <c r="BY23" i="96"/>
  <c r="CB10" i="96"/>
  <c r="CA20" i="96"/>
  <c r="CE16" i="96"/>
  <c r="BU13" i="96"/>
  <c r="BU23" i="96"/>
  <c r="BT22" i="96"/>
  <c r="BZ14" i="96"/>
  <c r="CC18" i="96"/>
  <c r="BW11" i="96"/>
  <c r="BV19" i="96"/>
  <c r="BV18" i="96"/>
  <c r="CD23" i="96"/>
  <c r="CB12" i="96"/>
  <c r="CA16" i="96"/>
  <c r="CA22" i="96"/>
  <c r="CE18" i="96"/>
  <c r="BU22" i="96"/>
  <c r="BT21" i="96"/>
  <c r="BZ12" i="96"/>
  <c r="CC13" i="96"/>
  <c r="BY17" i="96"/>
  <c r="BV12" i="96"/>
  <c r="CD21" i="96"/>
  <c r="CB19" i="96"/>
  <c r="CE20" i="96"/>
  <c r="CE14" i="96"/>
  <c r="BU20" i="96"/>
  <c r="BT16" i="96"/>
  <c r="BT14" i="96"/>
  <c r="BZ22" i="96"/>
  <c r="BY19" i="96"/>
  <c r="BV11" i="96"/>
  <c r="CB17" i="96"/>
  <c r="CE11" i="96"/>
  <c r="BU15" i="96"/>
  <c r="BX14" i="96"/>
  <c r="CC16" i="96"/>
  <c r="BW15" i="96"/>
  <c r="BY13" i="96"/>
  <c r="CD20" i="96"/>
  <c r="CB13" i="96"/>
  <c r="CA17" i="96"/>
  <c r="BU14" i="96"/>
  <c r="BX12" i="96"/>
  <c r="CC12" i="96"/>
  <c r="BY20" i="96"/>
  <c r="CD13" i="96"/>
  <c r="CD12" i="96"/>
  <c r="CB14" i="96"/>
  <c r="BT17" i="96"/>
  <c r="BX21" i="96"/>
  <c r="BW17" i="96"/>
  <c r="CD16" i="96"/>
  <c r="CB15" i="96"/>
  <c r="CA21" i="96"/>
  <c r="BU11" i="96"/>
  <c r="BX15" i="96"/>
  <c r="BX17" i="96"/>
  <c r="CC19" i="96"/>
  <c r="BY22" i="96"/>
  <c r="BV21" i="96"/>
  <c r="CA12" i="96"/>
  <c r="CE21" i="96"/>
  <c r="BU19" i="96"/>
  <c r="BZ20" i="96"/>
  <c r="CB22" i="96"/>
  <c r="BT20" i="96"/>
  <c r="BZ15" i="96"/>
  <c r="BX13" i="96"/>
  <c r="BV16" i="96"/>
  <c r="CD22" i="96"/>
  <c r="CE13" i="96"/>
  <c r="BU17" i="96"/>
  <c r="BT12" i="96"/>
  <c r="BX22" i="96"/>
  <c r="CC10" i="96"/>
  <c r="BV15" i="96"/>
  <c r="CA15" i="96"/>
  <c r="CE22" i="96"/>
  <c r="CE12" i="96"/>
  <c r="BU16" i="96"/>
  <c r="BT19" i="96"/>
  <c r="BT13" i="96"/>
  <c r="CC21" i="96"/>
  <c r="BY18" i="96"/>
  <c r="CD17" i="96"/>
  <c r="CB20" i="96"/>
  <c r="CA19" i="96"/>
  <c r="BT11" i="96"/>
  <c r="BX19" i="96"/>
  <c r="BY15" i="96"/>
  <c r="BV20" i="96"/>
  <c r="BV14" i="96"/>
  <c r="CD10" i="96"/>
  <c r="BZ19" i="96"/>
  <c r="CC11" i="96"/>
  <c r="CC14" i="96"/>
  <c r="BW13" i="96"/>
  <c r="BY11" i="96"/>
  <c r="CB23" i="96"/>
  <c r="BU21" i="96"/>
  <c r="BZ11" i="96"/>
  <c r="BX11" i="96"/>
  <c r="BY12" i="96"/>
  <c r="CD18" i="96"/>
  <c r="CB16" i="96"/>
  <c r="CA10" i="96"/>
  <c r="AA27" i="140"/>
  <c r="BH9" i="141"/>
  <c r="BH35" i="141" s="1"/>
  <c r="BH44" i="141" s="1"/>
  <c r="BN9" i="141"/>
  <c r="BN35" i="141" s="1"/>
  <c r="BN44" i="141" s="1"/>
  <c r="BG9" i="141"/>
  <c r="BG16" i="141" s="1"/>
  <c r="BG25" i="141" s="1"/>
  <c r="BK9" i="141"/>
  <c r="BO9" i="141"/>
  <c r="BO39" i="141" s="1"/>
  <c r="BO47" i="141" s="1"/>
  <c r="BG17" i="141"/>
  <c r="BG26" i="141" s="1"/>
  <c r="BL9" i="141"/>
  <c r="BL21" i="141" s="1"/>
  <c r="BL29" i="141" s="1"/>
  <c r="BQ9" i="141"/>
  <c r="BQ35" i="141" s="1"/>
  <c r="BQ44" i="141" s="1"/>
  <c r="BM9" i="141"/>
  <c r="BM34" i="141" s="1"/>
  <c r="BM43" i="141" s="1"/>
  <c r="BR9" i="141"/>
  <c r="BR34" i="141" s="1"/>
  <c r="BR43" i="141" s="1"/>
  <c r="BP9" i="141"/>
  <c r="BP17" i="141" s="1"/>
  <c r="BP26" i="141" s="1"/>
  <c r="BI9" i="141"/>
  <c r="BQ16" i="141"/>
  <c r="BQ25" i="141" s="1"/>
  <c r="BQ39" i="141"/>
  <c r="BQ47" i="141" s="1"/>
  <c r="BQ34" i="141"/>
  <c r="BQ43" i="141" s="1"/>
  <c r="CW12" i="96"/>
  <c r="DA12" i="96" s="1"/>
  <c r="AK12" i="96" s="1"/>
  <c r="CO12" i="96"/>
  <c r="CL12" i="96"/>
  <c r="CP12" i="96"/>
  <c r="CN12" i="96"/>
  <c r="CJ12" i="96"/>
  <c r="CW23" i="96"/>
  <c r="DA23" i="96" s="1"/>
  <c r="AK23" i="96" s="1"/>
  <c r="CL23" i="96"/>
  <c r="CJ23" i="96"/>
  <c r="CR23" i="96"/>
  <c r="CS23" i="96"/>
  <c r="CH23" i="96"/>
  <c r="CP23" i="96"/>
  <c r="CQ23" i="96"/>
  <c r="CX11" i="96"/>
  <c r="DB11" i="96" s="1"/>
  <c r="AL11" i="96" s="1"/>
  <c r="CX12" i="96"/>
  <c r="DB12" i="96" s="1"/>
  <c r="AL12" i="96" s="1"/>
  <c r="BU12" i="96"/>
  <c r="BW12" i="96"/>
  <c r="CX17" i="96"/>
  <c r="DB17" i="96" s="1"/>
  <c r="AL17" i="96" s="1"/>
  <c r="CE17" i="96"/>
  <c r="CC17" i="96"/>
  <c r="CR12" i="96"/>
  <c r="CV20" i="96"/>
  <c r="CZ20" i="96" s="1"/>
  <c r="AJ20" i="96" s="1"/>
  <c r="CN22" i="96"/>
  <c r="CL20" i="96"/>
  <c r="CQ19" i="96"/>
  <c r="CK19" i="96"/>
  <c r="CM22" i="96"/>
  <c r="CJ11" i="96"/>
  <c r="CS11" i="96"/>
  <c r="CS15" i="96"/>
  <c r="CN20" i="96"/>
  <c r="CM15" i="96"/>
  <c r="CR10" i="96"/>
  <c r="CP10" i="96"/>
  <c r="CO20" i="96"/>
  <c r="CI14" i="96"/>
  <c r="CH20" i="96"/>
  <c r="CN19" i="96"/>
  <c r="CN15" i="96"/>
  <c r="CQ14" i="96"/>
  <c r="CM20" i="96"/>
  <c r="CM14" i="96"/>
  <c r="CJ16" i="96"/>
  <c r="CR13" i="96"/>
  <c r="CO16" i="96"/>
  <c r="CI22" i="96"/>
  <c r="CL11" i="96"/>
  <c r="CP15" i="96"/>
  <c r="CQ21" i="96"/>
  <c r="CM19" i="96"/>
  <c r="CO19" i="96"/>
  <c r="CI15" i="96"/>
  <c r="CH11" i="96"/>
  <c r="CL18" i="96"/>
  <c r="CQ16" i="96"/>
  <c r="CJ20" i="96"/>
  <c r="CR11" i="96"/>
  <c r="CP13" i="96"/>
  <c r="CH18" i="96"/>
  <c r="CN23" i="96"/>
  <c r="CK13" i="96"/>
  <c r="CH17" i="96"/>
  <c r="CN11" i="96"/>
  <c r="CL21" i="96"/>
  <c r="CK20" i="96"/>
  <c r="CM12" i="96"/>
  <c r="CO21" i="96"/>
  <c r="CI11" i="96"/>
  <c r="CL17" i="96"/>
  <c r="CQ20" i="96"/>
  <c r="CK16" i="96"/>
  <c r="CR19" i="96"/>
  <c r="CO11" i="96"/>
  <c r="CI19" i="96"/>
  <c r="CH15" i="96"/>
  <c r="CN13" i="96"/>
  <c r="CS16" i="96"/>
  <c r="CI13" i="96"/>
  <c r="CH22" i="96"/>
  <c r="CK11" i="96"/>
  <c r="CJ19" i="96"/>
  <c r="CO22" i="96"/>
  <c r="CS17" i="96"/>
  <c r="CI17" i="96"/>
  <c r="CH12" i="96"/>
  <c r="CH21" i="96"/>
  <c r="CN21" i="96"/>
  <c r="CL22" i="96"/>
  <c r="CQ17" i="96"/>
  <c r="CM17" i="96"/>
  <c r="CJ22" i="96"/>
  <c r="CR21" i="96"/>
  <c r="CS20" i="96"/>
  <c r="CS14" i="96"/>
  <c r="CH14" i="96"/>
  <c r="CR15" i="96"/>
  <c r="CP20" i="96"/>
  <c r="CI12" i="96"/>
  <c r="CL19" i="96"/>
  <c r="CL14" i="96"/>
  <c r="CQ15" i="96"/>
  <c r="CK15" i="96"/>
  <c r="CM13" i="96"/>
  <c r="CJ13" i="96"/>
  <c r="CJ14" i="96"/>
  <c r="CR20" i="96"/>
  <c r="CO17" i="96"/>
  <c r="CS19" i="96"/>
  <c r="CQ11" i="96"/>
  <c r="CQ12" i="96"/>
  <c r="CK21" i="96"/>
  <c r="CM11" i="96"/>
  <c r="CP14" i="96"/>
  <c r="CK17" i="96"/>
  <c r="CM16" i="96"/>
  <c r="CR16" i="96"/>
  <c r="CR14" i="96"/>
  <c r="CP16" i="96"/>
  <c r="CH16" i="96"/>
  <c r="CN16" i="96"/>
  <c r="CL15" i="96"/>
  <c r="CL16" i="96"/>
  <c r="CK23" i="96"/>
  <c r="CM21" i="96"/>
  <c r="CJ21" i="96"/>
  <c r="CP11" i="96"/>
  <c r="CS21" i="96"/>
  <c r="CI18" i="96"/>
  <c r="CN17" i="96"/>
  <c r="CQ22" i="96"/>
  <c r="CK18" i="96"/>
  <c r="CK14" i="96"/>
  <c r="CP22" i="96"/>
  <c r="CO14" i="96"/>
  <c r="CS10" i="96"/>
  <c r="CI23" i="96"/>
  <c r="CN14" i="96"/>
  <c r="CL13" i="96"/>
  <c r="CJ18" i="96"/>
  <c r="CR22" i="96"/>
  <c r="CO13" i="96"/>
  <c r="CS18" i="96"/>
  <c r="CS13" i="96"/>
  <c r="CQ13" i="96"/>
  <c r="CQ10" i="96"/>
  <c r="CK12" i="96"/>
  <c r="CJ15" i="96"/>
  <c r="CP19" i="96"/>
  <c r="CO23" i="96"/>
  <c r="CS22" i="96"/>
  <c r="CS12" i="96"/>
  <c r="CI16" i="96"/>
  <c r="CH19" i="96"/>
  <c r="CH13" i="96"/>
  <c r="BP39" i="141"/>
  <c r="BP47" i="141" s="1"/>
  <c r="CI20" i="96"/>
  <c r="CW20" i="96"/>
  <c r="DA20" i="96" s="1"/>
  <c r="AK20" i="96" s="1"/>
  <c r="CW17" i="96"/>
  <c r="DA17" i="96" s="1"/>
  <c r="AK17" i="96" s="1"/>
  <c r="CJ17" i="96"/>
  <c r="CR17" i="96"/>
  <c r="CP17" i="96"/>
  <c r="CX22" i="96"/>
  <c r="DB22" i="96" s="1"/>
  <c r="AL22" i="96" s="1"/>
  <c r="CX18" i="96"/>
  <c r="DB18" i="96" s="1"/>
  <c r="AL18" i="96" s="1"/>
  <c r="BZ18" i="96"/>
  <c r="BU18" i="96"/>
  <c r="BX18" i="96"/>
  <c r="CB18" i="96"/>
  <c r="BT18" i="96"/>
  <c r="CA18" i="96"/>
  <c r="CX14" i="96"/>
  <c r="DB14" i="96" s="1"/>
  <c r="AL14" i="96" s="1"/>
  <c r="CX16" i="96"/>
  <c r="DB16" i="96" s="1"/>
  <c r="AL16" i="96" s="1"/>
  <c r="BY14" i="96"/>
  <c r="CV16" i="96"/>
  <c r="CZ16" i="96" s="1"/>
  <c r="AJ16" i="96" s="1"/>
  <c r="BG9" i="142"/>
  <c r="BG16" i="142" s="1"/>
  <c r="BG25" i="142" s="1"/>
  <c r="BI9" i="142"/>
  <c r="BI21" i="142" s="1"/>
  <c r="BI29" i="142" s="1"/>
  <c r="BJ9" i="142"/>
  <c r="BJ16" i="142" s="1"/>
  <c r="BJ25" i="142" s="1"/>
  <c r="BH9" i="142"/>
  <c r="BL9" i="142"/>
  <c r="BL16" i="142" s="1"/>
  <c r="BL25" i="142" s="1"/>
  <c r="BP9" i="142"/>
  <c r="BP17" i="142" s="1"/>
  <c r="BP26" i="142" s="1"/>
  <c r="BK9" i="142"/>
  <c r="BK17" i="142" s="1"/>
  <c r="BK26" i="142" s="1"/>
  <c r="BM9" i="142"/>
  <c r="BM17" i="142" s="1"/>
  <c r="BM26" i="142" s="1"/>
  <c r="BN9" i="142"/>
  <c r="BN34" i="142" s="1"/>
  <c r="BN43" i="142" s="1"/>
  <c r="BO9" i="142"/>
  <c r="BO34" i="142" s="1"/>
  <c r="BO43" i="142" s="1"/>
  <c r="BJ9" i="141"/>
  <c r="BJ39" i="141" s="1"/>
  <c r="BJ47" i="141" s="1"/>
  <c r="BH21" i="141"/>
  <c r="BH29" i="141" s="1"/>
  <c r="BH39" i="141"/>
  <c r="BH47" i="141" s="1"/>
  <c r="BH17" i="141"/>
  <c r="BH26" i="141" s="1"/>
  <c r="BH16" i="141"/>
  <c r="BH25" i="141" s="1"/>
  <c r="BH34" i="141"/>
  <c r="BH43" i="141" s="1"/>
  <c r="CX13" i="96"/>
  <c r="DB13" i="96" s="1"/>
  <c r="AL13" i="96" s="1"/>
  <c r="CX15" i="96"/>
  <c r="DB15" i="96" s="1"/>
  <c r="AL15" i="96" s="1"/>
  <c r="CX21" i="96"/>
  <c r="DB21" i="96" s="1"/>
  <c r="AL21" i="96" s="1"/>
  <c r="BW21" i="96"/>
  <c r="BZ21" i="96"/>
  <c r="CK22" i="96"/>
  <c r="CX10" i="96"/>
  <c r="DB10" i="96" s="1"/>
  <c r="AL10" i="96" s="1"/>
  <c r="BK9" i="143"/>
  <c r="BK17" i="143" s="1"/>
  <c r="BK26" i="143" s="1"/>
  <c r="BN9" i="143"/>
  <c r="BN17" i="143" s="1"/>
  <c r="BN26" i="143" s="1"/>
  <c r="BQ9" i="143"/>
  <c r="BQ39" i="143" s="1"/>
  <c r="BQ47" i="143" s="1"/>
  <c r="BM9" i="143"/>
  <c r="BM16" i="143" s="1"/>
  <c r="BM25" i="143" s="1"/>
  <c r="BG9" i="143"/>
  <c r="BG39" i="143" s="1"/>
  <c r="BG47" i="143" s="1"/>
  <c r="BJ9" i="143"/>
  <c r="BJ39" i="143" s="1"/>
  <c r="BJ47" i="143" s="1"/>
  <c r="BI9" i="143"/>
  <c r="BI35" i="143" s="1"/>
  <c r="BI44" i="143" s="1"/>
  <c r="BP9" i="143"/>
  <c r="BP16" i="143" s="1"/>
  <c r="BP25" i="143" s="1"/>
  <c r="BO9" i="143"/>
  <c r="BO39" i="143" s="1"/>
  <c r="BO47" i="143" s="1"/>
  <c r="BR9" i="143"/>
  <c r="BR16" i="143" s="1"/>
  <c r="BR25" i="143" s="1"/>
  <c r="BL9" i="143"/>
  <c r="BL34" i="143" s="1"/>
  <c r="BL43" i="143" s="1"/>
  <c r="BH9" i="143"/>
  <c r="BH39" i="143" s="1"/>
  <c r="BH47" i="143" s="1"/>
  <c r="BN16" i="143"/>
  <c r="BN25" i="143" s="1"/>
  <c r="BN35" i="143"/>
  <c r="BN44" i="143" s="1"/>
  <c r="BQ9" i="142"/>
  <c r="BQ34" i="142" s="1"/>
  <c r="BQ43" i="142" s="1"/>
  <c r="BR9" i="142"/>
  <c r="BR34" i="142" s="1"/>
  <c r="BR43" i="142" s="1"/>
  <c r="BK34" i="142"/>
  <c r="BK43" i="142" s="1"/>
  <c r="BK21" i="142"/>
  <c r="BK29" i="142" s="1"/>
  <c r="BK39" i="142"/>
  <c r="BK47" i="142" s="1"/>
  <c r="BK35" i="142"/>
  <c r="BK44" i="142" s="1"/>
  <c r="BI34" i="141"/>
  <c r="BI43" i="141" s="1"/>
  <c r="BI16" i="141"/>
  <c r="BI25" i="141" s="1"/>
  <c r="BI21" i="141"/>
  <c r="BI29" i="141" s="1"/>
  <c r="BI35" i="141"/>
  <c r="BI44" i="141" s="1"/>
  <c r="BI17" i="141"/>
  <c r="BI26" i="141" s="1"/>
  <c r="BI39" i="141"/>
  <c r="BI47" i="141" s="1"/>
  <c r="BK16" i="141"/>
  <c r="BK25" i="141" s="1"/>
  <c r="CW18" i="96"/>
  <c r="DA18" i="96" s="1"/>
  <c r="AK18" i="96" s="1"/>
  <c r="CM18" i="96"/>
  <c r="CQ18" i="96"/>
  <c r="CR18" i="96"/>
  <c r="CO18" i="96"/>
  <c r="CN18" i="96"/>
  <c r="CW21" i="96"/>
  <c r="DA21" i="96" s="1"/>
  <c r="AK21" i="96" s="1"/>
  <c r="CP21" i="96"/>
  <c r="CI21" i="96"/>
  <c r="CO10" i="96"/>
  <c r="CW10" i="96"/>
  <c r="DA10" i="96" s="1"/>
  <c r="AK10" i="96" s="1"/>
  <c r="CO15" i="96"/>
  <c r="CX23" i="96"/>
  <c r="DB23" i="96" s="1"/>
  <c r="AL23" i="96" s="1"/>
  <c r="CC23" i="96"/>
  <c r="BX23" i="96"/>
  <c r="BV23" i="96"/>
  <c r="BZ23" i="96"/>
  <c r="BW23" i="96"/>
  <c r="CE23" i="96"/>
  <c r="BT23" i="96"/>
  <c r="CA23" i="96"/>
  <c r="CE19" i="96"/>
  <c r="CX19" i="96"/>
  <c r="DB19" i="96" s="1"/>
  <c r="AL19" i="96" s="1"/>
  <c r="CX20" i="96"/>
  <c r="DB20" i="96" s="1"/>
  <c r="AL20" i="96" s="1"/>
  <c r="CM23" i="96"/>
  <c r="CP18" i="96"/>
  <c r="BI25" i="96"/>
  <c r="BK25" i="96"/>
  <c r="BN25" i="96"/>
  <c r="BJ25" i="96"/>
  <c r="BM25" i="96"/>
  <c r="CV7" i="96"/>
  <c r="CZ7" i="96" s="1"/>
  <c r="AJ7" i="96" s="1"/>
  <c r="BP25" i="96"/>
  <c r="BH25" i="96"/>
  <c r="BL25" i="96"/>
  <c r="BG25" i="96"/>
  <c r="BQ25" i="96"/>
  <c r="BO25" i="96"/>
  <c r="CL24" i="96"/>
  <c r="CJ24" i="96"/>
  <c r="CM24" i="96"/>
  <c r="CN24" i="96"/>
  <c r="CK24" i="96"/>
  <c r="CH24" i="96"/>
  <c r="CI24" i="96"/>
  <c r="BU24" i="96"/>
  <c r="BV24" i="96"/>
  <c r="BY24" i="96"/>
  <c r="BX24" i="96"/>
  <c r="BW24" i="96"/>
  <c r="BZ24" i="96"/>
  <c r="BT24" i="96"/>
  <c r="CV8" i="96"/>
  <c r="CZ8" i="96" s="1"/>
  <c r="AJ8" i="96" s="1"/>
  <c r="AB38" i="140"/>
  <c r="AA32" i="140"/>
  <c r="AD27" i="140"/>
  <c r="AD38" i="140"/>
  <c r="AC27" i="140"/>
  <c r="AC38" i="140"/>
  <c r="AD14" i="140"/>
  <c r="AD13" i="140"/>
  <c r="BZ8" i="96"/>
  <c r="BV8" i="96"/>
  <c r="BU8" i="96"/>
  <c r="BX8" i="96"/>
  <c r="BY8" i="96"/>
  <c r="BW8" i="96"/>
  <c r="BT8" i="96"/>
  <c r="CI8" i="96"/>
  <c r="CN8" i="96"/>
  <c r="CL8" i="96"/>
  <c r="CJ8" i="96"/>
  <c r="CH8" i="96"/>
  <c r="CM8" i="96"/>
  <c r="CK8" i="96"/>
  <c r="CV9" i="96"/>
  <c r="CZ9" i="96" s="1"/>
  <c r="AJ9" i="96" s="1"/>
  <c r="BK9" i="140"/>
  <c r="BK34" i="140" s="1"/>
  <c r="BK43" i="140" s="1"/>
  <c r="BH9" i="140"/>
  <c r="BH35" i="140" s="1"/>
  <c r="BH44" i="140" s="1"/>
  <c r="BR9" i="140"/>
  <c r="BJ9" i="140"/>
  <c r="BJ16" i="140" s="1"/>
  <c r="BJ25" i="140" s="1"/>
  <c r="BN9" i="140"/>
  <c r="BN17" i="140" s="1"/>
  <c r="BN26" i="140" s="1"/>
  <c r="BG9" i="140"/>
  <c r="BG17" i="140" s="1"/>
  <c r="BG26" i="140" s="1"/>
  <c r="BP9" i="140"/>
  <c r="BO9" i="140"/>
  <c r="BL9" i="140"/>
  <c r="BL35" i="140" s="1"/>
  <c r="BL44" i="140" s="1"/>
  <c r="BQ9" i="140"/>
  <c r="BM9" i="140"/>
  <c r="BM34" i="140" s="1"/>
  <c r="BM43" i="140" s="1"/>
  <c r="BI9" i="140"/>
  <c r="BI16" i="140" s="1"/>
  <c r="BI25" i="140" s="1"/>
  <c r="AC6" i="140"/>
  <c r="AD6" i="140" s="1"/>
  <c r="W6" i="140"/>
  <c r="X6" i="140" s="1"/>
  <c r="AC25" i="96"/>
  <c r="AA25" i="96"/>
  <c r="Y25" i="96"/>
  <c r="AD25" i="96"/>
  <c r="AB25" i="96"/>
  <c r="Z25" i="96"/>
  <c r="G25" i="96"/>
  <c r="AF25" i="96"/>
  <c r="S25" i="96"/>
  <c r="R25" i="96"/>
  <c r="Q25" i="96"/>
  <c r="P25" i="96"/>
  <c r="CA8" i="96"/>
  <c r="CC8" i="96"/>
  <c r="AH7" i="96"/>
  <c r="CV24" i="96"/>
  <c r="CZ24" i="96" s="1"/>
  <c r="AJ24" i="96" s="1"/>
  <c r="AH9" i="96"/>
  <c r="CD24" i="96"/>
  <c r="CA24" i="96"/>
  <c r="CC24" i="96"/>
  <c r="CE24" i="96"/>
  <c r="CX24" i="96"/>
  <c r="DB24" i="96" s="1"/>
  <c r="AL24" i="96" s="1"/>
  <c r="CB24" i="96"/>
  <c r="BZ7" i="96"/>
  <c r="BY7" i="96"/>
  <c r="BV7" i="96"/>
  <c r="CX7" i="96"/>
  <c r="DB7" i="96" s="1"/>
  <c r="AL7" i="96" s="1"/>
  <c r="BT7" i="96"/>
  <c r="CE7" i="96"/>
  <c r="BW7" i="96"/>
  <c r="BX7" i="96"/>
  <c r="BU7" i="96"/>
  <c r="CD7" i="96"/>
  <c r="CB7" i="96"/>
  <c r="CA7" i="96"/>
  <c r="CC7" i="96"/>
  <c r="CW24" i="96"/>
  <c r="DA24" i="96" s="1"/>
  <c r="AK24" i="96" s="1"/>
  <c r="CR24" i="96"/>
  <c r="CP24" i="96"/>
  <c r="CO24" i="96"/>
  <c r="CS24" i="96"/>
  <c r="CQ24" i="96"/>
  <c r="CJ7" i="96"/>
  <c r="CM7" i="96"/>
  <c r="CI7" i="96"/>
  <c r="CN7" i="96"/>
  <c r="CH7" i="96"/>
  <c r="CR7" i="96"/>
  <c r="CL7" i="96"/>
  <c r="CS7" i="96"/>
  <c r="CO7" i="96"/>
  <c r="CK7" i="96"/>
  <c r="CP7" i="96"/>
  <c r="CQ7" i="96"/>
  <c r="J25" i="96"/>
  <c r="AP25" i="96"/>
  <c r="AH8" i="96"/>
  <c r="CX8" i="96"/>
  <c r="DB8" i="96" s="1"/>
  <c r="AL8" i="96" s="1"/>
  <c r="CE8" i="96"/>
  <c r="CD8" i="96"/>
  <c r="CB8" i="96"/>
  <c r="CP9" i="96"/>
  <c r="CS9" i="96"/>
  <c r="CR9" i="96"/>
  <c r="CJ9" i="96"/>
  <c r="CW9" i="96"/>
  <c r="DA9" i="96" s="1"/>
  <c r="AK9" i="96" s="1"/>
  <c r="CQ9" i="96"/>
  <c r="CO9" i="96"/>
  <c r="CI9" i="96"/>
  <c r="CH9" i="96"/>
  <c r="CS8" i="96"/>
  <c r="CW8" i="96"/>
  <c r="DA8" i="96" s="1"/>
  <c r="AK8" i="96" s="1"/>
  <c r="CP8" i="96"/>
  <c r="CR8" i="96"/>
  <c r="CQ8" i="96"/>
  <c r="CO8" i="96"/>
  <c r="CW7" i="96"/>
  <c r="DA7" i="96" s="1"/>
  <c r="AK7" i="96" s="1"/>
  <c r="BU9" i="96"/>
  <c r="BV9" i="96"/>
  <c r="CE9" i="96"/>
  <c r="BT9" i="96"/>
  <c r="CA9" i="96"/>
  <c r="CD9" i="96"/>
  <c r="CC9" i="96"/>
  <c r="CX9" i="96"/>
  <c r="DB9" i="96" s="1"/>
  <c r="AL9" i="96" s="1"/>
  <c r="CB9" i="96"/>
  <c r="AH24" i="96"/>
  <c r="BH16" i="143" l="1"/>
  <c r="BH25" i="143" s="1"/>
  <c r="BM16" i="141"/>
  <c r="BM25" i="141" s="1"/>
  <c r="BH35" i="143"/>
  <c r="BH44" i="143" s="1"/>
  <c r="BL35" i="142"/>
  <c r="BL44" i="142" s="1"/>
  <c r="BR17" i="141"/>
  <c r="BR26" i="141" s="1"/>
  <c r="BR39" i="141"/>
  <c r="BR47" i="141" s="1"/>
  <c r="BR16" i="141"/>
  <c r="BR25" i="141" s="1"/>
  <c r="BR35" i="141"/>
  <c r="BR44" i="141" s="1"/>
  <c r="BG16" i="143"/>
  <c r="BG25" i="143" s="1"/>
  <c r="BH21" i="143"/>
  <c r="BH29" i="143" s="1"/>
  <c r="BG17" i="143"/>
  <c r="BG26" i="143" s="1"/>
  <c r="BK34" i="143"/>
  <c r="BK43" i="143" s="1"/>
  <c r="BK21" i="143"/>
  <c r="BK29" i="143" s="1"/>
  <c r="BQ35" i="142"/>
  <c r="BQ44" i="142" s="1"/>
  <c r="BK35" i="143"/>
  <c r="BK44" i="143" s="1"/>
  <c r="BL16" i="143"/>
  <c r="BL25" i="143" s="1"/>
  <c r="BQ39" i="142"/>
  <c r="BQ47" i="142" s="1"/>
  <c r="BK16" i="143"/>
  <c r="BK25" i="143" s="1"/>
  <c r="BM17" i="141"/>
  <c r="BM26" i="141" s="1"/>
  <c r="BM35" i="141"/>
  <c r="BM44" i="141" s="1"/>
  <c r="BG17" i="142"/>
  <c r="BG26" i="142" s="1"/>
  <c r="BM39" i="141"/>
  <c r="BM47" i="141" s="1"/>
  <c r="BL21" i="142"/>
  <c r="BL29" i="142" s="1"/>
  <c r="BQ17" i="141"/>
  <c r="BQ26" i="141" s="1"/>
  <c r="BG39" i="141"/>
  <c r="BG47" i="141" s="1"/>
  <c r="CT10" i="96"/>
  <c r="AM10" i="96" s="1"/>
  <c r="BX25" i="96"/>
  <c r="BK16" i="142"/>
  <c r="BK25" i="142" s="1"/>
  <c r="BN39" i="143"/>
  <c r="BN47" i="143" s="1"/>
  <c r="BL39" i="141"/>
  <c r="BL47" i="141" s="1"/>
  <c r="BG21" i="142"/>
  <c r="BG29" i="142" s="1"/>
  <c r="BL16" i="141"/>
  <c r="BL25" i="141" s="1"/>
  <c r="BL17" i="141"/>
  <c r="BL26" i="141" s="1"/>
  <c r="BL35" i="141"/>
  <c r="BL44" i="141" s="1"/>
  <c r="BH17" i="143"/>
  <c r="BH26" i="143" s="1"/>
  <c r="BG34" i="143"/>
  <c r="BG43" i="143" s="1"/>
  <c r="BL34" i="141"/>
  <c r="BL43" i="141" s="1"/>
  <c r="BG21" i="143"/>
  <c r="BG29" i="143" s="1"/>
  <c r="BG35" i="143"/>
  <c r="BG44" i="143" s="1"/>
  <c r="BG35" i="142"/>
  <c r="BG44" i="142" s="1"/>
  <c r="BG34" i="142"/>
  <c r="BG43" i="142" s="1"/>
  <c r="BO17" i="143"/>
  <c r="BO26" i="143" s="1"/>
  <c r="BR34" i="143"/>
  <c r="BR43" i="143" s="1"/>
  <c r="BJ16" i="141"/>
  <c r="BJ25" i="141" s="1"/>
  <c r="BP35" i="142"/>
  <c r="BP44" i="142" s="1"/>
  <c r="BO17" i="141"/>
  <c r="BO26" i="141" s="1"/>
  <c r="CF16" i="96"/>
  <c r="AN16" i="96" s="1"/>
  <c r="BG39" i="142"/>
  <c r="BG47" i="142" s="1"/>
  <c r="BO17" i="142"/>
  <c r="BO26" i="142" s="1"/>
  <c r="BO34" i="143"/>
  <c r="BO43" i="143" s="1"/>
  <c r="BJ21" i="141"/>
  <c r="BJ29" i="141" s="1"/>
  <c r="BI16" i="143"/>
  <c r="BI25" i="143" s="1"/>
  <c r="BO35" i="142"/>
  <c r="BO44" i="142" s="1"/>
  <c r="BR39" i="143"/>
  <c r="BR47" i="143" s="1"/>
  <c r="BM39" i="143"/>
  <c r="BM47" i="143" s="1"/>
  <c r="BJ17" i="141"/>
  <c r="BJ26" i="141" s="1"/>
  <c r="BR35" i="142"/>
  <c r="BR44" i="142" s="1"/>
  <c r="BP35" i="143"/>
  <c r="BP44" i="143" s="1"/>
  <c r="BN17" i="142"/>
  <c r="BN26" i="142" s="1"/>
  <c r="BI34" i="143"/>
  <c r="BI43" i="143" s="1"/>
  <c r="BJ17" i="142"/>
  <c r="BJ26" i="142" s="1"/>
  <c r="BH36" i="142"/>
  <c r="BH18" i="142"/>
  <c r="BH19" i="142"/>
  <c r="BH37" i="142"/>
  <c r="BI19" i="142"/>
  <c r="BI36" i="142"/>
  <c r="BI37" i="142"/>
  <c r="BI18" i="142"/>
  <c r="BQ17" i="143"/>
  <c r="BQ26" i="143" s="1"/>
  <c r="CT21" i="96"/>
  <c r="AM21" i="96" s="1"/>
  <c r="BJ35" i="143"/>
  <c r="BJ44" i="143" s="1"/>
  <c r="BK39" i="141"/>
  <c r="BK47" i="141" s="1"/>
  <c r="BK19" i="141"/>
  <c r="BK18" i="141"/>
  <c r="BK36" i="141"/>
  <c r="BK37" i="141"/>
  <c r="BM39" i="142"/>
  <c r="BM47" i="142" s="1"/>
  <c r="CF19" i="96"/>
  <c r="AN19" i="96" s="1"/>
  <c r="BH34" i="143"/>
  <c r="BH43" i="143" s="1"/>
  <c r="BL21" i="143"/>
  <c r="BL29" i="143" s="1"/>
  <c r="BK34" i="141"/>
  <c r="BK43" i="141" s="1"/>
  <c r="BL39" i="142"/>
  <c r="BL47" i="142" s="1"/>
  <c r="BL34" i="142"/>
  <c r="BL43" i="142" s="1"/>
  <c r="BI17" i="142"/>
  <c r="BI26" i="142" s="1"/>
  <c r="BG36" i="143"/>
  <c r="BG19" i="143"/>
  <c r="BG18" i="143"/>
  <c r="BG37" i="143"/>
  <c r="BN34" i="143"/>
  <c r="BN43" i="143" s="1"/>
  <c r="BI17" i="143"/>
  <c r="BI26" i="143" s="1"/>
  <c r="BI39" i="143"/>
  <c r="BI47" i="143" s="1"/>
  <c r="BJ19" i="141"/>
  <c r="BJ18" i="141"/>
  <c r="BJ36" i="141"/>
  <c r="BJ37" i="141"/>
  <c r="BK19" i="142"/>
  <c r="BK18" i="142"/>
  <c r="BK37" i="142"/>
  <c r="BK36" i="142"/>
  <c r="BG36" i="142"/>
  <c r="BG19" i="142"/>
  <c r="BG37" i="142"/>
  <c r="BG18" i="142"/>
  <c r="BH35" i="142"/>
  <c r="BH44" i="142" s="1"/>
  <c r="BO39" i="142"/>
  <c r="BO47" i="142" s="1"/>
  <c r="BO35" i="143"/>
  <c r="BO44" i="143" s="1"/>
  <c r="BR35" i="143"/>
  <c r="BR44" i="143" s="1"/>
  <c r="BM17" i="143"/>
  <c r="BM26" i="143" s="1"/>
  <c r="BP34" i="141"/>
  <c r="BP43" i="141" s="1"/>
  <c r="BN17" i="141"/>
  <c r="BN26" i="141" s="1"/>
  <c r="BJ35" i="141"/>
  <c r="BJ44" i="141" s="1"/>
  <c r="BR17" i="142"/>
  <c r="BR26" i="142" s="1"/>
  <c r="CT16" i="96"/>
  <c r="AM16" i="96" s="1"/>
  <c r="CT14" i="96"/>
  <c r="AM14" i="96" s="1"/>
  <c r="CT22" i="96"/>
  <c r="AM22" i="96" s="1"/>
  <c r="CT15" i="96"/>
  <c r="AM15" i="96" s="1"/>
  <c r="CT18" i="96"/>
  <c r="AM18" i="96" s="1"/>
  <c r="BP17" i="143"/>
  <c r="BP26" i="143" s="1"/>
  <c r="BP39" i="143"/>
  <c r="BP47" i="143" s="1"/>
  <c r="BL19" i="141"/>
  <c r="BL18" i="141"/>
  <c r="BG35" i="141"/>
  <c r="BG44" i="141" s="1"/>
  <c r="BO16" i="141"/>
  <c r="BO25" i="141" s="1"/>
  <c r="BO35" i="141"/>
  <c r="BO44" i="141" s="1"/>
  <c r="BM34" i="142"/>
  <c r="BM43" i="142" s="1"/>
  <c r="BN16" i="142"/>
  <c r="BN25" i="142" s="1"/>
  <c r="BN35" i="142"/>
  <c r="BN44" i="142" s="1"/>
  <c r="BJ21" i="142"/>
  <c r="BJ29" i="142" s="1"/>
  <c r="CF10" i="96"/>
  <c r="AN10" i="96" s="1"/>
  <c r="CF13" i="96"/>
  <c r="AN13" i="96" s="1"/>
  <c r="CF20" i="96"/>
  <c r="AN20" i="96" s="1"/>
  <c r="BL18" i="143"/>
  <c r="BJ37" i="143"/>
  <c r="BJ18" i="143"/>
  <c r="BJ19" i="143"/>
  <c r="BJ36" i="143"/>
  <c r="CT23" i="96"/>
  <c r="AM23" i="96" s="1"/>
  <c r="CF15" i="96"/>
  <c r="AN15" i="96" s="1"/>
  <c r="BL39" i="143"/>
  <c r="BL47" i="143" s="1"/>
  <c r="BL35" i="143"/>
  <c r="BL44" i="143" s="1"/>
  <c r="CF23" i="96"/>
  <c r="AN23" i="96" s="1"/>
  <c r="BK35" i="141"/>
  <c r="BK44" i="141" s="1"/>
  <c r="BK17" i="141"/>
  <c r="BK26" i="141" s="1"/>
  <c r="BQ16" i="142"/>
  <c r="BQ25" i="142" s="1"/>
  <c r="BL17" i="142"/>
  <c r="BL26" i="142" s="1"/>
  <c r="BI35" i="142"/>
  <c r="BI44" i="142" s="1"/>
  <c r="BI16" i="142"/>
  <c r="BI25" i="142" s="1"/>
  <c r="BK39" i="143"/>
  <c r="BK47" i="143" s="1"/>
  <c r="BK19" i="143"/>
  <c r="BK18" i="143"/>
  <c r="BK37" i="143"/>
  <c r="BK36" i="143"/>
  <c r="BP39" i="142"/>
  <c r="BP47" i="142" s="1"/>
  <c r="BH34" i="142"/>
  <c r="BH43" i="142" s="1"/>
  <c r="BH17" i="142"/>
  <c r="BH26" i="142" s="1"/>
  <c r="BO16" i="142"/>
  <c r="BO25" i="142" s="1"/>
  <c r="BQ35" i="143"/>
  <c r="BQ44" i="143" s="1"/>
  <c r="BO16" i="143"/>
  <c r="BO25" i="143" s="1"/>
  <c r="BR17" i="143"/>
  <c r="BR26" i="143" s="1"/>
  <c r="CF18" i="96"/>
  <c r="AN18" i="96" s="1"/>
  <c r="BP16" i="141"/>
  <c r="BP25" i="141" s="1"/>
  <c r="BN16" i="141"/>
  <c r="BN25" i="141" s="1"/>
  <c r="BN34" i="141"/>
  <c r="BN43" i="141" s="1"/>
  <c r="BJ34" i="141"/>
  <c r="BJ43" i="141" s="1"/>
  <c r="BR39" i="142"/>
  <c r="BR47" i="142" s="1"/>
  <c r="BP34" i="142"/>
  <c r="BP43" i="142" s="1"/>
  <c r="CT13" i="96"/>
  <c r="AM13" i="96" s="1"/>
  <c r="CT17" i="96"/>
  <c r="AM17" i="96" s="1"/>
  <c r="CT19" i="96"/>
  <c r="AM19" i="96" s="1"/>
  <c r="BJ17" i="143"/>
  <c r="BJ26" i="143" s="1"/>
  <c r="BJ16" i="143"/>
  <c r="BJ25" i="143" s="1"/>
  <c r="BM18" i="141"/>
  <c r="BM19" i="141"/>
  <c r="BG36" i="141"/>
  <c r="BG19" i="141"/>
  <c r="BG18" i="141"/>
  <c r="BG37" i="141"/>
  <c r="BG21" i="141"/>
  <c r="BG29" i="141" s="1"/>
  <c r="BM35" i="142"/>
  <c r="BM44" i="142" s="1"/>
  <c r="BJ35" i="142"/>
  <c r="BJ44" i="142" s="1"/>
  <c r="CF12" i="96"/>
  <c r="AN12" i="96" s="1"/>
  <c r="CF17" i="96"/>
  <c r="AN17" i="96" s="1"/>
  <c r="CF21" i="96"/>
  <c r="AN21" i="96" s="1"/>
  <c r="CF22" i="96"/>
  <c r="AN22" i="96" s="1"/>
  <c r="BH21" i="142"/>
  <c r="BH29" i="142" s="1"/>
  <c r="BL17" i="143"/>
  <c r="BL26" i="143" s="1"/>
  <c r="BK21" i="141"/>
  <c r="BK29" i="141" s="1"/>
  <c r="BQ17" i="142"/>
  <c r="BQ26" i="142" s="1"/>
  <c r="BI34" i="142"/>
  <c r="BI43" i="142" s="1"/>
  <c r="BI39" i="142"/>
  <c r="BI47" i="142" s="1"/>
  <c r="BH18" i="143"/>
  <c r="BH37" i="143"/>
  <c r="BH36" i="143"/>
  <c r="BH19" i="143"/>
  <c r="BI18" i="143"/>
  <c r="BI37" i="143"/>
  <c r="BI19" i="143"/>
  <c r="BI36" i="143"/>
  <c r="BM34" i="143"/>
  <c r="BM43" i="143" s="1"/>
  <c r="BI21" i="143"/>
  <c r="BI29" i="143" s="1"/>
  <c r="BL37" i="142"/>
  <c r="BL18" i="142"/>
  <c r="BJ18" i="142"/>
  <c r="BJ36" i="142"/>
  <c r="BJ37" i="142"/>
  <c r="BJ19" i="142"/>
  <c r="BH16" i="142"/>
  <c r="BH25" i="142" s="1"/>
  <c r="BH39" i="142"/>
  <c r="BH47" i="142" s="1"/>
  <c r="BQ34" i="143"/>
  <c r="BQ43" i="143" s="1"/>
  <c r="BQ16" i="143"/>
  <c r="BQ25" i="143" s="1"/>
  <c r="BM35" i="143"/>
  <c r="BM44" i="143" s="1"/>
  <c r="BP35" i="141"/>
  <c r="BP44" i="141" s="1"/>
  <c r="BN39" i="141"/>
  <c r="BN47" i="141" s="1"/>
  <c r="BR16" i="142"/>
  <c r="BR25" i="142" s="1"/>
  <c r="BP16" i="142"/>
  <c r="BP25" i="142" s="1"/>
  <c r="CT12" i="96"/>
  <c r="AM12" i="96" s="1"/>
  <c r="CT11" i="96"/>
  <c r="AM11" i="96" s="1"/>
  <c r="CT20" i="96"/>
  <c r="AM20" i="96" s="1"/>
  <c r="BJ34" i="143"/>
  <c r="BJ43" i="143" s="1"/>
  <c r="BJ21" i="143"/>
  <c r="BJ29" i="143" s="1"/>
  <c r="BP34" i="143"/>
  <c r="BP43" i="143" s="1"/>
  <c r="BI18" i="141"/>
  <c r="BI37" i="141"/>
  <c r="BI36" i="141"/>
  <c r="BI19" i="141"/>
  <c r="BG34" i="141"/>
  <c r="BG43" i="141" s="1"/>
  <c r="BH18" i="141"/>
  <c r="BH37" i="141"/>
  <c r="BH19" i="141"/>
  <c r="BH36" i="141"/>
  <c r="BO34" i="141"/>
  <c r="BO43" i="141" s="1"/>
  <c r="BM16" i="142"/>
  <c r="BM25" i="142" s="1"/>
  <c r="BN39" i="142"/>
  <c r="BN47" i="142" s="1"/>
  <c r="BJ34" i="142"/>
  <c r="BJ43" i="142" s="1"/>
  <c r="BJ39" i="142"/>
  <c r="BJ47" i="142" s="1"/>
  <c r="CF11" i="96"/>
  <c r="AN11" i="96" s="1"/>
  <c r="CF14" i="96"/>
  <c r="AN14" i="96" s="1"/>
  <c r="CN25" i="96"/>
  <c r="BW25" i="96"/>
  <c r="CL25" i="96"/>
  <c r="CS25" i="96"/>
  <c r="BV25" i="96"/>
  <c r="CK25" i="96"/>
  <c r="BZ25" i="96"/>
  <c r="CQ25" i="96"/>
  <c r="CA25" i="96"/>
  <c r="CP25" i="96"/>
  <c r="CR25" i="96"/>
  <c r="CM25" i="96"/>
  <c r="CD25" i="96"/>
  <c r="CE25" i="96"/>
  <c r="BY25" i="96"/>
  <c r="AK25" i="96"/>
  <c r="CI25" i="96"/>
  <c r="CB25" i="96"/>
  <c r="AJ25" i="96"/>
  <c r="CO25" i="96"/>
  <c r="CH25" i="96"/>
  <c r="CJ25" i="96"/>
  <c r="CC25" i="96"/>
  <c r="BU25" i="96"/>
  <c r="BT25" i="96"/>
  <c r="AL25" i="96"/>
  <c r="BG16" i="140"/>
  <c r="BG25" i="140" s="1"/>
  <c r="BK21" i="140"/>
  <c r="BK29" i="140" s="1"/>
  <c r="BM35" i="140"/>
  <c r="BM44" i="140" s="1"/>
  <c r="BO16" i="140"/>
  <c r="BO25" i="140" s="1"/>
  <c r="BO35" i="140"/>
  <c r="BO44" i="140" s="1"/>
  <c r="BO17" i="140"/>
  <c r="BO26" i="140" s="1"/>
  <c r="BP35" i="140"/>
  <c r="BP44" i="140" s="1"/>
  <c r="BP16" i="140"/>
  <c r="BP25" i="140" s="1"/>
  <c r="BR34" i="140"/>
  <c r="BR43" i="140" s="1"/>
  <c r="BR17" i="140"/>
  <c r="BR26" i="140" s="1"/>
  <c r="BR39" i="140"/>
  <c r="BR47" i="140" s="1"/>
  <c r="BM39" i="140"/>
  <c r="BM47" i="140" s="1"/>
  <c r="BO34" i="140"/>
  <c r="BO43" i="140" s="1"/>
  <c r="BK17" i="140"/>
  <c r="BK26" i="140" s="1"/>
  <c r="BL39" i="140"/>
  <c r="BL47" i="140" s="1"/>
  <c r="BG35" i="140"/>
  <c r="BG44" i="140" s="1"/>
  <c r="BL17" i="140"/>
  <c r="BL26" i="140" s="1"/>
  <c r="BL16" i="140"/>
  <c r="BL25" i="140" s="1"/>
  <c r="BH17" i="140"/>
  <c r="BH26" i="140" s="1"/>
  <c r="BH39" i="140"/>
  <c r="BH47" i="140" s="1"/>
  <c r="BH16" i="140"/>
  <c r="BH25" i="140" s="1"/>
  <c r="BK35" i="140"/>
  <c r="BK44" i="140" s="1"/>
  <c r="BK39" i="140"/>
  <c r="BK47" i="140" s="1"/>
  <c r="BK16" i="140"/>
  <c r="BK25" i="140" s="1"/>
  <c r="BN16" i="140"/>
  <c r="BN25" i="140" s="1"/>
  <c r="BN39" i="140"/>
  <c r="BN47" i="140" s="1"/>
  <c r="BM16" i="140"/>
  <c r="BM25" i="140" s="1"/>
  <c r="BO39" i="140"/>
  <c r="BO47" i="140" s="1"/>
  <c r="BR16" i="140"/>
  <c r="BR25" i="140" s="1"/>
  <c r="BI17" i="140"/>
  <c r="BI26" i="140" s="1"/>
  <c r="BI35" i="140"/>
  <c r="BI44" i="140" s="1"/>
  <c r="BI21" i="140"/>
  <c r="BI29" i="140" s="1"/>
  <c r="BI34" i="140"/>
  <c r="BI43" i="140" s="1"/>
  <c r="BJ21" i="140"/>
  <c r="BJ29" i="140" s="1"/>
  <c r="BJ39" i="140"/>
  <c r="BJ47" i="140" s="1"/>
  <c r="BJ17" i="140"/>
  <c r="BJ26" i="140" s="1"/>
  <c r="BJ34" i="140"/>
  <c r="BJ43" i="140" s="1"/>
  <c r="BQ16" i="140"/>
  <c r="BQ25" i="140" s="1"/>
  <c r="BQ39" i="140"/>
  <c r="BQ47" i="140" s="1"/>
  <c r="BQ34" i="140"/>
  <c r="BQ43" i="140" s="1"/>
  <c r="BQ35" i="140"/>
  <c r="BQ44" i="140" s="1"/>
  <c r="BP34" i="140"/>
  <c r="BP43" i="140" s="1"/>
  <c r="BP39" i="140"/>
  <c r="BP47" i="140" s="1"/>
  <c r="BP17" i="140"/>
  <c r="BP26" i="140" s="1"/>
  <c r="BQ17" i="140"/>
  <c r="BQ26" i="140" s="1"/>
  <c r="BG34" i="140"/>
  <c r="BG43" i="140" s="1"/>
  <c r="BN35" i="140"/>
  <c r="BN44" i="140" s="1"/>
  <c r="BR35" i="140"/>
  <c r="BR44" i="140" s="1"/>
  <c r="BM17" i="140"/>
  <c r="BM26" i="140" s="1"/>
  <c r="BL21" i="140"/>
  <c r="BL29" i="140" s="1"/>
  <c r="BH34" i="140"/>
  <c r="BH43" i="140" s="1"/>
  <c r="BH21" i="140"/>
  <c r="BH29" i="140" s="1"/>
  <c r="BG21" i="140"/>
  <c r="BG29" i="140" s="1"/>
  <c r="BG39" i="140"/>
  <c r="BG47" i="140" s="1"/>
  <c r="BL34" i="140"/>
  <c r="BL43" i="140" s="1"/>
  <c r="BI39" i="140"/>
  <c r="BI47" i="140" s="1"/>
  <c r="BI18" i="140"/>
  <c r="BI37" i="140"/>
  <c r="BI36" i="140"/>
  <c r="BI19" i="140"/>
  <c r="BL36" i="140"/>
  <c r="BL19" i="140"/>
  <c r="BG37" i="140"/>
  <c r="BG19" i="140"/>
  <c r="BG18" i="140"/>
  <c r="BG36" i="140"/>
  <c r="BN34" i="140"/>
  <c r="BN43" i="140" s="1"/>
  <c r="BJ35" i="140"/>
  <c r="BJ44" i="140" s="1"/>
  <c r="BJ19" i="140"/>
  <c r="BJ36" i="140"/>
  <c r="BJ18" i="140"/>
  <c r="BJ37" i="140"/>
  <c r="BH18" i="140"/>
  <c r="BH19" i="140"/>
  <c r="BH36" i="140"/>
  <c r="BH37" i="140"/>
  <c r="BK37" i="140"/>
  <c r="BK19" i="140"/>
  <c r="BK18" i="140"/>
  <c r="BK36" i="140"/>
  <c r="H25" i="96"/>
  <c r="CT9" i="96"/>
  <c r="AM9" i="96" s="1"/>
  <c r="CF7" i="96"/>
  <c r="CT7" i="96"/>
  <c r="CT24" i="96"/>
  <c r="AM24" i="96" s="1"/>
  <c r="CF8" i="96"/>
  <c r="AN8" i="96" s="1"/>
  <c r="AH25" i="96"/>
  <c r="CF9" i="96"/>
  <c r="AN9" i="96" s="1"/>
  <c r="I25" i="96"/>
  <c r="CF24" i="96"/>
  <c r="AN24" i="96" s="1"/>
  <c r="CT8" i="96"/>
  <c r="AM8" i="96" s="1"/>
  <c r="BL19" i="143" l="1"/>
  <c r="BM37" i="140"/>
  <c r="BL19" i="142"/>
  <c r="BM37" i="141"/>
  <c r="BM41" i="141" s="1"/>
  <c r="BL37" i="143"/>
  <c r="BL36" i="141"/>
  <c r="BL18" i="140"/>
  <c r="BL37" i="140"/>
  <c r="BL46" i="140" s="1"/>
  <c r="BL36" i="142"/>
  <c r="BL36" i="143"/>
  <c r="BL37" i="141"/>
  <c r="BM37" i="143"/>
  <c r="BM41" i="143" s="1"/>
  <c r="BM19" i="142"/>
  <c r="BM36" i="143"/>
  <c r="BM36" i="142"/>
  <c r="BM36" i="141"/>
  <c r="BM40" i="141" s="1"/>
  <c r="BM19" i="140"/>
  <c r="BM36" i="140"/>
  <c r="BM19" i="143"/>
  <c r="BM18" i="142"/>
  <c r="BM27" i="142" s="1"/>
  <c r="BM18" i="143"/>
  <c r="BM37" i="142"/>
  <c r="BM18" i="140"/>
  <c r="BO18" i="141"/>
  <c r="BO22" i="141" s="1"/>
  <c r="BQ18" i="141"/>
  <c r="BN19" i="141"/>
  <c r="BN23" i="141" s="1"/>
  <c r="BO36" i="141"/>
  <c r="BO45" i="141" s="1"/>
  <c r="BN18" i="141"/>
  <c r="BN22" i="141" s="1"/>
  <c r="BP37" i="143"/>
  <c r="BP46" i="143" s="1"/>
  <c r="BP36" i="143"/>
  <c r="BP40" i="143" s="1"/>
  <c r="BO19" i="141"/>
  <c r="BO28" i="141" s="1"/>
  <c r="BO36" i="143"/>
  <c r="BO45" i="143" s="1"/>
  <c r="BQ19" i="141"/>
  <c r="BQ23" i="141" s="1"/>
  <c r="BO37" i="143"/>
  <c r="BO41" i="143" s="1"/>
  <c r="BQ19" i="143"/>
  <c r="BQ28" i="143" s="1"/>
  <c r="BN19" i="142"/>
  <c r="BN23" i="142" s="1"/>
  <c r="BN37" i="142"/>
  <c r="BN41" i="142" s="1"/>
  <c r="BP19" i="142"/>
  <c r="BP23" i="142" s="1"/>
  <c r="BO37" i="142"/>
  <c r="BO41" i="142" s="1"/>
  <c r="BO18" i="143"/>
  <c r="BO27" i="143" s="1"/>
  <c r="BQ18" i="143"/>
  <c r="BQ27" i="143" s="1"/>
  <c r="BQ18" i="142"/>
  <c r="BQ22" i="142" s="1"/>
  <c r="BR36" i="141"/>
  <c r="BR45" i="141" s="1"/>
  <c r="BN37" i="143"/>
  <c r="BN46" i="143" s="1"/>
  <c r="BR18" i="143"/>
  <c r="BR27" i="143" s="1"/>
  <c r="BR36" i="142"/>
  <c r="BR45" i="142" s="1"/>
  <c r="BN36" i="141"/>
  <c r="BN45" i="141" s="1"/>
  <c r="BP18" i="141"/>
  <c r="BP22" i="141" s="1"/>
  <c r="BQ36" i="141"/>
  <c r="BQ40" i="141" s="1"/>
  <c r="BN18" i="142"/>
  <c r="BN22" i="142" s="1"/>
  <c r="BP19" i="143"/>
  <c r="BP28" i="143" s="1"/>
  <c r="BP37" i="142"/>
  <c r="BP41" i="142" s="1"/>
  <c r="BO19" i="142"/>
  <c r="BO28" i="142" s="1"/>
  <c r="BO19" i="143"/>
  <c r="BO28" i="143" s="1"/>
  <c r="BQ36" i="143"/>
  <c r="BQ40" i="143" s="1"/>
  <c r="BQ37" i="142"/>
  <c r="BQ46" i="142" s="1"/>
  <c r="BR19" i="141"/>
  <c r="BR28" i="141" s="1"/>
  <c r="BN36" i="143"/>
  <c r="BN45" i="143" s="1"/>
  <c r="BR37" i="143"/>
  <c r="BR46" i="143" s="1"/>
  <c r="BR18" i="142"/>
  <c r="BR27" i="142" s="1"/>
  <c r="BP36" i="141"/>
  <c r="BP40" i="141" s="1"/>
  <c r="BP18" i="142"/>
  <c r="BP27" i="142" s="1"/>
  <c r="BO18" i="142"/>
  <c r="BO22" i="142" s="1"/>
  <c r="BQ19" i="142"/>
  <c r="BQ28" i="142" s="1"/>
  <c r="BO37" i="141"/>
  <c r="BO46" i="141" s="1"/>
  <c r="BQ37" i="141"/>
  <c r="BQ46" i="141" s="1"/>
  <c r="BN36" i="142"/>
  <c r="BN40" i="142" s="1"/>
  <c r="BP18" i="143"/>
  <c r="BP27" i="143" s="1"/>
  <c r="BP36" i="142"/>
  <c r="BP40" i="142" s="1"/>
  <c r="BO36" i="142"/>
  <c r="BO45" i="142" s="1"/>
  <c r="BQ37" i="143"/>
  <c r="BQ46" i="143" s="1"/>
  <c r="BQ36" i="142"/>
  <c r="BQ40" i="142" s="1"/>
  <c r="BR37" i="141"/>
  <c r="BR41" i="141" s="1"/>
  <c r="BN19" i="143"/>
  <c r="BN28" i="143" s="1"/>
  <c r="BR19" i="143"/>
  <c r="BR28" i="143" s="1"/>
  <c r="BR37" i="142"/>
  <c r="BR46" i="142" s="1"/>
  <c r="BN37" i="141"/>
  <c r="BN46" i="141" s="1"/>
  <c r="BP37" i="141"/>
  <c r="BP46" i="141" s="1"/>
  <c r="BR18" i="141"/>
  <c r="BR22" i="141" s="1"/>
  <c r="BN18" i="143"/>
  <c r="BN22" i="143" s="1"/>
  <c r="BR36" i="143"/>
  <c r="BR40" i="143" s="1"/>
  <c r="BR19" i="142"/>
  <c r="BR23" i="142" s="1"/>
  <c r="BP19" i="141"/>
  <c r="BP28" i="141" s="1"/>
  <c r="BI46" i="141"/>
  <c r="BI41" i="141"/>
  <c r="BK45" i="143"/>
  <c r="BK40" i="143"/>
  <c r="BJ45" i="143"/>
  <c r="BJ40" i="143"/>
  <c r="BL27" i="141"/>
  <c r="BL22" i="141"/>
  <c r="BK28" i="142"/>
  <c r="BK23" i="142"/>
  <c r="BK46" i="141"/>
  <c r="BK41" i="141"/>
  <c r="BH41" i="142"/>
  <c r="BH46" i="142"/>
  <c r="BH40" i="141"/>
  <c r="BH45" i="141"/>
  <c r="BI22" i="141"/>
  <c r="BI27" i="141"/>
  <c r="BJ45" i="142"/>
  <c r="BJ40" i="142"/>
  <c r="BL46" i="142"/>
  <c r="BL41" i="142"/>
  <c r="BM27" i="143"/>
  <c r="BM22" i="143"/>
  <c r="BI45" i="143"/>
  <c r="BI40" i="143"/>
  <c r="BH28" i="143"/>
  <c r="BH23" i="143"/>
  <c r="BM22" i="142"/>
  <c r="BG23" i="141"/>
  <c r="BG28" i="141"/>
  <c r="BM23" i="141"/>
  <c r="BM28" i="141"/>
  <c r="BK41" i="143"/>
  <c r="BK46" i="143"/>
  <c r="BJ28" i="143"/>
  <c r="BJ23" i="143"/>
  <c r="BL28" i="143"/>
  <c r="BL23" i="143"/>
  <c r="BL28" i="141"/>
  <c r="BL23" i="141"/>
  <c r="BG27" i="142"/>
  <c r="BG22" i="142"/>
  <c r="BK45" i="142"/>
  <c r="BK40" i="142"/>
  <c r="BJ46" i="141"/>
  <c r="BJ41" i="141"/>
  <c r="BG27" i="143"/>
  <c r="BG22" i="143"/>
  <c r="BK45" i="141"/>
  <c r="BK40" i="141"/>
  <c r="BI41" i="142"/>
  <c r="BI46" i="142"/>
  <c r="BH23" i="142"/>
  <c r="BH28" i="142"/>
  <c r="BH27" i="141"/>
  <c r="BH22" i="141"/>
  <c r="BJ46" i="142"/>
  <c r="BJ41" i="142"/>
  <c r="BL22" i="142"/>
  <c r="BL27" i="142"/>
  <c r="BM28" i="143"/>
  <c r="BM23" i="143"/>
  <c r="BI27" i="143"/>
  <c r="BI22" i="143"/>
  <c r="BH27" i="143"/>
  <c r="BH22" i="143"/>
  <c r="BM45" i="142"/>
  <c r="BM40" i="142"/>
  <c r="BG22" i="141"/>
  <c r="BG27" i="141"/>
  <c r="BM45" i="141"/>
  <c r="BL27" i="143"/>
  <c r="BL22" i="143"/>
  <c r="BG45" i="142"/>
  <c r="BG40" i="142"/>
  <c r="BJ23" i="141"/>
  <c r="BJ28" i="141"/>
  <c r="BG46" i="143"/>
  <c r="BG41" i="143"/>
  <c r="BI27" i="142"/>
  <c r="BI22" i="142"/>
  <c r="BH28" i="141"/>
  <c r="BH23" i="141"/>
  <c r="BQ28" i="141"/>
  <c r="BI28" i="141"/>
  <c r="BI23" i="141"/>
  <c r="BJ27" i="142"/>
  <c r="BJ22" i="142"/>
  <c r="BL28" i="142"/>
  <c r="BL23" i="142"/>
  <c r="BI28" i="143"/>
  <c r="BI23" i="143"/>
  <c r="BH40" i="143"/>
  <c r="BH45" i="143"/>
  <c r="BM46" i="142"/>
  <c r="BM41" i="142"/>
  <c r="BG40" i="141"/>
  <c r="BG45" i="141"/>
  <c r="BM22" i="141"/>
  <c r="BM27" i="141"/>
  <c r="BP22" i="142"/>
  <c r="BK27" i="143"/>
  <c r="BK22" i="143"/>
  <c r="BJ22" i="143"/>
  <c r="BJ27" i="143"/>
  <c r="BL41" i="143"/>
  <c r="BL46" i="143"/>
  <c r="BL45" i="141"/>
  <c r="BL40" i="141"/>
  <c r="BG41" i="142"/>
  <c r="BG46" i="142"/>
  <c r="BK41" i="142"/>
  <c r="BK46" i="142"/>
  <c r="BJ40" i="141"/>
  <c r="BJ45" i="141"/>
  <c r="BG28" i="143"/>
  <c r="BG23" i="143"/>
  <c r="BN28" i="141"/>
  <c r="BK22" i="141"/>
  <c r="BK27" i="141"/>
  <c r="BI40" i="142"/>
  <c r="BI45" i="142"/>
  <c r="BH22" i="142"/>
  <c r="BH27" i="142"/>
  <c r="BH46" i="141"/>
  <c r="BH41" i="141"/>
  <c r="BQ27" i="141"/>
  <c r="BQ22" i="141"/>
  <c r="BI45" i="141"/>
  <c r="BI40" i="141"/>
  <c r="BJ23" i="142"/>
  <c r="BJ28" i="142"/>
  <c r="BL40" i="142"/>
  <c r="BL45" i="142"/>
  <c r="BM45" i="143"/>
  <c r="BM40" i="143"/>
  <c r="BI46" i="143"/>
  <c r="BI41" i="143"/>
  <c r="BH41" i="143"/>
  <c r="BH46" i="143"/>
  <c r="BM23" i="142"/>
  <c r="BM28" i="142"/>
  <c r="BG41" i="141"/>
  <c r="BG46" i="141"/>
  <c r="BK28" i="143"/>
  <c r="BK23" i="143"/>
  <c r="BJ41" i="143"/>
  <c r="BJ46" i="143"/>
  <c r="BL45" i="143"/>
  <c r="BL40" i="143"/>
  <c r="BL41" i="141"/>
  <c r="BL46" i="141"/>
  <c r="BG28" i="142"/>
  <c r="BG23" i="142"/>
  <c r="BK22" i="142"/>
  <c r="BK27" i="142"/>
  <c r="BJ27" i="141"/>
  <c r="BJ22" i="141"/>
  <c r="BG45" i="143"/>
  <c r="BG40" i="143"/>
  <c r="BK28" i="141"/>
  <c r="BK23" i="141"/>
  <c r="BI23" i="142"/>
  <c r="BI28" i="142"/>
  <c r="BH40" i="142"/>
  <c r="BH45" i="142"/>
  <c r="AN7" i="96"/>
  <c r="AN25" i="96" s="1"/>
  <c r="CF25" i="96"/>
  <c r="AM7" i="96"/>
  <c r="AM25" i="96" s="1"/>
  <c r="CT25" i="96"/>
  <c r="BN19" i="140"/>
  <c r="BN23" i="140" s="1"/>
  <c r="BP19" i="140"/>
  <c r="BP23" i="140" s="1"/>
  <c r="BQ18" i="140"/>
  <c r="BQ27" i="140" s="1"/>
  <c r="BN18" i="140"/>
  <c r="BN22" i="140" s="1"/>
  <c r="BO18" i="140"/>
  <c r="BO27" i="140" s="1"/>
  <c r="BR18" i="140"/>
  <c r="BR27" i="140" s="1"/>
  <c r="BO19" i="140"/>
  <c r="BO28" i="140" s="1"/>
  <c r="BP18" i="140"/>
  <c r="BP22" i="140" s="1"/>
  <c r="BQ19" i="140"/>
  <c r="BQ28" i="140" s="1"/>
  <c r="BR19" i="140"/>
  <c r="BR28" i="140" s="1"/>
  <c r="CV25" i="96"/>
  <c r="CZ25" i="96" s="1"/>
  <c r="BN36" i="140"/>
  <c r="BN45" i="140" s="1"/>
  <c r="BQ37" i="140"/>
  <c r="BQ46" i="140" s="1"/>
  <c r="BR36" i="140"/>
  <c r="BR45" i="140" s="1"/>
  <c r="BP36" i="140"/>
  <c r="BP45" i="140" s="1"/>
  <c r="BO36" i="140"/>
  <c r="BO45" i="140" s="1"/>
  <c r="BQ36" i="140"/>
  <c r="BQ40" i="140" s="1"/>
  <c r="BN37" i="140"/>
  <c r="BN46" i="140" s="1"/>
  <c r="BP37" i="140"/>
  <c r="BP46" i="140" s="1"/>
  <c r="BR37" i="140"/>
  <c r="BR46" i="140" s="1"/>
  <c r="BO37" i="140"/>
  <c r="BO46" i="140" s="1"/>
  <c r="BK45" i="140"/>
  <c r="BK40" i="140"/>
  <c r="BK27" i="140"/>
  <c r="BK22" i="140"/>
  <c r="BK28" i="140"/>
  <c r="BK23" i="140"/>
  <c r="BK46" i="140"/>
  <c r="BK41" i="140"/>
  <c r="BH46" i="140"/>
  <c r="BH41" i="140"/>
  <c r="BH45" i="140"/>
  <c r="BH40" i="140"/>
  <c r="BH28" i="140"/>
  <c r="BH23" i="140"/>
  <c r="BH27" i="140"/>
  <c r="BH22" i="140"/>
  <c r="BR22" i="140"/>
  <c r="BJ46" i="140"/>
  <c r="BJ41" i="140"/>
  <c r="BJ27" i="140"/>
  <c r="BJ22" i="140"/>
  <c r="BJ45" i="140"/>
  <c r="BJ40" i="140"/>
  <c r="BJ28" i="140"/>
  <c r="BJ23" i="140"/>
  <c r="BG45" i="140"/>
  <c r="BG40" i="140"/>
  <c r="BG27" i="140"/>
  <c r="BG22" i="140"/>
  <c r="BG28" i="140"/>
  <c r="BG23" i="140"/>
  <c r="BG46" i="140"/>
  <c r="BG41" i="140"/>
  <c r="BL28" i="140"/>
  <c r="BL23" i="140"/>
  <c r="BL27" i="140"/>
  <c r="BL22" i="140"/>
  <c r="BL41" i="140"/>
  <c r="BL45" i="140"/>
  <c r="BL40" i="140"/>
  <c r="BM27" i="140"/>
  <c r="BM22" i="140"/>
  <c r="BM28" i="140"/>
  <c r="BM23" i="140"/>
  <c r="BM45" i="140"/>
  <c r="BM40" i="140"/>
  <c r="BM46" i="140"/>
  <c r="BM41" i="140"/>
  <c r="BI28" i="140"/>
  <c r="BI23" i="140"/>
  <c r="BI45" i="140"/>
  <c r="BI40" i="140"/>
  <c r="BI46" i="140"/>
  <c r="BI41" i="140"/>
  <c r="BI27" i="140"/>
  <c r="BI22" i="140"/>
  <c r="CW25" i="96"/>
  <c r="DA25" i="96" s="1"/>
  <c r="CX25" i="96"/>
  <c r="DB25" i="96" s="1"/>
  <c r="BM46" i="141" l="1"/>
  <c r="BM46" i="143"/>
  <c r="BP45" i="141"/>
  <c r="BP28" i="142"/>
  <c r="BQ27" i="142"/>
  <c r="BO27" i="141"/>
  <c r="BN23" i="143"/>
  <c r="BO46" i="142"/>
  <c r="BP23" i="143"/>
  <c r="BO40" i="141"/>
  <c r="BO23" i="141"/>
  <c r="BP46" i="142"/>
  <c r="BQ23" i="143"/>
  <c r="BO27" i="142"/>
  <c r="BQ23" i="140"/>
  <c r="BR27" i="141"/>
  <c r="BN27" i="141"/>
  <c r="BR41" i="142"/>
  <c r="BQ45" i="142"/>
  <c r="BP28" i="140"/>
  <c r="BP27" i="141"/>
  <c r="BR22" i="143"/>
  <c r="BQ22" i="143"/>
  <c r="BN28" i="140"/>
  <c r="BO22" i="143"/>
  <c r="BQ23" i="142"/>
  <c r="BN46" i="142"/>
  <c r="BP41" i="143"/>
  <c r="BQ45" i="141"/>
  <c r="BP45" i="142"/>
  <c r="BN40" i="141"/>
  <c r="BR40" i="141"/>
  <c r="BN41" i="141"/>
  <c r="BP41" i="141"/>
  <c r="BO22" i="140"/>
  <c r="BR40" i="142"/>
  <c r="BP45" i="143"/>
  <c r="BP23" i="141"/>
  <c r="BR23" i="143"/>
  <c r="BO40" i="142"/>
  <c r="BS40" i="142" s="1"/>
  <c r="AC7" i="142" s="1"/>
  <c r="AD7" i="142" s="1"/>
  <c r="BR41" i="143"/>
  <c r="BR28" i="142"/>
  <c r="BO46" i="143"/>
  <c r="BN27" i="142"/>
  <c r="BQ41" i="141"/>
  <c r="BN40" i="143"/>
  <c r="BO23" i="143"/>
  <c r="BN41" i="143"/>
  <c r="BN27" i="143"/>
  <c r="BN28" i="142"/>
  <c r="BR22" i="142"/>
  <c r="BS22" i="142" s="1"/>
  <c r="W7" i="142" s="1"/>
  <c r="X7" i="142" s="1"/>
  <c r="BQ41" i="142"/>
  <c r="BR46" i="141"/>
  <c r="BP22" i="143"/>
  <c r="BR23" i="141"/>
  <c r="BR45" i="143"/>
  <c r="BO40" i="143"/>
  <c r="BO41" i="141"/>
  <c r="BO23" i="142"/>
  <c r="BQ45" i="143"/>
  <c r="BQ41" i="143"/>
  <c r="BN45" i="142"/>
  <c r="BO23" i="140"/>
  <c r="BS22" i="141"/>
  <c r="W7" i="141" s="1"/>
  <c r="X7" i="141" s="1"/>
  <c r="BQ22" i="140"/>
  <c r="BR23" i="140"/>
  <c r="BP27" i="140"/>
  <c r="BN27" i="140"/>
  <c r="BQ45" i="140"/>
  <c r="BP41" i="140"/>
  <c r="BR41" i="140"/>
  <c r="BN40" i="140"/>
  <c r="BR40" i="140"/>
  <c r="BQ41" i="140"/>
  <c r="BO40" i="140"/>
  <c r="BN41" i="140"/>
  <c r="BO41" i="140"/>
  <c r="BP40" i="140"/>
  <c r="BS23" i="143" l="1"/>
  <c r="W8" i="143" s="1"/>
  <c r="X8" i="143" s="1"/>
  <c r="BS41" i="142"/>
  <c r="AC8" i="142" s="1"/>
  <c r="AD8" i="142" s="1"/>
  <c r="BS40" i="143"/>
  <c r="AC7" i="143" s="1"/>
  <c r="AD7" i="143" s="1"/>
  <c r="BS23" i="142"/>
  <c r="W8" i="142" s="1"/>
  <c r="X8" i="142" s="1"/>
  <c r="BS41" i="143"/>
  <c r="AC8" i="143" s="1"/>
  <c r="AD8" i="143" s="1"/>
  <c r="BS22" i="143"/>
  <c r="W7" i="143" s="1"/>
  <c r="X7" i="143" s="1"/>
  <c r="BS23" i="141"/>
  <c r="W8" i="141" s="1"/>
  <c r="X8" i="141" s="1"/>
  <c r="BS41" i="141"/>
  <c r="AC8" i="141" s="1"/>
  <c r="AD8" i="141" s="1"/>
  <c r="BS22" i="140"/>
  <c r="W7" i="140" s="1"/>
  <c r="X7" i="140" s="1"/>
  <c r="BS40" i="141"/>
  <c r="AC7" i="141" s="1"/>
  <c r="AD7" i="141" s="1"/>
  <c r="BS23" i="140"/>
  <c r="W8" i="140" s="1"/>
  <c r="X8" i="140" s="1"/>
  <c r="BS41" i="140"/>
  <c r="AC8" i="140" s="1"/>
  <c r="AD8" i="140" s="1"/>
  <c r="BS40" i="140"/>
  <c r="AC7" i="140" s="1"/>
  <c r="AD7" i="140" s="1"/>
  <c r="I10" i="140"/>
  <c r="I24" i="140" s="1"/>
  <c r="L10" i="140"/>
  <c r="BM21" i="140" s="1"/>
  <c r="BM29" i="140" s="1"/>
  <c r="J10" i="140"/>
  <c r="J24" i="140" s="1"/>
  <c r="G10" i="140"/>
  <c r="G24" i="140" s="1"/>
  <c r="K10" i="140"/>
  <c r="K24" i="140" s="1"/>
  <c r="F10" i="140"/>
  <c r="F24" i="140" s="1"/>
  <c r="H10" i="140"/>
  <c r="H24" i="140" s="1"/>
  <c r="L10" i="141"/>
  <c r="BM21" i="141" s="1"/>
  <c r="BM29" i="141" s="1"/>
  <c r="L10" i="143"/>
  <c r="BM21" i="143" s="1"/>
  <c r="BM29" i="143" s="1"/>
  <c r="L10" i="142"/>
  <c r="BM21" i="142" s="1"/>
  <c r="BM29" i="142" s="1"/>
  <c r="K10" i="141"/>
  <c r="K24" i="141" s="1"/>
  <c r="J10" i="141"/>
  <c r="J24" i="141" s="1"/>
  <c r="H10" i="141"/>
  <c r="H24" i="141" s="1"/>
  <c r="G10" i="142"/>
  <c r="G24" i="142" s="1"/>
  <c r="K10" i="142"/>
  <c r="K24" i="142" s="1"/>
  <c r="I10" i="141"/>
  <c r="I10" i="142"/>
  <c r="I24" i="142" s="1"/>
  <c r="H10" i="143"/>
  <c r="H24" i="143" s="1"/>
  <c r="K10" i="143"/>
  <c r="K24" i="143" s="1"/>
  <c r="J10" i="143"/>
  <c r="J24" i="143" s="1"/>
  <c r="H10" i="142"/>
  <c r="H24" i="142" s="1"/>
  <c r="I10" i="143"/>
  <c r="F10" i="141"/>
  <c r="G10" i="141"/>
  <c r="G24" i="141" s="1"/>
  <c r="F10" i="142"/>
  <c r="J10" i="142"/>
  <c r="J24" i="142" s="1"/>
  <c r="F10" i="143"/>
  <c r="G10" i="143"/>
  <c r="G24" i="143" s="1"/>
  <c r="V22" i="141" l="1"/>
  <c r="V32" i="141" s="1"/>
  <c r="V22" i="142"/>
  <c r="L24" i="142"/>
  <c r="L24" i="143"/>
  <c r="L24" i="141"/>
  <c r="V22" i="143"/>
  <c r="V27" i="143" s="1"/>
  <c r="V22" i="140"/>
  <c r="V32" i="140" s="1"/>
  <c r="V27" i="141"/>
  <c r="F24" i="143"/>
  <c r="F24" i="141"/>
  <c r="I24" i="141"/>
  <c r="L24" i="140"/>
  <c r="F24" i="142"/>
  <c r="I24" i="143"/>
  <c r="U22" i="143"/>
  <c r="U22" i="141"/>
  <c r="V38" i="141" s="1"/>
  <c r="U22" i="142"/>
  <c r="U22" i="140"/>
  <c r="V38" i="142" l="1"/>
  <c r="V27" i="140"/>
  <c r="V32" i="143"/>
  <c r="V27" i="142"/>
  <c r="V32" i="142"/>
  <c r="U32" i="143"/>
  <c r="U27" i="143"/>
  <c r="U38" i="143"/>
  <c r="U38" i="142"/>
  <c r="U32" i="142"/>
  <c r="U27" i="142"/>
  <c r="U32" i="141"/>
  <c r="U27" i="141"/>
  <c r="U38" i="141"/>
  <c r="U38" i="140"/>
  <c r="U27" i="140"/>
  <c r="U32" i="140"/>
  <c r="V38" i="140"/>
  <c r="V38" i="143"/>
  <c r="M24" i="140"/>
  <c r="M10" i="140" s="1"/>
  <c r="M24" i="142"/>
  <c r="M10" i="142" s="1"/>
  <c r="M24" i="143"/>
  <c r="M10" i="143" s="1"/>
  <c r="M24" i="141"/>
  <c r="M10" i="141" s="1"/>
  <c r="N24" i="142" l="1"/>
  <c r="N10" i="142" s="1"/>
  <c r="BO21" i="142" s="1"/>
  <c r="BO29" i="142" s="1"/>
  <c r="BN21" i="142"/>
  <c r="BN29" i="142" s="1"/>
  <c r="N24" i="140"/>
  <c r="N10" i="140" s="1"/>
  <c r="BO21" i="140" s="1"/>
  <c r="BO29" i="140" s="1"/>
  <c r="BN21" i="140"/>
  <c r="BN29" i="140" s="1"/>
  <c r="N24" i="141"/>
  <c r="N10" i="141" s="1"/>
  <c r="BO21" i="141" s="1"/>
  <c r="BO29" i="141" s="1"/>
  <c r="BN21" i="141"/>
  <c r="BN29" i="141" s="1"/>
  <c r="N24" i="143"/>
  <c r="N10" i="143" s="1"/>
  <c r="BO21" i="143" s="1"/>
  <c r="BO29" i="143" s="1"/>
  <c r="BN21" i="143"/>
  <c r="BN29" i="143" s="1"/>
  <c r="O24" i="141" l="1"/>
  <c r="O10" i="141" s="1"/>
  <c r="P24" i="141" s="1"/>
  <c r="P10" i="141" s="1"/>
  <c r="W22" i="143"/>
  <c r="O24" i="142"/>
  <c r="O10" i="142" s="1"/>
  <c r="P24" i="142" s="1"/>
  <c r="P10" i="142" s="1"/>
  <c r="O24" i="140"/>
  <c r="O10" i="140" s="1"/>
  <c r="P24" i="140" s="1"/>
  <c r="P10" i="140" s="1"/>
  <c r="BQ21" i="140" s="1"/>
  <c r="BQ29" i="140" s="1"/>
  <c r="O24" i="143"/>
  <c r="O10" i="143" s="1"/>
  <c r="W22" i="140"/>
  <c r="W22" i="142"/>
  <c r="W32" i="143"/>
  <c r="W27" i="143"/>
  <c r="W38" i="143"/>
  <c r="W22" i="141"/>
  <c r="BP21" i="141" l="1"/>
  <c r="BP29" i="141" s="1"/>
  <c r="BQ21" i="142"/>
  <c r="BQ29" i="142" s="1"/>
  <c r="Q24" i="142"/>
  <c r="Q10" i="142" s="1"/>
  <c r="BR21" i="142" s="1"/>
  <c r="BR29" i="142" s="1"/>
  <c r="BQ21" i="141"/>
  <c r="BQ29" i="141" s="1"/>
  <c r="Q24" i="141"/>
  <c r="Q10" i="141" s="1"/>
  <c r="BR21" i="141" s="1"/>
  <c r="BR29" i="141" s="1"/>
  <c r="BP21" i="142"/>
  <c r="BP29" i="142" s="1"/>
  <c r="W27" i="141"/>
  <c r="W32" i="141"/>
  <c r="W38" i="141"/>
  <c r="W38" i="142"/>
  <c r="W32" i="142"/>
  <c r="W27" i="142"/>
  <c r="BP21" i="140"/>
  <c r="BP29" i="140" s="1"/>
  <c r="Q24" i="140"/>
  <c r="Q10" i="140" s="1"/>
  <c r="BR21" i="140" s="1"/>
  <c r="BR29" i="140" s="1"/>
  <c r="W32" i="140"/>
  <c r="W27" i="140"/>
  <c r="W38" i="140"/>
  <c r="BP21" i="143"/>
  <c r="BP29" i="143" s="1"/>
  <c r="P24" i="143"/>
  <c r="P10" i="143" s="1"/>
  <c r="BQ21" i="143" s="1"/>
  <c r="BQ29" i="143" s="1"/>
  <c r="X22" i="142" l="1"/>
  <c r="R10" i="142"/>
  <c r="R24" i="142" s="1"/>
  <c r="X22" i="141"/>
  <c r="R10" i="141"/>
  <c r="R24" i="141" s="1"/>
  <c r="X27" i="142"/>
  <c r="X32" i="142"/>
  <c r="X38" i="142"/>
  <c r="X22" i="140"/>
  <c r="R10" i="140"/>
  <c r="R24" i="140" s="1"/>
  <c r="Q24" i="143"/>
  <c r="Q10" i="143" s="1"/>
  <c r="BR21" i="143" s="1"/>
  <c r="BR29" i="143" s="1"/>
  <c r="X38" i="141" l="1"/>
  <c r="X32" i="141"/>
  <c r="X27" i="141"/>
  <c r="R10" i="143"/>
  <c r="R24" i="143" s="1"/>
  <c r="X22" i="143"/>
  <c r="X38" i="140"/>
  <c r="X27" i="140"/>
  <c r="X32" i="140"/>
  <c r="X32" i="143" l="1"/>
  <c r="X38" i="143"/>
  <c r="X27" i="143"/>
</calcChain>
</file>

<file path=xl/sharedStrings.xml><?xml version="1.0" encoding="utf-8"?>
<sst xmlns="http://schemas.openxmlformats.org/spreadsheetml/2006/main" count="4567" uniqueCount="174">
  <si>
    <t>Actual</t>
  </si>
  <si>
    <t>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</si>
  <si>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</si>
  <si>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</si>
  <si>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</si>
  <si>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</si>
  <si>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</si>
  <si>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</si>
  <si>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</si>
  <si>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</si>
  <si>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</si>
  <si>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</si>
  <si>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</si>
  <si>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</si>
  <si>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</t>
  </si>
  <si>
    <t>YTD</t>
  </si>
  <si>
    <t>YTG</t>
  </si>
  <si>
    <t>GR%</t>
  </si>
  <si>
    <t>Avg. sales</t>
  </si>
  <si>
    <t>Forecast based on:</t>
  </si>
  <si>
    <t>vs. LO</t>
  </si>
  <si>
    <t>Q1</t>
  </si>
  <si>
    <t>Q2</t>
  </si>
  <si>
    <t>Q3</t>
  </si>
  <si>
    <t>Q4</t>
  </si>
  <si>
    <t>6m trend key</t>
  </si>
  <si>
    <t>Trend 6m</t>
  </si>
  <si>
    <t>Month</t>
  </si>
  <si>
    <t>trend key</t>
  </si>
  <si>
    <t>Trend Calculation</t>
  </si>
  <si>
    <t>Run rates</t>
  </si>
  <si>
    <t xml:space="preserve">FY </t>
  </si>
  <si>
    <t>Vs BUD</t>
  </si>
  <si>
    <t>Delta</t>
  </si>
  <si>
    <t>Forecast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</si>
  <si>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</si>
  <si>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</si>
  <si>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</si>
  <si>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</si>
  <si>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</si>
  <si>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</si>
  <si>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</si>
  <si>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</si>
  <si>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</si>
  <si>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</si>
  <si>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</si>
  <si>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</si>
  <si>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Monthly Average</t>
  </si>
  <si>
    <t>Variance</t>
  </si>
  <si>
    <t>Performance</t>
  </si>
  <si>
    <t>Vs PY</t>
  </si>
  <si>
    <t>3m</t>
  </si>
  <si>
    <t>6m</t>
  </si>
  <si>
    <t>12m</t>
  </si>
  <si>
    <t>Units</t>
  </si>
  <si>
    <t>Time</t>
  </si>
  <si>
    <t>Measure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</si>
  <si>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</si>
  <si>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</si>
  <si>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</si>
  <si>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</si>
  <si>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</si>
  <si>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</si>
  <si>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</si>
  <si>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</si>
  <si>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</si>
  <si>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</si>
  <si>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</si>
  <si>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</si>
  <si>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</si>
  <si>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</si>
  <si>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</si>
  <si>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</si>
  <si>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</si>
  <si>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</si>
  <si>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</si>
  <si>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</si>
  <si>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</si>
  <si>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</si>
  <si>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</si>
  <si>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</si>
  <si>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Periodic</t>
  </si>
  <si>
    <t>Sales</t>
  </si>
  <si>
    <t>Current Month</t>
  </si>
  <si>
    <t>Prior month</t>
  </si>
  <si>
    <t>Current month</t>
  </si>
  <si>
    <t>Growth vs PY</t>
  </si>
  <si>
    <t>Avg. packs per month</t>
  </si>
  <si>
    <t>QoQ GR%</t>
  </si>
  <si>
    <t>Trend Charts</t>
  </si>
  <si>
    <t>Trend 12m</t>
  </si>
  <si>
    <t>12m trend key</t>
  </si>
  <si>
    <t>Header</t>
  </si>
  <si>
    <t>Chairs</t>
  </si>
  <si>
    <t>Kitchen</t>
  </si>
  <si>
    <t>Accessories</t>
  </si>
  <si>
    <t>Tables</t>
  </si>
  <si>
    <t>Quarter Actuals</t>
  </si>
  <si>
    <t>Sales in kUSD</t>
  </si>
  <si>
    <t>Average Price in kUSD</t>
  </si>
  <si>
    <t>FY Trend Outlook</t>
  </si>
  <si>
    <t>YTD +3m Rolling Rate</t>
  </si>
  <si>
    <t>YTD +6m Rolling Rate</t>
  </si>
  <si>
    <t>YTD +12m Rolling Rate</t>
  </si>
  <si>
    <t>Products</t>
  </si>
  <si>
    <t>Conversion Factor</t>
  </si>
  <si>
    <t>Placeholder 1</t>
  </si>
  <si>
    <t>Placeholder 2</t>
  </si>
  <si>
    <t>Placeholder 3</t>
  </si>
  <si>
    <t>Placeholder 4</t>
  </si>
  <si>
    <t>Placeholder 5</t>
  </si>
  <si>
    <t>Placeholder 6</t>
  </si>
  <si>
    <t>Placeholder 7</t>
  </si>
  <si>
    <t>Placeholder 8</t>
  </si>
  <si>
    <t>Placeholder 9</t>
  </si>
  <si>
    <t>Placeholder 10</t>
  </si>
  <si>
    <t>Placeholder 11</t>
  </si>
  <si>
    <t>Placeholder 12</t>
  </si>
  <si>
    <t>Placeholder 13</t>
  </si>
  <si>
    <t>Placeholder 14</t>
  </si>
  <si>
    <t>Current Year</t>
  </si>
  <si>
    <t>Version</t>
  </si>
  <si>
    <t>Months</t>
  </si>
  <si>
    <t>Product</t>
  </si>
  <si>
    <t>6-month Trend</t>
  </si>
  <si>
    <t>12-month Trend</t>
  </si>
  <si>
    <t>YTD +3 month rolling rate</t>
  </si>
  <si>
    <t>YTD +6 month rolling rate</t>
  </si>
  <si>
    <t>YTD +12 month rolling rate</t>
  </si>
  <si>
    <t>3-month Rolling Rate</t>
  </si>
  <si>
    <t>Prior Year exit rate (Q4 x 4)</t>
  </si>
  <si>
    <t>Total</t>
  </si>
  <si>
    <t>Title</t>
  </si>
  <si>
    <t>Navigation</t>
  </si>
  <si>
    <t>Content</t>
  </si>
  <si>
    <t>Mapping</t>
  </si>
  <si>
    <t>In addition, the template features a view on Month-to-Date (MTD) and Year-to-Date (YTD) results. The difference is explained below:</t>
  </si>
  <si>
    <t>MTD: Refers to a single month (e.g. Oct MTD = the results of October only)</t>
  </si>
  <si>
    <t>YTD: Refers to the results of the entire year up to the selected month (e.g. Oct YTD = Jan + Feb + Mar + ... + Oct)</t>
  </si>
  <si>
    <t>Customization difficulty (1-3)</t>
  </si>
  <si>
    <t>Explanation of sheets</t>
  </si>
  <si>
    <t>Mapping:</t>
  </si>
  <si>
    <t>How to customize</t>
  </si>
  <si>
    <t>1)</t>
  </si>
  <si>
    <t>2)</t>
  </si>
  <si>
    <t>3)</t>
  </si>
  <si>
    <t>4)</t>
  </si>
  <si>
    <t>5)</t>
  </si>
  <si>
    <t>6)</t>
  </si>
  <si>
    <t>If needed, check out the video in which I walk you through each and every step!</t>
  </si>
  <si>
    <t>Trend Analysis</t>
  </si>
  <si>
    <t>This file enables you to perform a detailed trend and variance analysis using statistical methods provided by Microsoft Excel</t>
  </si>
  <si>
    <t>With the integrated drop-down lists, you can easily navigate across months to analyze performance.</t>
  </si>
  <si>
    <t>Everything is set up already - all you need to do is bring in your data (sales and units)</t>
  </si>
  <si>
    <t>Sales Data &amp; Units sold:</t>
  </si>
  <si>
    <t>You can adjust all cells colored in green, which will then translate into the various drop-down lists across the file. You can also adjust the conversion factor (such as showing numbers in thousands, millions, etc.)</t>
  </si>
  <si>
    <t>Bridges for Trends:</t>
  </si>
  <si>
    <t>Do not change this sheet. It is set up to automatically calculate the trend bridges needed for the statistical extrapolation in your various sheets.</t>
  </si>
  <si>
    <t>Summary:</t>
  </si>
  <si>
    <t>This sheet contains the prepopulated data, Actuals are available until July YTD to provide a realistic picture of a business situation (middle of the year, still some months to go). Make sure to copy-paste your data into the right columns, and don't change the order of the cells.</t>
  </si>
  <si>
    <t>Select the month, and you are good to go! All kinds of different analyses, showing MTD, YTD and FY Performance, as well as variances.</t>
  </si>
  <si>
    <t>Individual Analysis sheets:</t>
  </si>
  <si>
    <t>Get the maximum level of detail for your product portfolio, showing trends, historical analyses, visualizations, and much more!</t>
  </si>
  <si>
    <t>Ensure that the regional settings of your computer align with the "Months" in D:D on the sheet "Mapping" and update columns A:A and B:B for your particular data</t>
  </si>
  <si>
    <t>On the data tabs "Sales Data" and "Units sold", bring in all relevant data in the green columns. Make sure the months in column B:B align with your mapping tab, and that they follow the same setup (e.g. "Jan 2020")</t>
  </si>
  <si>
    <t>If your data set only allows for one version, copy-paste the data into both the "Budget" and "Actuals" column.</t>
  </si>
  <si>
    <t>Depending on the number of products you want to include in your file, simply copy-paste one of the invididual analysis sheets and change the product in cell E2.</t>
  </si>
  <si>
    <t>For a detailed walkthrough, check out the attached video!</t>
  </si>
  <si>
    <t>Sales Data</t>
  </si>
  <si>
    <t>Units sold</t>
  </si>
  <si>
    <t>Bridges for Trends</t>
  </si>
  <si>
    <t>Summary</t>
  </si>
  <si>
    <t>Period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</si>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</sst>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#,##0_);\(#,##0\);"/>
    <numFmt numFmtId="168" formatCode="[Blue]\+#,##0_);[Red]\-#,##0"/>
    <numFmt numFmtId="169" formatCode="_-* #,##0_-;\-* #,##0_-;_-* &quot;-&quot;??_-;_-@_-"/>
    <numFmt numFmtId="170" formatCode="\+#,##0_);\-#,##0"/>
    <numFmt numFmtId="171" formatCode="mmm\-yyyy"/>
    <numFmt numFmtId="172" formatCode="#,##0,_);\(#,##0,\);"/>
  </numFmts>
  <fonts count="3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FCFAD"/>
        <bgColor indexed="64"/>
      </patternFill>
    </fill>
    <fill>
      <patternFill patternType="solid">
        <fgColor rgb="FF50B47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thin">
        <color theme="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2" fillId="0" borderId="0" applyFont="0" applyFill="0" applyBorder="0" applyAlignment="0" applyProtection="0"/>
    <xf numFmtId="0" fontId="8" fillId="0" borderId="0"/>
    <xf numFmtId="0" fontId="2" fillId="0" borderId="0"/>
    <xf numFmtId="43" fontId="2" fillId="0" borderId="0" applyFont="0" applyFill="0" applyBorder="0" applyAlignment="0" applyProtection="0"/>
    <xf numFmtId="0" fontId="11" fillId="4" borderId="2" applyNumberFormat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3" fontId="12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/>
    <xf numFmtId="0" fontId="1" fillId="0" borderId="0"/>
  </cellStyleXfs>
  <cellXfs count="229">
    <xf numFmtId="0" fontId="0" fillId="0" borderId="0" xfId="0"/>
    <xf numFmtId="0" fontId="6" fillId="0" borderId="0" xfId="0" applyFont="1"/>
    <xf numFmtId="165" fontId="0" fillId="0" borderId="0" xfId="1" applyNumberFormat="1" applyFont="1"/>
    <xf numFmtId="171" fontId="0" fillId="0" borderId="0" xfId="0" applyNumberFormat="1"/>
    <xf numFmtId="0" fontId="9" fillId="12" borderId="18" xfId="3" applyNumberFormat="1" applyFont="1" applyFill="1" applyBorder="1" applyAlignment="1">
      <alignment horizontal="center" vertical="center" wrapText="1"/>
    </xf>
    <xf numFmtId="0" fontId="3" fillId="12" borderId="0" xfId="0" applyFont="1" applyFill="1"/>
    <xf numFmtId="0" fontId="14" fillId="12" borderId="0" xfId="0" applyFont="1" applyFill="1" applyAlignment="1">
      <alignment horizontal="center"/>
    </xf>
    <xf numFmtId="0" fontId="14" fillId="1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12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Border="1"/>
    <xf numFmtId="0" fontId="6" fillId="5" borderId="0" xfId="0" applyFont="1" applyFill="1" applyBorder="1" applyAlignment="1">
      <alignment horizontal="center"/>
    </xf>
    <xf numFmtId="0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Fill="1"/>
    <xf numFmtId="0" fontId="2" fillId="2" borderId="0" xfId="0" applyFont="1" applyFill="1"/>
    <xf numFmtId="0" fontId="6" fillId="0" borderId="0" xfId="0" applyFont="1" applyFill="1" applyBorder="1"/>
    <xf numFmtId="0" fontId="17" fillId="0" borderId="0" xfId="0" applyFont="1"/>
    <xf numFmtId="0" fontId="17" fillId="0" borderId="0" xfId="14" applyFont="1" applyAlignment="1">
      <alignment wrapText="1"/>
    </xf>
    <xf numFmtId="0" fontId="16" fillId="11" borderId="19" xfId="14" applyNumberFormat="1" applyFont="1" applyFill="1" applyBorder="1" applyAlignment="1">
      <alignment horizontal="center" vertical="center"/>
    </xf>
    <xf numFmtId="0" fontId="16" fillId="11" borderId="19" xfId="14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left"/>
    </xf>
    <xf numFmtId="165" fontId="18" fillId="0" borderId="13" xfId="7" applyNumberFormat="1" applyFont="1" applyFill="1" applyBorder="1" applyAlignment="1">
      <alignment horizontal="center"/>
    </xf>
    <xf numFmtId="165" fontId="18" fillId="0" borderId="13" xfId="1" applyNumberFormat="1" applyFont="1" applyBorder="1" applyAlignment="1">
      <alignment horizontal="right" vertical="center"/>
    </xf>
    <xf numFmtId="9" fontId="18" fillId="0" borderId="13" xfId="4" applyFont="1" applyBorder="1" applyAlignment="1">
      <alignment horizontal="right" vertical="center"/>
    </xf>
    <xf numFmtId="165" fontId="18" fillId="0" borderId="15" xfId="7" applyNumberFormat="1" applyFont="1" applyFill="1" applyBorder="1" applyAlignment="1">
      <alignment horizontal="center"/>
    </xf>
    <xf numFmtId="166" fontId="18" fillId="0" borderId="13" xfId="4" applyNumberFormat="1" applyFont="1" applyBorder="1" applyAlignment="1">
      <alignment horizontal="right" vertical="center"/>
    </xf>
    <xf numFmtId="165" fontId="18" fillId="0" borderId="15" xfId="7" applyNumberFormat="1" applyFont="1" applyFill="1" applyBorder="1"/>
    <xf numFmtId="165" fontId="2" fillId="0" borderId="13" xfId="1" applyNumberFormat="1" applyFont="1" applyFill="1" applyBorder="1" applyAlignment="1">
      <alignment horizontal="center" vertical="center"/>
    </xf>
    <xf numFmtId="165" fontId="2" fillId="0" borderId="14" xfId="1" applyNumberFormat="1" applyFont="1" applyFill="1" applyBorder="1" applyAlignment="1">
      <alignment horizontal="center" vertical="center"/>
    </xf>
    <xf numFmtId="172" fontId="2" fillId="0" borderId="9" xfId="14" applyNumberFormat="1" applyFont="1" applyFill="1" applyBorder="1" applyAlignment="1">
      <alignment horizontal="center" vertical="center"/>
    </xf>
    <xf numFmtId="165" fontId="18" fillId="0" borderId="14" xfId="7" applyNumberFormat="1" applyFont="1" applyFill="1" applyBorder="1"/>
    <xf numFmtId="165" fontId="6" fillId="0" borderId="0" xfId="1" applyNumberFormat="1" applyFont="1" applyFill="1"/>
    <xf numFmtId="165" fontId="19" fillId="0" borderId="0" xfId="1" applyNumberFormat="1" applyFont="1" applyFill="1"/>
    <xf numFmtId="165" fontId="6" fillId="0" borderId="0" xfId="0" applyNumberFormat="1" applyFont="1" applyFill="1"/>
    <xf numFmtId="165" fontId="18" fillId="0" borderId="13" xfId="7" applyNumberFormat="1" applyFont="1" applyFill="1" applyBorder="1"/>
    <xf numFmtId="165" fontId="18" fillId="0" borderId="14" xfId="7" applyNumberFormat="1" applyFont="1" applyFill="1" applyBorder="1" applyAlignment="1">
      <alignment horizontal="center"/>
    </xf>
    <xf numFmtId="165" fontId="18" fillId="0" borderId="14" xfId="1" applyNumberFormat="1" applyFont="1" applyBorder="1" applyAlignment="1">
      <alignment horizontal="right" vertical="center"/>
    </xf>
    <xf numFmtId="9" fontId="18" fillId="0" borderId="14" xfId="4" applyFont="1" applyBorder="1" applyAlignment="1">
      <alignment horizontal="right" vertical="center"/>
    </xf>
    <xf numFmtId="165" fontId="18" fillId="0" borderId="7" xfId="7" applyNumberFormat="1" applyFont="1" applyFill="1" applyBorder="1" applyAlignment="1">
      <alignment horizontal="center"/>
    </xf>
    <xf numFmtId="166" fontId="18" fillId="0" borderId="14" xfId="4" applyNumberFormat="1" applyFont="1" applyBorder="1" applyAlignment="1">
      <alignment horizontal="right" vertical="center"/>
    </xf>
    <xf numFmtId="165" fontId="18" fillId="0" borderId="7" xfId="7" applyNumberFormat="1" applyFont="1" applyFill="1" applyBorder="1"/>
    <xf numFmtId="0" fontId="19" fillId="0" borderId="0" xfId="0" applyFont="1" applyFill="1"/>
    <xf numFmtId="0" fontId="19" fillId="2" borderId="10" xfId="0" applyNumberFormat="1" applyFont="1" applyFill="1" applyBorder="1" applyAlignment="1"/>
    <xf numFmtId="165" fontId="16" fillId="2" borderId="10" xfId="7" applyNumberFormat="1" applyFont="1" applyFill="1" applyBorder="1" applyAlignment="1">
      <alignment horizontal="center"/>
    </xf>
    <xf numFmtId="165" fontId="16" fillId="2" borderId="11" xfId="7" applyNumberFormat="1" applyFont="1" applyFill="1" applyBorder="1" applyAlignment="1">
      <alignment horizontal="center"/>
    </xf>
    <xf numFmtId="165" fontId="16" fillId="2" borderId="10" xfId="1" applyNumberFormat="1" applyFont="1" applyFill="1" applyBorder="1" applyAlignment="1">
      <alignment horizontal="right" vertical="center"/>
    </xf>
    <xf numFmtId="9" fontId="16" fillId="2" borderId="10" xfId="4" applyFont="1" applyFill="1" applyBorder="1" applyAlignment="1">
      <alignment horizontal="right" vertical="center"/>
    </xf>
    <xf numFmtId="0" fontId="19" fillId="2" borderId="0" xfId="0" applyFont="1" applyFill="1"/>
    <xf numFmtId="165" fontId="16" fillId="9" borderId="10" xfId="1" applyNumberFormat="1" applyFont="1" applyFill="1" applyBorder="1" applyAlignment="1">
      <alignment horizontal="right" vertical="center"/>
    </xf>
    <xf numFmtId="166" fontId="16" fillId="9" borderId="10" xfId="4" applyNumberFormat="1" applyFont="1" applyFill="1" applyBorder="1" applyAlignment="1">
      <alignment horizontal="right" vertical="center"/>
    </xf>
    <xf numFmtId="165" fontId="16" fillId="2" borderId="11" xfId="7" applyNumberFormat="1" applyFont="1" applyFill="1" applyBorder="1"/>
    <xf numFmtId="165" fontId="20" fillId="2" borderId="10" xfId="1" applyNumberFormat="1" applyFont="1" applyFill="1" applyBorder="1" applyAlignment="1">
      <alignment horizontal="center" vertical="center"/>
    </xf>
    <xf numFmtId="165" fontId="16" fillId="2" borderId="10" xfId="7" applyNumberFormat="1" applyFont="1" applyFill="1" applyBorder="1"/>
    <xf numFmtId="165" fontId="16" fillId="2" borderId="0" xfId="7" applyNumberFormat="1" applyFont="1" applyFill="1" applyBorder="1" applyAlignment="1">
      <alignment horizontal="center"/>
    </xf>
    <xf numFmtId="165" fontId="6" fillId="0" borderId="0" xfId="0" applyNumberFormat="1" applyFont="1"/>
    <xf numFmtId="165" fontId="6" fillId="0" borderId="0" xfId="0" applyNumberFormat="1" applyFont="1" applyAlignment="1">
      <alignment horizontal="center"/>
    </xf>
    <xf numFmtId="0" fontId="2" fillId="0" borderId="0" xfId="0" applyFont="1"/>
    <xf numFmtId="169" fontId="11" fillId="12" borderId="5" xfId="10" applyNumberFormat="1" applyFont="1" applyFill="1" applyBorder="1" applyAlignment="1">
      <alignment horizontal="center" vertical="center" wrapText="1"/>
    </xf>
    <xf numFmtId="169" fontId="11" fillId="12" borderId="1" xfId="10" applyNumberFormat="1" applyFont="1" applyFill="1" applyBorder="1" applyAlignment="1">
      <alignment horizontal="center" vertical="center" wrapText="1"/>
    </xf>
    <xf numFmtId="169" fontId="11" fillId="12" borderId="6" xfId="1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6" fillId="0" borderId="0" xfId="0" applyNumberFormat="1" applyFont="1"/>
    <xf numFmtId="0" fontId="11" fillId="12" borderId="0" xfId="0" applyFont="1" applyFill="1"/>
    <xf numFmtId="0" fontId="2" fillId="11" borderId="0" xfId="0" applyFont="1" applyFill="1"/>
    <xf numFmtId="14" fontId="2" fillId="0" borderId="0" xfId="0" quotePrefix="1" applyNumberFormat="1" applyFont="1"/>
    <xf numFmtId="14" fontId="2" fillId="0" borderId="0" xfId="0" applyNumberFormat="1" applyFont="1"/>
    <xf numFmtId="0" fontId="21" fillId="0" borderId="0" xfId="0" applyFont="1"/>
    <xf numFmtId="0" fontId="22" fillId="12" borderId="0" xfId="0" applyFont="1" applyFill="1" applyAlignment="1">
      <alignment horizontal="center"/>
    </xf>
    <xf numFmtId="171" fontId="2" fillId="0" borderId="0" xfId="0" applyNumberFormat="1" applyFont="1" applyAlignment="1">
      <alignment horizontal="center"/>
    </xf>
    <xf numFmtId="166" fontId="6" fillId="0" borderId="0" xfId="2" applyNumberFormat="1" applyFont="1"/>
    <xf numFmtId="166" fontId="6" fillId="0" borderId="0" xfId="2" applyNumberFormat="1" applyFont="1" applyFill="1"/>
    <xf numFmtId="0" fontId="6" fillId="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165" fontId="6" fillId="0" borderId="0" xfId="1" applyNumberFormat="1" applyFont="1"/>
    <xf numFmtId="0" fontId="15" fillId="12" borderId="18" xfId="3" applyNumberFormat="1" applyFont="1" applyFill="1" applyBorder="1" applyAlignment="1">
      <alignment horizontal="center" vertical="center" wrapText="1"/>
    </xf>
    <xf numFmtId="166" fontId="6" fillId="0" borderId="0" xfId="4" applyNumberFormat="1" applyFont="1"/>
    <xf numFmtId="9" fontId="6" fillId="0" borderId="0" xfId="2" applyFont="1"/>
    <xf numFmtId="166" fontId="6" fillId="0" borderId="0" xfId="0" applyNumberFormat="1" applyFont="1"/>
    <xf numFmtId="0" fontId="6" fillId="0" borderId="0" xfId="0" applyFont="1" applyAlignment="1">
      <alignment horizontal="right"/>
    </xf>
    <xf numFmtId="0" fontId="23" fillId="5" borderId="0" xfId="0" applyFont="1" applyFill="1" applyBorder="1"/>
    <xf numFmtId="9" fontId="6" fillId="0" borderId="0" xfId="4" applyFont="1"/>
    <xf numFmtId="14" fontId="24" fillId="0" borderId="0" xfId="0" applyNumberFormat="1" applyFont="1" applyFill="1"/>
    <xf numFmtId="14" fontId="25" fillId="0" borderId="0" xfId="0" applyNumberFormat="1" applyFont="1" applyFill="1"/>
    <xf numFmtId="0" fontId="6" fillId="0" borderId="0" xfId="0" applyFont="1" applyFill="1" applyAlignment="1">
      <alignment horizontal="right"/>
    </xf>
    <xf numFmtId="0" fontId="15" fillId="12" borderId="17" xfId="3" applyNumberFormat="1" applyFont="1" applyFill="1" applyBorder="1" applyAlignment="1">
      <alignment horizontal="center" vertical="center"/>
    </xf>
    <xf numFmtId="0" fontId="15" fillId="12" borderId="18" xfId="3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/>
    </xf>
    <xf numFmtId="165" fontId="14" fillId="12" borderId="15" xfId="1" applyNumberFormat="1" applyFont="1" applyFill="1" applyBorder="1" applyAlignment="1"/>
    <xf numFmtId="165" fontId="14" fillId="12" borderId="4" xfId="1" applyNumberFormat="1" applyFont="1" applyFill="1" applyBorder="1" applyAlignment="1"/>
    <xf numFmtId="165" fontId="14" fillId="12" borderId="8" xfId="1" applyNumberFormat="1" applyFont="1" applyFill="1" applyBorder="1" applyAlignment="1"/>
    <xf numFmtId="165" fontId="14" fillId="12" borderId="13" xfId="1" applyNumberFormat="1" applyFont="1" applyFill="1" applyBorder="1" applyAlignment="1">
      <alignment horizontal="center"/>
    </xf>
    <xf numFmtId="165" fontId="14" fillId="12" borderId="8" xfId="1" applyNumberFormat="1" applyFont="1" applyFill="1" applyBorder="1" applyAlignment="1">
      <alignment horizontal="center"/>
    </xf>
    <xf numFmtId="166" fontId="19" fillId="0" borderId="0" xfId="2" applyNumberFormat="1" applyFont="1" applyFill="1" applyBorder="1"/>
    <xf numFmtId="0" fontId="2" fillId="2" borderId="0" xfId="0" applyFont="1" applyFill="1" applyAlignment="1">
      <alignment horizontal="center"/>
    </xf>
    <xf numFmtId="0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/>
    <xf numFmtId="0" fontId="19" fillId="0" borderId="16" xfId="0" applyFont="1" applyBorder="1"/>
    <xf numFmtId="165" fontId="6" fillId="0" borderId="16" xfId="1" applyNumberFormat="1" applyFont="1" applyBorder="1"/>
    <xf numFmtId="165" fontId="6" fillId="2" borderId="16" xfId="1" applyNumberFormat="1" applyFont="1" applyFill="1" applyBorder="1" applyAlignment="1">
      <alignment horizontal="left"/>
    </xf>
    <xf numFmtId="166" fontId="17" fillId="0" borderId="0" xfId="1" applyNumberFormat="1" applyFont="1" applyFill="1" applyBorder="1" applyAlignment="1">
      <alignment horizontal="right" shrinkToFit="1"/>
    </xf>
    <xf numFmtId="0" fontId="19" fillId="0" borderId="15" xfId="0" applyFont="1" applyBorder="1" applyAlignment="1">
      <alignment horizontal="left"/>
    </xf>
    <xf numFmtId="0" fontId="6" fillId="0" borderId="4" xfId="0" applyFont="1" applyBorder="1" applyAlignment="1"/>
    <xf numFmtId="0" fontId="6" fillId="0" borderId="8" xfId="0" applyFont="1" applyBorder="1" applyAlignment="1"/>
    <xf numFmtId="41" fontId="6" fillId="0" borderId="13" xfId="0" applyNumberFormat="1" applyFont="1" applyFill="1" applyBorder="1" applyAlignment="1">
      <alignment horizontal="center"/>
    </xf>
    <xf numFmtId="170" fontId="27" fillId="0" borderId="9" xfId="1" applyNumberFormat="1" applyFont="1" applyBorder="1" applyAlignment="1">
      <alignment horizontal="center" shrinkToFit="1"/>
    </xf>
    <xf numFmtId="0" fontId="2" fillId="2" borderId="0" xfId="0" applyFont="1" applyFill="1" applyBorder="1" applyAlignment="1">
      <alignment horizontal="right"/>
    </xf>
    <xf numFmtId="0" fontId="19" fillId="0" borderId="7" xfId="0" applyFont="1" applyBorder="1" applyAlignment="1">
      <alignment horizontal="left"/>
    </xf>
    <xf numFmtId="0" fontId="6" fillId="0" borderId="0" xfId="0" applyFont="1" applyBorder="1" applyAlignment="1"/>
    <xf numFmtId="0" fontId="6" fillId="0" borderId="9" xfId="0" applyFont="1" applyBorder="1" applyAlignment="1"/>
    <xf numFmtId="165" fontId="6" fillId="0" borderId="14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Fill="1" applyBorder="1" applyAlignment="1">
      <alignment horizontal="right"/>
    </xf>
    <xf numFmtId="166" fontId="19" fillId="11" borderId="0" xfId="4" applyNumberFormat="1" applyFont="1" applyFill="1" applyBorder="1"/>
    <xf numFmtId="165" fontId="19" fillId="11" borderId="0" xfId="1" applyNumberFormat="1" applyFont="1" applyFill="1" applyBorder="1" applyAlignment="1">
      <alignment horizontal="left"/>
    </xf>
    <xf numFmtId="165" fontId="19" fillId="11" borderId="16" xfId="1" applyNumberFormat="1" applyFont="1" applyFill="1" applyBorder="1" applyAlignment="1">
      <alignment horizontal="left"/>
    </xf>
    <xf numFmtId="165" fontId="19" fillId="0" borderId="16" xfId="1" applyNumberFormat="1" applyFont="1" applyBorder="1"/>
    <xf numFmtId="165" fontId="19" fillId="2" borderId="16" xfId="1" applyNumberFormat="1" applyFont="1" applyFill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6" fillId="0" borderId="3" xfId="0" applyFont="1" applyBorder="1"/>
    <xf numFmtId="0" fontId="6" fillId="0" borderId="12" xfId="0" applyFont="1" applyBorder="1"/>
    <xf numFmtId="41" fontId="6" fillId="0" borderId="10" xfId="0" applyNumberFormat="1" applyFont="1" applyFill="1" applyBorder="1" applyAlignment="1">
      <alignment horizontal="center"/>
    </xf>
    <xf numFmtId="170" fontId="27" fillId="0" borderId="12" xfId="1" applyNumberFormat="1" applyFont="1" applyBorder="1" applyAlignment="1">
      <alignment horizontal="center" shrinkToFit="1"/>
    </xf>
    <xf numFmtId="165" fontId="6" fillId="0" borderId="0" xfId="1" applyNumberFormat="1" applyFont="1" applyBorder="1" applyAlignment="1">
      <alignment horizontal="left"/>
    </xf>
    <xf numFmtId="165" fontId="19" fillId="0" borderId="16" xfId="1" applyNumberFormat="1" applyFont="1" applyFill="1" applyBorder="1" applyAlignment="1">
      <alignment horizontal="left"/>
    </xf>
    <xf numFmtId="166" fontId="6" fillId="0" borderId="0" xfId="2" applyNumberFormat="1" applyFont="1" applyFill="1" applyBorder="1"/>
    <xf numFmtId="0" fontId="6" fillId="0" borderId="0" xfId="0" applyFont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167" fontId="25" fillId="0" borderId="0" xfId="3" applyNumberFormat="1" applyFont="1" applyFill="1" applyBorder="1" applyAlignment="1">
      <alignment horizontal="center"/>
    </xf>
    <xf numFmtId="14" fontId="15" fillId="12" borderId="18" xfId="3" applyNumberFormat="1" applyFont="1" applyFill="1" applyBorder="1" applyAlignment="1">
      <alignment horizontal="center" vertical="center" wrapText="1"/>
    </xf>
    <xf numFmtId="0" fontId="14" fillId="12" borderId="15" xfId="0" applyFont="1" applyFill="1" applyBorder="1" applyAlignment="1"/>
    <xf numFmtId="0" fontId="14" fillId="12" borderId="8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166" fontId="6" fillId="0" borderId="0" xfId="2" applyNumberFormat="1" applyFont="1" applyFill="1" applyAlignment="1"/>
    <xf numFmtId="165" fontId="19" fillId="0" borderId="0" xfId="1" applyNumberFormat="1" applyFont="1" applyFill="1" applyBorder="1"/>
    <xf numFmtId="0" fontId="6" fillId="0" borderId="0" xfId="0" applyFont="1" applyBorder="1" applyAlignment="1">
      <alignment horizontal="center" vertical="center"/>
    </xf>
    <xf numFmtId="17" fontId="5" fillId="12" borderId="0" xfId="0" applyNumberFormat="1" applyFont="1" applyFill="1" applyAlignment="1">
      <alignment horizontal="right"/>
    </xf>
    <xf numFmtId="165" fontId="6" fillId="0" borderId="16" xfId="1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center" vertical="center"/>
    </xf>
    <xf numFmtId="166" fontId="27" fillId="0" borderId="7" xfId="4" applyNumberFormat="1" applyFont="1" applyBorder="1" applyAlignment="1">
      <alignment shrinkToFit="1"/>
    </xf>
    <xf numFmtId="166" fontId="27" fillId="0" borderId="9" xfId="4" applyNumberFormat="1" applyFont="1" applyFill="1" applyBorder="1" applyAlignment="1">
      <alignment shrinkToFit="1"/>
    </xf>
    <xf numFmtId="166" fontId="27" fillId="0" borderId="9" xfId="4" applyNumberFormat="1" applyFont="1" applyBorder="1" applyAlignment="1">
      <alignment shrinkToFit="1"/>
    </xf>
    <xf numFmtId="0" fontId="19" fillId="0" borderId="7" xfId="0" applyFont="1" applyBorder="1" applyAlignment="1"/>
    <xf numFmtId="165" fontId="6" fillId="0" borderId="9" xfId="0" applyNumberFormat="1" applyFont="1" applyBorder="1" applyAlignment="1">
      <alignment vertical="center"/>
    </xf>
    <xf numFmtId="166" fontId="27" fillId="0" borderId="9" xfId="4" applyNumberFormat="1" applyFont="1" applyBorder="1" applyAlignment="1">
      <alignment horizontal="center" shrinkToFit="1"/>
    </xf>
    <xf numFmtId="165" fontId="6" fillId="0" borderId="0" xfId="0" applyNumberFormat="1" applyFont="1" applyBorder="1" applyAlignment="1">
      <alignment horizontal="center" vertical="center"/>
    </xf>
    <xf numFmtId="166" fontId="19" fillId="0" borderId="11" xfId="0" applyNumberFormat="1" applyFont="1" applyBorder="1" applyAlignment="1">
      <alignment horizontal="left"/>
    </xf>
    <xf numFmtId="165" fontId="6" fillId="0" borderId="12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vertical="center"/>
    </xf>
    <xf numFmtId="165" fontId="6" fillId="0" borderId="12" xfId="0" applyNumberFormat="1" applyFont="1" applyBorder="1" applyAlignment="1">
      <alignment vertical="center"/>
    </xf>
    <xf numFmtId="170" fontId="19" fillId="0" borderId="12" xfId="14" applyNumberFormat="1" applyFont="1" applyFill="1" applyBorder="1" applyAlignment="1">
      <alignment vertical="center"/>
    </xf>
    <xf numFmtId="166" fontId="19" fillId="0" borderId="11" xfId="0" applyNumberFormat="1" applyFont="1" applyBorder="1" applyAlignment="1"/>
    <xf numFmtId="170" fontId="19" fillId="0" borderId="12" xfId="14" applyNumberFormat="1" applyFont="1" applyFill="1" applyBorder="1" applyAlignment="1">
      <alignment horizontal="center" vertical="center"/>
    </xf>
    <xf numFmtId="165" fontId="15" fillId="12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left" indent="1"/>
    </xf>
    <xf numFmtId="165" fontId="14" fillId="12" borderId="0" xfId="0" applyNumberFormat="1" applyFont="1" applyFill="1" applyBorder="1" applyAlignment="1">
      <alignment horizontal="center" vertical="center"/>
    </xf>
    <xf numFmtId="165" fontId="19" fillId="0" borderId="16" xfId="1" applyNumberFormat="1" applyFont="1" applyBorder="1" applyAlignment="1">
      <alignment horizontal="left"/>
    </xf>
    <xf numFmtId="0" fontId="6" fillId="0" borderId="0" xfId="0" applyFont="1" applyAlignment="1">
      <alignment vertical="center"/>
    </xf>
    <xf numFmtId="165" fontId="6" fillId="2" borderId="0" xfId="1" applyNumberFormat="1" applyFont="1" applyFill="1" applyAlignment="1">
      <alignment horizontal="right"/>
    </xf>
    <xf numFmtId="0" fontId="14" fillId="12" borderId="4" xfId="0" applyFont="1" applyFill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65" fontId="6" fillId="0" borderId="4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/>
    </xf>
    <xf numFmtId="165" fontId="19" fillId="0" borderId="0" xfId="1" applyNumberFormat="1" applyFont="1" applyAlignment="1">
      <alignment horizontal="right"/>
    </xf>
    <xf numFmtId="165" fontId="19" fillId="2" borderId="0" xfId="1" applyNumberFormat="1" applyFont="1" applyFill="1" applyAlignment="1">
      <alignment horizontal="right"/>
    </xf>
    <xf numFmtId="9" fontId="6" fillId="0" borderId="0" xfId="2" applyNumberFormat="1" applyFont="1" applyBorder="1" applyAlignment="1">
      <alignment horizontal="center"/>
    </xf>
    <xf numFmtId="0" fontId="19" fillId="0" borderId="16" xfId="0" applyFont="1" applyBorder="1" applyAlignment="1">
      <alignment horizontal="left"/>
    </xf>
    <xf numFmtId="164" fontId="6" fillId="0" borderId="16" xfId="1" applyNumberFormat="1" applyFont="1" applyBorder="1" applyAlignment="1">
      <alignment horizontal="left"/>
    </xf>
    <xf numFmtId="164" fontId="6" fillId="2" borderId="16" xfId="1" applyNumberFormat="1" applyFont="1" applyFill="1" applyBorder="1" applyAlignment="1">
      <alignment horizontal="left"/>
    </xf>
    <xf numFmtId="9" fontId="6" fillId="0" borderId="0" xfId="4" applyNumberFormat="1" applyFont="1" applyBorder="1" applyAlignment="1">
      <alignment horizontal="center"/>
    </xf>
    <xf numFmtId="17" fontId="6" fillId="0" borderId="0" xfId="0" applyNumberFormat="1" applyFont="1" applyAlignment="1">
      <alignment horizontal="right"/>
    </xf>
    <xf numFmtId="0" fontId="6" fillId="0" borderId="0" xfId="0" applyFont="1" applyBorder="1" applyAlignment="1">
      <alignment horizontal="left" vertical="center"/>
    </xf>
    <xf numFmtId="165" fontId="6" fillId="0" borderId="0" xfId="1" applyNumberFormat="1" applyFont="1" applyAlignment="1">
      <alignment horizontal="right"/>
    </xf>
    <xf numFmtId="0" fontId="19" fillId="11" borderId="16" xfId="0" applyFont="1" applyFill="1" applyBorder="1" applyAlignment="1">
      <alignment horizontal="left"/>
    </xf>
    <xf numFmtId="164" fontId="19" fillId="11" borderId="0" xfId="1" applyNumberFormat="1" applyFont="1" applyFill="1" applyBorder="1" applyAlignment="1">
      <alignment horizontal="left"/>
    </xf>
    <xf numFmtId="164" fontId="19" fillId="11" borderId="16" xfId="1" applyNumberFormat="1" applyFont="1" applyFill="1" applyBorder="1" applyAlignment="1">
      <alignment horizontal="left"/>
    </xf>
    <xf numFmtId="165" fontId="6" fillId="0" borderId="3" xfId="0" applyNumberFormat="1" applyFont="1" applyBorder="1" applyAlignment="1">
      <alignment horizontal="center" vertical="center"/>
    </xf>
    <xf numFmtId="0" fontId="14" fillId="12" borderId="0" xfId="0" applyFont="1" applyFill="1" applyAlignment="1">
      <alignment vertical="center"/>
    </xf>
    <xf numFmtId="164" fontId="19" fillId="0" borderId="16" xfId="1" applyNumberFormat="1" applyFont="1" applyBorder="1" applyAlignment="1">
      <alignment horizontal="left"/>
    </xf>
    <xf numFmtId="164" fontId="19" fillId="2" borderId="16" xfId="1" applyNumberFormat="1" applyFont="1" applyFill="1" applyBorder="1" applyAlignment="1">
      <alignment horizontal="left"/>
    </xf>
    <xf numFmtId="165" fontId="14" fillId="12" borderId="0" xfId="1" applyNumberFormat="1" applyFont="1" applyFill="1" applyAlignment="1">
      <alignment horizontal="right"/>
    </xf>
    <xf numFmtId="164" fontId="19" fillId="0" borderId="16" xfId="1" applyNumberFormat="1" applyFont="1" applyFill="1" applyBorder="1" applyAlignment="1">
      <alignment horizontal="left"/>
    </xf>
    <xf numFmtId="166" fontId="27" fillId="0" borderId="0" xfId="4" applyNumberFormat="1" applyFont="1" applyBorder="1" applyAlignment="1">
      <alignment horizontal="center" shrinkToFit="1"/>
    </xf>
    <xf numFmtId="166" fontId="27" fillId="0" borderId="3" xfId="4" applyNumberFormat="1" applyFont="1" applyBorder="1" applyAlignment="1">
      <alignment horizontal="center" shrinkToFit="1"/>
    </xf>
    <xf numFmtId="166" fontId="27" fillId="0" borderId="12" xfId="4" applyNumberFormat="1" applyFont="1" applyBorder="1" applyAlignment="1">
      <alignment horizontal="center" shrinkToFit="1"/>
    </xf>
    <xf numFmtId="166" fontId="19" fillId="0" borderId="7" xfId="0" applyNumberFormat="1" applyFont="1" applyBorder="1" applyAlignment="1">
      <alignment horizontal="left"/>
    </xf>
    <xf numFmtId="170" fontId="27" fillId="0" borderId="0" xfId="1" applyNumberFormat="1" applyFont="1" applyBorder="1" applyAlignment="1">
      <alignment horizontal="center" shrinkToFit="1"/>
    </xf>
    <xf numFmtId="170" fontId="27" fillId="0" borderId="3" xfId="1" applyNumberFormat="1" applyFont="1" applyBorder="1" applyAlignment="1">
      <alignment horizontal="center" shrinkToFit="1"/>
    </xf>
    <xf numFmtId="165" fontId="6" fillId="0" borderId="0" xfId="0" applyNumberFormat="1" applyFont="1" applyAlignment="1">
      <alignment horizontal="right"/>
    </xf>
    <xf numFmtId="9" fontId="6" fillId="0" borderId="0" xfId="4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Border="1" applyAlignment="1">
      <alignment horizontal="left" indent="1"/>
    </xf>
    <xf numFmtId="0" fontId="6" fillId="8" borderId="0" xfId="0" applyFont="1" applyFill="1"/>
    <xf numFmtId="0" fontId="6" fillId="8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166" fontId="6" fillId="6" borderId="0" xfId="4" applyNumberFormat="1" applyFont="1" applyFill="1" applyAlignment="1">
      <alignment horizontal="right"/>
    </xf>
    <xf numFmtId="166" fontId="6" fillId="0" borderId="0" xfId="4" applyNumberFormat="1" applyFont="1" applyAlignment="1">
      <alignment horizontal="right"/>
    </xf>
    <xf numFmtId="171" fontId="2" fillId="2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/>
    </xf>
    <xf numFmtId="0" fontId="6" fillId="0" borderId="0" xfId="14" applyNumberFormat="1" applyFont="1" applyFill="1" applyAlignment="1">
      <alignment vertical="center"/>
    </xf>
    <xf numFmtId="0" fontId="29" fillId="0" borderId="0" xfId="18"/>
    <xf numFmtId="0" fontId="1" fillId="0" borderId="0" xfId="19"/>
    <xf numFmtId="0" fontId="29" fillId="2" borderId="0" xfId="18" applyFill="1"/>
    <xf numFmtId="0" fontId="4" fillId="0" borderId="0" xfId="19" applyFont="1"/>
    <xf numFmtId="0" fontId="10" fillId="2" borderId="0" xfId="18" applyFont="1" applyFill="1"/>
    <xf numFmtId="0" fontId="30" fillId="2" borderId="0" xfId="17" applyFont="1" applyFill="1"/>
    <xf numFmtId="0" fontId="4" fillId="0" borderId="0" xfId="19" quotePrefix="1" applyFont="1" applyAlignment="1">
      <alignment horizontal="right"/>
    </xf>
    <xf numFmtId="0" fontId="4" fillId="0" borderId="0" xfId="19" applyFont="1" applyAlignment="1">
      <alignment horizontal="right"/>
    </xf>
    <xf numFmtId="0" fontId="1" fillId="0" borderId="0" xfId="19" quotePrefix="1" applyAlignment="1">
      <alignment horizontal="right"/>
    </xf>
    <xf numFmtId="0" fontId="0" fillId="2" borderId="0" xfId="0" applyFill="1"/>
    <xf numFmtId="169" fontId="11" fillId="12" borderId="5" xfId="10" applyNumberFormat="1" applyFont="1" applyFill="1" applyBorder="1" applyAlignment="1">
      <alignment horizontal="center" vertical="center" wrapText="1"/>
    </xf>
    <xf numFmtId="169" fontId="11" fillId="12" borderId="6" xfId="10" applyNumberFormat="1" applyFont="1" applyFill="1" applyBorder="1" applyAlignment="1">
      <alignment horizontal="center" vertical="center" wrapText="1"/>
    </xf>
    <xf numFmtId="0" fontId="15" fillId="12" borderId="0" xfId="14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6" fillId="11" borderId="0" xfId="14" applyNumberFormat="1" applyFont="1" applyFill="1" applyBorder="1" applyAlignment="1">
      <alignment horizontal="center" vertical="center" wrapText="1"/>
    </xf>
    <xf numFmtId="169" fontId="14" fillId="12" borderId="15" xfId="10" applyNumberFormat="1" applyFont="1" applyFill="1" applyBorder="1" applyAlignment="1">
      <alignment horizontal="center" vertical="center" wrapText="1"/>
    </xf>
    <xf numFmtId="169" fontId="14" fillId="12" borderId="4" xfId="10" applyNumberFormat="1" applyFont="1" applyFill="1" applyBorder="1" applyAlignment="1">
      <alignment horizontal="center" vertical="center" wrapText="1"/>
    </xf>
    <xf numFmtId="169" fontId="14" fillId="12" borderId="8" xfId="10" applyNumberFormat="1" applyFont="1" applyFill="1" applyBorder="1" applyAlignment="1">
      <alignment horizontal="center" vertical="center" wrapText="1"/>
    </xf>
    <xf numFmtId="169" fontId="14" fillId="12" borderId="3" xfId="10" applyNumberFormat="1" applyFont="1" applyFill="1" applyBorder="1" applyAlignment="1">
      <alignment horizontal="center" vertical="center" wrapText="1"/>
    </xf>
  </cellXfs>
  <cellStyles count="20">
    <cellStyle name="Check Cell 2" xfId="8" xr:uid="{00000000-0005-0000-0000-000000000000}"/>
    <cellStyle name="Comma" xfId="1" builtinId="3"/>
    <cellStyle name="Comma 2" xfId="7" xr:uid="{00000000-0005-0000-0000-000002000000}"/>
    <cellStyle name="Comma 21" xfId="13" xr:uid="{00000000-0005-0000-0000-000003000000}"/>
    <cellStyle name="Hyperlink" xfId="17" builtinId="8"/>
    <cellStyle name="Normal" xfId="0" builtinId="0"/>
    <cellStyle name="Normal - Style1" xfId="10" xr:uid="{00000000-0005-0000-0000-000006000000}"/>
    <cellStyle name="Normal 2" xfId="3" xr:uid="{00000000-0005-0000-0000-000007000000}"/>
    <cellStyle name="Normal 2 18" xfId="15" xr:uid="{00000000-0005-0000-0000-000008000000}"/>
    <cellStyle name="Normal 2 2" xfId="5" xr:uid="{00000000-0005-0000-0000-000009000000}"/>
    <cellStyle name="Normal 2 3" xfId="12" xr:uid="{00000000-0005-0000-0000-00000A000000}"/>
    <cellStyle name="Normal 2 4" xfId="19" xr:uid="{C8AAF9C5-8531-4B97-B33B-D1203AF88F8C}"/>
    <cellStyle name="Normal 3" xfId="6" xr:uid="{00000000-0005-0000-0000-00000B000000}"/>
    <cellStyle name="Normal 3 2" xfId="9" xr:uid="{00000000-0005-0000-0000-00000C000000}"/>
    <cellStyle name="Normal 4" xfId="18" xr:uid="{D4BC60D0-F9C6-4BB1-9C25-F9F032F042BC}"/>
    <cellStyle name="Normal 8" xfId="14" xr:uid="{00000000-0005-0000-0000-00000D000000}"/>
    <cellStyle name="Percent" xfId="2" builtinId="5"/>
    <cellStyle name="Percent 10" xfId="11" xr:uid="{00000000-0005-0000-0000-00000F000000}"/>
    <cellStyle name="Percent 2" xfId="4" xr:uid="{00000000-0005-0000-0000-000010000000}"/>
    <cellStyle name="Percent 8" xfId="16" xr:uid="{00000000-0005-0000-0000-000011000000}"/>
  </cellStyles>
  <dxfs count="408"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theme="9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theme="9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theme="9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theme="9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50B47F"/>
      <color rgb="FF8FC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417040569376299E-2"/>
          <c:y val="0.12413966829997646"/>
          <c:w val="0.95027864000244588"/>
          <c:h val="0.70690935849615288"/>
        </c:manualLayout>
      </c:layout>
      <c:lineChart>
        <c:grouping val="standard"/>
        <c:varyColors val="0"/>
        <c:ser>
          <c:idx val="0"/>
          <c:order val="0"/>
          <c:tx>
            <c:strRef>
              <c:f>Chairs!$AH$43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Chairs!$AU$43:$BR$43</c:f>
              <c:numCache>
                <c:formatCode>_(* #,##0_);_(* \(#,##0\);_(* "-"??_);_(@_)</c:formatCode>
                <c:ptCount val="24"/>
                <c:pt idx="0">
                  <c:v>331.4490467373322</c:v>
                </c:pt>
                <c:pt idx="1">
                  <c:v>192.22995172811426</c:v>
                </c:pt>
                <c:pt idx="2">
                  <c:v>293.89065448206242</c:v>
                </c:pt>
                <c:pt idx="3">
                  <c:v>298.23460000718501</c:v>
                </c:pt>
                <c:pt idx="4">
                  <c:v>370.87773730633921</c:v>
                </c:pt>
                <c:pt idx="5">
                  <c:v>211.52387079594456</c:v>
                </c:pt>
                <c:pt idx="6">
                  <c:v>330.4977830078887</c:v>
                </c:pt>
                <c:pt idx="7">
                  <c:v>207.34383916267058</c:v>
                </c:pt>
                <c:pt idx="8">
                  <c:v>331.0604260942003</c:v>
                </c:pt>
                <c:pt idx="9">
                  <c:v>191.55252713425921</c:v>
                </c:pt>
                <c:pt idx="10">
                  <c:v>319.95400557495987</c:v>
                </c:pt>
                <c:pt idx="11">
                  <c:v>196.25758209719424</c:v>
                </c:pt>
                <c:pt idx="12">
                  <c:v>346.82725108199998</c:v>
                </c:pt>
                <c:pt idx="13">
                  <c:v>238.79549961599997</c:v>
                </c:pt>
                <c:pt idx="14">
                  <c:v>350.51170027500001</c:v>
                </c:pt>
                <c:pt idx="15">
                  <c:v>268.37060003700003</c:v>
                </c:pt>
                <c:pt idx="16">
                  <c:v>198.77341220100004</c:v>
                </c:pt>
                <c:pt idx="17">
                  <c:v>451.48431072299996</c:v>
                </c:pt>
                <c:pt idx="18">
                  <c:v>348.54445078499998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A-44E7-9995-86AE6CED7320}"/>
            </c:ext>
          </c:extLst>
        </c:ser>
        <c:ser>
          <c:idx val="1"/>
          <c:order val="1"/>
          <c:tx>
            <c:strRef>
              <c:f>Chairs!$AH$45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Chairs!$AU$45:$BR$45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344.45830393412996</c:v>
                </c:pt>
                <c:pt idx="20">
                  <c:v>352.74481268649077</c:v>
                </c:pt>
                <c:pt idx="21">
                  <c:v>361.03132143885165</c:v>
                </c:pt>
                <c:pt idx="22">
                  <c:v>369.31783019121247</c:v>
                </c:pt>
                <c:pt idx="23">
                  <c:v>377.60433894357334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A-44E7-9995-86AE6CED7320}"/>
            </c:ext>
          </c:extLst>
        </c:ser>
        <c:ser>
          <c:idx val="2"/>
          <c:order val="2"/>
          <c:tx>
            <c:strRef>
              <c:f>Chairs!$AH$46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Chairs!$AU$46:$BR$46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312.88756023659471</c:v>
                </c:pt>
                <c:pt idx="20">
                  <c:v>315.27049012966927</c:v>
                </c:pt>
                <c:pt idx="21">
                  <c:v>317.65342002274377</c:v>
                </c:pt>
                <c:pt idx="22">
                  <c:v>320.03634991581833</c:v>
                </c:pt>
                <c:pt idx="23">
                  <c:v>322.4192798088929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A-44E7-9995-86AE6CED7320}"/>
            </c:ext>
          </c:extLst>
        </c:ser>
        <c:ser>
          <c:idx val="4"/>
          <c:order val="3"/>
          <c:tx>
            <c:strRef>
              <c:f>Chairs!$AH$44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Chairs!$AU$44:$BR$44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329.69726462469686</c:v>
                </c:pt>
                <c:pt idx="19">
                  <c:v>290.16686556334116</c:v>
                </c:pt>
                <c:pt idx="20">
                  <c:v>316.4511468259816</c:v>
                </c:pt>
                <c:pt idx="21">
                  <c:v>321.79118479345891</c:v>
                </c:pt>
                <c:pt idx="22">
                  <c:v>321.79118481246024</c:v>
                </c:pt>
                <c:pt idx="23">
                  <c:v>301.56365258830016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A-44E7-9995-86AE6CED7320}"/>
            </c:ext>
          </c:extLst>
        </c:ser>
        <c:ser>
          <c:idx val="5"/>
          <c:order val="4"/>
          <c:tx>
            <c:strRef>
              <c:f>Chairs!$AH$47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Chairs!$AU$47:$BR$47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348.54445078499998</c:v>
                </c:pt>
                <c:pt idx="19">
                  <c:v>290.16686556334116</c:v>
                </c:pt>
                <c:pt idx="20">
                  <c:v>316.4511468259816</c:v>
                </c:pt>
                <c:pt idx="21">
                  <c:v>321.79118479345891</c:v>
                </c:pt>
                <c:pt idx="22">
                  <c:v>321.79118481246024</c:v>
                </c:pt>
                <c:pt idx="23">
                  <c:v>301.56365258830016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A-44E7-9995-86AE6CED7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038646464923593E-2"/>
          <c:y val="0.10986371648551373"/>
          <c:w val="0.94601240774781203"/>
          <c:h val="0.72316486950826064"/>
        </c:manualLayout>
      </c:layout>
      <c:lineChart>
        <c:grouping val="standard"/>
        <c:varyColors val="0"/>
        <c:ser>
          <c:idx val="0"/>
          <c:order val="0"/>
          <c:tx>
            <c:strRef>
              <c:f>Chairs!$AH$25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Chairs!$AU$25:$BR$25</c:f>
              <c:numCache>
                <c:formatCode>_(* #,##0_);_(* \(#,##0\);_(* "-"??_);_(@_)</c:formatCode>
                <c:ptCount val="24"/>
                <c:pt idx="0">
                  <c:v>110</c:v>
                </c:pt>
                <c:pt idx="1">
                  <c:v>78</c:v>
                </c:pt>
                <c:pt idx="2">
                  <c:v>68</c:v>
                </c:pt>
                <c:pt idx="3">
                  <c:v>76</c:v>
                </c:pt>
                <c:pt idx="4">
                  <c:v>118</c:v>
                </c:pt>
                <c:pt idx="5">
                  <c:v>66</c:v>
                </c:pt>
                <c:pt idx="6">
                  <c:v>92</c:v>
                </c:pt>
                <c:pt idx="7">
                  <c:v>72</c:v>
                </c:pt>
                <c:pt idx="8">
                  <c:v>92</c:v>
                </c:pt>
                <c:pt idx="9">
                  <c:v>58</c:v>
                </c:pt>
                <c:pt idx="10">
                  <c:v>86</c:v>
                </c:pt>
                <c:pt idx="11">
                  <c:v>64</c:v>
                </c:pt>
                <c:pt idx="12">
                  <c:v>110</c:v>
                </c:pt>
                <c:pt idx="13">
                  <c:v>76</c:v>
                </c:pt>
                <c:pt idx="14">
                  <c:v>104</c:v>
                </c:pt>
                <c:pt idx="15">
                  <c:v>74</c:v>
                </c:pt>
                <c:pt idx="16">
                  <c:v>52</c:v>
                </c:pt>
                <c:pt idx="17">
                  <c:v>124</c:v>
                </c:pt>
                <c:pt idx="18">
                  <c:v>122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E-4C03-8950-5A403C616C5E}"/>
            </c:ext>
          </c:extLst>
        </c:ser>
        <c:ser>
          <c:idx val="1"/>
          <c:order val="1"/>
          <c:tx>
            <c:strRef>
              <c:f>Chairs!$AH$27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Chairs!$AU$27:$BR$27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105.23636363636363</c:v>
                </c:pt>
                <c:pt idx="20">
                  <c:v>108.2</c:v>
                </c:pt>
                <c:pt idx="21">
                  <c:v>111.16363636363636</c:v>
                </c:pt>
                <c:pt idx="22">
                  <c:v>114.12727272727273</c:v>
                </c:pt>
                <c:pt idx="23">
                  <c:v>117.09090909090909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0E-4C03-8950-5A403C616C5E}"/>
            </c:ext>
          </c:extLst>
        </c:ser>
        <c:ser>
          <c:idx val="2"/>
          <c:order val="2"/>
          <c:tx>
            <c:strRef>
              <c:f>Chairs!$AH$28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Chairs!$AU$28:$BR$28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96.867647058823522</c:v>
                </c:pt>
                <c:pt idx="20">
                  <c:v>98.127450980392155</c:v>
                </c:pt>
                <c:pt idx="21">
                  <c:v>99.387254901960773</c:v>
                </c:pt>
                <c:pt idx="22">
                  <c:v>100.64705882352941</c:v>
                </c:pt>
                <c:pt idx="23">
                  <c:v>101.90686274509804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0E-4C03-8950-5A403C616C5E}"/>
            </c:ext>
          </c:extLst>
        </c:ser>
        <c:ser>
          <c:idx val="4"/>
          <c:order val="3"/>
          <c:tx>
            <c:strRef>
              <c:f>Chairs!$AH$26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Chairs!$AU$26:$BR$26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98.918099799999993</c:v>
                </c:pt>
                <c:pt idx="19">
                  <c:v>93.588292800000005</c:v>
                </c:pt>
                <c:pt idx="20">
                  <c:v>91.0063028</c:v>
                </c:pt>
                <c:pt idx="21">
                  <c:v>81.825674599999999</c:v>
                </c:pt>
                <c:pt idx="22">
                  <c:v>97.164126800000005</c:v>
                </c:pt>
                <c:pt idx="23">
                  <c:v>90.401772399999999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0E-4C03-8950-5A403C616C5E}"/>
            </c:ext>
          </c:extLst>
        </c:ser>
        <c:ser>
          <c:idx val="5"/>
          <c:order val="4"/>
          <c:tx>
            <c:strRef>
              <c:f>Chairs!$AH$29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Chairs!$AU$15:$BR$15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Chairs!$AU$29:$BR$29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122</c:v>
                </c:pt>
                <c:pt idx="19">
                  <c:v>87.182787242677961</c:v>
                </c:pt>
                <c:pt idx="20">
                  <c:v>95.080094527224773</c:v>
                </c:pt>
                <c:pt idx="21">
                  <c:v>96.684548547440144</c:v>
                </c:pt>
                <c:pt idx="22">
                  <c:v>96.684548553149241</c:v>
                </c:pt>
                <c:pt idx="23">
                  <c:v>90.6070364467285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0E-4C03-8950-5A403C61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80739183516693"/>
          <c:y val="0.91660403245048905"/>
          <c:w val="0.72723489009322406"/>
          <c:h val="8.339596754951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417040569376299E-2"/>
          <c:y val="0.12413966829997646"/>
          <c:w val="0.95027864000244588"/>
          <c:h val="0.70690935849615288"/>
        </c:manualLayout>
      </c:layout>
      <c:lineChart>
        <c:grouping val="standard"/>
        <c:varyColors val="0"/>
        <c:ser>
          <c:idx val="0"/>
          <c:order val="0"/>
          <c:tx>
            <c:strRef>
              <c:f>Tables!$AH$43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Tables!$AU$43:$BR$43</c:f>
              <c:numCache>
                <c:formatCode>_(* #,##0_);_(* \(#,##0\);_(* "-"??_);_(@_)</c:formatCode>
                <c:ptCount val="24"/>
                <c:pt idx="0">
                  <c:v>450.49034758227958</c:v>
                </c:pt>
                <c:pt idx="1">
                  <c:v>418.08676739741873</c:v>
                </c:pt>
                <c:pt idx="2">
                  <c:v>363.19782962765345</c:v>
                </c:pt>
                <c:pt idx="3">
                  <c:v>589.79345417409127</c:v>
                </c:pt>
                <c:pt idx="4">
                  <c:v>473.90503862800011</c:v>
                </c:pt>
                <c:pt idx="5">
                  <c:v>550.86070067254582</c:v>
                </c:pt>
                <c:pt idx="6">
                  <c:v>445.98745644892921</c:v>
                </c:pt>
                <c:pt idx="7">
                  <c:v>508.46155316924569</c:v>
                </c:pt>
                <c:pt idx="8">
                  <c:v>424.09441453268971</c:v>
                </c:pt>
                <c:pt idx="9">
                  <c:v>633.17249457973378</c:v>
                </c:pt>
                <c:pt idx="10">
                  <c:v>700.03736602136826</c:v>
                </c:pt>
                <c:pt idx="11">
                  <c:v>383.17003717080217</c:v>
                </c:pt>
                <c:pt idx="12">
                  <c:v>448.48043121900002</c:v>
                </c:pt>
                <c:pt idx="13">
                  <c:v>404.02749370800007</c:v>
                </c:pt>
                <c:pt idx="14">
                  <c:v>362.43555380999999</c:v>
                </c:pt>
                <c:pt idx="15">
                  <c:v>309.66281012400003</c:v>
                </c:pt>
                <c:pt idx="16">
                  <c:v>462.26029832099994</c:v>
                </c:pt>
                <c:pt idx="17">
                  <c:v>484.914631101</c:v>
                </c:pt>
                <c:pt idx="18">
                  <c:v>321.86195075999996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E-43EC-9343-3E387E641D89}"/>
            </c:ext>
          </c:extLst>
        </c:ser>
        <c:ser>
          <c:idx val="1"/>
          <c:order val="1"/>
          <c:tx>
            <c:strRef>
              <c:f>Tables!$AH$45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Tables!$AU$45:$BR$45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336.70608153803062</c:v>
                </c:pt>
                <c:pt idx="20">
                  <c:v>318.06440601637519</c:v>
                </c:pt>
                <c:pt idx="21">
                  <c:v>299.42273049471981</c:v>
                </c:pt>
                <c:pt idx="22">
                  <c:v>280.78105497306439</c:v>
                </c:pt>
                <c:pt idx="23">
                  <c:v>262.13937945140901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E-43EC-9343-3E387E641D89}"/>
            </c:ext>
          </c:extLst>
        </c:ser>
        <c:ser>
          <c:idx val="2"/>
          <c:order val="2"/>
          <c:tx>
            <c:strRef>
              <c:f>Tables!$AH$46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Tables!$AU$46:$BR$46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392.36968685664988</c:v>
                </c:pt>
                <c:pt idx="20">
                  <c:v>384.55243955269555</c:v>
                </c:pt>
                <c:pt idx="21">
                  <c:v>376.73519224874121</c:v>
                </c:pt>
                <c:pt idx="22">
                  <c:v>368.91794494478694</c:v>
                </c:pt>
                <c:pt idx="23">
                  <c:v>361.10069764083261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2E-43EC-9343-3E387E641D89}"/>
            </c:ext>
          </c:extLst>
        </c:ser>
        <c:ser>
          <c:idx val="4"/>
          <c:order val="3"/>
          <c:tx>
            <c:strRef>
              <c:f>Tables!$AH$44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Tables!$AU$44:$BR$44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451.00764205129218</c:v>
                </c:pt>
                <c:pt idx="19">
                  <c:v>491.98578134349322</c:v>
                </c:pt>
                <c:pt idx="20">
                  <c:v>456.19993660066439</c:v>
                </c:pt>
                <c:pt idx="21">
                  <c:v>500.8574860792931</c:v>
                </c:pt>
                <c:pt idx="22">
                  <c:v>516.25265694857467</c:v>
                </c:pt>
                <c:pt idx="23">
                  <c:v>457.06834442026269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2E-43EC-9343-3E387E641D89}"/>
            </c:ext>
          </c:extLst>
        </c:ser>
        <c:ser>
          <c:idx val="5"/>
          <c:order val="4"/>
          <c:tx>
            <c:strRef>
              <c:f>Tables!$AH$47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Tables!$AU$47:$BR$47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321.86195075999996</c:v>
                </c:pt>
                <c:pt idx="19">
                  <c:v>491.98578134349322</c:v>
                </c:pt>
                <c:pt idx="20">
                  <c:v>456.19993660066439</c:v>
                </c:pt>
                <c:pt idx="21">
                  <c:v>500.8574860792931</c:v>
                </c:pt>
                <c:pt idx="22">
                  <c:v>516.25265694857467</c:v>
                </c:pt>
                <c:pt idx="23">
                  <c:v>457.06834442026269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2E-43EC-9343-3E387E641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038646464923593E-2"/>
          <c:y val="0.10986371648551373"/>
          <c:w val="0.94601240774781203"/>
          <c:h val="0.72316486950826064"/>
        </c:manualLayout>
      </c:layout>
      <c:lineChart>
        <c:grouping val="standard"/>
        <c:varyColors val="0"/>
        <c:ser>
          <c:idx val="0"/>
          <c:order val="0"/>
          <c:tx>
            <c:strRef>
              <c:f>Tables!$AH$25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Tables!$AU$25:$BR$25</c:f>
              <c:numCache>
                <c:formatCode>_(* #,##0_);_(* \(#,##0\);_(* "-"??_);_(@_)</c:formatCode>
                <c:ptCount val="24"/>
                <c:pt idx="0">
                  <c:v>376</c:v>
                </c:pt>
                <c:pt idx="1">
                  <c:v>324</c:v>
                </c:pt>
                <c:pt idx="2">
                  <c:v>312</c:v>
                </c:pt>
                <c:pt idx="3">
                  <c:v>406</c:v>
                </c:pt>
                <c:pt idx="4">
                  <c:v>358</c:v>
                </c:pt>
                <c:pt idx="5">
                  <c:v>456</c:v>
                </c:pt>
                <c:pt idx="6">
                  <c:v>392</c:v>
                </c:pt>
                <c:pt idx="7">
                  <c:v>412</c:v>
                </c:pt>
                <c:pt idx="8">
                  <c:v>412</c:v>
                </c:pt>
                <c:pt idx="9">
                  <c:v>516</c:v>
                </c:pt>
                <c:pt idx="10">
                  <c:v>548</c:v>
                </c:pt>
                <c:pt idx="11">
                  <c:v>366</c:v>
                </c:pt>
                <c:pt idx="12">
                  <c:v>396</c:v>
                </c:pt>
                <c:pt idx="13">
                  <c:v>356</c:v>
                </c:pt>
                <c:pt idx="14">
                  <c:v>414</c:v>
                </c:pt>
                <c:pt idx="15">
                  <c:v>326</c:v>
                </c:pt>
                <c:pt idx="16">
                  <c:v>366</c:v>
                </c:pt>
                <c:pt idx="17">
                  <c:v>442</c:v>
                </c:pt>
                <c:pt idx="18">
                  <c:v>396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A-41AE-BE9B-9C5870DA8873}"/>
            </c:ext>
          </c:extLst>
        </c:ser>
        <c:ser>
          <c:idx val="1"/>
          <c:order val="1"/>
          <c:tx>
            <c:strRef>
              <c:f>Tables!$AH$27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Tables!$AU$27:$BR$27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358.87272727272733</c:v>
                </c:pt>
                <c:pt idx="20">
                  <c:v>349.92727272727279</c:v>
                </c:pt>
                <c:pt idx="21">
                  <c:v>340.98181818181826</c:v>
                </c:pt>
                <c:pt idx="22">
                  <c:v>332.03636363636372</c:v>
                </c:pt>
                <c:pt idx="23">
                  <c:v>323.09090909090912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CA-41AE-BE9B-9C5870DA8873}"/>
            </c:ext>
          </c:extLst>
        </c:ser>
        <c:ser>
          <c:idx val="2"/>
          <c:order val="2"/>
          <c:tx>
            <c:strRef>
              <c:f>Tables!$AH$28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Tables!$AU$28:$BR$28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405.6764705882353</c:v>
                </c:pt>
                <c:pt idx="20">
                  <c:v>405.82352941176475</c:v>
                </c:pt>
                <c:pt idx="21">
                  <c:v>405.97058823529414</c:v>
                </c:pt>
                <c:pt idx="22">
                  <c:v>406.11764705882354</c:v>
                </c:pt>
                <c:pt idx="23">
                  <c:v>406.26470588235298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CA-41AE-BE9B-9C5870DA8873}"/>
            </c:ext>
          </c:extLst>
        </c:ser>
        <c:ser>
          <c:idx val="4"/>
          <c:order val="3"/>
          <c:tx>
            <c:strRef>
              <c:f>Tables!$AH$26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Tables!$AU$26:$BR$26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586.56549480000001</c:v>
                </c:pt>
                <c:pt idx="19">
                  <c:v>610.84170900000004</c:v>
                </c:pt>
                <c:pt idx="20">
                  <c:v>549.23390259999996</c:v>
                </c:pt>
                <c:pt idx="21">
                  <c:v>592.85767999999996</c:v>
                </c:pt>
                <c:pt idx="22">
                  <c:v>632.45291420000001</c:v>
                </c:pt>
                <c:pt idx="23">
                  <c:v>575.03393899999992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CA-41AE-BE9B-9C5870DA8873}"/>
            </c:ext>
          </c:extLst>
        </c:ser>
        <c:ser>
          <c:idx val="5"/>
          <c:order val="4"/>
          <c:tx>
            <c:strRef>
              <c:f>Tables!$AH$29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Tables!$AU$15:$BR$15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Tables!$AU$29:$BR$29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396</c:v>
                </c:pt>
                <c:pt idx="19">
                  <c:v>474.78993781315012</c:v>
                </c:pt>
                <c:pt idx="20">
                  <c:v>440.2548767517489</c:v>
                </c:pt>
                <c:pt idx="21">
                  <c:v>483.35155950942055</c:v>
                </c:pt>
                <c:pt idx="22">
                  <c:v>498.20863972765102</c:v>
                </c:pt>
                <c:pt idx="23">
                  <c:v>441.09293205801731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CA-41AE-BE9B-9C5870DA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80739183516693"/>
          <c:y val="0.91660403245048905"/>
          <c:w val="0.72723489009322406"/>
          <c:h val="8.339596754951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417040569376299E-2"/>
          <c:y val="0.12413966829997646"/>
          <c:w val="0.95027864000244588"/>
          <c:h val="0.70690935849615288"/>
        </c:manualLayout>
      </c:layout>
      <c:lineChart>
        <c:grouping val="standard"/>
        <c:varyColors val="0"/>
        <c:ser>
          <c:idx val="0"/>
          <c:order val="0"/>
          <c:tx>
            <c:strRef>
              <c:f>Kitchen!$AH$43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Kitchen!$AU$43:$BR$43</c:f>
              <c:numCache>
                <c:formatCode>_(* #,##0_);_(* \(#,##0\);_(* "-"??_);_(@_)</c:formatCode>
                <c:ptCount val="24"/>
                <c:pt idx="0">
                  <c:v>128.2637424294746</c:v>
                </c:pt>
                <c:pt idx="1">
                  <c:v>73.225479163447801</c:v>
                </c:pt>
                <c:pt idx="2">
                  <c:v>103.21733274663573</c:v>
                </c:pt>
                <c:pt idx="3">
                  <c:v>81.303604700199216</c:v>
                </c:pt>
                <c:pt idx="4">
                  <c:v>99.382012036533439</c:v>
                </c:pt>
                <c:pt idx="5">
                  <c:v>127.67019029246728</c:v>
                </c:pt>
                <c:pt idx="6">
                  <c:v>141.73287703650118</c:v>
                </c:pt>
                <c:pt idx="7">
                  <c:v>171.96272132692715</c:v>
                </c:pt>
                <c:pt idx="8">
                  <c:v>171.6325823685728</c:v>
                </c:pt>
                <c:pt idx="9">
                  <c:v>212.70068453824723</c:v>
                </c:pt>
                <c:pt idx="10">
                  <c:v>258.54867200973763</c:v>
                </c:pt>
                <c:pt idx="11">
                  <c:v>222.52373089299294</c:v>
                </c:pt>
                <c:pt idx="12">
                  <c:v>215.61462076800001</c:v>
                </c:pt>
                <c:pt idx="13">
                  <c:v>214.22626620299999</c:v>
                </c:pt>
                <c:pt idx="14">
                  <c:v>306.67822567799999</c:v>
                </c:pt>
                <c:pt idx="15">
                  <c:v>206.04026443199999</c:v>
                </c:pt>
                <c:pt idx="16">
                  <c:v>244.29622353899998</c:v>
                </c:pt>
                <c:pt idx="17">
                  <c:v>249.93769601399998</c:v>
                </c:pt>
                <c:pt idx="18">
                  <c:v>294.97234411200003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A-4D38-AEA2-73E5037EE7B1}"/>
            </c:ext>
          </c:extLst>
        </c:ser>
        <c:ser>
          <c:idx val="1"/>
          <c:order val="1"/>
          <c:tx>
            <c:strRef>
              <c:f>Kitchen!$AH$45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Kitchen!$AU$45:$BR$45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278.705729024829</c:v>
                </c:pt>
                <c:pt idx="20">
                  <c:v>285.80560339933766</c:v>
                </c:pt>
                <c:pt idx="21">
                  <c:v>292.90547777384626</c:v>
                </c:pt>
                <c:pt idx="22">
                  <c:v>300.00535214835486</c:v>
                </c:pt>
                <c:pt idx="23">
                  <c:v>307.10522652286352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A-4D38-AEA2-73E5037EE7B1}"/>
            </c:ext>
          </c:extLst>
        </c:ser>
        <c:ser>
          <c:idx val="2"/>
          <c:order val="2"/>
          <c:tx>
            <c:strRef>
              <c:f>Kitchen!$AH$46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Kitchen!$AU$46:$BR$46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302.64735997130816</c:v>
                </c:pt>
                <c:pt idx="20">
                  <c:v>314.55954997665083</c:v>
                </c:pt>
                <c:pt idx="21">
                  <c:v>326.47173998199344</c:v>
                </c:pt>
                <c:pt idx="22">
                  <c:v>338.3839299873361</c:v>
                </c:pt>
                <c:pt idx="23">
                  <c:v>350.29611999267871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A-4D38-AEA2-73E5037EE7B1}"/>
            </c:ext>
          </c:extLst>
        </c:ser>
        <c:ser>
          <c:idx val="4"/>
          <c:order val="3"/>
          <c:tx>
            <c:strRef>
              <c:f>Kitchen!$AH$44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Kitchen!$AU$44:$BR$44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417.69260545373788</c:v>
                </c:pt>
                <c:pt idx="19">
                  <c:v>448.6407287032506</c:v>
                </c:pt>
                <c:pt idx="20">
                  <c:v>483.50073124126294</c:v>
                </c:pt>
                <c:pt idx="21">
                  <c:v>523.94791897377274</c:v>
                </c:pt>
                <c:pt idx="22">
                  <c:v>567.92517929272958</c:v>
                </c:pt>
                <c:pt idx="23">
                  <c:v>614.83634907806095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FA-4D38-AEA2-73E5037EE7B1}"/>
            </c:ext>
          </c:extLst>
        </c:ser>
        <c:ser>
          <c:idx val="5"/>
          <c:order val="4"/>
          <c:tx>
            <c:strRef>
              <c:f>Kitchen!$AH$47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Kitchen!$AU$47:$BR$47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294.97234411200003</c:v>
                </c:pt>
                <c:pt idx="19">
                  <c:v>448.6407287032506</c:v>
                </c:pt>
                <c:pt idx="20">
                  <c:v>483.50073124126294</c:v>
                </c:pt>
                <c:pt idx="21">
                  <c:v>523.94791897377274</c:v>
                </c:pt>
                <c:pt idx="22">
                  <c:v>567.92517929272958</c:v>
                </c:pt>
                <c:pt idx="23">
                  <c:v>614.83634907806095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FA-4D38-AEA2-73E5037E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038646464923593E-2"/>
          <c:y val="0.10986371648551373"/>
          <c:w val="0.94601240774781203"/>
          <c:h val="0.72316486950826064"/>
        </c:manualLayout>
      </c:layout>
      <c:lineChart>
        <c:grouping val="standard"/>
        <c:varyColors val="0"/>
        <c:ser>
          <c:idx val="0"/>
          <c:order val="0"/>
          <c:tx>
            <c:strRef>
              <c:f>Kitchen!$AH$25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Kitchen!$AU$25:$BR$25</c:f>
              <c:numCache>
                <c:formatCode>_(* #,##0_);_(* \(#,##0\);_(* "-"??_);_(@_)</c:formatCode>
                <c:ptCount val="24"/>
                <c:pt idx="0">
                  <c:v>128</c:v>
                </c:pt>
                <c:pt idx="1">
                  <c:v>74</c:v>
                </c:pt>
                <c:pt idx="2">
                  <c:v>108</c:v>
                </c:pt>
                <c:pt idx="3">
                  <c:v>92</c:v>
                </c:pt>
                <c:pt idx="4">
                  <c:v>104</c:v>
                </c:pt>
                <c:pt idx="5">
                  <c:v>206</c:v>
                </c:pt>
                <c:pt idx="6">
                  <c:v>232</c:v>
                </c:pt>
                <c:pt idx="7">
                  <c:v>234</c:v>
                </c:pt>
                <c:pt idx="8">
                  <c:v>270</c:v>
                </c:pt>
                <c:pt idx="9">
                  <c:v>320</c:v>
                </c:pt>
                <c:pt idx="10">
                  <c:v>378</c:v>
                </c:pt>
                <c:pt idx="11">
                  <c:v>426</c:v>
                </c:pt>
                <c:pt idx="12">
                  <c:v>336</c:v>
                </c:pt>
                <c:pt idx="13">
                  <c:v>356</c:v>
                </c:pt>
                <c:pt idx="14">
                  <c:v>498</c:v>
                </c:pt>
                <c:pt idx="15">
                  <c:v>316</c:v>
                </c:pt>
                <c:pt idx="16">
                  <c:v>384</c:v>
                </c:pt>
                <c:pt idx="17">
                  <c:v>404</c:v>
                </c:pt>
                <c:pt idx="18">
                  <c:v>490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3-4A2A-8D98-684926F4B954}"/>
            </c:ext>
          </c:extLst>
        </c:ser>
        <c:ser>
          <c:idx val="1"/>
          <c:order val="1"/>
          <c:tx>
            <c:strRef>
              <c:f>Kitchen!$AH$27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Kitchen!$AU$27:$BR$27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455.96363636363634</c:v>
                </c:pt>
                <c:pt idx="20">
                  <c:v>468.65454545454543</c:v>
                </c:pt>
                <c:pt idx="21">
                  <c:v>481.34545454545457</c:v>
                </c:pt>
                <c:pt idx="22">
                  <c:v>494.0363636363636</c:v>
                </c:pt>
                <c:pt idx="23">
                  <c:v>506.72727272727275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3-4A2A-8D98-684926F4B954}"/>
            </c:ext>
          </c:extLst>
        </c:ser>
        <c:ser>
          <c:idx val="2"/>
          <c:order val="2"/>
          <c:tx>
            <c:strRef>
              <c:f>Kitchen!$AH$28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Kitchen!$AU$28:$BR$28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504.75</c:v>
                </c:pt>
                <c:pt idx="20">
                  <c:v>527.14705882352939</c:v>
                </c:pt>
                <c:pt idx="21">
                  <c:v>549.5441176470589</c:v>
                </c:pt>
                <c:pt idx="22">
                  <c:v>571.94117647058829</c:v>
                </c:pt>
                <c:pt idx="23">
                  <c:v>594.33823529411768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3-4A2A-8D98-684926F4B954}"/>
            </c:ext>
          </c:extLst>
        </c:ser>
        <c:ser>
          <c:idx val="4"/>
          <c:order val="3"/>
          <c:tx>
            <c:strRef>
              <c:f>Kitchen!$AH$26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Kitchen!$AU$26:$BR$26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739.48349380000002</c:v>
                </c:pt>
                <c:pt idx="19">
                  <c:v>786.80442240000002</c:v>
                </c:pt>
                <c:pt idx="20">
                  <c:v>842.37312420000001</c:v>
                </c:pt>
                <c:pt idx="21">
                  <c:v>907.37609739999994</c:v>
                </c:pt>
                <c:pt idx="22">
                  <c:v>972.86586119999993</c:v>
                </c:pt>
                <c:pt idx="23">
                  <c:v>1044.5206582000001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3-4A2A-8D98-684926F4B954}"/>
            </c:ext>
          </c:extLst>
        </c:ser>
        <c:ser>
          <c:idx val="5"/>
          <c:order val="4"/>
          <c:tx>
            <c:strRef>
              <c:f>Kitchen!$AH$29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Kitchen!$AU$15:$BR$15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Kitchen!$AU$29:$BR$29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490</c:v>
                </c:pt>
                <c:pt idx="19">
                  <c:v>721.23834733884996</c:v>
                </c:pt>
                <c:pt idx="20">
                  <c:v>777.27956029652228</c:v>
                </c:pt>
                <c:pt idx="21">
                  <c:v>842.30277590830678</c:v>
                </c:pt>
                <c:pt idx="22">
                  <c:v>913.00096384280994</c:v>
                </c:pt>
                <c:pt idx="23">
                  <c:v>988.41572760154975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3-4A2A-8D98-684926F4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80739183516693"/>
          <c:y val="0.91660403245048905"/>
          <c:w val="0.72723489009322406"/>
          <c:h val="8.339596754951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417040569376299E-2"/>
          <c:y val="0.12413966829997646"/>
          <c:w val="0.95027864000244588"/>
          <c:h val="0.70690935849615288"/>
        </c:manualLayout>
      </c:layout>
      <c:lineChart>
        <c:grouping val="standard"/>
        <c:varyColors val="0"/>
        <c:ser>
          <c:idx val="0"/>
          <c:order val="0"/>
          <c:tx>
            <c:strRef>
              <c:f>Accessories!$AH$43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Accessories!$AU$43:$BR$43</c:f>
              <c:numCache>
                <c:formatCode>_(* #,##0_);_(* \(#,##0\);_(* "-"??_);_(@_)</c:formatCode>
                <c:ptCount val="24"/>
                <c:pt idx="0">
                  <c:v>1690.3867757865562</c:v>
                </c:pt>
                <c:pt idx="1">
                  <c:v>2011.3839385243195</c:v>
                </c:pt>
                <c:pt idx="2">
                  <c:v>1545.1562668286288</c:v>
                </c:pt>
                <c:pt idx="3">
                  <c:v>2250.1060861155411</c:v>
                </c:pt>
                <c:pt idx="4">
                  <c:v>1970.3038874724662</c:v>
                </c:pt>
                <c:pt idx="5">
                  <c:v>1761.9690553753344</c:v>
                </c:pt>
                <c:pt idx="6">
                  <c:v>2447.2910734761708</c:v>
                </c:pt>
                <c:pt idx="7">
                  <c:v>1799.0383362456187</c:v>
                </c:pt>
                <c:pt idx="8">
                  <c:v>1950.4351278270096</c:v>
                </c:pt>
                <c:pt idx="9">
                  <c:v>2097.4438525737464</c:v>
                </c:pt>
                <c:pt idx="10">
                  <c:v>1940.7240471902387</c:v>
                </c:pt>
                <c:pt idx="11">
                  <c:v>2176.6650417491296</c:v>
                </c:pt>
                <c:pt idx="12">
                  <c:v>2374.8096808109999</c:v>
                </c:pt>
                <c:pt idx="13">
                  <c:v>1899.9102903480002</c:v>
                </c:pt>
                <c:pt idx="14">
                  <c:v>2876.2979462190001</c:v>
                </c:pt>
                <c:pt idx="15">
                  <c:v>1927.7196770369999</c:v>
                </c:pt>
                <c:pt idx="16">
                  <c:v>2047.5976440450002</c:v>
                </c:pt>
                <c:pt idx="17">
                  <c:v>2388.1333070249998</c:v>
                </c:pt>
                <c:pt idx="18">
                  <c:v>2230.7593678140001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E-49D4-BEB7-FDC0424E85AF}"/>
            </c:ext>
          </c:extLst>
        </c:ser>
        <c:ser>
          <c:idx val="1"/>
          <c:order val="1"/>
          <c:tx>
            <c:strRef>
              <c:f>Accessories!$AH$45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Accessories!$AU$45:$BR$45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2331.2413081101745</c:v>
                </c:pt>
                <c:pt idx="20">
                  <c:v>2357.5012839673382</c:v>
                </c:pt>
                <c:pt idx="21">
                  <c:v>2383.7612598245014</c:v>
                </c:pt>
                <c:pt idx="22">
                  <c:v>2410.0212356816651</c:v>
                </c:pt>
                <c:pt idx="23">
                  <c:v>2436.2812115388288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E-49D4-BEB7-FDC0424E85AF}"/>
            </c:ext>
          </c:extLst>
        </c:ser>
        <c:ser>
          <c:idx val="2"/>
          <c:order val="2"/>
          <c:tx>
            <c:strRef>
              <c:f>Accessories!$AH$46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Accessories!$AU$46:$BR$46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2334.8920548269607</c:v>
                </c:pt>
                <c:pt idx="20">
                  <c:v>2361.0933897544473</c:v>
                </c:pt>
                <c:pt idx="21">
                  <c:v>2387.294724681934</c:v>
                </c:pt>
                <c:pt idx="22">
                  <c:v>2413.4960596094206</c:v>
                </c:pt>
                <c:pt idx="23">
                  <c:v>2439.6973945369073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BE-49D4-BEB7-FDC0424E85AF}"/>
            </c:ext>
          </c:extLst>
        </c:ser>
        <c:ser>
          <c:idx val="4"/>
          <c:order val="3"/>
          <c:tx>
            <c:strRef>
              <c:f>Accessories!$AH$44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Accessories!$AU$44:$BR$44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2295.1582137395931</c:v>
                </c:pt>
                <c:pt idx="19">
                  <c:v>1964.3289439132727</c:v>
                </c:pt>
                <c:pt idx="20">
                  <c:v>2108.2431813156572</c:v>
                </c:pt>
                <c:pt idx="21">
                  <c:v>2301.332711682433</c:v>
                </c:pt>
                <c:pt idx="22">
                  <c:v>1961.6283494952713</c:v>
                </c:pt>
                <c:pt idx="23">
                  <c:v>2054.8871073274777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BE-49D4-BEB7-FDC0424E85AF}"/>
            </c:ext>
          </c:extLst>
        </c:ser>
        <c:ser>
          <c:idx val="5"/>
          <c:order val="4"/>
          <c:tx>
            <c:strRef>
              <c:f>Accessories!$AH$47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Accessories!$AU$47:$BR$47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2230.7593678140001</c:v>
                </c:pt>
                <c:pt idx="19">
                  <c:v>1964.3289439132727</c:v>
                </c:pt>
                <c:pt idx="20">
                  <c:v>2108.2431813156572</c:v>
                </c:pt>
                <c:pt idx="21">
                  <c:v>2301.332711682433</c:v>
                </c:pt>
                <c:pt idx="22">
                  <c:v>1961.6283494952713</c:v>
                </c:pt>
                <c:pt idx="23">
                  <c:v>2054.8871073274777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BE-49D4-BEB7-FDC0424E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038646464923593E-2"/>
          <c:y val="0.10986371648551373"/>
          <c:w val="0.94601240774781203"/>
          <c:h val="0.72316486950826064"/>
        </c:manualLayout>
      </c:layout>
      <c:lineChart>
        <c:grouping val="standard"/>
        <c:varyColors val="0"/>
        <c:ser>
          <c:idx val="0"/>
          <c:order val="0"/>
          <c:tx>
            <c:strRef>
              <c:f>Accessories!$AH$25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50B47F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Accessories!$AU$25:$BR$25</c:f>
              <c:numCache>
                <c:formatCode>_(* #,##0_);_(* \(#,##0\);_(* "-"??_);_(@_)</c:formatCode>
                <c:ptCount val="24"/>
                <c:pt idx="0">
                  <c:v>1252</c:v>
                </c:pt>
                <c:pt idx="1">
                  <c:v>1444</c:v>
                </c:pt>
                <c:pt idx="2">
                  <c:v>1136</c:v>
                </c:pt>
                <c:pt idx="3">
                  <c:v>1582</c:v>
                </c:pt>
                <c:pt idx="4">
                  <c:v>1440</c:v>
                </c:pt>
                <c:pt idx="5">
                  <c:v>1258</c:v>
                </c:pt>
                <c:pt idx="6">
                  <c:v>1734</c:v>
                </c:pt>
                <c:pt idx="7">
                  <c:v>1292</c:v>
                </c:pt>
                <c:pt idx="8">
                  <c:v>1418</c:v>
                </c:pt>
                <c:pt idx="9">
                  <c:v>1532</c:v>
                </c:pt>
                <c:pt idx="10">
                  <c:v>1394</c:v>
                </c:pt>
                <c:pt idx="11">
                  <c:v>1544</c:v>
                </c:pt>
                <c:pt idx="12">
                  <c:v>1714</c:v>
                </c:pt>
                <c:pt idx="13">
                  <c:v>1358</c:v>
                </c:pt>
                <c:pt idx="14">
                  <c:v>2066</c:v>
                </c:pt>
                <c:pt idx="15">
                  <c:v>1398</c:v>
                </c:pt>
                <c:pt idx="16">
                  <c:v>1510</c:v>
                </c:pt>
                <c:pt idx="17">
                  <c:v>1652</c:v>
                </c:pt>
                <c:pt idx="18">
                  <c:v>1852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1-4C1E-B91F-556A82CBAE15}"/>
            </c:ext>
          </c:extLst>
        </c:ser>
        <c:ser>
          <c:idx val="1"/>
          <c:order val="1"/>
          <c:tx>
            <c:strRef>
              <c:f>Accessories!$AH$27</c:f>
              <c:strCache>
                <c:ptCount val="1"/>
                <c:pt idx="0">
                  <c:v>Trend 6m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Accessories!$AU$27:$BR$27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1752.0727272727272</c:v>
                </c:pt>
                <c:pt idx="20">
                  <c:v>1779.8727272727274</c:v>
                </c:pt>
                <c:pt idx="21">
                  <c:v>1807.6727272727273</c:v>
                </c:pt>
                <c:pt idx="22">
                  <c:v>1835.4727272727273</c:v>
                </c:pt>
                <c:pt idx="23">
                  <c:v>1863.2727272727273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61-4C1E-B91F-556A82CBAE15}"/>
            </c:ext>
          </c:extLst>
        </c:ser>
        <c:ser>
          <c:idx val="2"/>
          <c:order val="2"/>
          <c:tx>
            <c:strRef>
              <c:f>Accessories!$AH$28</c:f>
              <c:strCache>
                <c:ptCount val="1"/>
                <c:pt idx="0">
                  <c:v>Trend 12m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Accessories!$AU$28:$BR$28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1731.205882352941</c:v>
                </c:pt>
                <c:pt idx="20">
                  <c:v>1754.4117647058822</c:v>
                </c:pt>
                <c:pt idx="21">
                  <c:v>1777.6176470588234</c:v>
                </c:pt>
                <c:pt idx="22">
                  <c:v>1800.8235294117646</c:v>
                </c:pt>
                <c:pt idx="23">
                  <c:v>1824.0294117647059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61-4C1E-B91F-556A82CBAE15}"/>
            </c:ext>
          </c:extLst>
        </c:ser>
        <c:ser>
          <c:idx val="4"/>
          <c:order val="3"/>
          <c:tx>
            <c:strRef>
              <c:f>Accessories!$AH$26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8FCFAD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Accessories!$AU$26:$BR$26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1826.1332344</c:v>
                </c:pt>
                <c:pt idx="19">
                  <c:v>1531.091353</c:v>
                </c:pt>
                <c:pt idx="20">
                  <c:v>1688.4721591999999</c:v>
                </c:pt>
                <c:pt idx="21">
                  <c:v>1783.2480271999998</c:v>
                </c:pt>
                <c:pt idx="22">
                  <c:v>1709.0544464</c:v>
                </c:pt>
                <c:pt idx="23">
                  <c:v>1815.9627645999999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61-4C1E-B91F-556A82CBAE15}"/>
            </c:ext>
          </c:extLst>
        </c:ser>
        <c:ser>
          <c:idx val="5"/>
          <c:order val="4"/>
          <c:tx>
            <c:strRef>
              <c:f>Accessories!$AH$29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Accessories!$AU$15:$BR$15</c:f>
              <c:strCache>
                <c:ptCount val="24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</c:strCache>
            </c:strRef>
          </c:cat>
          <c:val>
            <c:numRef>
              <c:f>Accessories!$AU$29:$BR$29</c:f>
              <c:numCache>
                <c:formatCode>_(* #,##0_);_(* \(#,##0\);_(* "-"??_);_(@_)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1852</c:v>
                </c:pt>
                <c:pt idx="19">
                  <c:v>1440.9444834415629</c:v>
                </c:pt>
                <c:pt idx="20">
                  <c:v>1546.5135772108297</c:v>
                </c:pt>
                <c:pt idx="21">
                  <c:v>1688.155482175099</c:v>
                </c:pt>
                <c:pt idx="22">
                  <c:v>1438.9634473016176</c:v>
                </c:pt>
                <c:pt idx="23">
                  <c:v>1507.3739307124163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61-4C1E-B91F-556A82CBA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39440"/>
        <c:axId val="536740224"/>
      </c:lineChart>
      <c:catAx>
        <c:axId val="53673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40224"/>
        <c:crosses val="autoZero"/>
        <c:auto val="1"/>
        <c:lblAlgn val="ctr"/>
        <c:lblOffset val="100"/>
        <c:noMultiLvlLbl val="1"/>
      </c:catAx>
      <c:valAx>
        <c:axId val="5367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67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80739183516693"/>
          <c:y val="0.91660403245048905"/>
          <c:w val="0.72723489009322406"/>
          <c:h val="8.3395967549510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4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Relationship Id="rId4" Type="http://schemas.openxmlformats.org/officeDocument/2006/relationships/image" Target="../media/image18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4" Type="http://schemas.openxmlformats.org/officeDocument/2006/relationships/image" Target="../media/image25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1378927</xdr:colOff>
      <xdr:row>3</xdr:row>
      <xdr:rowOff>82061</xdr:rowOff>
    </xdr:to>
    <xdr:pic>
      <xdr:nvPicPr>
        <xdr:cNvPr id="2" name="Picture 1" descr="1e20d745-580a-4e67-971f-5ba18a072b23@EURP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55277" cy="634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1228725</xdr:colOff>
          <xdr:row>0</xdr:row>
          <xdr:rowOff>0</xdr:rowOff>
        </xdr:to>
        <xdr:sp macro="" textlink="">
          <xdr:nvSpPr>
            <xdr:cNvPr id="558081" name="FPMExcelClientSheetOptionstb1" hidden="1">
              <a:extLst>
                <a:ext uri="{63B3BB69-23CF-44E3-9099-C40C66FF867C}">
                  <a14:compatExt spid="_x0000_s558081"/>
                </a:ext>
                <a:ext uri="{FF2B5EF4-FFF2-40B4-BE49-F238E27FC236}">
                  <a16:creationId xmlns:a16="http://schemas.microsoft.com/office/drawing/2014/main" id="{00000000-0008-0000-0300-0000018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1228725</xdr:colOff>
          <xdr:row>0</xdr:row>
          <xdr:rowOff>0</xdr:rowOff>
        </xdr:to>
        <xdr:sp macro="" textlink="">
          <xdr:nvSpPr>
            <xdr:cNvPr id="558082" name="ConnectionDescriptorsInfotb1" hidden="1">
              <a:extLst>
                <a:ext uri="{63B3BB69-23CF-44E3-9099-C40C66FF867C}">
                  <a14:compatExt spid="_x0000_s558082"/>
                </a:ext>
                <a:ext uri="{FF2B5EF4-FFF2-40B4-BE49-F238E27FC236}">
                  <a16:creationId xmlns:a16="http://schemas.microsoft.com/office/drawing/2014/main" id="{00000000-0008-0000-0300-0000028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1228725</xdr:colOff>
          <xdr:row>0</xdr:row>
          <xdr:rowOff>0</xdr:rowOff>
        </xdr:to>
        <xdr:sp macro="" textlink="">
          <xdr:nvSpPr>
            <xdr:cNvPr id="558083" name="MultipleReportManagerInfotb1" hidden="1">
              <a:extLst>
                <a:ext uri="{63B3BB69-23CF-44E3-9099-C40C66FF867C}">
                  <a14:compatExt spid="_x0000_s558083"/>
                </a:ext>
                <a:ext uri="{FF2B5EF4-FFF2-40B4-BE49-F238E27FC236}">
                  <a16:creationId xmlns:a16="http://schemas.microsoft.com/office/drawing/2014/main" id="{00000000-0008-0000-0300-0000038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1228725</xdr:colOff>
          <xdr:row>0</xdr:row>
          <xdr:rowOff>0</xdr:rowOff>
        </xdr:to>
        <xdr:sp macro="" textlink="">
          <xdr:nvSpPr>
            <xdr:cNvPr id="558084" name="AnalyzerDynReport000tb1" hidden="1">
              <a:extLst>
                <a:ext uri="{63B3BB69-23CF-44E3-9099-C40C66FF867C}">
                  <a14:compatExt spid="_x0000_s558084"/>
                </a:ext>
                <a:ext uri="{FF2B5EF4-FFF2-40B4-BE49-F238E27FC236}">
                  <a16:creationId xmlns:a16="http://schemas.microsoft.com/office/drawing/2014/main" id="{00000000-0008-0000-0300-0000048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1219200</xdr:colOff>
          <xdr:row>0</xdr:row>
          <xdr:rowOff>0</xdr:rowOff>
        </xdr:to>
        <xdr:sp macro="" textlink="">
          <xdr:nvSpPr>
            <xdr:cNvPr id="563201" name="FPMExcelClientSheetOptionstb1" hidden="1">
              <a:extLst>
                <a:ext uri="{63B3BB69-23CF-44E3-9099-C40C66FF867C}">
                  <a14:compatExt spid="_x0000_s563201"/>
                </a:ext>
                <a:ext uri="{FF2B5EF4-FFF2-40B4-BE49-F238E27FC236}">
                  <a16:creationId xmlns:a16="http://schemas.microsoft.com/office/drawing/2014/main" id="{00000000-0008-0000-0400-0000019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1219200</xdr:colOff>
          <xdr:row>0</xdr:row>
          <xdr:rowOff>0</xdr:rowOff>
        </xdr:to>
        <xdr:sp macro="" textlink="">
          <xdr:nvSpPr>
            <xdr:cNvPr id="563202" name="ConnectionDescriptorsInfotb1" hidden="1">
              <a:extLst>
                <a:ext uri="{63B3BB69-23CF-44E3-9099-C40C66FF867C}">
                  <a14:compatExt spid="_x0000_s563202"/>
                </a:ext>
                <a:ext uri="{FF2B5EF4-FFF2-40B4-BE49-F238E27FC236}">
                  <a16:creationId xmlns:a16="http://schemas.microsoft.com/office/drawing/2014/main" id="{00000000-0008-0000-0400-0000029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1219200</xdr:colOff>
          <xdr:row>0</xdr:row>
          <xdr:rowOff>0</xdr:rowOff>
        </xdr:to>
        <xdr:sp macro="" textlink="">
          <xdr:nvSpPr>
            <xdr:cNvPr id="563203" name="MultipleReportManagerInfotb1" hidden="1">
              <a:extLst>
                <a:ext uri="{63B3BB69-23CF-44E3-9099-C40C66FF867C}">
                  <a14:compatExt spid="_x0000_s563203"/>
                </a:ext>
                <a:ext uri="{FF2B5EF4-FFF2-40B4-BE49-F238E27FC236}">
                  <a16:creationId xmlns:a16="http://schemas.microsoft.com/office/drawing/2014/main" id="{00000000-0008-0000-0400-0000039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1219200</xdr:colOff>
          <xdr:row>0</xdr:row>
          <xdr:rowOff>0</xdr:rowOff>
        </xdr:to>
        <xdr:sp macro="" textlink="">
          <xdr:nvSpPr>
            <xdr:cNvPr id="563204" name="AnalyzerDynReport000tb1" hidden="1">
              <a:extLst>
                <a:ext uri="{63B3BB69-23CF-44E3-9099-C40C66FF867C}">
                  <a14:compatExt spid="_x0000_s563204"/>
                </a:ext>
                <a:ext uri="{FF2B5EF4-FFF2-40B4-BE49-F238E27FC236}">
                  <a16:creationId xmlns:a16="http://schemas.microsoft.com/office/drawing/2014/main" id="{00000000-0008-0000-0400-0000049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885825</xdr:colOff>
          <xdr:row>0</xdr:row>
          <xdr:rowOff>0</xdr:rowOff>
        </xdr:to>
        <xdr:sp macro="" textlink="">
          <xdr:nvSpPr>
            <xdr:cNvPr id="485377" name="FPMExcelClientSheetOptionstb1" hidden="1">
              <a:extLst>
                <a:ext uri="{63B3BB69-23CF-44E3-9099-C40C66FF867C}">
                  <a14:compatExt spid="_x0000_s485377"/>
                </a:ext>
                <a:ext uri="{FF2B5EF4-FFF2-40B4-BE49-F238E27FC236}">
                  <a16:creationId xmlns:a16="http://schemas.microsoft.com/office/drawing/2014/main" id="{00000000-0008-0000-0500-0000016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885825</xdr:colOff>
          <xdr:row>0</xdr:row>
          <xdr:rowOff>0</xdr:rowOff>
        </xdr:to>
        <xdr:sp macro="" textlink="">
          <xdr:nvSpPr>
            <xdr:cNvPr id="485378" name="MultipleReportManagerInfotb1" hidden="1">
              <a:extLst>
                <a:ext uri="{63B3BB69-23CF-44E3-9099-C40C66FF867C}">
                  <a14:compatExt spid="_x0000_s485378"/>
                </a:ext>
                <a:ext uri="{FF2B5EF4-FFF2-40B4-BE49-F238E27FC236}">
                  <a16:creationId xmlns:a16="http://schemas.microsoft.com/office/drawing/2014/main" id="{00000000-0008-0000-0500-0000026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885825</xdr:colOff>
          <xdr:row>0</xdr:row>
          <xdr:rowOff>0</xdr:rowOff>
        </xdr:to>
        <xdr:sp macro="" textlink="">
          <xdr:nvSpPr>
            <xdr:cNvPr id="485379" name="ConnectionDescriptorsInfotb1" hidden="1">
              <a:extLst>
                <a:ext uri="{63B3BB69-23CF-44E3-9099-C40C66FF867C}">
                  <a14:compatExt spid="_x0000_s485379"/>
                </a:ext>
                <a:ext uri="{FF2B5EF4-FFF2-40B4-BE49-F238E27FC236}">
                  <a16:creationId xmlns:a16="http://schemas.microsoft.com/office/drawing/2014/main" id="{00000000-0008-0000-0500-0000036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885825</xdr:colOff>
          <xdr:row>0</xdr:row>
          <xdr:rowOff>0</xdr:rowOff>
        </xdr:to>
        <xdr:sp macro="" textlink="">
          <xdr:nvSpPr>
            <xdr:cNvPr id="485380" name="AnalyzerDynReport000tb1" hidden="1">
              <a:extLst>
                <a:ext uri="{63B3BB69-23CF-44E3-9099-C40C66FF867C}">
                  <a14:compatExt spid="_x0000_s485380"/>
                </a:ext>
                <a:ext uri="{FF2B5EF4-FFF2-40B4-BE49-F238E27FC236}">
                  <a16:creationId xmlns:a16="http://schemas.microsoft.com/office/drawing/2014/main" id="{00000000-0008-0000-0500-0000046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41</xdr:row>
      <xdr:rowOff>106233</xdr:rowOff>
    </xdr:from>
    <xdr:to>
      <xdr:col>17</xdr:col>
      <xdr:colOff>629285</xdr:colOff>
      <xdr:row>57</xdr:row>
      <xdr:rowOff>139253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75489" name="FPMExcelClientSheetOptionstb1" hidden="1">
              <a:extLst>
                <a:ext uri="{63B3BB69-23CF-44E3-9099-C40C66FF867C}">
                  <a14:compatExt spid="_x0000_s575489"/>
                </a:ext>
                <a:ext uri="{FF2B5EF4-FFF2-40B4-BE49-F238E27FC236}">
                  <a16:creationId xmlns:a16="http://schemas.microsoft.com/office/drawing/2014/main" id="{00000000-0008-0000-0600-000001C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73041</xdr:colOff>
      <xdr:row>24</xdr:row>
      <xdr:rowOff>136077</xdr:rowOff>
    </xdr:from>
    <xdr:to>
      <xdr:col>17</xdr:col>
      <xdr:colOff>616585</xdr:colOff>
      <xdr:row>40</xdr:row>
      <xdr:rowOff>160970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304800</xdr:colOff>
          <xdr:row>0</xdr:row>
          <xdr:rowOff>0</xdr:rowOff>
        </xdr:to>
        <xdr:sp macro="" textlink="">
          <xdr:nvSpPr>
            <xdr:cNvPr id="575490" name="ConnectionDescriptorsInfotb1" hidden="1">
              <a:extLst>
                <a:ext uri="{63B3BB69-23CF-44E3-9099-C40C66FF867C}">
                  <a14:compatExt spid="_x0000_s575490"/>
                </a:ext>
                <a:ext uri="{FF2B5EF4-FFF2-40B4-BE49-F238E27FC236}">
                  <a16:creationId xmlns:a16="http://schemas.microsoft.com/office/drawing/2014/main" id="{00000000-0008-0000-0600-000002C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304800</xdr:colOff>
          <xdr:row>0</xdr:row>
          <xdr:rowOff>0</xdr:rowOff>
        </xdr:to>
        <xdr:sp macro="" textlink="">
          <xdr:nvSpPr>
            <xdr:cNvPr id="575491" name="MultipleReportManagerInfotb1" hidden="1">
              <a:extLst>
                <a:ext uri="{63B3BB69-23CF-44E3-9099-C40C66FF867C}">
                  <a14:compatExt spid="_x0000_s575491"/>
                </a:ext>
                <a:ext uri="{FF2B5EF4-FFF2-40B4-BE49-F238E27FC236}">
                  <a16:creationId xmlns:a16="http://schemas.microsoft.com/office/drawing/2014/main" id="{00000000-0008-0000-0600-000003C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304800</xdr:colOff>
          <xdr:row>0</xdr:row>
          <xdr:rowOff>0</xdr:rowOff>
        </xdr:to>
        <xdr:sp macro="" textlink="">
          <xdr:nvSpPr>
            <xdr:cNvPr id="575492" name="AnalyzerDynReport000tb1" hidden="1">
              <a:extLst>
                <a:ext uri="{63B3BB69-23CF-44E3-9099-C40C66FF867C}">
                  <a14:compatExt spid="_x0000_s575492"/>
                </a:ext>
                <a:ext uri="{FF2B5EF4-FFF2-40B4-BE49-F238E27FC236}">
                  <a16:creationId xmlns:a16="http://schemas.microsoft.com/office/drawing/2014/main" id="{00000000-0008-0000-0600-000004C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0.43787</cdr:x>
      <cdr:y>0.02064</cdr:y>
    </cdr:from>
    <cdr:to>
      <cdr:x>0.56507</cdr:x>
      <cdr:y>0.11696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40960" y="60960"/>
          <a:ext cx="1493520" cy="284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41</xdr:row>
      <xdr:rowOff>106233</xdr:rowOff>
    </xdr:from>
    <xdr:to>
      <xdr:col>17</xdr:col>
      <xdr:colOff>629285</xdr:colOff>
      <xdr:row>57</xdr:row>
      <xdr:rowOff>139253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70369" name="FPMExcelClientSheetOptionstb1" hidden="1">
              <a:extLst>
                <a:ext uri="{63B3BB69-23CF-44E3-9099-C40C66FF867C}">
                  <a14:compatExt spid="_x0000_s570369"/>
                </a:ext>
                <a:ext uri="{FF2B5EF4-FFF2-40B4-BE49-F238E27FC236}">
                  <a16:creationId xmlns:a16="http://schemas.microsoft.com/office/drawing/2014/main" id="{00000000-0008-0000-0700-000001B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73041</xdr:colOff>
      <xdr:row>24</xdr:row>
      <xdr:rowOff>136077</xdr:rowOff>
    </xdr:from>
    <xdr:to>
      <xdr:col>17</xdr:col>
      <xdr:colOff>616585</xdr:colOff>
      <xdr:row>40</xdr:row>
      <xdr:rowOff>160970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0370" name="ConnectionDescriptorsInfotb1" hidden="1">
              <a:extLst>
                <a:ext uri="{63B3BB69-23CF-44E3-9099-C40C66FF867C}">
                  <a14:compatExt spid="_x0000_s570370"/>
                </a:ext>
                <a:ext uri="{FF2B5EF4-FFF2-40B4-BE49-F238E27FC236}">
                  <a16:creationId xmlns:a16="http://schemas.microsoft.com/office/drawing/2014/main" id="{00000000-0008-0000-0700-000002B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0371" name="MultipleReportManagerInfotb1" hidden="1">
              <a:extLst>
                <a:ext uri="{63B3BB69-23CF-44E3-9099-C40C66FF867C}">
                  <a14:compatExt spid="_x0000_s570371"/>
                </a:ext>
                <a:ext uri="{FF2B5EF4-FFF2-40B4-BE49-F238E27FC236}">
                  <a16:creationId xmlns:a16="http://schemas.microsoft.com/office/drawing/2014/main" id="{00000000-0008-0000-0700-000003B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0372" name="AnalyzerDynReport000tb1" hidden="1">
              <a:extLst>
                <a:ext uri="{63B3BB69-23CF-44E3-9099-C40C66FF867C}">
                  <a14:compatExt spid="_x0000_s570372"/>
                </a:ext>
                <a:ext uri="{FF2B5EF4-FFF2-40B4-BE49-F238E27FC236}">
                  <a16:creationId xmlns:a16="http://schemas.microsoft.com/office/drawing/2014/main" id="{00000000-0008-0000-0700-000004B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0.43787</cdr:x>
      <cdr:y>0.02064</cdr:y>
    </cdr:from>
    <cdr:to>
      <cdr:x>0.56507</cdr:x>
      <cdr:y>0.11696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40960" y="60960"/>
          <a:ext cx="1493520" cy="284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41</xdr:row>
      <xdr:rowOff>106233</xdr:rowOff>
    </xdr:from>
    <xdr:to>
      <xdr:col>17</xdr:col>
      <xdr:colOff>629285</xdr:colOff>
      <xdr:row>57</xdr:row>
      <xdr:rowOff>139253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76513" name="FPMExcelClientSheetOptionstb1" hidden="1">
              <a:extLst>
                <a:ext uri="{63B3BB69-23CF-44E3-9099-C40C66FF867C}">
                  <a14:compatExt spid="_x0000_s576513"/>
                </a:ext>
                <a:ext uri="{FF2B5EF4-FFF2-40B4-BE49-F238E27FC236}">
                  <a16:creationId xmlns:a16="http://schemas.microsoft.com/office/drawing/2014/main" id="{00000000-0008-0000-0800-000001C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73041</xdr:colOff>
      <xdr:row>24</xdr:row>
      <xdr:rowOff>136077</xdr:rowOff>
    </xdr:from>
    <xdr:to>
      <xdr:col>17</xdr:col>
      <xdr:colOff>616585</xdr:colOff>
      <xdr:row>40</xdr:row>
      <xdr:rowOff>160970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6514" name="ConnectionDescriptorsInfotb1" hidden="1">
              <a:extLst>
                <a:ext uri="{63B3BB69-23CF-44E3-9099-C40C66FF867C}">
                  <a14:compatExt spid="_x0000_s576514"/>
                </a:ext>
                <a:ext uri="{FF2B5EF4-FFF2-40B4-BE49-F238E27FC236}">
                  <a16:creationId xmlns:a16="http://schemas.microsoft.com/office/drawing/2014/main" id="{00000000-0008-0000-0800-000002C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6515" name="MultipleReportManagerInfotb1" hidden="1">
              <a:extLst>
                <a:ext uri="{63B3BB69-23CF-44E3-9099-C40C66FF867C}">
                  <a14:compatExt spid="_x0000_s576515"/>
                </a:ext>
                <a:ext uri="{FF2B5EF4-FFF2-40B4-BE49-F238E27FC236}">
                  <a16:creationId xmlns:a16="http://schemas.microsoft.com/office/drawing/2014/main" id="{00000000-0008-0000-0800-000003C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314325</xdr:colOff>
          <xdr:row>0</xdr:row>
          <xdr:rowOff>0</xdr:rowOff>
        </xdr:to>
        <xdr:sp macro="" textlink="">
          <xdr:nvSpPr>
            <xdr:cNvPr id="576516" name="AnalyzerDynReport000tb1" hidden="1">
              <a:extLst>
                <a:ext uri="{63B3BB69-23CF-44E3-9099-C40C66FF867C}">
                  <a14:compatExt spid="_x0000_s576516"/>
                </a:ext>
                <a:ext uri="{FF2B5EF4-FFF2-40B4-BE49-F238E27FC236}">
                  <a16:creationId xmlns:a16="http://schemas.microsoft.com/office/drawing/2014/main" id="{00000000-0008-0000-0800-000004C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0.43787</cdr:x>
      <cdr:y>0.02064</cdr:y>
    </cdr:from>
    <cdr:to>
      <cdr:x>0.56507</cdr:x>
      <cdr:y>0.11696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40960" y="60960"/>
          <a:ext cx="1493520" cy="284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41</xdr:row>
      <xdr:rowOff>106233</xdr:rowOff>
    </xdr:from>
    <xdr:to>
      <xdr:col>17</xdr:col>
      <xdr:colOff>629285</xdr:colOff>
      <xdr:row>57</xdr:row>
      <xdr:rowOff>139253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77537" name="FPMExcelClientSheetOptionstb1" hidden="1">
              <a:extLst>
                <a:ext uri="{63B3BB69-23CF-44E3-9099-C40C66FF867C}">
                  <a14:compatExt spid="_x0000_s577537"/>
                </a:ext>
                <a:ext uri="{FF2B5EF4-FFF2-40B4-BE49-F238E27FC236}">
                  <a16:creationId xmlns:a16="http://schemas.microsoft.com/office/drawing/2014/main" id="{00000000-0008-0000-0900-000001D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73041</xdr:colOff>
      <xdr:row>24</xdr:row>
      <xdr:rowOff>136077</xdr:rowOff>
    </xdr:from>
    <xdr:to>
      <xdr:col>17</xdr:col>
      <xdr:colOff>616585</xdr:colOff>
      <xdr:row>40</xdr:row>
      <xdr:rowOff>160970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333375</xdr:colOff>
          <xdr:row>0</xdr:row>
          <xdr:rowOff>0</xdr:rowOff>
        </xdr:to>
        <xdr:sp macro="" textlink="">
          <xdr:nvSpPr>
            <xdr:cNvPr id="577538" name="ConnectionDescriptorsInfotb1" hidden="1">
              <a:extLst>
                <a:ext uri="{63B3BB69-23CF-44E3-9099-C40C66FF867C}">
                  <a14:compatExt spid="_x0000_s577538"/>
                </a:ext>
                <a:ext uri="{FF2B5EF4-FFF2-40B4-BE49-F238E27FC236}">
                  <a16:creationId xmlns:a16="http://schemas.microsoft.com/office/drawing/2014/main" id="{00000000-0008-0000-0900-000002D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333375</xdr:colOff>
          <xdr:row>0</xdr:row>
          <xdr:rowOff>0</xdr:rowOff>
        </xdr:to>
        <xdr:sp macro="" textlink="">
          <xdr:nvSpPr>
            <xdr:cNvPr id="577539" name="MultipleReportManagerInfotb1" hidden="1">
              <a:extLst>
                <a:ext uri="{63B3BB69-23CF-44E3-9099-C40C66FF867C}">
                  <a14:compatExt spid="_x0000_s577539"/>
                </a:ext>
                <a:ext uri="{FF2B5EF4-FFF2-40B4-BE49-F238E27FC236}">
                  <a16:creationId xmlns:a16="http://schemas.microsoft.com/office/drawing/2014/main" id="{00000000-0008-0000-0900-000003D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333375</xdr:colOff>
          <xdr:row>0</xdr:row>
          <xdr:rowOff>0</xdr:rowOff>
        </xdr:to>
        <xdr:sp macro="" textlink="">
          <xdr:nvSpPr>
            <xdr:cNvPr id="577540" name="AnalyzerDynReport000tb1" hidden="1">
              <a:extLst>
                <a:ext uri="{63B3BB69-23CF-44E3-9099-C40C66FF867C}">
                  <a14:compatExt spid="_x0000_s577540"/>
                </a:ext>
                <a:ext uri="{FF2B5EF4-FFF2-40B4-BE49-F238E27FC236}">
                  <a16:creationId xmlns:a16="http://schemas.microsoft.com/office/drawing/2014/main" id="{00000000-0008-0000-0900-000004D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0.43787</cdr:x>
      <cdr:y>0.02064</cdr:y>
    </cdr:from>
    <cdr:to>
      <cdr:x>0.56507</cdr:x>
      <cdr:y>0.11696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40960" y="60960"/>
          <a:ext cx="1493520" cy="284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HCHBS-S3047.EU.NOVARTIS.NET\ibnbs001\freebird\CSC\06%20updated%20csc_healthcare_biotech_modifi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HCHBS-S3047.EU.NOVARTIS.NET\PHCHBS-S3047.EU.NOVARTIS.NET\SAULJA2$\DOCUME~1\bullimi1\LOCALS~1\Temp\N.notes.data\FX%20effect%20LE2%20%20Q3%20September%20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ockfe1\OneDrive%20-%20Novartis%20Pharma%20AG\06%20DHBW%20Excel\Webinar\SimpleSlides\Templates\4%20Variance%20Analysis\Varian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Graph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Mapping"/>
      <sheetName val="Data"/>
      <sheetName val="Executive Summary"/>
      <sheetName val="Sales Performance"/>
      <sheetName val="Monthly Evolution"/>
    </sheetNames>
    <sheetDataSet>
      <sheetData sheetId="0"/>
      <sheetData sheetId="1"/>
      <sheetData sheetId="2">
        <row r="1">
          <cell r="A1" t="str">
            <v>Year</v>
          </cell>
          <cell r="B1" t="str">
            <v>Version</v>
          </cell>
          <cell r="C1" t="str">
            <v>Period</v>
          </cell>
          <cell r="D1" t="str">
            <v>Product</v>
          </cell>
          <cell r="E1" t="str">
            <v>Sales</v>
          </cell>
          <cell r="F1" t="str">
            <v>Month</v>
          </cell>
        </row>
        <row r="2">
          <cell r="A2">
            <v>2018</v>
          </cell>
          <cell r="B2" t="str">
            <v>Actual</v>
          </cell>
          <cell r="C2" t="str">
            <v>Jan</v>
          </cell>
          <cell r="D2" t="str">
            <v>Chairs</v>
          </cell>
          <cell r="E2">
            <v>7254.6039999999994</v>
          </cell>
          <cell r="F2">
            <v>1</v>
          </cell>
        </row>
        <row r="3">
          <cell r="A3">
            <v>2019</v>
          </cell>
          <cell r="B3" t="str">
            <v>Budget</v>
          </cell>
          <cell r="C3" t="str">
            <v>Jan</v>
          </cell>
          <cell r="D3" t="str">
            <v>Tables</v>
          </cell>
          <cell r="E3">
            <v>43245.762000000002</v>
          </cell>
          <cell r="F3">
            <v>1</v>
          </cell>
        </row>
        <row r="4">
          <cell r="A4">
            <v>2019</v>
          </cell>
          <cell r="B4" t="str">
            <v>Actual</v>
          </cell>
          <cell r="C4" t="str">
            <v>Jan</v>
          </cell>
          <cell r="D4" t="str">
            <v>Kitchen</v>
          </cell>
          <cell r="E4">
            <v>111638.982</v>
          </cell>
          <cell r="F4">
            <v>1</v>
          </cell>
        </row>
        <row r="5">
          <cell r="A5">
            <v>2019</v>
          </cell>
          <cell r="B5" t="str">
            <v>Budget</v>
          </cell>
          <cell r="C5" t="str">
            <v>Jan</v>
          </cell>
          <cell r="D5" t="str">
            <v>Accessories</v>
          </cell>
          <cell r="E5">
            <v>20014.861999999997</v>
          </cell>
          <cell r="F5">
            <v>1</v>
          </cell>
        </row>
        <row r="6">
          <cell r="A6">
            <v>2019</v>
          </cell>
          <cell r="B6" t="str">
            <v>Actual</v>
          </cell>
          <cell r="C6" t="str">
            <v>Jan</v>
          </cell>
          <cell r="D6" t="str">
            <v>Chairs</v>
          </cell>
          <cell r="E6">
            <v>125672.204</v>
          </cell>
          <cell r="F6">
            <v>1</v>
          </cell>
        </row>
        <row r="7">
          <cell r="A7">
            <v>2018</v>
          </cell>
          <cell r="B7" t="str">
            <v>Budget</v>
          </cell>
          <cell r="C7" t="str">
            <v>Jan</v>
          </cell>
          <cell r="D7" t="str">
            <v>Tables</v>
          </cell>
          <cell r="E7">
            <v>224101.073</v>
          </cell>
          <cell r="F7">
            <v>1</v>
          </cell>
        </row>
        <row r="8">
          <cell r="A8">
            <v>2019</v>
          </cell>
          <cell r="B8" t="str">
            <v>Actual</v>
          </cell>
          <cell r="C8" t="str">
            <v>Jan</v>
          </cell>
          <cell r="D8" t="str">
            <v>Kitchen</v>
          </cell>
          <cell r="E8">
            <v>91142.995999999999</v>
          </cell>
          <cell r="F8">
            <v>1</v>
          </cell>
        </row>
        <row r="9">
          <cell r="A9">
            <v>2018</v>
          </cell>
          <cell r="B9" t="str">
            <v>Budget</v>
          </cell>
          <cell r="C9" t="str">
            <v>Jan</v>
          </cell>
          <cell r="D9" t="str">
            <v>Accessories</v>
          </cell>
          <cell r="E9">
            <v>36306.983999999997</v>
          </cell>
          <cell r="F9">
            <v>1</v>
          </cell>
        </row>
        <row r="10">
          <cell r="A10">
            <v>2019</v>
          </cell>
          <cell r="B10" t="str">
            <v>Actual</v>
          </cell>
          <cell r="C10" t="str">
            <v>Jan</v>
          </cell>
          <cell r="D10" t="str">
            <v>Chairs</v>
          </cell>
          <cell r="E10">
            <v>5474.6089999999995</v>
          </cell>
          <cell r="F10">
            <v>1</v>
          </cell>
        </row>
        <row r="11">
          <cell r="A11">
            <v>2019</v>
          </cell>
          <cell r="B11" t="str">
            <v>Budget</v>
          </cell>
          <cell r="C11" t="str">
            <v>Jan</v>
          </cell>
          <cell r="D11" t="str">
            <v>Tables</v>
          </cell>
          <cell r="E11">
            <v>38166.534</v>
          </cell>
          <cell r="F11">
            <v>1</v>
          </cell>
        </row>
        <row r="12">
          <cell r="A12">
            <v>2018</v>
          </cell>
          <cell r="B12" t="str">
            <v>Actual</v>
          </cell>
          <cell r="C12" t="str">
            <v>Jan</v>
          </cell>
          <cell r="D12" t="str">
            <v>Kitchen</v>
          </cell>
          <cell r="E12">
            <v>1826.4889999999998</v>
          </cell>
          <cell r="F12">
            <v>1</v>
          </cell>
        </row>
        <row r="13">
          <cell r="A13">
            <v>2018</v>
          </cell>
          <cell r="B13" t="str">
            <v>Budget</v>
          </cell>
          <cell r="C13" t="str">
            <v>Jan</v>
          </cell>
          <cell r="D13" t="str">
            <v>Accessories</v>
          </cell>
          <cell r="E13">
            <v>106294.75499999999</v>
          </cell>
          <cell r="F13">
            <v>1</v>
          </cell>
        </row>
        <row r="14">
          <cell r="A14">
            <v>2019</v>
          </cell>
          <cell r="B14" t="str">
            <v>Actual</v>
          </cell>
          <cell r="C14" t="str">
            <v>Jan</v>
          </cell>
          <cell r="D14" t="str">
            <v>Chairs</v>
          </cell>
          <cell r="E14">
            <v>84842.561999999991</v>
          </cell>
          <cell r="F14">
            <v>1</v>
          </cell>
        </row>
        <row r="15">
          <cell r="A15">
            <v>2019</v>
          </cell>
          <cell r="B15" t="str">
            <v>Budget</v>
          </cell>
          <cell r="C15" t="str">
            <v>Jan</v>
          </cell>
          <cell r="D15" t="str">
            <v>Tables</v>
          </cell>
          <cell r="E15">
            <v>134574.79699999999</v>
          </cell>
          <cell r="F15">
            <v>1</v>
          </cell>
        </row>
        <row r="16">
          <cell r="A16">
            <v>2019</v>
          </cell>
          <cell r="B16" t="str">
            <v>Actual</v>
          </cell>
          <cell r="C16" t="str">
            <v>Jan</v>
          </cell>
          <cell r="D16" t="str">
            <v>Kitchen</v>
          </cell>
          <cell r="E16">
            <v>117651.28199999999</v>
          </cell>
          <cell r="F16">
            <v>1</v>
          </cell>
        </row>
        <row r="17">
          <cell r="A17">
            <v>2018</v>
          </cell>
          <cell r="B17" t="str">
            <v>Budget</v>
          </cell>
          <cell r="C17" t="str">
            <v>Jan</v>
          </cell>
          <cell r="D17" t="str">
            <v>Accessories</v>
          </cell>
          <cell r="E17">
            <v>159976.31299999999</v>
          </cell>
          <cell r="F17">
            <v>1</v>
          </cell>
        </row>
        <row r="18">
          <cell r="A18">
            <v>2018</v>
          </cell>
          <cell r="B18" t="str">
            <v>Actual</v>
          </cell>
          <cell r="C18" t="str">
            <v>Jan</v>
          </cell>
          <cell r="D18" t="str">
            <v>Chairs</v>
          </cell>
          <cell r="E18">
            <v>399.94499999999999</v>
          </cell>
          <cell r="F18">
            <v>1</v>
          </cell>
        </row>
        <row r="19">
          <cell r="A19">
            <v>2018</v>
          </cell>
          <cell r="B19" t="str">
            <v>Budget</v>
          </cell>
          <cell r="C19" t="str">
            <v>Jan</v>
          </cell>
          <cell r="D19" t="str">
            <v>Chairs</v>
          </cell>
          <cell r="E19">
            <v>4340782.4459999995</v>
          </cell>
          <cell r="F19">
            <v>1</v>
          </cell>
        </row>
        <row r="20">
          <cell r="A20">
            <v>2019</v>
          </cell>
          <cell r="B20" t="str">
            <v>Actual</v>
          </cell>
          <cell r="C20" t="str">
            <v>Jan</v>
          </cell>
          <cell r="D20" t="str">
            <v>Tables</v>
          </cell>
          <cell r="E20">
            <v>236550.20199999996</v>
          </cell>
          <cell r="F20">
            <v>1</v>
          </cell>
        </row>
        <row r="21">
          <cell r="A21">
            <v>2018</v>
          </cell>
          <cell r="B21" t="str">
            <v>Budget</v>
          </cell>
          <cell r="C21" t="str">
            <v>Jan</v>
          </cell>
          <cell r="D21" t="str">
            <v>Kitchen</v>
          </cell>
          <cell r="E21">
            <v>40552.406999999999</v>
          </cell>
          <cell r="F21">
            <v>1</v>
          </cell>
        </row>
        <row r="22">
          <cell r="A22">
            <v>2018</v>
          </cell>
          <cell r="B22" t="str">
            <v>Actual</v>
          </cell>
          <cell r="C22" t="str">
            <v>Jan</v>
          </cell>
          <cell r="D22" t="str">
            <v>Chairs</v>
          </cell>
          <cell r="E22">
            <v>27227.886000000002</v>
          </cell>
          <cell r="F22">
            <v>1</v>
          </cell>
        </row>
        <row r="23">
          <cell r="A23">
            <v>2019</v>
          </cell>
          <cell r="B23" t="str">
            <v>Budget</v>
          </cell>
          <cell r="C23" t="str">
            <v>Jan</v>
          </cell>
          <cell r="D23" t="str">
            <v>Tables</v>
          </cell>
          <cell r="E23">
            <v>204386.06999999998</v>
          </cell>
          <cell r="F23">
            <v>1</v>
          </cell>
        </row>
        <row r="24">
          <cell r="A24">
            <v>2019</v>
          </cell>
          <cell r="B24" t="str">
            <v>Actual</v>
          </cell>
          <cell r="C24" t="str">
            <v>Jan</v>
          </cell>
          <cell r="D24" t="str">
            <v>Kitchen</v>
          </cell>
          <cell r="E24">
            <v>1730673.406</v>
          </cell>
          <cell r="F24">
            <v>1</v>
          </cell>
        </row>
        <row r="25">
          <cell r="A25">
            <v>2019</v>
          </cell>
          <cell r="B25" t="str">
            <v>Budget</v>
          </cell>
          <cell r="C25" t="str">
            <v>Jan</v>
          </cell>
          <cell r="D25" t="str">
            <v>Chairs</v>
          </cell>
          <cell r="E25">
            <v>66744.391000000003</v>
          </cell>
          <cell r="F25">
            <v>1</v>
          </cell>
        </row>
        <row r="26">
          <cell r="A26">
            <v>2019</v>
          </cell>
          <cell r="B26" t="str">
            <v>Actual</v>
          </cell>
          <cell r="C26" t="str">
            <v>Jan</v>
          </cell>
          <cell r="D26" t="str">
            <v>Tables</v>
          </cell>
          <cell r="E26">
            <v>202920.75999999998</v>
          </cell>
          <cell r="F26">
            <v>1</v>
          </cell>
        </row>
        <row r="27">
          <cell r="A27">
            <v>2018</v>
          </cell>
          <cell r="B27" t="str">
            <v>Budget</v>
          </cell>
          <cell r="C27" t="str">
            <v>Jan</v>
          </cell>
          <cell r="D27" t="str">
            <v>Kitchen</v>
          </cell>
          <cell r="E27">
            <v>269641.03599999996</v>
          </cell>
          <cell r="F27">
            <v>1</v>
          </cell>
        </row>
        <row r="28">
          <cell r="A28">
            <v>2019</v>
          </cell>
          <cell r="B28" t="str">
            <v>Actual</v>
          </cell>
          <cell r="C28" t="str">
            <v>Jan</v>
          </cell>
          <cell r="D28" t="str">
            <v>Chairs</v>
          </cell>
          <cell r="E28">
            <v>155969.98899999997</v>
          </cell>
          <cell r="F28">
            <v>1</v>
          </cell>
        </row>
        <row r="29">
          <cell r="A29">
            <v>2019</v>
          </cell>
          <cell r="B29" t="str">
            <v>Budget</v>
          </cell>
          <cell r="C29" t="str">
            <v>Jan</v>
          </cell>
          <cell r="D29" t="str">
            <v>Chairs</v>
          </cell>
          <cell r="E29">
            <v>369402.68399999995</v>
          </cell>
          <cell r="F29">
            <v>1</v>
          </cell>
        </row>
        <row r="30">
          <cell r="A30">
            <v>2019</v>
          </cell>
          <cell r="B30" t="str">
            <v>Actual</v>
          </cell>
          <cell r="C30" t="str">
            <v>Jan</v>
          </cell>
          <cell r="D30" t="str">
            <v>Chairs</v>
          </cell>
          <cell r="E30">
            <v>307254.02399999998</v>
          </cell>
          <cell r="F30">
            <v>1</v>
          </cell>
        </row>
        <row r="31">
          <cell r="A31">
            <v>2019</v>
          </cell>
          <cell r="B31" t="str">
            <v>Budget</v>
          </cell>
          <cell r="C31" t="str">
            <v>Jan</v>
          </cell>
          <cell r="D31" t="str">
            <v>Chairs</v>
          </cell>
          <cell r="E31">
            <v>161681.84199999998</v>
          </cell>
          <cell r="F31">
            <v>1</v>
          </cell>
        </row>
        <row r="32">
          <cell r="A32">
            <v>2018</v>
          </cell>
          <cell r="B32" t="str">
            <v>Actual</v>
          </cell>
          <cell r="C32" t="str">
            <v>Jan</v>
          </cell>
          <cell r="D32" t="str">
            <v>Chairs</v>
          </cell>
          <cell r="E32">
            <v>94960.536999999997</v>
          </cell>
          <cell r="F32">
            <v>1</v>
          </cell>
        </row>
        <row r="33">
          <cell r="A33">
            <v>2018</v>
          </cell>
          <cell r="B33" t="str">
            <v>Budget</v>
          </cell>
          <cell r="C33" t="str">
            <v>Jan</v>
          </cell>
          <cell r="D33" t="str">
            <v>Chairs</v>
          </cell>
          <cell r="E33">
            <v>158964.16899999999</v>
          </cell>
          <cell r="F33">
            <v>1</v>
          </cell>
        </row>
        <row r="34">
          <cell r="A34">
            <v>2019</v>
          </cell>
          <cell r="B34" t="str">
            <v>Actual</v>
          </cell>
          <cell r="C34" t="str">
            <v>Jan</v>
          </cell>
          <cell r="D34" t="str">
            <v>Chairs</v>
          </cell>
          <cell r="E34">
            <v>564006.35899999994</v>
          </cell>
          <cell r="F34">
            <v>1</v>
          </cell>
        </row>
        <row r="35">
          <cell r="A35">
            <v>2019</v>
          </cell>
          <cell r="B35" t="str">
            <v>Budget</v>
          </cell>
          <cell r="C35" t="str">
            <v>Jan</v>
          </cell>
          <cell r="D35" t="str">
            <v>Chairs</v>
          </cell>
          <cell r="E35">
            <v>406845.49499999994</v>
          </cell>
          <cell r="F35">
            <v>1</v>
          </cell>
        </row>
        <row r="36">
          <cell r="A36">
            <v>2019</v>
          </cell>
          <cell r="B36" t="str">
            <v>Actual</v>
          </cell>
          <cell r="C36" t="str">
            <v>Jan</v>
          </cell>
          <cell r="D36" t="str">
            <v>Chairs</v>
          </cell>
          <cell r="E36">
            <v>277688.26399999997</v>
          </cell>
          <cell r="F36">
            <v>1</v>
          </cell>
        </row>
        <row r="37">
          <cell r="A37">
            <v>2018</v>
          </cell>
          <cell r="B37" t="str">
            <v>Budget</v>
          </cell>
          <cell r="C37" t="str">
            <v>Jan</v>
          </cell>
          <cell r="D37" t="str">
            <v>Chairs</v>
          </cell>
          <cell r="E37">
            <v>128539.579</v>
          </cell>
          <cell r="F37">
            <v>1</v>
          </cell>
        </row>
        <row r="38">
          <cell r="A38">
            <v>2019</v>
          </cell>
          <cell r="B38" t="str">
            <v>Actual</v>
          </cell>
          <cell r="C38" t="str">
            <v>Jan</v>
          </cell>
          <cell r="D38" t="str">
            <v>Chairs</v>
          </cell>
          <cell r="E38">
            <v>166182.18399999998</v>
          </cell>
          <cell r="F38">
            <v>1</v>
          </cell>
        </row>
        <row r="39">
          <cell r="A39">
            <v>2018</v>
          </cell>
          <cell r="B39" t="str">
            <v>Budget</v>
          </cell>
          <cell r="C39" t="str">
            <v>Jan</v>
          </cell>
          <cell r="D39" t="str">
            <v>Chairs</v>
          </cell>
          <cell r="E39">
            <v>53548.347999999998</v>
          </cell>
          <cell r="F39">
            <v>1</v>
          </cell>
        </row>
        <row r="40">
          <cell r="A40">
            <v>2018</v>
          </cell>
          <cell r="B40" t="str">
            <v>Actual</v>
          </cell>
          <cell r="C40" t="str">
            <v>Jan</v>
          </cell>
          <cell r="D40" t="str">
            <v>Chairs</v>
          </cell>
          <cell r="E40">
            <v>400482.50899999996</v>
          </cell>
          <cell r="F40">
            <v>1</v>
          </cell>
        </row>
        <row r="41">
          <cell r="A41">
            <v>2018</v>
          </cell>
          <cell r="B41" t="str">
            <v>Budget</v>
          </cell>
          <cell r="C41" t="str">
            <v>Jan</v>
          </cell>
          <cell r="D41" t="str">
            <v>Chairs</v>
          </cell>
          <cell r="E41">
            <v>25644.352999999999</v>
          </cell>
          <cell r="F41">
            <v>1</v>
          </cell>
        </row>
        <row r="42">
          <cell r="A42">
            <v>2019</v>
          </cell>
          <cell r="B42" t="str">
            <v>Actual</v>
          </cell>
          <cell r="C42" t="str">
            <v>Jan</v>
          </cell>
          <cell r="D42" t="str">
            <v>Chairs</v>
          </cell>
          <cell r="E42">
            <v>9915.1639999999989</v>
          </cell>
          <cell r="F42">
            <v>1</v>
          </cell>
        </row>
        <row r="43">
          <cell r="A43">
            <v>2018</v>
          </cell>
          <cell r="B43" t="str">
            <v>Budget</v>
          </cell>
          <cell r="C43" t="str">
            <v>Jan</v>
          </cell>
          <cell r="D43" t="str">
            <v>Chairs</v>
          </cell>
          <cell r="E43">
            <v>80318.160999999993</v>
          </cell>
          <cell r="F43">
            <v>1</v>
          </cell>
        </row>
        <row r="44">
          <cell r="A44">
            <v>2018</v>
          </cell>
          <cell r="B44" t="str">
            <v>Actual</v>
          </cell>
          <cell r="C44" t="str">
            <v>Jan</v>
          </cell>
          <cell r="D44" t="str">
            <v>Chairs</v>
          </cell>
          <cell r="E44">
            <v>39598.719999999994</v>
          </cell>
          <cell r="F44">
            <v>1</v>
          </cell>
        </row>
        <row r="45">
          <cell r="A45">
            <v>2018</v>
          </cell>
          <cell r="B45" t="str">
            <v>Budget</v>
          </cell>
          <cell r="C45" t="str">
            <v>Jan</v>
          </cell>
          <cell r="D45" t="str">
            <v>Chairs</v>
          </cell>
          <cell r="E45">
            <v>77095.395999999993</v>
          </cell>
          <cell r="F45">
            <v>1</v>
          </cell>
        </row>
        <row r="46">
          <cell r="A46">
            <v>2019</v>
          </cell>
          <cell r="B46" t="str">
            <v>Actual</v>
          </cell>
          <cell r="C46" t="str">
            <v>Jan</v>
          </cell>
          <cell r="D46" t="str">
            <v>Chairs</v>
          </cell>
          <cell r="E46">
            <v>61030.445</v>
          </cell>
          <cell r="F46">
            <v>1</v>
          </cell>
        </row>
        <row r="47">
          <cell r="A47">
            <v>2018</v>
          </cell>
          <cell r="B47" t="str">
            <v>Budget</v>
          </cell>
          <cell r="C47" t="str">
            <v>Jan</v>
          </cell>
          <cell r="D47" t="str">
            <v>Chairs</v>
          </cell>
          <cell r="E47">
            <v>60970.286999999997</v>
          </cell>
          <cell r="F47">
            <v>1</v>
          </cell>
        </row>
        <row r="48">
          <cell r="A48">
            <v>2018</v>
          </cell>
          <cell r="B48" t="str">
            <v>Actual</v>
          </cell>
          <cell r="C48" t="str">
            <v>Jan</v>
          </cell>
          <cell r="D48" t="str">
            <v>Chairs</v>
          </cell>
          <cell r="E48">
            <v>154416.24099999998</v>
          </cell>
          <cell r="F48">
            <v>1</v>
          </cell>
        </row>
        <row r="49">
          <cell r="A49">
            <v>2019</v>
          </cell>
          <cell r="B49" t="str">
            <v>Budget</v>
          </cell>
          <cell r="C49" t="str">
            <v>Jan</v>
          </cell>
          <cell r="D49" t="str">
            <v>Chairs</v>
          </cell>
          <cell r="E49">
            <v>5464.5919999999996</v>
          </cell>
          <cell r="F49">
            <v>1</v>
          </cell>
        </row>
        <row r="50">
          <cell r="A50">
            <v>2019</v>
          </cell>
          <cell r="B50" t="str">
            <v>Actual</v>
          </cell>
          <cell r="C50" t="str">
            <v>Jan</v>
          </cell>
          <cell r="D50" t="str">
            <v>Chairs</v>
          </cell>
          <cell r="E50">
            <v>117305.923</v>
          </cell>
          <cell r="F50">
            <v>1</v>
          </cell>
        </row>
        <row r="51">
          <cell r="A51">
            <v>2019</v>
          </cell>
          <cell r="B51" t="str">
            <v>Budget</v>
          </cell>
          <cell r="C51" t="str">
            <v>Jan</v>
          </cell>
          <cell r="D51" t="str">
            <v>Chairs</v>
          </cell>
          <cell r="E51">
            <v>5548.3890000000001</v>
          </cell>
          <cell r="F51">
            <v>1</v>
          </cell>
        </row>
        <row r="52">
          <cell r="A52">
            <v>2019</v>
          </cell>
          <cell r="B52" t="str">
            <v>Actual</v>
          </cell>
          <cell r="C52" t="str">
            <v>Jan</v>
          </cell>
          <cell r="D52" t="str">
            <v>Chairs</v>
          </cell>
          <cell r="E52">
            <v>194025.47499999998</v>
          </cell>
          <cell r="F52">
            <v>1</v>
          </cell>
        </row>
        <row r="53">
          <cell r="A53">
            <v>2018</v>
          </cell>
          <cell r="B53" t="str">
            <v>Budget</v>
          </cell>
          <cell r="C53" t="str">
            <v>Jan</v>
          </cell>
          <cell r="D53" t="str">
            <v>Chairs</v>
          </cell>
          <cell r="E53">
            <v>2594299.0150000001</v>
          </cell>
          <cell r="F53">
            <v>1</v>
          </cell>
        </row>
        <row r="54">
          <cell r="A54">
            <v>2019</v>
          </cell>
          <cell r="B54" t="str">
            <v>Actual</v>
          </cell>
          <cell r="C54" t="str">
            <v>Jan</v>
          </cell>
          <cell r="D54" t="str">
            <v>Tables</v>
          </cell>
          <cell r="E54">
            <v>422670.02399999992</v>
          </cell>
          <cell r="F54">
            <v>1</v>
          </cell>
        </row>
        <row r="55">
          <cell r="A55">
            <v>2018</v>
          </cell>
          <cell r="B55" t="str">
            <v>Budget</v>
          </cell>
          <cell r="C55" t="str">
            <v>Jan</v>
          </cell>
          <cell r="D55" t="str">
            <v>Kitchen</v>
          </cell>
          <cell r="E55">
            <v>228658.73800000001</v>
          </cell>
          <cell r="F55">
            <v>1</v>
          </cell>
        </row>
        <row r="56">
          <cell r="A56">
            <v>2019</v>
          </cell>
          <cell r="B56" t="str">
            <v>Actual</v>
          </cell>
          <cell r="C56" t="str">
            <v>Jan</v>
          </cell>
          <cell r="D56" t="str">
            <v>Chairs</v>
          </cell>
          <cell r="E56">
            <v>847129.20600000001</v>
          </cell>
          <cell r="F56">
            <v>1</v>
          </cell>
        </row>
        <row r="57">
          <cell r="A57">
            <v>2018</v>
          </cell>
          <cell r="B57" t="str">
            <v>Budget</v>
          </cell>
          <cell r="C57" t="str">
            <v>Jan</v>
          </cell>
          <cell r="D57" t="str">
            <v>Chairs</v>
          </cell>
          <cell r="E57">
            <v>113989.96699999999</v>
          </cell>
          <cell r="F57">
            <v>1</v>
          </cell>
        </row>
        <row r="58">
          <cell r="A58">
            <v>2019</v>
          </cell>
          <cell r="B58" t="str">
            <v>Actual</v>
          </cell>
          <cell r="C58" t="str">
            <v>Jan</v>
          </cell>
          <cell r="D58" t="str">
            <v>Chairs</v>
          </cell>
          <cell r="E58">
            <v>1072273.1669999999</v>
          </cell>
          <cell r="F58">
            <v>1</v>
          </cell>
        </row>
        <row r="59">
          <cell r="A59">
            <v>2018</v>
          </cell>
          <cell r="B59" t="str">
            <v>Budget</v>
          </cell>
          <cell r="C59" t="str">
            <v>Jan</v>
          </cell>
          <cell r="D59" t="str">
            <v>Chairs</v>
          </cell>
          <cell r="E59">
            <v>650165.3899999999</v>
          </cell>
          <cell r="F59">
            <v>1</v>
          </cell>
        </row>
        <row r="60">
          <cell r="A60">
            <v>2019</v>
          </cell>
          <cell r="B60" t="str">
            <v>Actual</v>
          </cell>
          <cell r="C60" t="str">
            <v>Jan</v>
          </cell>
          <cell r="D60" t="str">
            <v>Chairs</v>
          </cell>
          <cell r="E60">
            <v>110016.08099999999</v>
          </cell>
          <cell r="F60">
            <v>1</v>
          </cell>
        </row>
        <row r="61">
          <cell r="A61">
            <v>2019</v>
          </cell>
          <cell r="B61" t="str">
            <v>Budget</v>
          </cell>
          <cell r="C61" t="str">
            <v>Jan</v>
          </cell>
          <cell r="D61" t="str">
            <v>Tables</v>
          </cell>
          <cell r="E61">
            <v>1513305.101</v>
          </cell>
          <cell r="F61">
            <v>1</v>
          </cell>
        </row>
        <row r="62">
          <cell r="A62">
            <v>2019</v>
          </cell>
          <cell r="B62" t="str">
            <v>Actual</v>
          </cell>
          <cell r="C62" t="str">
            <v>Jan</v>
          </cell>
          <cell r="D62" t="str">
            <v>Kitchen</v>
          </cell>
          <cell r="E62">
            <v>76953.716</v>
          </cell>
          <cell r="F62">
            <v>1</v>
          </cell>
        </row>
        <row r="63">
          <cell r="A63">
            <v>2018</v>
          </cell>
          <cell r="B63" t="str">
            <v>Budget</v>
          </cell>
          <cell r="C63" t="str">
            <v>Jan</v>
          </cell>
          <cell r="D63" t="str">
            <v>Chairs</v>
          </cell>
          <cell r="E63">
            <v>78443.560999999987</v>
          </cell>
          <cell r="F63">
            <v>1</v>
          </cell>
        </row>
        <row r="64">
          <cell r="A64">
            <v>2019</v>
          </cell>
          <cell r="B64" t="str">
            <v>Actual</v>
          </cell>
          <cell r="C64" t="str">
            <v>Jan</v>
          </cell>
          <cell r="D64" t="str">
            <v>Chairs</v>
          </cell>
          <cell r="E64">
            <v>155580.67699999997</v>
          </cell>
          <cell r="F64">
            <v>1</v>
          </cell>
        </row>
        <row r="65">
          <cell r="A65">
            <v>2019</v>
          </cell>
          <cell r="B65" t="str">
            <v>Budget</v>
          </cell>
          <cell r="C65" t="str">
            <v>Jan</v>
          </cell>
          <cell r="D65" t="str">
            <v>Chairs</v>
          </cell>
          <cell r="E65">
            <v>12557.159999999998</v>
          </cell>
          <cell r="F65">
            <v>1</v>
          </cell>
        </row>
        <row r="66">
          <cell r="A66">
            <v>2019</v>
          </cell>
          <cell r="B66" t="str">
            <v>Actual</v>
          </cell>
          <cell r="C66" t="str">
            <v>Jan</v>
          </cell>
          <cell r="D66" t="str">
            <v>Tables</v>
          </cell>
          <cell r="E66">
            <v>771266.37</v>
          </cell>
          <cell r="F66">
            <v>1</v>
          </cell>
        </row>
        <row r="67">
          <cell r="A67">
            <v>2019</v>
          </cell>
          <cell r="B67" t="str">
            <v>Budget</v>
          </cell>
          <cell r="C67" t="str">
            <v>Jan</v>
          </cell>
          <cell r="D67" t="str">
            <v>Kitchen</v>
          </cell>
          <cell r="E67">
            <v>945768.56499999994</v>
          </cell>
          <cell r="F67">
            <v>1</v>
          </cell>
        </row>
        <row r="68">
          <cell r="A68">
            <v>2018</v>
          </cell>
          <cell r="B68" t="str">
            <v>Actual</v>
          </cell>
          <cell r="C68" t="str">
            <v>Jan</v>
          </cell>
          <cell r="D68" t="str">
            <v>Chairs</v>
          </cell>
          <cell r="E68">
            <v>117092.10799999999</v>
          </cell>
          <cell r="F68">
            <v>1</v>
          </cell>
        </row>
        <row r="69">
          <cell r="A69">
            <v>2018</v>
          </cell>
          <cell r="B69" t="str">
            <v>Budget</v>
          </cell>
          <cell r="C69" t="str">
            <v>Jan</v>
          </cell>
          <cell r="D69" t="str">
            <v>Chairs</v>
          </cell>
          <cell r="E69">
            <v>-26017.432000000001</v>
          </cell>
          <cell r="F69">
            <v>1</v>
          </cell>
        </row>
        <row r="70">
          <cell r="A70">
            <v>2019</v>
          </cell>
          <cell r="B70" t="str">
            <v>Actual</v>
          </cell>
          <cell r="C70" t="str">
            <v>Jan</v>
          </cell>
          <cell r="D70" t="str">
            <v>Tables</v>
          </cell>
          <cell r="E70">
            <v>5000177.9239999996</v>
          </cell>
          <cell r="F70">
            <v>1</v>
          </cell>
        </row>
        <row r="71">
          <cell r="A71">
            <v>2019</v>
          </cell>
          <cell r="B71" t="str">
            <v>Budget</v>
          </cell>
          <cell r="C71" t="str">
            <v>Jan</v>
          </cell>
          <cell r="D71" t="str">
            <v>Kitchen</v>
          </cell>
          <cell r="E71">
            <v>606785.05999999994</v>
          </cell>
          <cell r="F71">
            <v>1</v>
          </cell>
        </row>
        <row r="72">
          <cell r="A72">
            <v>2018</v>
          </cell>
          <cell r="B72" t="str">
            <v>Actual</v>
          </cell>
          <cell r="C72" t="str">
            <v>Jan</v>
          </cell>
          <cell r="D72" t="str">
            <v>Chairs</v>
          </cell>
          <cell r="E72">
            <v>207816.95899999997</v>
          </cell>
          <cell r="F72">
            <v>1</v>
          </cell>
        </row>
        <row r="73">
          <cell r="A73">
            <v>2018</v>
          </cell>
          <cell r="B73" t="str">
            <v>Budget</v>
          </cell>
          <cell r="C73" t="str">
            <v>Jan</v>
          </cell>
          <cell r="D73" t="str">
            <v>Chairs</v>
          </cell>
          <cell r="E73">
            <v>82513.808999999994</v>
          </cell>
          <cell r="F73">
            <v>1</v>
          </cell>
        </row>
        <row r="74">
          <cell r="A74">
            <v>2018</v>
          </cell>
          <cell r="B74" t="str">
            <v>Actual</v>
          </cell>
          <cell r="C74" t="str">
            <v>Jan</v>
          </cell>
          <cell r="D74" t="str">
            <v>Tables</v>
          </cell>
          <cell r="E74">
            <v>59150.370999999992</v>
          </cell>
          <cell r="F74">
            <v>1</v>
          </cell>
        </row>
        <row r="75">
          <cell r="A75">
            <v>2018</v>
          </cell>
          <cell r="B75" t="str">
            <v>Budget</v>
          </cell>
          <cell r="C75" t="str">
            <v>Jan</v>
          </cell>
          <cell r="D75" t="str">
            <v>Kitchen</v>
          </cell>
          <cell r="E75">
            <v>238177.58299999998</v>
          </cell>
          <cell r="F75">
            <v>1</v>
          </cell>
        </row>
        <row r="76">
          <cell r="A76">
            <v>2018</v>
          </cell>
          <cell r="B76" t="str">
            <v>Actual</v>
          </cell>
          <cell r="C76" t="str">
            <v>Jan</v>
          </cell>
          <cell r="D76" t="str">
            <v>Accessories</v>
          </cell>
          <cell r="E76">
            <v>213865.51199999996</v>
          </cell>
          <cell r="F76">
            <v>1</v>
          </cell>
        </row>
        <row r="77">
          <cell r="A77">
            <v>2018</v>
          </cell>
          <cell r="B77" t="str">
            <v>Budget</v>
          </cell>
          <cell r="C77" t="str">
            <v>Jan</v>
          </cell>
          <cell r="D77" t="str">
            <v>Chairs</v>
          </cell>
          <cell r="E77">
            <v>3934786.5269999998</v>
          </cell>
          <cell r="F77">
            <v>1</v>
          </cell>
        </row>
        <row r="78">
          <cell r="A78">
            <v>2018</v>
          </cell>
          <cell r="B78" t="str">
            <v>Actual</v>
          </cell>
          <cell r="C78" t="str">
            <v>Jan</v>
          </cell>
          <cell r="D78" t="str">
            <v>Tables</v>
          </cell>
          <cell r="E78">
            <v>298932.16499999998</v>
          </cell>
          <cell r="F78">
            <v>1</v>
          </cell>
        </row>
        <row r="79">
          <cell r="A79">
            <v>2019</v>
          </cell>
          <cell r="B79" t="str">
            <v>Budget</v>
          </cell>
          <cell r="C79" t="str">
            <v>Jan</v>
          </cell>
          <cell r="D79" t="str">
            <v>Kitchen</v>
          </cell>
          <cell r="E79">
            <v>177146.361</v>
          </cell>
          <cell r="F79">
            <v>1</v>
          </cell>
        </row>
        <row r="80">
          <cell r="A80">
            <v>2018</v>
          </cell>
          <cell r="B80" t="str">
            <v>Actual</v>
          </cell>
          <cell r="C80" t="str">
            <v>Jan</v>
          </cell>
          <cell r="D80" t="str">
            <v>Accessories</v>
          </cell>
          <cell r="E80">
            <v>759144.71499999997</v>
          </cell>
          <cell r="F80">
            <v>1</v>
          </cell>
        </row>
        <row r="81">
          <cell r="A81">
            <v>2018</v>
          </cell>
          <cell r="B81" t="str">
            <v>Budget</v>
          </cell>
          <cell r="C81" t="str">
            <v>Jan</v>
          </cell>
          <cell r="D81" t="str">
            <v>Chairs</v>
          </cell>
          <cell r="E81">
            <v>812149.32400000002</v>
          </cell>
          <cell r="F81">
            <v>1</v>
          </cell>
        </row>
        <row r="82">
          <cell r="A82">
            <v>2019</v>
          </cell>
          <cell r="B82" t="str">
            <v>Actual</v>
          </cell>
          <cell r="C82" t="str">
            <v>Jan</v>
          </cell>
          <cell r="D82" t="str">
            <v>Tables</v>
          </cell>
          <cell r="E82">
            <v>1933949.9409999999</v>
          </cell>
          <cell r="F82">
            <v>1</v>
          </cell>
        </row>
        <row r="83">
          <cell r="A83">
            <v>2019</v>
          </cell>
          <cell r="B83" t="str">
            <v>Budget</v>
          </cell>
          <cell r="C83" t="str">
            <v>Jan</v>
          </cell>
          <cell r="D83" t="str">
            <v>Kitchen</v>
          </cell>
          <cell r="E83">
            <v>364394.49199999997</v>
          </cell>
          <cell r="F83">
            <v>1</v>
          </cell>
        </row>
        <row r="84">
          <cell r="A84">
            <v>2018</v>
          </cell>
          <cell r="B84" t="str">
            <v>Actual</v>
          </cell>
          <cell r="C84" t="str">
            <v>Jan</v>
          </cell>
          <cell r="D84" t="str">
            <v>Accessories</v>
          </cell>
          <cell r="E84">
            <v>82256.887999999992</v>
          </cell>
          <cell r="F84">
            <v>1</v>
          </cell>
        </row>
        <row r="85">
          <cell r="A85">
            <v>2018</v>
          </cell>
          <cell r="B85" t="str">
            <v>Budget</v>
          </cell>
          <cell r="C85" t="str">
            <v>Jan</v>
          </cell>
          <cell r="D85" t="str">
            <v>Chairs</v>
          </cell>
          <cell r="E85">
            <v>60211.949000000001</v>
          </cell>
          <cell r="F85">
            <v>1</v>
          </cell>
        </row>
        <row r="86">
          <cell r="A86">
            <v>2019</v>
          </cell>
          <cell r="B86" t="str">
            <v>Actual</v>
          </cell>
          <cell r="C86" t="str">
            <v>Jan</v>
          </cell>
          <cell r="D86" t="str">
            <v>Tables</v>
          </cell>
          <cell r="E86">
            <v>94295.39</v>
          </cell>
          <cell r="F86">
            <v>1</v>
          </cell>
        </row>
        <row r="87">
          <cell r="A87">
            <v>2019</v>
          </cell>
          <cell r="B87" t="str">
            <v>Budget</v>
          </cell>
          <cell r="C87" t="str">
            <v>Jan</v>
          </cell>
          <cell r="D87" t="str">
            <v>Kitchen</v>
          </cell>
          <cell r="E87">
            <v>257945.24</v>
          </cell>
          <cell r="F87">
            <v>1</v>
          </cell>
        </row>
        <row r="88">
          <cell r="A88">
            <v>2019</v>
          </cell>
          <cell r="B88" t="str">
            <v>Actual</v>
          </cell>
          <cell r="C88" t="str">
            <v>Jan</v>
          </cell>
          <cell r="D88" t="str">
            <v>Accessories</v>
          </cell>
          <cell r="E88">
            <v>238919.14199999999</v>
          </cell>
          <cell r="F88">
            <v>1</v>
          </cell>
        </row>
        <row r="89">
          <cell r="A89">
            <v>2019</v>
          </cell>
          <cell r="B89" t="str">
            <v>Budget</v>
          </cell>
          <cell r="C89" t="str">
            <v>Jan</v>
          </cell>
          <cell r="D89" t="str">
            <v>Chairs</v>
          </cell>
          <cell r="E89">
            <v>108222.65999999999</v>
          </cell>
          <cell r="F89">
            <v>1</v>
          </cell>
        </row>
        <row r="90">
          <cell r="A90">
            <v>2018</v>
          </cell>
          <cell r="B90" t="str">
            <v>Actual</v>
          </cell>
          <cell r="C90" t="str">
            <v>Jan</v>
          </cell>
          <cell r="D90" t="str">
            <v>Tables</v>
          </cell>
          <cell r="E90">
            <v>637030.68799999997</v>
          </cell>
          <cell r="F90">
            <v>1</v>
          </cell>
        </row>
        <row r="91">
          <cell r="A91">
            <v>2019</v>
          </cell>
          <cell r="B91" t="str">
            <v>Budget</v>
          </cell>
          <cell r="C91" t="str">
            <v>Jan</v>
          </cell>
          <cell r="D91" t="str">
            <v>Kitchen</v>
          </cell>
          <cell r="E91">
            <v>245350.413</v>
          </cell>
          <cell r="F91">
            <v>1</v>
          </cell>
        </row>
        <row r="92">
          <cell r="A92">
            <v>2018</v>
          </cell>
          <cell r="B92" t="str">
            <v>Actual</v>
          </cell>
          <cell r="C92" t="str">
            <v>Jan</v>
          </cell>
          <cell r="D92" t="str">
            <v>Accessories</v>
          </cell>
          <cell r="E92">
            <v>82219.857999999993</v>
          </cell>
          <cell r="F92">
            <v>1</v>
          </cell>
        </row>
        <row r="93">
          <cell r="A93">
            <v>2018</v>
          </cell>
          <cell r="B93" t="str">
            <v>Budget</v>
          </cell>
          <cell r="C93" t="str">
            <v>Jan</v>
          </cell>
          <cell r="D93" t="str">
            <v>Chairs</v>
          </cell>
          <cell r="E93">
            <v>474317.80899999995</v>
          </cell>
          <cell r="F93">
            <v>1</v>
          </cell>
        </row>
        <row r="94">
          <cell r="A94">
            <v>2018</v>
          </cell>
          <cell r="B94" t="str">
            <v>Actual</v>
          </cell>
          <cell r="C94" t="str">
            <v>Jan</v>
          </cell>
          <cell r="D94" t="str">
            <v>Chairs</v>
          </cell>
          <cell r="E94">
            <v>210148.11300000001</v>
          </cell>
          <cell r="F94">
            <v>1</v>
          </cell>
        </row>
        <row r="95">
          <cell r="A95">
            <v>2019</v>
          </cell>
          <cell r="B95" t="str">
            <v>Budget</v>
          </cell>
          <cell r="C95" t="str">
            <v>Jan</v>
          </cell>
          <cell r="D95" t="str">
            <v>Tables</v>
          </cell>
          <cell r="E95">
            <v>896050.04999999993</v>
          </cell>
          <cell r="F95">
            <v>1</v>
          </cell>
        </row>
        <row r="96">
          <cell r="A96">
            <v>2019</v>
          </cell>
          <cell r="B96" t="str">
            <v>Actual</v>
          </cell>
          <cell r="C96" t="str">
            <v>Jan</v>
          </cell>
          <cell r="D96" t="str">
            <v>Kitchen</v>
          </cell>
          <cell r="E96">
            <v>25872.195999999996</v>
          </cell>
          <cell r="F96">
            <v>1</v>
          </cell>
        </row>
        <row r="97">
          <cell r="A97">
            <v>2018</v>
          </cell>
          <cell r="B97" t="str">
            <v>Budget</v>
          </cell>
          <cell r="C97" t="str">
            <v>Jan</v>
          </cell>
          <cell r="D97" t="str">
            <v>Chairs</v>
          </cell>
          <cell r="E97">
            <v>92218.72099999999</v>
          </cell>
          <cell r="F97">
            <v>1</v>
          </cell>
        </row>
        <row r="98">
          <cell r="A98">
            <v>2019</v>
          </cell>
          <cell r="B98" t="str">
            <v>Actual</v>
          </cell>
          <cell r="C98" t="str">
            <v>Jan</v>
          </cell>
          <cell r="D98" t="str">
            <v>Tables</v>
          </cell>
          <cell r="E98">
            <v>171086.20899999997</v>
          </cell>
          <cell r="F98">
            <v>1</v>
          </cell>
        </row>
        <row r="99">
          <cell r="A99">
            <v>2019</v>
          </cell>
          <cell r="B99" t="str">
            <v>Budget</v>
          </cell>
          <cell r="C99" t="str">
            <v>Jan</v>
          </cell>
          <cell r="D99" t="str">
            <v>Kitchen</v>
          </cell>
          <cell r="E99">
            <v>4066.5659999999998</v>
          </cell>
          <cell r="F99">
            <v>1</v>
          </cell>
        </row>
        <row r="100">
          <cell r="A100">
            <v>2019</v>
          </cell>
          <cell r="B100" t="str">
            <v>Actual</v>
          </cell>
          <cell r="C100" t="str">
            <v>Jan</v>
          </cell>
          <cell r="D100" t="str">
            <v>Chairs</v>
          </cell>
          <cell r="E100">
            <v>168139.09699999998</v>
          </cell>
          <cell r="F100">
            <v>1</v>
          </cell>
        </row>
        <row r="101">
          <cell r="A101">
            <v>2018</v>
          </cell>
          <cell r="B101" t="str">
            <v>Budget</v>
          </cell>
          <cell r="C101" t="str">
            <v>Jan</v>
          </cell>
          <cell r="D101" t="str">
            <v>Tables</v>
          </cell>
          <cell r="E101">
            <v>1220863.679</v>
          </cell>
          <cell r="F101">
            <v>1</v>
          </cell>
        </row>
        <row r="102">
          <cell r="A102">
            <v>2019</v>
          </cell>
          <cell r="B102" t="str">
            <v>Actual</v>
          </cell>
          <cell r="C102" t="str">
            <v>Jan</v>
          </cell>
          <cell r="D102" t="str">
            <v>Kitchen</v>
          </cell>
          <cell r="E102">
            <v>38260.228999999999</v>
          </cell>
          <cell r="F102">
            <v>1</v>
          </cell>
        </row>
        <row r="103">
          <cell r="A103">
            <v>2019</v>
          </cell>
          <cell r="B103" t="str">
            <v>Budget</v>
          </cell>
          <cell r="C103" t="str">
            <v>Jan</v>
          </cell>
          <cell r="D103" t="str">
            <v>Chairs</v>
          </cell>
          <cell r="E103">
            <v>64338.315999999999</v>
          </cell>
          <cell r="F103">
            <v>1</v>
          </cell>
        </row>
        <row r="104">
          <cell r="A104">
            <v>2019</v>
          </cell>
          <cell r="B104" t="str">
            <v>Actual</v>
          </cell>
          <cell r="C104" t="str">
            <v>Jan</v>
          </cell>
          <cell r="D104" t="str">
            <v>Chairs</v>
          </cell>
          <cell r="E104">
            <v>136977.03599999999</v>
          </cell>
          <cell r="F104">
            <v>1</v>
          </cell>
        </row>
        <row r="105">
          <cell r="A105">
            <v>2019</v>
          </cell>
          <cell r="B105" t="str">
            <v>Budget</v>
          </cell>
          <cell r="C105" t="str">
            <v>Jan</v>
          </cell>
          <cell r="D105" t="str">
            <v>Chairs</v>
          </cell>
          <cell r="E105">
            <v>51836.035999999993</v>
          </cell>
          <cell r="F105">
            <v>1</v>
          </cell>
        </row>
        <row r="106">
          <cell r="A106">
            <v>2018</v>
          </cell>
          <cell r="B106" t="str">
            <v>Actual</v>
          </cell>
          <cell r="C106" t="str">
            <v>Jan</v>
          </cell>
          <cell r="D106" t="str">
            <v>Chairs</v>
          </cell>
          <cell r="E106">
            <v>72364.00499999999</v>
          </cell>
          <cell r="F106">
            <v>1</v>
          </cell>
        </row>
        <row r="107">
          <cell r="A107">
            <v>2018</v>
          </cell>
          <cell r="B107" t="str">
            <v>Budget</v>
          </cell>
          <cell r="C107" t="str">
            <v>Jan</v>
          </cell>
          <cell r="D107" t="str">
            <v>Chairs</v>
          </cell>
          <cell r="E107">
            <v>147816.67599999998</v>
          </cell>
          <cell r="F107">
            <v>1</v>
          </cell>
        </row>
        <row r="108">
          <cell r="A108">
            <v>2019</v>
          </cell>
          <cell r="B108" t="str">
            <v>Actual</v>
          </cell>
          <cell r="C108" t="str">
            <v>Jan</v>
          </cell>
          <cell r="D108" t="str">
            <v>Chairs</v>
          </cell>
          <cell r="E108">
            <v>12238.540999999999</v>
          </cell>
          <cell r="F108">
            <v>1</v>
          </cell>
        </row>
        <row r="109">
          <cell r="A109">
            <v>2019</v>
          </cell>
          <cell r="B109" t="str">
            <v>Budget</v>
          </cell>
          <cell r="C109" t="str">
            <v>Jan</v>
          </cell>
          <cell r="D109" t="str">
            <v>Chairs</v>
          </cell>
          <cell r="E109">
            <v>7735.42</v>
          </cell>
          <cell r="F109">
            <v>1</v>
          </cell>
        </row>
        <row r="110">
          <cell r="A110">
            <v>2018</v>
          </cell>
          <cell r="B110" t="str">
            <v>Actual</v>
          </cell>
          <cell r="C110" t="str">
            <v>Jan</v>
          </cell>
          <cell r="D110" t="str">
            <v>Chairs</v>
          </cell>
          <cell r="E110">
            <v>346841.04700000002</v>
          </cell>
          <cell r="F110">
            <v>1</v>
          </cell>
        </row>
        <row r="111">
          <cell r="A111">
            <v>2018</v>
          </cell>
          <cell r="B111" t="str">
            <v>Budget</v>
          </cell>
          <cell r="C111" t="str">
            <v>Jan</v>
          </cell>
          <cell r="D111" t="str">
            <v>Chairs</v>
          </cell>
          <cell r="E111">
            <v>3213.6369999999997</v>
          </cell>
          <cell r="F111">
            <v>1</v>
          </cell>
        </row>
        <row r="112">
          <cell r="A112">
            <v>2018</v>
          </cell>
          <cell r="B112" t="str">
            <v>Actual</v>
          </cell>
          <cell r="C112" t="str">
            <v>Jan</v>
          </cell>
          <cell r="D112" t="str">
            <v>Chairs</v>
          </cell>
          <cell r="E112">
            <v>15478.259999999998</v>
          </cell>
          <cell r="F112">
            <v>1</v>
          </cell>
        </row>
        <row r="113">
          <cell r="A113">
            <v>2018</v>
          </cell>
          <cell r="B113" t="str">
            <v>Budget</v>
          </cell>
          <cell r="C113" t="str">
            <v>Jan</v>
          </cell>
          <cell r="D113" t="str">
            <v>Chairs</v>
          </cell>
          <cell r="E113">
            <v>1773.625</v>
          </cell>
          <cell r="F113">
            <v>1</v>
          </cell>
        </row>
        <row r="114">
          <cell r="A114">
            <v>2018</v>
          </cell>
          <cell r="B114" t="str">
            <v>Actual</v>
          </cell>
          <cell r="C114" t="str">
            <v>Jan</v>
          </cell>
          <cell r="D114" t="str">
            <v>Chairs</v>
          </cell>
          <cell r="E114">
            <v>35306.676999999996</v>
          </cell>
          <cell r="F114">
            <v>1</v>
          </cell>
        </row>
        <row r="115">
          <cell r="A115">
            <v>2019</v>
          </cell>
          <cell r="B115" t="str">
            <v>Budget</v>
          </cell>
          <cell r="C115" t="str">
            <v>Jan</v>
          </cell>
          <cell r="D115" t="str">
            <v>Chairs</v>
          </cell>
          <cell r="E115">
            <v>142975.10499999998</v>
          </cell>
          <cell r="F115">
            <v>1</v>
          </cell>
        </row>
        <row r="116">
          <cell r="A116">
            <v>2018</v>
          </cell>
          <cell r="B116" t="str">
            <v>Actual</v>
          </cell>
          <cell r="C116" t="str">
            <v>Jan</v>
          </cell>
          <cell r="D116" t="str">
            <v>Chairs</v>
          </cell>
          <cell r="E116">
            <v>298480.54599999997</v>
          </cell>
          <cell r="F116">
            <v>1</v>
          </cell>
        </row>
        <row r="117">
          <cell r="A117">
            <v>2018</v>
          </cell>
          <cell r="B117" t="str">
            <v>Budget</v>
          </cell>
          <cell r="C117" t="str">
            <v>Jan</v>
          </cell>
          <cell r="D117" t="str">
            <v>Chairs</v>
          </cell>
          <cell r="E117">
            <v>104406.708</v>
          </cell>
          <cell r="F117">
            <v>1</v>
          </cell>
        </row>
        <row r="118">
          <cell r="A118">
            <v>2018</v>
          </cell>
          <cell r="B118" t="str">
            <v>Actual</v>
          </cell>
          <cell r="C118" t="str">
            <v>Jan</v>
          </cell>
          <cell r="D118" t="str">
            <v>Chairs</v>
          </cell>
          <cell r="E118">
            <v>877926.23100000003</v>
          </cell>
          <cell r="F118">
            <v>1</v>
          </cell>
        </row>
        <row r="119">
          <cell r="A119">
            <v>2019</v>
          </cell>
          <cell r="B119" t="str">
            <v>Budget</v>
          </cell>
          <cell r="C119" t="str">
            <v>Jan</v>
          </cell>
          <cell r="D119" t="str">
            <v>Chairs</v>
          </cell>
          <cell r="E119">
            <v>220875.40999999997</v>
          </cell>
          <cell r="F119">
            <v>1</v>
          </cell>
        </row>
        <row r="120">
          <cell r="A120">
            <v>2018</v>
          </cell>
          <cell r="B120" t="str">
            <v>Actual</v>
          </cell>
          <cell r="C120" t="str">
            <v>Jan</v>
          </cell>
          <cell r="D120" t="str">
            <v>Chairs</v>
          </cell>
          <cell r="E120">
            <v>1051508.388</v>
          </cell>
          <cell r="F120">
            <v>1</v>
          </cell>
        </row>
        <row r="121">
          <cell r="A121">
            <v>2019</v>
          </cell>
          <cell r="B121" t="str">
            <v>Budget</v>
          </cell>
          <cell r="C121" t="str">
            <v>Jan</v>
          </cell>
          <cell r="D121" t="str">
            <v>Chairs</v>
          </cell>
          <cell r="E121">
            <v>128054.36699999998</v>
          </cell>
          <cell r="F121">
            <v>1</v>
          </cell>
        </row>
        <row r="122">
          <cell r="A122">
            <v>2019</v>
          </cell>
          <cell r="B122" t="str">
            <v>Actual</v>
          </cell>
          <cell r="C122" t="str">
            <v>Jan</v>
          </cell>
          <cell r="D122" t="str">
            <v>Chairs</v>
          </cell>
          <cell r="E122">
            <v>414295.28700000001</v>
          </cell>
          <cell r="F122">
            <v>1</v>
          </cell>
        </row>
        <row r="123">
          <cell r="A123">
            <v>2019</v>
          </cell>
          <cell r="B123" t="str">
            <v>Budget</v>
          </cell>
          <cell r="C123" t="str">
            <v>Jan</v>
          </cell>
          <cell r="D123" t="str">
            <v>Chairs</v>
          </cell>
          <cell r="E123">
            <v>146338.514</v>
          </cell>
          <cell r="F123">
            <v>1</v>
          </cell>
        </row>
        <row r="124">
          <cell r="A124">
            <v>2019</v>
          </cell>
          <cell r="B124" t="str">
            <v>Actual</v>
          </cell>
          <cell r="C124" t="str">
            <v>Jan</v>
          </cell>
          <cell r="D124" t="str">
            <v>Chairs</v>
          </cell>
          <cell r="E124">
            <v>49739.256000000001</v>
          </cell>
          <cell r="F124">
            <v>1</v>
          </cell>
        </row>
        <row r="125">
          <cell r="A125">
            <v>2018</v>
          </cell>
          <cell r="B125" t="str">
            <v>Budget</v>
          </cell>
          <cell r="C125" t="str">
            <v>Jan</v>
          </cell>
          <cell r="D125" t="str">
            <v>Chairs</v>
          </cell>
          <cell r="E125">
            <v>219509.48599999998</v>
          </cell>
          <cell r="F125">
            <v>1</v>
          </cell>
        </row>
        <row r="126">
          <cell r="A126">
            <v>2019</v>
          </cell>
          <cell r="B126" t="str">
            <v>Actual</v>
          </cell>
          <cell r="C126" t="str">
            <v>Jan</v>
          </cell>
          <cell r="D126" t="str">
            <v>Chairs</v>
          </cell>
          <cell r="E126">
            <v>38006.898999999998</v>
          </cell>
          <cell r="F126">
            <v>1</v>
          </cell>
        </row>
        <row r="127">
          <cell r="A127">
            <v>2019</v>
          </cell>
          <cell r="B127" t="str">
            <v>Budget</v>
          </cell>
          <cell r="C127" t="str">
            <v>Jan</v>
          </cell>
          <cell r="D127" t="str">
            <v>Chairs</v>
          </cell>
          <cell r="E127">
            <v>544263.755</v>
          </cell>
          <cell r="F127">
            <v>1</v>
          </cell>
        </row>
        <row r="128">
          <cell r="A128">
            <v>2019</v>
          </cell>
          <cell r="B128" t="str">
            <v>Actual</v>
          </cell>
          <cell r="C128" t="str">
            <v>Jan</v>
          </cell>
          <cell r="D128" t="str">
            <v>Chairs</v>
          </cell>
          <cell r="E128">
            <v>1006823.0619999999</v>
          </cell>
          <cell r="F128">
            <v>1</v>
          </cell>
        </row>
        <row r="129">
          <cell r="A129">
            <v>2019</v>
          </cell>
          <cell r="B129" t="str">
            <v>Budget</v>
          </cell>
          <cell r="C129" t="str">
            <v>Jan</v>
          </cell>
          <cell r="D129" t="str">
            <v>Tables</v>
          </cell>
          <cell r="E129">
            <v>162445.39499999999</v>
          </cell>
          <cell r="F129">
            <v>1</v>
          </cell>
        </row>
        <row r="130">
          <cell r="A130">
            <v>2018</v>
          </cell>
          <cell r="B130" t="str">
            <v>Actual</v>
          </cell>
          <cell r="C130" t="str">
            <v>Jan</v>
          </cell>
          <cell r="D130" t="str">
            <v>Kitchen</v>
          </cell>
          <cell r="E130">
            <v>1959976.8019999997</v>
          </cell>
          <cell r="F130">
            <v>1</v>
          </cell>
        </row>
        <row r="131">
          <cell r="A131">
            <v>2018</v>
          </cell>
          <cell r="B131" t="str">
            <v>Budget</v>
          </cell>
          <cell r="C131" t="str">
            <v>Jan</v>
          </cell>
          <cell r="D131" t="str">
            <v>Chairs</v>
          </cell>
          <cell r="E131">
            <v>377680.14199999999</v>
          </cell>
          <cell r="F131">
            <v>1</v>
          </cell>
        </row>
        <row r="132">
          <cell r="A132">
            <v>2019</v>
          </cell>
          <cell r="B132" t="str">
            <v>Actual</v>
          </cell>
          <cell r="C132" t="str">
            <v>Jan</v>
          </cell>
          <cell r="D132" t="str">
            <v>Chairs</v>
          </cell>
          <cell r="E132">
            <v>407046.234</v>
          </cell>
          <cell r="F132">
            <v>1</v>
          </cell>
        </row>
        <row r="133">
          <cell r="A133">
            <v>2019</v>
          </cell>
          <cell r="B133" t="str">
            <v>Budget</v>
          </cell>
          <cell r="C133" t="str">
            <v>Jan</v>
          </cell>
          <cell r="D133" t="str">
            <v>Chairs</v>
          </cell>
          <cell r="E133">
            <v>1598967.9019999998</v>
          </cell>
          <cell r="F133">
            <v>1</v>
          </cell>
        </row>
        <row r="134">
          <cell r="A134">
            <v>2018</v>
          </cell>
          <cell r="B134" t="str">
            <v>Actual</v>
          </cell>
          <cell r="C134" t="str">
            <v>Jan</v>
          </cell>
          <cell r="D134" t="str">
            <v>Chairs</v>
          </cell>
          <cell r="E134">
            <v>1210975.7590000001</v>
          </cell>
          <cell r="F134">
            <v>1</v>
          </cell>
        </row>
        <row r="135">
          <cell r="A135">
            <v>2018</v>
          </cell>
          <cell r="B135" t="str">
            <v>Budget</v>
          </cell>
          <cell r="C135" t="str">
            <v>Jan</v>
          </cell>
          <cell r="D135" t="str">
            <v>Chairs</v>
          </cell>
          <cell r="E135">
            <v>2273753.622</v>
          </cell>
          <cell r="F135">
            <v>1</v>
          </cell>
        </row>
        <row r="136">
          <cell r="A136">
            <v>2019</v>
          </cell>
          <cell r="B136" t="str">
            <v>Actual</v>
          </cell>
          <cell r="C136" t="str">
            <v>Jan</v>
          </cell>
          <cell r="D136" t="str">
            <v>Tables</v>
          </cell>
          <cell r="E136">
            <v>2176371.9109999998</v>
          </cell>
          <cell r="F136">
            <v>1</v>
          </cell>
        </row>
        <row r="137">
          <cell r="A137">
            <v>2018</v>
          </cell>
          <cell r="B137" t="str">
            <v>Budget</v>
          </cell>
          <cell r="C137" t="str">
            <v>Jan</v>
          </cell>
          <cell r="D137" t="str">
            <v>Kitchen</v>
          </cell>
          <cell r="E137">
            <v>9079899.0519999992</v>
          </cell>
          <cell r="F137">
            <v>1</v>
          </cell>
        </row>
        <row r="138">
          <cell r="A138">
            <v>2018</v>
          </cell>
          <cell r="B138" t="str">
            <v>Actual</v>
          </cell>
          <cell r="C138" t="str">
            <v>Jan</v>
          </cell>
          <cell r="D138" t="str">
            <v>Chairs</v>
          </cell>
          <cell r="E138">
            <v>5464435.4099999992</v>
          </cell>
          <cell r="F138">
            <v>1</v>
          </cell>
        </row>
        <row r="139">
          <cell r="A139">
            <v>2019</v>
          </cell>
          <cell r="B139" t="str">
            <v>Budget</v>
          </cell>
          <cell r="C139" t="str">
            <v>Jan</v>
          </cell>
          <cell r="D139" t="str">
            <v>Chairs</v>
          </cell>
          <cell r="E139">
            <v>4998573.5029999996</v>
          </cell>
          <cell r="F139">
            <v>1</v>
          </cell>
        </row>
        <row r="140">
          <cell r="A140">
            <v>2019</v>
          </cell>
          <cell r="B140" t="str">
            <v>Actual</v>
          </cell>
          <cell r="C140" t="str">
            <v>Jan</v>
          </cell>
          <cell r="D140" t="str">
            <v>Chairs</v>
          </cell>
          <cell r="E140">
            <v>37768.289999999994</v>
          </cell>
          <cell r="F140">
            <v>1</v>
          </cell>
        </row>
        <row r="141">
          <cell r="A141">
            <v>2018</v>
          </cell>
          <cell r="B141" t="str">
            <v>Budget</v>
          </cell>
          <cell r="C141" t="str">
            <v>Jan</v>
          </cell>
          <cell r="D141" t="str">
            <v>Tables</v>
          </cell>
          <cell r="E141">
            <v>1943846.051</v>
          </cell>
          <cell r="F141">
            <v>1</v>
          </cell>
        </row>
        <row r="142">
          <cell r="A142">
            <v>2018</v>
          </cell>
          <cell r="B142" t="str">
            <v>Actual</v>
          </cell>
          <cell r="C142" t="str">
            <v>Jan</v>
          </cell>
          <cell r="D142" t="str">
            <v>Kitchen</v>
          </cell>
          <cell r="E142">
            <v>3126738.125</v>
          </cell>
          <cell r="F142">
            <v>1</v>
          </cell>
        </row>
        <row r="143">
          <cell r="A143">
            <v>2018</v>
          </cell>
          <cell r="B143" t="str">
            <v>Budget</v>
          </cell>
          <cell r="C143" t="str">
            <v>Jan</v>
          </cell>
          <cell r="D143" t="str">
            <v>Chairs</v>
          </cell>
          <cell r="E143">
            <v>3127383.7629999998</v>
          </cell>
          <cell r="F143">
            <v>1</v>
          </cell>
        </row>
        <row r="144">
          <cell r="A144">
            <v>2018</v>
          </cell>
          <cell r="B144" t="str">
            <v>Actual</v>
          </cell>
          <cell r="C144" t="str">
            <v>Jan</v>
          </cell>
          <cell r="D144" t="str">
            <v>Chairs</v>
          </cell>
          <cell r="E144">
            <v>29383.738999999994</v>
          </cell>
          <cell r="F144">
            <v>1</v>
          </cell>
        </row>
        <row r="145">
          <cell r="A145">
            <v>2019</v>
          </cell>
          <cell r="B145" t="str">
            <v>Budget</v>
          </cell>
          <cell r="C145" t="str">
            <v>Jan</v>
          </cell>
          <cell r="D145" t="str">
            <v>Tables</v>
          </cell>
          <cell r="E145">
            <v>74445.125999999989</v>
          </cell>
          <cell r="F145">
            <v>1</v>
          </cell>
        </row>
        <row r="146">
          <cell r="A146">
            <v>2019</v>
          </cell>
          <cell r="B146" t="str">
            <v>Actual</v>
          </cell>
          <cell r="C146" t="str">
            <v>Jan</v>
          </cell>
          <cell r="D146" t="str">
            <v>Kitchen</v>
          </cell>
          <cell r="E146">
            <v>172678.37299999999</v>
          </cell>
          <cell r="F146">
            <v>1</v>
          </cell>
        </row>
        <row r="147">
          <cell r="A147">
            <v>2019</v>
          </cell>
          <cell r="B147" t="str">
            <v>Budget</v>
          </cell>
          <cell r="C147" t="str">
            <v>Jan</v>
          </cell>
          <cell r="D147" t="str">
            <v>Chairs</v>
          </cell>
          <cell r="E147">
            <v>146623.533</v>
          </cell>
          <cell r="F147">
            <v>1</v>
          </cell>
        </row>
        <row r="148">
          <cell r="A148">
            <v>2018</v>
          </cell>
          <cell r="B148" t="str">
            <v>Actual</v>
          </cell>
          <cell r="C148" t="str">
            <v>Jan</v>
          </cell>
          <cell r="D148" t="str">
            <v>Chairs</v>
          </cell>
          <cell r="E148">
            <v>27978.37</v>
          </cell>
          <cell r="F148">
            <v>1</v>
          </cell>
        </row>
        <row r="149">
          <cell r="A149">
            <v>2019</v>
          </cell>
          <cell r="B149" t="str">
            <v>Budget</v>
          </cell>
          <cell r="C149" t="str">
            <v>Jan</v>
          </cell>
          <cell r="D149" t="str">
            <v>Tables</v>
          </cell>
          <cell r="E149">
            <v>3639.5099999999998</v>
          </cell>
          <cell r="F149">
            <v>1</v>
          </cell>
        </row>
        <row r="150">
          <cell r="A150">
            <v>2018</v>
          </cell>
          <cell r="B150" t="str">
            <v>Actual</v>
          </cell>
          <cell r="C150" t="str">
            <v>Jan</v>
          </cell>
          <cell r="D150" t="str">
            <v>Chairs</v>
          </cell>
          <cell r="E150">
            <v>12486.508999999998</v>
          </cell>
          <cell r="F150">
            <v>1</v>
          </cell>
        </row>
        <row r="151">
          <cell r="A151">
            <v>2019</v>
          </cell>
          <cell r="B151" t="str">
            <v>Budget</v>
          </cell>
          <cell r="C151" t="str">
            <v>Jan</v>
          </cell>
          <cell r="D151" t="str">
            <v>Tables</v>
          </cell>
          <cell r="E151">
            <v>29247.791999999998</v>
          </cell>
          <cell r="F151">
            <v>1</v>
          </cell>
        </row>
        <row r="152">
          <cell r="A152">
            <v>2019</v>
          </cell>
          <cell r="B152" t="str">
            <v>Actual</v>
          </cell>
          <cell r="C152" t="str">
            <v>Jan</v>
          </cell>
          <cell r="D152" t="str">
            <v>Kitchen</v>
          </cell>
          <cell r="E152">
            <v>177013.57800000001</v>
          </cell>
          <cell r="F152">
            <v>1</v>
          </cell>
        </row>
        <row r="153">
          <cell r="A153">
            <v>2018</v>
          </cell>
          <cell r="B153" t="str">
            <v>Budget</v>
          </cell>
          <cell r="C153" t="str">
            <v>Jan</v>
          </cell>
          <cell r="D153" t="str">
            <v>Accessories</v>
          </cell>
          <cell r="E153">
            <v>353544.821</v>
          </cell>
          <cell r="F153">
            <v>1</v>
          </cell>
        </row>
        <row r="154">
          <cell r="A154">
            <v>2019</v>
          </cell>
          <cell r="B154" t="str">
            <v>Actual</v>
          </cell>
          <cell r="C154" t="str">
            <v>Jan</v>
          </cell>
          <cell r="D154" t="str">
            <v>Chairs</v>
          </cell>
          <cell r="E154">
            <v>170969.49799999999</v>
          </cell>
          <cell r="F154">
            <v>1</v>
          </cell>
        </row>
        <row r="155">
          <cell r="A155">
            <v>2019</v>
          </cell>
          <cell r="B155" t="str">
            <v>Budget</v>
          </cell>
          <cell r="C155" t="str">
            <v>Jan</v>
          </cell>
          <cell r="D155" t="str">
            <v>Tables</v>
          </cell>
          <cell r="E155">
            <v>157314.75199999998</v>
          </cell>
          <cell r="F155">
            <v>1</v>
          </cell>
        </row>
        <row r="156">
          <cell r="A156">
            <v>2018</v>
          </cell>
          <cell r="B156" t="str">
            <v>Actual</v>
          </cell>
          <cell r="C156" t="str">
            <v>Jan</v>
          </cell>
          <cell r="D156" t="str">
            <v>Kitchen</v>
          </cell>
          <cell r="E156">
            <v>49902.411999999997</v>
          </cell>
          <cell r="F156">
            <v>1</v>
          </cell>
        </row>
        <row r="157">
          <cell r="A157">
            <v>2019</v>
          </cell>
          <cell r="B157" t="str">
            <v>Budget</v>
          </cell>
          <cell r="C157" t="str">
            <v>Jan</v>
          </cell>
          <cell r="D157" t="str">
            <v>Accessories</v>
          </cell>
          <cell r="E157">
            <v>166297.71900000001</v>
          </cell>
          <cell r="F157">
            <v>1</v>
          </cell>
        </row>
        <row r="158">
          <cell r="A158">
            <v>2018</v>
          </cell>
          <cell r="B158" t="str">
            <v>Actual</v>
          </cell>
          <cell r="C158" t="str">
            <v>Jan</v>
          </cell>
          <cell r="D158" t="str">
            <v>Chairs</v>
          </cell>
          <cell r="E158">
            <v>4412728.6490000002</v>
          </cell>
          <cell r="F158">
            <v>1</v>
          </cell>
        </row>
        <row r="159">
          <cell r="A159">
            <v>2018</v>
          </cell>
          <cell r="B159" t="str">
            <v>Budget</v>
          </cell>
          <cell r="C159" t="str">
            <v>Jan</v>
          </cell>
          <cell r="D159" t="str">
            <v>Tables</v>
          </cell>
          <cell r="E159">
            <v>209111.27299999999</v>
          </cell>
          <cell r="F159">
            <v>1</v>
          </cell>
        </row>
        <row r="160">
          <cell r="A160">
            <v>2019</v>
          </cell>
          <cell r="B160" t="str">
            <v>Actual</v>
          </cell>
          <cell r="C160" t="str">
            <v>Jan</v>
          </cell>
          <cell r="D160" t="str">
            <v>Kitchen</v>
          </cell>
          <cell r="E160">
            <v>702076.96299999999</v>
          </cell>
          <cell r="F160">
            <v>1</v>
          </cell>
        </row>
        <row r="161">
          <cell r="A161">
            <v>2019</v>
          </cell>
          <cell r="B161" t="str">
            <v>Budget</v>
          </cell>
          <cell r="C161" t="str">
            <v>Jan</v>
          </cell>
          <cell r="D161" t="str">
            <v>Accessories</v>
          </cell>
          <cell r="E161">
            <v>1063830.1939999999</v>
          </cell>
          <cell r="F161">
            <v>1</v>
          </cell>
        </row>
        <row r="162">
          <cell r="A162">
            <v>2019</v>
          </cell>
          <cell r="B162" t="str">
            <v>Actual</v>
          </cell>
          <cell r="C162" t="str">
            <v>Jan</v>
          </cell>
          <cell r="D162" t="str">
            <v>Chairs</v>
          </cell>
          <cell r="E162">
            <v>26174.75</v>
          </cell>
          <cell r="F162">
            <v>1</v>
          </cell>
        </row>
        <row r="163">
          <cell r="A163">
            <v>2018</v>
          </cell>
          <cell r="B163" t="str">
            <v>Budget</v>
          </cell>
          <cell r="C163" t="str">
            <v>Jan</v>
          </cell>
          <cell r="D163" t="str">
            <v>Tables</v>
          </cell>
          <cell r="E163">
            <v>102273.024</v>
          </cell>
          <cell r="F163">
            <v>1</v>
          </cell>
        </row>
        <row r="164">
          <cell r="A164">
            <v>2018</v>
          </cell>
          <cell r="B164" t="str">
            <v>Actual</v>
          </cell>
          <cell r="C164" t="str">
            <v>Jan</v>
          </cell>
          <cell r="D164" t="str">
            <v>Kitchen</v>
          </cell>
          <cell r="E164">
            <v>159667.73899999997</v>
          </cell>
          <cell r="F164">
            <v>1</v>
          </cell>
        </row>
        <row r="165">
          <cell r="A165">
            <v>2018</v>
          </cell>
          <cell r="B165" t="str">
            <v>Budget</v>
          </cell>
          <cell r="C165" t="str">
            <v>Jan</v>
          </cell>
          <cell r="D165" t="str">
            <v>Accessories</v>
          </cell>
          <cell r="E165">
            <v>119851.64099999999</v>
          </cell>
          <cell r="F165">
            <v>1</v>
          </cell>
        </row>
        <row r="166">
          <cell r="A166">
            <v>2019</v>
          </cell>
          <cell r="B166" t="str">
            <v>Actual</v>
          </cell>
          <cell r="C166" t="str">
            <v>Jan</v>
          </cell>
          <cell r="D166" t="str">
            <v>Chairs</v>
          </cell>
          <cell r="E166">
            <v>48852.677999999993</v>
          </cell>
          <cell r="F166">
            <v>1</v>
          </cell>
        </row>
        <row r="167">
          <cell r="A167">
            <v>2019</v>
          </cell>
          <cell r="B167" t="str">
            <v>Budget</v>
          </cell>
          <cell r="C167" t="str">
            <v>Jan</v>
          </cell>
          <cell r="D167" t="str">
            <v>Chairs</v>
          </cell>
          <cell r="E167">
            <v>134904.75599999999</v>
          </cell>
          <cell r="F167">
            <v>1</v>
          </cell>
        </row>
        <row r="168">
          <cell r="A168">
            <v>2018</v>
          </cell>
          <cell r="B168" t="str">
            <v>Actual</v>
          </cell>
          <cell r="C168" t="str">
            <v>Jan</v>
          </cell>
          <cell r="D168" t="str">
            <v>Tables</v>
          </cell>
          <cell r="E168">
            <v>1794433.7180000001</v>
          </cell>
          <cell r="F168">
            <v>1</v>
          </cell>
        </row>
        <row r="169">
          <cell r="A169">
            <v>2019</v>
          </cell>
          <cell r="B169" t="str">
            <v>Budget</v>
          </cell>
          <cell r="C169" t="str">
            <v>Jan</v>
          </cell>
          <cell r="D169" t="str">
            <v>Kitchen</v>
          </cell>
          <cell r="E169">
            <v>473829.05499999999</v>
          </cell>
          <cell r="F169">
            <v>1</v>
          </cell>
        </row>
        <row r="170">
          <cell r="A170">
            <v>2018</v>
          </cell>
          <cell r="B170" t="str">
            <v>Actual</v>
          </cell>
          <cell r="C170" t="str">
            <v>Jan</v>
          </cell>
          <cell r="D170" t="str">
            <v>Chairs</v>
          </cell>
          <cell r="E170">
            <v>930339.85099999991</v>
          </cell>
          <cell r="F170">
            <v>1</v>
          </cell>
        </row>
        <row r="171">
          <cell r="A171">
            <v>2018</v>
          </cell>
          <cell r="B171" t="str">
            <v>Budget</v>
          </cell>
          <cell r="C171" t="str">
            <v>Jan</v>
          </cell>
          <cell r="D171" t="str">
            <v>Tables</v>
          </cell>
          <cell r="E171">
            <v>69804.552999999985</v>
          </cell>
          <cell r="F171">
            <v>1</v>
          </cell>
        </row>
        <row r="172">
          <cell r="A172">
            <v>2018</v>
          </cell>
          <cell r="B172" t="str">
            <v>Actual</v>
          </cell>
          <cell r="C172" t="str">
            <v>Jan</v>
          </cell>
          <cell r="D172" t="str">
            <v>Kitchen</v>
          </cell>
          <cell r="E172">
            <v>205624.27899999998</v>
          </cell>
          <cell r="F172">
            <v>1</v>
          </cell>
        </row>
        <row r="173">
          <cell r="A173">
            <v>2018</v>
          </cell>
          <cell r="B173" t="str">
            <v>Budget</v>
          </cell>
          <cell r="C173" t="str">
            <v>Jan</v>
          </cell>
          <cell r="D173" t="str">
            <v>Chairs</v>
          </cell>
          <cell r="E173">
            <v>67880.441999999995</v>
          </cell>
          <cell r="F173">
            <v>1</v>
          </cell>
        </row>
        <row r="174">
          <cell r="A174">
            <v>2018</v>
          </cell>
          <cell r="B174" t="str">
            <v>Actual</v>
          </cell>
          <cell r="C174" t="str">
            <v>Jan</v>
          </cell>
          <cell r="D174" t="str">
            <v>Tables</v>
          </cell>
          <cell r="E174">
            <v>15788.731</v>
          </cell>
          <cell r="F174">
            <v>1</v>
          </cell>
        </row>
        <row r="175">
          <cell r="A175">
            <v>2018</v>
          </cell>
          <cell r="B175" t="str">
            <v>Budget</v>
          </cell>
          <cell r="C175" t="str">
            <v>Jan</v>
          </cell>
          <cell r="D175" t="str">
            <v>Kitchen</v>
          </cell>
          <cell r="E175">
            <v>33829.417999999998</v>
          </cell>
          <cell r="F175">
            <v>1</v>
          </cell>
        </row>
        <row r="176">
          <cell r="A176">
            <v>2018</v>
          </cell>
          <cell r="B176" t="str">
            <v>Actual</v>
          </cell>
          <cell r="C176" t="str">
            <v>Jan</v>
          </cell>
          <cell r="D176" t="str">
            <v>Chairs</v>
          </cell>
          <cell r="E176">
            <v>24949.637999999995</v>
          </cell>
          <cell r="F176">
            <v>1</v>
          </cell>
        </row>
        <row r="177">
          <cell r="A177">
            <v>2019</v>
          </cell>
          <cell r="B177" t="str">
            <v>Budget</v>
          </cell>
          <cell r="C177" t="str">
            <v>Jan</v>
          </cell>
          <cell r="D177" t="str">
            <v>Chairs</v>
          </cell>
          <cell r="E177">
            <v>16811.563999999998</v>
          </cell>
          <cell r="F177">
            <v>1</v>
          </cell>
        </row>
        <row r="178">
          <cell r="A178">
            <v>2019</v>
          </cell>
          <cell r="B178" t="str">
            <v>Actual</v>
          </cell>
          <cell r="C178" t="str">
            <v>Jan</v>
          </cell>
          <cell r="D178" t="str">
            <v>Chairs</v>
          </cell>
          <cell r="E178">
            <v>86489.864999999991</v>
          </cell>
          <cell r="F178">
            <v>1</v>
          </cell>
        </row>
        <row r="179">
          <cell r="A179">
            <v>2018</v>
          </cell>
          <cell r="B179" t="str">
            <v>Budget</v>
          </cell>
          <cell r="C179" t="str">
            <v>Jan</v>
          </cell>
          <cell r="D179" t="str">
            <v>Chairs</v>
          </cell>
          <cell r="E179">
            <v>397396.55199999997</v>
          </cell>
          <cell r="F179">
            <v>1</v>
          </cell>
        </row>
        <row r="180">
          <cell r="A180">
            <v>2019</v>
          </cell>
          <cell r="B180" t="str">
            <v>Actual</v>
          </cell>
          <cell r="C180" t="str">
            <v>Jan</v>
          </cell>
          <cell r="D180" t="str">
            <v>Chairs</v>
          </cell>
          <cell r="E180">
            <v>22807.498</v>
          </cell>
          <cell r="F180">
            <v>1</v>
          </cell>
        </row>
        <row r="181">
          <cell r="A181">
            <v>2019</v>
          </cell>
          <cell r="B181" t="str">
            <v>Budget</v>
          </cell>
          <cell r="C181" t="str">
            <v>Jan</v>
          </cell>
          <cell r="D181" t="str">
            <v>Chairs</v>
          </cell>
          <cell r="E181">
            <v>21210.573999999997</v>
          </cell>
          <cell r="F181">
            <v>1</v>
          </cell>
        </row>
        <row r="182">
          <cell r="A182">
            <v>2019</v>
          </cell>
          <cell r="B182" t="str">
            <v>Actual</v>
          </cell>
          <cell r="C182" t="str">
            <v>Jan</v>
          </cell>
          <cell r="D182" t="str">
            <v>Chairs</v>
          </cell>
          <cell r="E182">
            <v>44272.123</v>
          </cell>
          <cell r="F182">
            <v>1</v>
          </cell>
        </row>
        <row r="183">
          <cell r="A183">
            <v>2018</v>
          </cell>
          <cell r="B183" t="str">
            <v>Budget</v>
          </cell>
          <cell r="C183" t="str">
            <v>Jan</v>
          </cell>
          <cell r="D183" t="str">
            <v>Chairs</v>
          </cell>
          <cell r="E183">
            <v>1329267.5409999997</v>
          </cell>
          <cell r="F183">
            <v>1</v>
          </cell>
        </row>
        <row r="184">
          <cell r="A184">
            <v>2019</v>
          </cell>
          <cell r="B184" t="str">
            <v>Actual</v>
          </cell>
          <cell r="C184" t="str">
            <v>Jan</v>
          </cell>
          <cell r="D184" t="str">
            <v>Chairs</v>
          </cell>
          <cell r="E184">
            <v>3665803.1199999996</v>
          </cell>
          <cell r="F184">
            <v>1</v>
          </cell>
        </row>
        <row r="185">
          <cell r="A185">
            <v>2019</v>
          </cell>
          <cell r="B185" t="str">
            <v>Budget</v>
          </cell>
          <cell r="C185" t="str">
            <v>Jan</v>
          </cell>
          <cell r="D185" t="str">
            <v>Chairs</v>
          </cell>
          <cell r="E185">
            <v>5532792.7340000002</v>
          </cell>
          <cell r="F185">
            <v>1</v>
          </cell>
        </row>
        <row r="186">
          <cell r="A186">
            <v>2018</v>
          </cell>
          <cell r="B186" t="str">
            <v>Actual</v>
          </cell>
          <cell r="C186" t="str">
            <v>Jan</v>
          </cell>
          <cell r="D186" t="str">
            <v>Chairs</v>
          </cell>
          <cell r="E186">
            <v>8579517.9609999992</v>
          </cell>
          <cell r="F186">
            <v>1</v>
          </cell>
        </row>
        <row r="187">
          <cell r="A187">
            <v>2018</v>
          </cell>
          <cell r="B187" t="str">
            <v>Budget</v>
          </cell>
          <cell r="C187" t="str">
            <v>Jan</v>
          </cell>
          <cell r="D187" t="str">
            <v>Chairs</v>
          </cell>
          <cell r="E187">
            <v>1134234.22</v>
          </cell>
          <cell r="F187">
            <v>1</v>
          </cell>
        </row>
        <row r="188">
          <cell r="A188">
            <v>2019</v>
          </cell>
          <cell r="B188" t="str">
            <v>Actual</v>
          </cell>
          <cell r="C188" t="str">
            <v>Jan</v>
          </cell>
          <cell r="D188" t="str">
            <v>Chairs</v>
          </cell>
          <cell r="E188">
            <v>4553269.9589999998</v>
          </cell>
          <cell r="F188">
            <v>1</v>
          </cell>
        </row>
        <row r="189">
          <cell r="A189">
            <v>2018</v>
          </cell>
          <cell r="B189" t="str">
            <v>Budget</v>
          </cell>
          <cell r="C189" t="str">
            <v>Jan</v>
          </cell>
          <cell r="D189" t="str">
            <v>Chairs</v>
          </cell>
          <cell r="E189">
            <v>1956570.77</v>
          </cell>
          <cell r="F189">
            <v>1</v>
          </cell>
        </row>
        <row r="190">
          <cell r="A190">
            <v>2019</v>
          </cell>
          <cell r="B190" t="str">
            <v>Actual</v>
          </cell>
          <cell r="C190" t="str">
            <v>Jan</v>
          </cell>
          <cell r="D190" t="str">
            <v>Chairs</v>
          </cell>
          <cell r="E190">
            <v>4907.4480000000003</v>
          </cell>
          <cell r="F190">
            <v>1</v>
          </cell>
        </row>
        <row r="191">
          <cell r="A191">
            <v>2019</v>
          </cell>
          <cell r="B191" t="str">
            <v>Budget</v>
          </cell>
          <cell r="C191" t="str">
            <v>Jan</v>
          </cell>
          <cell r="D191" t="str">
            <v>Chairs</v>
          </cell>
          <cell r="E191">
            <v>1004008.3619999998</v>
          </cell>
          <cell r="F191">
            <v>1</v>
          </cell>
        </row>
        <row r="192">
          <cell r="A192">
            <v>2019</v>
          </cell>
          <cell r="B192" t="str">
            <v>Actual</v>
          </cell>
          <cell r="C192" t="str">
            <v>Jan</v>
          </cell>
          <cell r="D192" t="str">
            <v>Chairs</v>
          </cell>
          <cell r="E192">
            <v>366332.58899999998</v>
          </cell>
          <cell r="F192">
            <v>1</v>
          </cell>
        </row>
        <row r="193">
          <cell r="A193">
            <v>2019</v>
          </cell>
          <cell r="B193" t="str">
            <v>Budget</v>
          </cell>
          <cell r="C193" t="str">
            <v>Jan</v>
          </cell>
          <cell r="D193" t="str">
            <v>Chairs</v>
          </cell>
          <cell r="E193">
            <v>204188.796</v>
          </cell>
          <cell r="F193">
            <v>1</v>
          </cell>
        </row>
        <row r="194">
          <cell r="A194">
            <v>2019</v>
          </cell>
          <cell r="B194" t="str">
            <v>Actual</v>
          </cell>
          <cell r="C194" t="str">
            <v>Jan</v>
          </cell>
          <cell r="D194" t="str">
            <v>Chairs</v>
          </cell>
          <cell r="E194">
            <v>71864.59</v>
          </cell>
          <cell r="F194">
            <v>1</v>
          </cell>
        </row>
        <row r="195">
          <cell r="A195">
            <v>2018</v>
          </cell>
          <cell r="B195" t="str">
            <v>Budget</v>
          </cell>
          <cell r="C195" t="str">
            <v>Jan</v>
          </cell>
          <cell r="D195" t="str">
            <v>Chairs</v>
          </cell>
          <cell r="E195">
            <v>6589.6949999999997</v>
          </cell>
          <cell r="F195">
            <v>1</v>
          </cell>
        </row>
        <row r="196">
          <cell r="A196">
            <v>2018</v>
          </cell>
          <cell r="B196" t="str">
            <v>Actual</v>
          </cell>
          <cell r="C196" t="str">
            <v>Jan</v>
          </cell>
          <cell r="D196" t="str">
            <v>Chairs</v>
          </cell>
          <cell r="E196">
            <v>403117.87599999999</v>
          </cell>
          <cell r="F196">
            <v>1</v>
          </cell>
        </row>
        <row r="197">
          <cell r="A197">
            <v>2019</v>
          </cell>
          <cell r="B197" t="str">
            <v>Budget</v>
          </cell>
          <cell r="C197" t="str">
            <v>Jan</v>
          </cell>
          <cell r="D197" t="str">
            <v>Chairs</v>
          </cell>
          <cell r="E197">
            <v>174558.68499999997</v>
          </cell>
          <cell r="F197">
            <v>1</v>
          </cell>
        </row>
        <row r="198">
          <cell r="A198">
            <v>2018</v>
          </cell>
          <cell r="B198" t="str">
            <v>Actual</v>
          </cell>
          <cell r="C198" t="str">
            <v>Jan</v>
          </cell>
          <cell r="D198" t="str">
            <v>Chairs</v>
          </cell>
          <cell r="E198">
            <v>453044.85799999995</v>
          </cell>
          <cell r="F198">
            <v>1</v>
          </cell>
        </row>
        <row r="199">
          <cell r="A199">
            <v>2018</v>
          </cell>
          <cell r="B199" t="str">
            <v>Budget</v>
          </cell>
          <cell r="C199" t="str">
            <v>Jan</v>
          </cell>
          <cell r="D199" t="str">
            <v>Chairs</v>
          </cell>
          <cell r="E199">
            <v>1362212.075</v>
          </cell>
          <cell r="F199">
            <v>1</v>
          </cell>
        </row>
        <row r="200">
          <cell r="A200">
            <v>2018</v>
          </cell>
          <cell r="B200" t="str">
            <v>Actual</v>
          </cell>
          <cell r="C200" t="str">
            <v>Jan</v>
          </cell>
          <cell r="D200" t="str">
            <v>Chairs</v>
          </cell>
          <cell r="E200">
            <v>1380287.818</v>
          </cell>
          <cell r="F200">
            <v>1</v>
          </cell>
        </row>
        <row r="201">
          <cell r="A201">
            <v>2019</v>
          </cell>
          <cell r="B201" t="str">
            <v>Budget</v>
          </cell>
          <cell r="C201" t="str">
            <v>Jan</v>
          </cell>
          <cell r="D201" t="str">
            <v>Chairs</v>
          </cell>
          <cell r="E201">
            <v>274773.51999999996</v>
          </cell>
          <cell r="F201">
            <v>1</v>
          </cell>
        </row>
        <row r="202">
          <cell r="A202">
            <v>2019</v>
          </cell>
          <cell r="B202" t="str">
            <v>Actual</v>
          </cell>
          <cell r="C202" t="str">
            <v>Jan</v>
          </cell>
          <cell r="D202" t="str">
            <v>Tables</v>
          </cell>
          <cell r="E202">
            <v>1730866.095</v>
          </cell>
          <cell r="F202">
            <v>1</v>
          </cell>
        </row>
        <row r="203">
          <cell r="A203">
            <v>2018</v>
          </cell>
          <cell r="B203" t="str">
            <v>Budget</v>
          </cell>
          <cell r="C203" t="str">
            <v>Jan</v>
          </cell>
          <cell r="D203" t="str">
            <v>Kitchen</v>
          </cell>
          <cell r="E203">
            <v>50074.87799999999</v>
          </cell>
          <cell r="F203">
            <v>1</v>
          </cell>
        </row>
        <row r="204">
          <cell r="A204">
            <v>2019</v>
          </cell>
          <cell r="B204" t="str">
            <v>Actual</v>
          </cell>
          <cell r="C204" t="str">
            <v>Jan</v>
          </cell>
          <cell r="D204" t="str">
            <v>Chairs</v>
          </cell>
          <cell r="E204">
            <v>565477.72399999993</v>
          </cell>
          <cell r="F204">
            <v>1</v>
          </cell>
        </row>
        <row r="205">
          <cell r="A205">
            <v>2019</v>
          </cell>
          <cell r="B205" t="str">
            <v>Budget</v>
          </cell>
          <cell r="C205" t="str">
            <v>Jan</v>
          </cell>
          <cell r="D205" t="str">
            <v>Chairs</v>
          </cell>
          <cell r="E205">
            <v>3983024.3739999998</v>
          </cell>
          <cell r="F205">
            <v>1</v>
          </cell>
        </row>
        <row r="206">
          <cell r="A206">
            <v>2018</v>
          </cell>
          <cell r="B206" t="str">
            <v>Actual</v>
          </cell>
          <cell r="C206" t="str">
            <v>Jan</v>
          </cell>
          <cell r="D206" t="str">
            <v>Chairs</v>
          </cell>
          <cell r="E206">
            <v>1487123.7219999998</v>
          </cell>
          <cell r="F206">
            <v>1</v>
          </cell>
        </row>
        <row r="207">
          <cell r="A207">
            <v>2019</v>
          </cell>
          <cell r="B207" t="str">
            <v>Budget</v>
          </cell>
          <cell r="C207" t="str">
            <v>Jan</v>
          </cell>
          <cell r="D207" t="str">
            <v>Chairs</v>
          </cell>
          <cell r="E207">
            <v>314536.43900000001</v>
          </cell>
          <cell r="F207">
            <v>1</v>
          </cell>
        </row>
        <row r="208">
          <cell r="A208">
            <v>2019</v>
          </cell>
          <cell r="B208" t="str">
            <v>Actual</v>
          </cell>
          <cell r="C208" t="str">
            <v>Jan</v>
          </cell>
          <cell r="D208" t="str">
            <v>Chairs</v>
          </cell>
          <cell r="E208">
            <v>171368.06399999998</v>
          </cell>
          <cell r="F208">
            <v>1</v>
          </cell>
        </row>
        <row r="209">
          <cell r="A209">
            <v>2018</v>
          </cell>
          <cell r="B209" t="str">
            <v>Budget</v>
          </cell>
          <cell r="C209" t="str">
            <v>Jan</v>
          </cell>
          <cell r="D209" t="str">
            <v>Tables</v>
          </cell>
          <cell r="E209">
            <v>188778.00199999998</v>
          </cell>
          <cell r="F209">
            <v>1</v>
          </cell>
        </row>
        <row r="210">
          <cell r="A210">
            <v>2018</v>
          </cell>
          <cell r="B210" t="str">
            <v>Actual</v>
          </cell>
          <cell r="C210" t="str">
            <v>Jan</v>
          </cell>
          <cell r="D210" t="str">
            <v>Kitchen</v>
          </cell>
          <cell r="E210">
            <v>4027313.5839999998</v>
          </cell>
          <cell r="F210">
            <v>1</v>
          </cell>
        </row>
        <row r="211">
          <cell r="A211">
            <v>2019</v>
          </cell>
          <cell r="B211" t="str">
            <v>Budget</v>
          </cell>
          <cell r="C211" t="str">
            <v>Jan</v>
          </cell>
          <cell r="D211" t="str">
            <v>Chairs</v>
          </cell>
          <cell r="E211">
            <v>1935000.1579999998</v>
          </cell>
          <cell r="F211">
            <v>1</v>
          </cell>
        </row>
        <row r="212">
          <cell r="A212">
            <v>2018</v>
          </cell>
          <cell r="B212" t="str">
            <v>Actual</v>
          </cell>
          <cell r="C212" t="str">
            <v>Jan</v>
          </cell>
          <cell r="D212" t="str">
            <v>Chairs</v>
          </cell>
          <cell r="E212">
            <v>193223.76499999998</v>
          </cell>
          <cell r="F212">
            <v>1</v>
          </cell>
        </row>
        <row r="213">
          <cell r="A213">
            <v>2018</v>
          </cell>
          <cell r="B213" t="str">
            <v>Budget</v>
          </cell>
          <cell r="C213" t="str">
            <v>Jan</v>
          </cell>
          <cell r="D213" t="str">
            <v>Chairs</v>
          </cell>
          <cell r="E213">
            <v>1412619.39</v>
          </cell>
          <cell r="F213">
            <v>1</v>
          </cell>
        </row>
        <row r="214">
          <cell r="A214">
            <v>2018</v>
          </cell>
          <cell r="B214" t="str">
            <v>Actual</v>
          </cell>
          <cell r="C214" t="str">
            <v>Jan</v>
          </cell>
          <cell r="D214" t="str">
            <v>Tables</v>
          </cell>
          <cell r="E214">
            <v>6623261.2879999997</v>
          </cell>
          <cell r="F214">
            <v>1</v>
          </cell>
        </row>
        <row r="215">
          <cell r="A215">
            <v>2018</v>
          </cell>
          <cell r="B215" t="str">
            <v>Budget</v>
          </cell>
          <cell r="C215" t="str">
            <v>Jan</v>
          </cell>
          <cell r="D215" t="str">
            <v>Kitchen</v>
          </cell>
          <cell r="E215">
            <v>1923387.0179999999</v>
          </cell>
          <cell r="F215">
            <v>1</v>
          </cell>
        </row>
        <row r="216">
          <cell r="A216">
            <v>2018</v>
          </cell>
          <cell r="B216" t="str">
            <v>Actual</v>
          </cell>
          <cell r="C216" t="str">
            <v>Jan</v>
          </cell>
          <cell r="D216" t="str">
            <v>Chairs</v>
          </cell>
          <cell r="E216">
            <v>4107857.7609999999</v>
          </cell>
          <cell r="F216">
            <v>1</v>
          </cell>
        </row>
        <row r="217">
          <cell r="A217">
            <v>2019</v>
          </cell>
          <cell r="B217" t="str">
            <v>Budget</v>
          </cell>
          <cell r="C217" t="str">
            <v>Jan</v>
          </cell>
          <cell r="D217" t="str">
            <v>Chairs</v>
          </cell>
          <cell r="E217">
            <v>589017.65299999993</v>
          </cell>
          <cell r="F217">
            <v>1</v>
          </cell>
        </row>
        <row r="218">
          <cell r="A218">
            <v>2019</v>
          </cell>
          <cell r="B218" t="str">
            <v>Actual</v>
          </cell>
          <cell r="C218" t="str">
            <v>Jan</v>
          </cell>
          <cell r="D218" t="str">
            <v>Tables</v>
          </cell>
          <cell r="E218">
            <v>3374200.781</v>
          </cell>
          <cell r="F218">
            <v>1</v>
          </cell>
        </row>
        <row r="219">
          <cell r="A219">
            <v>2018</v>
          </cell>
          <cell r="B219" t="str">
            <v>Budget</v>
          </cell>
          <cell r="C219" t="str">
            <v>Jan</v>
          </cell>
          <cell r="D219" t="str">
            <v>Kitchen</v>
          </cell>
          <cell r="E219">
            <v>393222.73199999996</v>
          </cell>
          <cell r="F219">
            <v>1</v>
          </cell>
        </row>
        <row r="220">
          <cell r="A220">
            <v>2019</v>
          </cell>
          <cell r="B220" t="str">
            <v>Actual</v>
          </cell>
          <cell r="C220" t="str">
            <v>Jan</v>
          </cell>
          <cell r="D220" t="str">
            <v>Chairs</v>
          </cell>
          <cell r="E220">
            <v>577732.16200000001</v>
          </cell>
          <cell r="F220">
            <v>1</v>
          </cell>
        </row>
        <row r="221">
          <cell r="A221">
            <v>2018</v>
          </cell>
          <cell r="B221" t="str">
            <v>Budget</v>
          </cell>
          <cell r="C221" t="str">
            <v>Jan</v>
          </cell>
          <cell r="D221" t="str">
            <v>Chairs</v>
          </cell>
          <cell r="E221">
            <v>2007424.5099999998</v>
          </cell>
          <cell r="F221">
            <v>1</v>
          </cell>
        </row>
        <row r="222">
          <cell r="A222">
            <v>2018</v>
          </cell>
          <cell r="B222" t="str">
            <v>Actual</v>
          </cell>
          <cell r="C222" t="str">
            <v>Jan</v>
          </cell>
          <cell r="D222" t="str">
            <v>Chairs</v>
          </cell>
          <cell r="E222">
            <v>72333.162999999986</v>
          </cell>
          <cell r="F222">
            <v>1</v>
          </cell>
        </row>
        <row r="223">
          <cell r="A223">
            <v>2018</v>
          </cell>
          <cell r="B223" t="str">
            <v>Budget</v>
          </cell>
          <cell r="C223" t="str">
            <v>Jan</v>
          </cell>
          <cell r="D223" t="str">
            <v>Tables</v>
          </cell>
          <cell r="E223">
            <v>376547.52799999999</v>
          </cell>
          <cell r="F223">
            <v>1</v>
          </cell>
        </row>
        <row r="224">
          <cell r="A224">
            <v>2019</v>
          </cell>
          <cell r="B224" t="str">
            <v>Actual</v>
          </cell>
          <cell r="C224" t="str">
            <v>Jan</v>
          </cell>
          <cell r="D224" t="str">
            <v>Kitchen</v>
          </cell>
          <cell r="E224">
            <v>18023187.91</v>
          </cell>
          <cell r="F224">
            <v>1</v>
          </cell>
        </row>
        <row r="225">
          <cell r="A225">
            <v>2018</v>
          </cell>
          <cell r="B225" t="str">
            <v>Budget</v>
          </cell>
          <cell r="C225" t="str">
            <v>Jan</v>
          </cell>
          <cell r="D225" t="str">
            <v>Accessories</v>
          </cell>
          <cell r="E225">
            <v>177772.80499999999</v>
          </cell>
          <cell r="F225">
            <v>1</v>
          </cell>
        </row>
        <row r="226">
          <cell r="A226">
            <v>2018</v>
          </cell>
          <cell r="B226" t="str">
            <v>Actual</v>
          </cell>
          <cell r="C226" t="str">
            <v>Jan</v>
          </cell>
          <cell r="D226" t="str">
            <v>Chairs</v>
          </cell>
          <cell r="E226">
            <v>28471.611000000001</v>
          </cell>
          <cell r="F226">
            <v>1</v>
          </cell>
        </row>
        <row r="227">
          <cell r="A227">
            <v>2019</v>
          </cell>
          <cell r="B227" t="str">
            <v>Budget</v>
          </cell>
          <cell r="C227" t="str">
            <v>Jan</v>
          </cell>
          <cell r="D227" t="str">
            <v>Tables</v>
          </cell>
          <cell r="E227">
            <v>348289.84399999998</v>
          </cell>
          <cell r="F227">
            <v>1</v>
          </cell>
        </row>
        <row r="228">
          <cell r="A228">
            <v>2019</v>
          </cell>
          <cell r="B228" t="str">
            <v>Actual</v>
          </cell>
          <cell r="C228" t="str">
            <v>Jan</v>
          </cell>
          <cell r="D228" t="str">
            <v>Kitchen</v>
          </cell>
          <cell r="E228">
            <v>879643.70200000005</v>
          </cell>
          <cell r="F228">
            <v>1</v>
          </cell>
        </row>
        <row r="229">
          <cell r="A229">
            <v>2018</v>
          </cell>
          <cell r="B229" t="str">
            <v>Budget</v>
          </cell>
          <cell r="C229" t="str">
            <v>Jan</v>
          </cell>
          <cell r="D229" t="str">
            <v>Accessories</v>
          </cell>
          <cell r="E229">
            <v>353286.647</v>
          </cell>
          <cell r="F229">
            <v>1</v>
          </cell>
        </row>
        <row r="230">
          <cell r="A230">
            <v>2018</v>
          </cell>
          <cell r="B230" t="str">
            <v>Actual</v>
          </cell>
          <cell r="C230" t="str">
            <v>Jan</v>
          </cell>
          <cell r="D230" t="str">
            <v>Chairs</v>
          </cell>
          <cell r="E230">
            <v>1888435.9409999999</v>
          </cell>
          <cell r="F230">
            <v>1</v>
          </cell>
        </row>
        <row r="231">
          <cell r="A231">
            <v>2019</v>
          </cell>
          <cell r="B231" t="str">
            <v>Budget</v>
          </cell>
          <cell r="C231" t="str">
            <v>Jan</v>
          </cell>
          <cell r="D231" t="str">
            <v>Tables</v>
          </cell>
          <cell r="E231">
            <v>509112.66</v>
          </cell>
          <cell r="F231">
            <v>1</v>
          </cell>
        </row>
        <row r="232">
          <cell r="A232">
            <v>2019</v>
          </cell>
          <cell r="B232" t="str">
            <v>Actual</v>
          </cell>
          <cell r="C232" t="str">
            <v>Jan</v>
          </cell>
          <cell r="D232" t="str">
            <v>Kitchen</v>
          </cell>
          <cell r="E232">
            <v>2052164.9539999999</v>
          </cell>
          <cell r="F232">
            <v>1</v>
          </cell>
        </row>
        <row r="233">
          <cell r="A233">
            <v>2019</v>
          </cell>
          <cell r="B233" t="str">
            <v>Budget</v>
          </cell>
          <cell r="C233" t="str">
            <v>Jan</v>
          </cell>
          <cell r="D233" t="str">
            <v>Accessories</v>
          </cell>
          <cell r="E233">
            <v>106611.883</v>
          </cell>
          <cell r="F233">
            <v>1</v>
          </cell>
        </row>
        <row r="234">
          <cell r="A234">
            <v>2018</v>
          </cell>
          <cell r="B234" t="str">
            <v>Actual</v>
          </cell>
          <cell r="C234" t="str">
            <v>Jan</v>
          </cell>
          <cell r="D234" t="str">
            <v>Chairs</v>
          </cell>
          <cell r="E234">
            <v>2565616.8019999997</v>
          </cell>
          <cell r="F234">
            <v>1</v>
          </cell>
        </row>
        <row r="235">
          <cell r="A235">
            <v>2018</v>
          </cell>
          <cell r="B235" t="str">
            <v>Budget</v>
          </cell>
          <cell r="C235" t="str">
            <v>Jan</v>
          </cell>
          <cell r="D235" t="str">
            <v>Tables</v>
          </cell>
          <cell r="E235">
            <v>2055081.273</v>
          </cell>
          <cell r="F235">
            <v>1</v>
          </cell>
        </row>
        <row r="236">
          <cell r="A236">
            <v>2019</v>
          </cell>
          <cell r="B236" t="str">
            <v>Actual</v>
          </cell>
          <cell r="C236" t="str">
            <v>Jan</v>
          </cell>
          <cell r="D236" t="str">
            <v>Kitchen</v>
          </cell>
          <cell r="E236">
            <v>199990.58100000001</v>
          </cell>
          <cell r="F236">
            <v>1</v>
          </cell>
        </row>
        <row r="237">
          <cell r="A237">
            <v>2018</v>
          </cell>
          <cell r="B237" t="str">
            <v>Budget</v>
          </cell>
          <cell r="C237" t="str">
            <v>Jan</v>
          </cell>
          <cell r="D237" t="str">
            <v>Accessories</v>
          </cell>
          <cell r="E237">
            <v>263613.48300000001</v>
          </cell>
          <cell r="F237">
            <v>1</v>
          </cell>
        </row>
        <row r="238">
          <cell r="A238">
            <v>2018</v>
          </cell>
          <cell r="B238" t="str">
            <v>Actual</v>
          </cell>
          <cell r="C238" t="str">
            <v>Jan</v>
          </cell>
          <cell r="D238" t="str">
            <v>Chairs</v>
          </cell>
          <cell r="E238">
            <v>10484609.141999999</v>
          </cell>
          <cell r="F238">
            <v>1</v>
          </cell>
        </row>
        <row r="239">
          <cell r="A239">
            <v>2019</v>
          </cell>
          <cell r="B239" t="str">
            <v>Budget</v>
          </cell>
          <cell r="C239" t="str">
            <v>Jan</v>
          </cell>
          <cell r="D239" t="str">
            <v>Chairs</v>
          </cell>
          <cell r="E239">
            <v>178542.476</v>
          </cell>
          <cell r="F239">
            <v>1</v>
          </cell>
        </row>
        <row r="240">
          <cell r="A240">
            <v>2018</v>
          </cell>
          <cell r="B240" t="str">
            <v>Actual</v>
          </cell>
          <cell r="C240" t="str">
            <v>Jan</v>
          </cell>
          <cell r="D240" t="str">
            <v>Tables</v>
          </cell>
          <cell r="E240">
            <v>98433.880999999979</v>
          </cell>
          <cell r="F240">
            <v>1</v>
          </cell>
        </row>
        <row r="241">
          <cell r="A241">
            <v>2018</v>
          </cell>
          <cell r="B241" t="str">
            <v>Budget</v>
          </cell>
          <cell r="C241" t="str">
            <v>Jan</v>
          </cell>
          <cell r="D241" t="str">
            <v>Kitchen</v>
          </cell>
          <cell r="E241">
            <v>709769.94200000004</v>
          </cell>
          <cell r="F241">
            <v>1</v>
          </cell>
        </row>
        <row r="242">
          <cell r="A242">
            <v>2019</v>
          </cell>
          <cell r="B242" t="str">
            <v>Actual</v>
          </cell>
          <cell r="C242" t="str">
            <v>Jan</v>
          </cell>
          <cell r="D242" t="str">
            <v>Chairs</v>
          </cell>
          <cell r="E242">
            <v>1669856.1669999999</v>
          </cell>
          <cell r="F242">
            <v>1</v>
          </cell>
        </row>
        <row r="243">
          <cell r="A243">
            <v>2019</v>
          </cell>
          <cell r="B243" t="str">
            <v>Budget</v>
          </cell>
          <cell r="C243" t="str">
            <v>Jan</v>
          </cell>
          <cell r="D243" t="str">
            <v>Tables</v>
          </cell>
          <cell r="E243">
            <v>1368712.0859999999</v>
          </cell>
          <cell r="F243">
            <v>1</v>
          </cell>
        </row>
        <row r="244">
          <cell r="A244">
            <v>2019</v>
          </cell>
          <cell r="B244" t="str">
            <v>Actual</v>
          </cell>
          <cell r="C244" t="str">
            <v>Jan</v>
          </cell>
          <cell r="D244" t="str">
            <v>Kitchen</v>
          </cell>
          <cell r="E244">
            <v>420471.12099999998</v>
          </cell>
          <cell r="F244">
            <v>1</v>
          </cell>
        </row>
        <row r="245">
          <cell r="A245">
            <v>2019</v>
          </cell>
          <cell r="B245" t="str">
            <v>Budget</v>
          </cell>
          <cell r="C245" t="str">
            <v>Jan</v>
          </cell>
          <cell r="D245" t="str">
            <v>Chairs</v>
          </cell>
          <cell r="E245">
            <v>6912933.398</v>
          </cell>
          <cell r="F245">
            <v>1</v>
          </cell>
        </row>
        <row r="246">
          <cell r="A246">
            <v>2018</v>
          </cell>
          <cell r="B246" t="str">
            <v>Actual</v>
          </cell>
          <cell r="C246" t="str">
            <v>Jan</v>
          </cell>
          <cell r="D246" t="str">
            <v>Tables</v>
          </cell>
          <cell r="E246">
            <v>1310549.9609999999</v>
          </cell>
          <cell r="F246">
            <v>1</v>
          </cell>
        </row>
        <row r="247">
          <cell r="A247">
            <v>2018</v>
          </cell>
          <cell r="B247" t="str">
            <v>Budget</v>
          </cell>
          <cell r="C247" t="str">
            <v>Jan</v>
          </cell>
          <cell r="D247" t="str">
            <v>Kitchen</v>
          </cell>
          <cell r="E247">
            <v>1752935.5760000001</v>
          </cell>
          <cell r="F247">
            <v>1</v>
          </cell>
        </row>
        <row r="248">
          <cell r="A248">
            <v>2019</v>
          </cell>
          <cell r="B248" t="str">
            <v>Actual</v>
          </cell>
          <cell r="C248" t="str">
            <v>Jan</v>
          </cell>
          <cell r="D248" t="str">
            <v>Chairs</v>
          </cell>
          <cell r="E248">
            <v>135056.166</v>
          </cell>
          <cell r="F248">
            <v>1</v>
          </cell>
        </row>
        <row r="249">
          <cell r="A249">
            <v>2018</v>
          </cell>
          <cell r="B249" t="str">
            <v>Budget</v>
          </cell>
          <cell r="C249" t="str">
            <v>Jan</v>
          </cell>
          <cell r="D249" t="str">
            <v>Chairs</v>
          </cell>
          <cell r="E249">
            <v>38305.798999999999</v>
          </cell>
          <cell r="F249">
            <v>1</v>
          </cell>
        </row>
        <row r="250">
          <cell r="A250">
            <v>2018</v>
          </cell>
          <cell r="B250" t="str">
            <v>Actual</v>
          </cell>
          <cell r="C250" t="str">
            <v>Jan</v>
          </cell>
          <cell r="D250" t="str">
            <v>Chairs</v>
          </cell>
          <cell r="E250">
            <v>40401.220999999998</v>
          </cell>
          <cell r="F250">
            <v>1</v>
          </cell>
        </row>
        <row r="251">
          <cell r="A251">
            <v>2019</v>
          </cell>
          <cell r="B251" t="str">
            <v>Budget</v>
          </cell>
          <cell r="C251" t="str">
            <v>Jan</v>
          </cell>
          <cell r="D251" t="str">
            <v>Chairs</v>
          </cell>
          <cell r="E251">
            <v>253600.48</v>
          </cell>
          <cell r="F251">
            <v>1</v>
          </cell>
        </row>
        <row r="252">
          <cell r="A252">
            <v>2019</v>
          </cell>
          <cell r="B252" t="str">
            <v>Actual</v>
          </cell>
          <cell r="C252" t="str">
            <v>Jan</v>
          </cell>
          <cell r="D252" t="str">
            <v>Chairs</v>
          </cell>
          <cell r="E252">
            <v>570368.29499999993</v>
          </cell>
          <cell r="F252">
            <v>1</v>
          </cell>
        </row>
        <row r="253">
          <cell r="A253">
            <v>2019</v>
          </cell>
          <cell r="B253" t="str">
            <v>Budget</v>
          </cell>
          <cell r="C253" t="str">
            <v>Jan</v>
          </cell>
          <cell r="D253" t="str">
            <v>Chairs</v>
          </cell>
          <cell r="E253">
            <v>847964.27099999995</v>
          </cell>
          <cell r="F253">
            <v>1</v>
          </cell>
        </row>
        <row r="254">
          <cell r="A254">
            <v>2019</v>
          </cell>
          <cell r="B254" t="str">
            <v>Actual</v>
          </cell>
          <cell r="C254" t="str">
            <v>Jan</v>
          </cell>
          <cell r="D254" t="str">
            <v>Chairs</v>
          </cell>
          <cell r="E254">
            <v>430445.31599999999</v>
          </cell>
          <cell r="F254">
            <v>1</v>
          </cell>
        </row>
        <row r="255">
          <cell r="A255">
            <v>2019</v>
          </cell>
          <cell r="B255" t="str">
            <v>Budget</v>
          </cell>
          <cell r="C255" t="str">
            <v>Jan</v>
          </cell>
          <cell r="D255" t="str">
            <v>Chairs</v>
          </cell>
          <cell r="E255">
            <v>87903.745999999999</v>
          </cell>
          <cell r="F255">
            <v>1</v>
          </cell>
        </row>
        <row r="256">
          <cell r="A256">
            <v>2018</v>
          </cell>
          <cell r="B256" t="str">
            <v>Actual</v>
          </cell>
          <cell r="C256" t="str">
            <v>Jan</v>
          </cell>
          <cell r="D256" t="str">
            <v>Chairs</v>
          </cell>
          <cell r="E256">
            <v>517789.47499999998</v>
          </cell>
          <cell r="F256">
            <v>1</v>
          </cell>
        </row>
        <row r="257">
          <cell r="A257">
            <v>2019</v>
          </cell>
          <cell r="B257" t="str">
            <v>Budget</v>
          </cell>
          <cell r="C257" t="str">
            <v>Jan</v>
          </cell>
          <cell r="D257" t="str">
            <v>Chairs</v>
          </cell>
          <cell r="E257">
            <v>193246.242</v>
          </cell>
          <cell r="F257">
            <v>1</v>
          </cell>
        </row>
        <row r="258">
          <cell r="A258">
            <v>2018</v>
          </cell>
          <cell r="B258" t="str">
            <v>Actual</v>
          </cell>
          <cell r="C258" t="str">
            <v>Jan</v>
          </cell>
          <cell r="D258" t="str">
            <v>Chairs</v>
          </cell>
          <cell r="E258">
            <v>725075.12</v>
          </cell>
          <cell r="F258">
            <v>1</v>
          </cell>
        </row>
        <row r="259">
          <cell r="A259">
            <v>2018</v>
          </cell>
          <cell r="B259" t="str">
            <v>Budget</v>
          </cell>
          <cell r="C259" t="str">
            <v>Jan</v>
          </cell>
          <cell r="D259" t="str">
            <v>Chairs</v>
          </cell>
          <cell r="E259">
            <v>132168.848</v>
          </cell>
          <cell r="F259">
            <v>1</v>
          </cell>
        </row>
        <row r="260">
          <cell r="A260">
            <v>2019</v>
          </cell>
          <cell r="B260" t="str">
            <v>Actual</v>
          </cell>
          <cell r="C260" t="str">
            <v>Jan</v>
          </cell>
          <cell r="D260" t="str">
            <v>Chairs</v>
          </cell>
          <cell r="E260">
            <v>475672.44199999998</v>
          </cell>
          <cell r="F260">
            <v>1</v>
          </cell>
        </row>
        <row r="261">
          <cell r="A261">
            <v>2018</v>
          </cell>
          <cell r="B261" t="str">
            <v>Budget</v>
          </cell>
          <cell r="C261" t="str">
            <v>Jan</v>
          </cell>
          <cell r="D261" t="str">
            <v>Chairs</v>
          </cell>
          <cell r="E261">
            <v>43384149.164999999</v>
          </cell>
          <cell r="F261">
            <v>1</v>
          </cell>
        </row>
        <row r="262">
          <cell r="A262">
            <v>2018</v>
          </cell>
          <cell r="B262" t="str">
            <v>Actual</v>
          </cell>
          <cell r="C262" t="str">
            <v>Jan</v>
          </cell>
          <cell r="D262" t="str">
            <v>Chairs</v>
          </cell>
          <cell r="E262">
            <v>1135734.4179999998</v>
          </cell>
          <cell r="F262">
            <v>1</v>
          </cell>
        </row>
        <row r="263">
          <cell r="A263">
            <v>2019</v>
          </cell>
          <cell r="B263" t="str">
            <v>Budget</v>
          </cell>
          <cell r="C263" t="str">
            <v>Jan</v>
          </cell>
          <cell r="D263" t="str">
            <v>Chairs</v>
          </cell>
          <cell r="E263">
            <v>18672.052</v>
          </cell>
          <cell r="F263">
            <v>1</v>
          </cell>
        </row>
        <row r="264">
          <cell r="A264">
            <v>2018</v>
          </cell>
          <cell r="B264" t="str">
            <v>Actual</v>
          </cell>
          <cell r="C264" t="str">
            <v>Jan</v>
          </cell>
          <cell r="D264" t="str">
            <v>Chairs</v>
          </cell>
          <cell r="E264">
            <v>87267.298999999999</v>
          </cell>
          <cell r="F264">
            <v>1</v>
          </cell>
        </row>
        <row r="265">
          <cell r="A265">
            <v>2019</v>
          </cell>
          <cell r="B265" t="str">
            <v>Budget</v>
          </cell>
          <cell r="C265" t="str">
            <v>Jan</v>
          </cell>
          <cell r="D265" t="str">
            <v>Chairs</v>
          </cell>
          <cell r="E265">
            <v>521988.79599999997</v>
          </cell>
          <cell r="F265">
            <v>1</v>
          </cell>
        </row>
        <row r="266">
          <cell r="A266">
            <v>2019</v>
          </cell>
          <cell r="B266" t="str">
            <v>Actual</v>
          </cell>
          <cell r="C266" t="str">
            <v>Jan</v>
          </cell>
          <cell r="D266" t="str">
            <v>Chairs</v>
          </cell>
          <cell r="E266">
            <v>389836.57299999997</v>
          </cell>
          <cell r="F266">
            <v>1</v>
          </cell>
        </row>
        <row r="267">
          <cell r="A267">
            <v>2018</v>
          </cell>
          <cell r="B267" t="str">
            <v>Budget</v>
          </cell>
          <cell r="C267" t="str">
            <v>Jan</v>
          </cell>
          <cell r="D267" t="str">
            <v>Chairs</v>
          </cell>
          <cell r="E267">
            <v>348523.25899999996</v>
          </cell>
          <cell r="F267">
            <v>1</v>
          </cell>
        </row>
        <row r="268">
          <cell r="A268">
            <v>2018</v>
          </cell>
          <cell r="B268" t="str">
            <v>Actual</v>
          </cell>
          <cell r="C268" t="str">
            <v>Jan</v>
          </cell>
          <cell r="D268" t="str">
            <v>Chairs</v>
          </cell>
          <cell r="E268">
            <v>323149.23199999996</v>
          </cell>
          <cell r="F268">
            <v>1</v>
          </cell>
        </row>
        <row r="269">
          <cell r="A269">
            <v>2018</v>
          </cell>
          <cell r="B269" t="str">
            <v>Budget</v>
          </cell>
          <cell r="C269" t="str">
            <v>Jan</v>
          </cell>
          <cell r="D269" t="str">
            <v>Chairs</v>
          </cell>
          <cell r="E269">
            <v>186689.46099999998</v>
          </cell>
          <cell r="F269">
            <v>1</v>
          </cell>
        </row>
        <row r="270">
          <cell r="A270">
            <v>2019</v>
          </cell>
          <cell r="B270" t="str">
            <v>Actual</v>
          </cell>
          <cell r="C270" t="str">
            <v>Jan</v>
          </cell>
          <cell r="D270" t="str">
            <v>Chairs</v>
          </cell>
          <cell r="E270">
            <v>1357686.1340000001</v>
          </cell>
          <cell r="F270">
            <v>1</v>
          </cell>
        </row>
        <row r="271">
          <cell r="A271">
            <v>2019</v>
          </cell>
          <cell r="B271" t="str">
            <v>Budget</v>
          </cell>
          <cell r="C271" t="str">
            <v>Jan</v>
          </cell>
          <cell r="D271" t="str">
            <v>Chairs</v>
          </cell>
          <cell r="E271">
            <v>182854.72099999999</v>
          </cell>
          <cell r="F271">
            <v>1</v>
          </cell>
        </row>
        <row r="272">
          <cell r="A272">
            <v>2018</v>
          </cell>
          <cell r="B272" t="str">
            <v>Actual</v>
          </cell>
          <cell r="C272" t="str">
            <v>Jan</v>
          </cell>
          <cell r="D272" t="str">
            <v>Chairs</v>
          </cell>
          <cell r="E272">
            <v>9950969.2309999987</v>
          </cell>
          <cell r="F272">
            <v>1</v>
          </cell>
        </row>
        <row r="273">
          <cell r="A273">
            <v>2019</v>
          </cell>
          <cell r="B273" t="str">
            <v>Budget</v>
          </cell>
          <cell r="C273" t="str">
            <v>Jan</v>
          </cell>
          <cell r="D273" t="str">
            <v>Chairs</v>
          </cell>
          <cell r="E273">
            <v>734562.62599999993</v>
          </cell>
          <cell r="F273">
            <v>1</v>
          </cell>
        </row>
        <row r="274">
          <cell r="A274">
            <v>2018</v>
          </cell>
          <cell r="B274" t="str">
            <v>Actual</v>
          </cell>
          <cell r="C274" t="str">
            <v>Jan</v>
          </cell>
          <cell r="D274" t="str">
            <v>Tables</v>
          </cell>
          <cell r="E274">
            <v>196036.946</v>
          </cell>
          <cell r="F274">
            <v>1</v>
          </cell>
        </row>
        <row r="275">
          <cell r="A275">
            <v>2018</v>
          </cell>
          <cell r="B275" t="str">
            <v>Budget</v>
          </cell>
          <cell r="C275" t="str">
            <v>Jan</v>
          </cell>
          <cell r="D275" t="str">
            <v>Kitchen</v>
          </cell>
          <cell r="E275">
            <v>48847.413999999997</v>
          </cell>
          <cell r="F275">
            <v>1</v>
          </cell>
        </row>
        <row r="276">
          <cell r="A276">
            <v>2018</v>
          </cell>
          <cell r="B276" t="str">
            <v>Actual</v>
          </cell>
          <cell r="C276" t="str">
            <v>Jan</v>
          </cell>
          <cell r="D276" t="str">
            <v>Chairs</v>
          </cell>
          <cell r="E276">
            <v>53062.533999999992</v>
          </cell>
          <cell r="F276">
            <v>1</v>
          </cell>
        </row>
        <row r="277">
          <cell r="A277">
            <v>2018</v>
          </cell>
          <cell r="B277" t="str">
            <v>Budget</v>
          </cell>
          <cell r="C277" t="str">
            <v>Jan</v>
          </cell>
          <cell r="D277" t="str">
            <v>Chairs</v>
          </cell>
          <cell r="E277">
            <v>27951.839999999997</v>
          </cell>
          <cell r="F277">
            <v>1</v>
          </cell>
        </row>
        <row r="278">
          <cell r="A278">
            <v>2019</v>
          </cell>
          <cell r="B278" t="str">
            <v>Actual</v>
          </cell>
          <cell r="C278" t="str">
            <v>Jan</v>
          </cell>
          <cell r="D278" t="str">
            <v>Chairs</v>
          </cell>
          <cell r="E278">
            <v>25169.815999999995</v>
          </cell>
          <cell r="F278">
            <v>1</v>
          </cell>
        </row>
        <row r="279">
          <cell r="A279">
            <v>2018</v>
          </cell>
          <cell r="B279" t="str">
            <v>Budget</v>
          </cell>
          <cell r="C279" t="str">
            <v>Jan</v>
          </cell>
          <cell r="D279" t="str">
            <v>Chairs</v>
          </cell>
          <cell r="E279">
            <v>5916.9949999999999</v>
          </cell>
          <cell r="F279">
            <v>1</v>
          </cell>
        </row>
        <row r="280">
          <cell r="A280">
            <v>2018</v>
          </cell>
          <cell r="B280" t="str">
            <v>Actual</v>
          </cell>
          <cell r="C280" t="str">
            <v>Jan</v>
          </cell>
          <cell r="D280" t="str">
            <v>Chairs</v>
          </cell>
          <cell r="E280">
            <v>1712809.3569999998</v>
          </cell>
          <cell r="F280">
            <v>1</v>
          </cell>
        </row>
        <row r="281">
          <cell r="A281">
            <v>2018</v>
          </cell>
          <cell r="B281" t="str">
            <v>Budget</v>
          </cell>
          <cell r="C281" t="str">
            <v>Jan</v>
          </cell>
          <cell r="D281" t="str">
            <v>Tables</v>
          </cell>
          <cell r="E281">
            <v>353249.67300000001</v>
          </cell>
          <cell r="F281">
            <v>1</v>
          </cell>
        </row>
        <row r="282">
          <cell r="A282">
            <v>2019</v>
          </cell>
          <cell r="B282" t="str">
            <v>Actual</v>
          </cell>
          <cell r="C282" t="str">
            <v>Jan</v>
          </cell>
          <cell r="D282" t="str">
            <v>Kitchen</v>
          </cell>
          <cell r="E282">
            <v>1059244.0179999999</v>
          </cell>
          <cell r="F282">
            <v>1</v>
          </cell>
        </row>
        <row r="283">
          <cell r="A283">
            <v>2019</v>
          </cell>
          <cell r="B283" t="str">
            <v>Budget</v>
          </cell>
          <cell r="C283" t="str">
            <v>Jan</v>
          </cell>
          <cell r="D283" t="str">
            <v>Chairs</v>
          </cell>
          <cell r="E283">
            <v>-264558.11199999996</v>
          </cell>
          <cell r="F283">
            <v>1</v>
          </cell>
        </row>
        <row r="284">
          <cell r="A284">
            <v>2018</v>
          </cell>
          <cell r="B284" t="str">
            <v>Actual</v>
          </cell>
          <cell r="C284" t="str">
            <v>Jan</v>
          </cell>
          <cell r="D284" t="str">
            <v>Chairs</v>
          </cell>
          <cell r="E284">
            <v>211059.93299999999</v>
          </cell>
          <cell r="F284">
            <v>1</v>
          </cell>
        </row>
        <row r="285">
          <cell r="A285">
            <v>2018</v>
          </cell>
          <cell r="B285" t="str">
            <v>Budget</v>
          </cell>
          <cell r="C285" t="str">
            <v>Jan</v>
          </cell>
          <cell r="D285" t="str">
            <v>Chairs</v>
          </cell>
          <cell r="E285">
            <v>1098237.7349999999</v>
          </cell>
          <cell r="F285">
            <v>1</v>
          </cell>
        </row>
        <row r="286">
          <cell r="A286">
            <v>2019</v>
          </cell>
          <cell r="B286" t="str">
            <v>Actual</v>
          </cell>
          <cell r="C286" t="str">
            <v>Jan</v>
          </cell>
          <cell r="D286" t="str">
            <v>Tables</v>
          </cell>
          <cell r="E286">
            <v>1633860.767</v>
          </cell>
          <cell r="F286">
            <v>1</v>
          </cell>
        </row>
        <row r="287">
          <cell r="A287">
            <v>2018</v>
          </cell>
          <cell r="B287" t="str">
            <v>Budget</v>
          </cell>
          <cell r="C287" t="str">
            <v>Jan</v>
          </cell>
          <cell r="D287" t="str">
            <v>Kitchen</v>
          </cell>
          <cell r="E287">
            <v>3618340.6490000002</v>
          </cell>
          <cell r="F287">
            <v>1</v>
          </cell>
        </row>
        <row r="288">
          <cell r="A288">
            <v>2018</v>
          </cell>
          <cell r="B288" t="str">
            <v>Actual</v>
          </cell>
          <cell r="C288" t="str">
            <v>Jan</v>
          </cell>
          <cell r="D288" t="str">
            <v>Chairs</v>
          </cell>
          <cell r="E288">
            <v>1939950.8869999999</v>
          </cell>
          <cell r="F288">
            <v>1</v>
          </cell>
        </row>
        <row r="289">
          <cell r="A289">
            <v>2018</v>
          </cell>
          <cell r="B289" t="str">
            <v>Budget</v>
          </cell>
          <cell r="C289" t="str">
            <v>Jan</v>
          </cell>
          <cell r="D289" t="str">
            <v>Chairs</v>
          </cell>
          <cell r="E289">
            <v>4324003.1729999995</v>
          </cell>
          <cell r="F289">
            <v>1</v>
          </cell>
        </row>
        <row r="290">
          <cell r="A290">
            <v>2019</v>
          </cell>
          <cell r="B290" t="str">
            <v>Actual</v>
          </cell>
          <cell r="C290" t="str">
            <v>Jan</v>
          </cell>
          <cell r="D290" t="str">
            <v>Tables</v>
          </cell>
          <cell r="E290">
            <v>6362388.5920000002</v>
          </cell>
          <cell r="F290">
            <v>1</v>
          </cell>
        </row>
        <row r="291">
          <cell r="A291">
            <v>2018</v>
          </cell>
          <cell r="B291" t="str">
            <v>Budget</v>
          </cell>
          <cell r="C291" t="str">
            <v>Jan</v>
          </cell>
          <cell r="D291" t="str">
            <v>Kitchen</v>
          </cell>
          <cell r="E291">
            <v>511659.98099999991</v>
          </cell>
          <cell r="F291">
            <v>1</v>
          </cell>
        </row>
        <row r="292">
          <cell r="A292">
            <v>2019</v>
          </cell>
          <cell r="B292" t="str">
            <v>Actual</v>
          </cell>
          <cell r="C292" t="str">
            <v>Jan</v>
          </cell>
          <cell r="D292" t="str">
            <v>Chairs</v>
          </cell>
          <cell r="E292">
            <v>7117171.6559999995</v>
          </cell>
          <cell r="F292">
            <v>1</v>
          </cell>
        </row>
        <row r="293">
          <cell r="A293">
            <v>2018</v>
          </cell>
          <cell r="B293" t="str">
            <v>Budget</v>
          </cell>
          <cell r="C293" t="str">
            <v>Jan</v>
          </cell>
          <cell r="D293" t="str">
            <v>Chairs</v>
          </cell>
          <cell r="E293">
            <v>10467591.658999998</v>
          </cell>
          <cell r="F293">
            <v>1</v>
          </cell>
        </row>
        <row r="294">
          <cell r="A294">
            <v>2018</v>
          </cell>
          <cell r="B294" t="str">
            <v>Actual</v>
          </cell>
          <cell r="C294" t="str">
            <v>Jan</v>
          </cell>
          <cell r="D294" t="str">
            <v>Chairs</v>
          </cell>
          <cell r="E294">
            <v>727472.41</v>
          </cell>
          <cell r="F294">
            <v>1</v>
          </cell>
        </row>
        <row r="295">
          <cell r="A295">
            <v>2018</v>
          </cell>
          <cell r="B295" t="str">
            <v>Budget</v>
          </cell>
          <cell r="C295" t="str">
            <v>Jan</v>
          </cell>
          <cell r="D295" t="str">
            <v>Tables</v>
          </cell>
          <cell r="E295">
            <v>1290720.5009999999</v>
          </cell>
          <cell r="F295">
            <v>1</v>
          </cell>
        </row>
        <row r="296">
          <cell r="A296">
            <v>2019</v>
          </cell>
          <cell r="B296" t="str">
            <v>Actual</v>
          </cell>
          <cell r="C296" t="str">
            <v>Jan</v>
          </cell>
          <cell r="D296" t="str">
            <v>Kitchen</v>
          </cell>
          <cell r="E296">
            <v>1710770.4739999997</v>
          </cell>
          <cell r="F296">
            <v>1</v>
          </cell>
        </row>
        <row r="297">
          <cell r="A297">
            <v>2019</v>
          </cell>
          <cell r="B297" t="str">
            <v>Budget</v>
          </cell>
          <cell r="C297" t="str">
            <v>Jan</v>
          </cell>
          <cell r="D297" t="str">
            <v>Accessories</v>
          </cell>
          <cell r="E297">
            <v>97436.758999999991</v>
          </cell>
          <cell r="F297">
            <v>1</v>
          </cell>
        </row>
        <row r="298">
          <cell r="A298">
            <v>2018</v>
          </cell>
          <cell r="B298" t="str">
            <v>Actual</v>
          </cell>
          <cell r="C298" t="str">
            <v>Jan</v>
          </cell>
          <cell r="D298" t="str">
            <v>Chairs</v>
          </cell>
          <cell r="E298">
            <v>1395706.6479999998</v>
          </cell>
          <cell r="F298">
            <v>1</v>
          </cell>
        </row>
        <row r="299">
          <cell r="A299">
            <v>2018</v>
          </cell>
          <cell r="B299" t="str">
            <v>Budget</v>
          </cell>
          <cell r="C299" t="str">
            <v>Jan</v>
          </cell>
          <cell r="D299" t="str">
            <v>Tables</v>
          </cell>
          <cell r="E299">
            <v>20258904.210999999</v>
          </cell>
          <cell r="F299">
            <v>1</v>
          </cell>
        </row>
        <row r="300">
          <cell r="A300">
            <v>2019</v>
          </cell>
          <cell r="B300" t="str">
            <v>Actual</v>
          </cell>
          <cell r="C300" t="str">
            <v>Jan</v>
          </cell>
          <cell r="D300" t="str">
            <v>Kitchen</v>
          </cell>
          <cell r="E300">
            <v>317234.46999999997</v>
          </cell>
          <cell r="F300">
            <v>1</v>
          </cell>
        </row>
        <row r="301">
          <cell r="A301">
            <v>2018</v>
          </cell>
          <cell r="B301" t="str">
            <v>Budget</v>
          </cell>
          <cell r="C301" t="str">
            <v>Jan</v>
          </cell>
          <cell r="D301" t="str">
            <v>Accessories</v>
          </cell>
          <cell r="E301">
            <v>298655.85399999993</v>
          </cell>
          <cell r="F301">
            <v>1</v>
          </cell>
        </row>
        <row r="302">
          <cell r="A302">
            <v>2018</v>
          </cell>
          <cell r="B302" t="str">
            <v>Actual</v>
          </cell>
          <cell r="C302" t="str">
            <v>Jan</v>
          </cell>
          <cell r="D302" t="str">
            <v>Chairs</v>
          </cell>
          <cell r="E302">
            <v>1341035.6399999999</v>
          </cell>
          <cell r="F302">
            <v>1</v>
          </cell>
        </row>
        <row r="303">
          <cell r="A303">
            <v>2018</v>
          </cell>
          <cell r="B303" t="str">
            <v>Budget</v>
          </cell>
          <cell r="C303" t="str">
            <v>Jan</v>
          </cell>
          <cell r="D303" t="str">
            <v>Tables</v>
          </cell>
          <cell r="E303">
            <v>122652.64899999999</v>
          </cell>
          <cell r="F303">
            <v>1</v>
          </cell>
        </row>
        <row r="304">
          <cell r="A304">
            <v>2018</v>
          </cell>
          <cell r="B304" t="str">
            <v>Actual</v>
          </cell>
          <cell r="C304" t="str">
            <v>Jan</v>
          </cell>
          <cell r="D304" t="str">
            <v>Kitchen</v>
          </cell>
          <cell r="E304">
            <v>3610406.8349999995</v>
          </cell>
          <cell r="F304">
            <v>1</v>
          </cell>
        </row>
        <row r="305">
          <cell r="A305">
            <v>2019</v>
          </cell>
          <cell r="B305" t="str">
            <v>Budget</v>
          </cell>
          <cell r="C305" t="str">
            <v>Jan</v>
          </cell>
          <cell r="D305" t="str">
            <v>Accessories</v>
          </cell>
          <cell r="E305">
            <v>1589324.709</v>
          </cell>
          <cell r="F305">
            <v>1</v>
          </cell>
        </row>
        <row r="306">
          <cell r="A306">
            <v>2018</v>
          </cell>
          <cell r="B306" t="str">
            <v>Actual</v>
          </cell>
          <cell r="C306" t="str">
            <v>Jan</v>
          </cell>
          <cell r="D306" t="str">
            <v>Chairs</v>
          </cell>
          <cell r="E306">
            <v>1672620.6769999999</v>
          </cell>
          <cell r="F306">
            <v>1</v>
          </cell>
        </row>
        <row r="307">
          <cell r="A307">
            <v>2019</v>
          </cell>
          <cell r="B307" t="str">
            <v>Budget</v>
          </cell>
          <cell r="C307" t="str">
            <v>Jan</v>
          </cell>
          <cell r="D307" t="str">
            <v>Tables</v>
          </cell>
          <cell r="E307">
            <v>971491.5909999999</v>
          </cell>
          <cell r="F307">
            <v>1</v>
          </cell>
        </row>
        <row r="308">
          <cell r="A308">
            <v>2018</v>
          </cell>
          <cell r="B308" t="str">
            <v>Actual</v>
          </cell>
          <cell r="C308" t="str">
            <v>Jan</v>
          </cell>
          <cell r="D308" t="str">
            <v>Kitchen</v>
          </cell>
          <cell r="E308">
            <v>169719.71100000001</v>
          </cell>
          <cell r="F308">
            <v>1</v>
          </cell>
        </row>
        <row r="309">
          <cell r="A309">
            <v>2019</v>
          </cell>
          <cell r="B309" t="str">
            <v>Budget</v>
          </cell>
          <cell r="C309" t="str">
            <v>Jan</v>
          </cell>
          <cell r="D309" t="str">
            <v>Accessories</v>
          </cell>
          <cell r="E309">
            <v>51185.322999999997</v>
          </cell>
          <cell r="F309">
            <v>1</v>
          </cell>
        </row>
        <row r="310">
          <cell r="A310">
            <v>2019</v>
          </cell>
          <cell r="B310" t="str">
            <v>Actual</v>
          </cell>
          <cell r="C310" t="str">
            <v>Jan</v>
          </cell>
          <cell r="D310" t="str">
            <v>Chairs</v>
          </cell>
          <cell r="E310">
            <v>1328363.4350000001</v>
          </cell>
          <cell r="F310">
            <v>1</v>
          </cell>
        </row>
        <row r="311">
          <cell r="A311">
            <v>2019</v>
          </cell>
          <cell r="B311" t="str">
            <v>Budget</v>
          </cell>
          <cell r="C311" t="str">
            <v>Jan</v>
          </cell>
          <cell r="D311" t="str">
            <v>Chairs</v>
          </cell>
          <cell r="E311">
            <v>302066.28200000001</v>
          </cell>
          <cell r="F311">
            <v>1</v>
          </cell>
        </row>
        <row r="312">
          <cell r="A312">
            <v>2018</v>
          </cell>
          <cell r="B312" t="str">
            <v>Actual</v>
          </cell>
          <cell r="C312" t="str">
            <v>Jan</v>
          </cell>
          <cell r="D312" t="str">
            <v>Tables</v>
          </cell>
          <cell r="E312">
            <v>5293.4070000000002</v>
          </cell>
          <cell r="F312">
            <v>1</v>
          </cell>
        </row>
        <row r="313">
          <cell r="A313">
            <v>2019</v>
          </cell>
          <cell r="B313" t="str">
            <v>Budget</v>
          </cell>
          <cell r="C313" t="str">
            <v>Jan</v>
          </cell>
          <cell r="D313" t="str">
            <v>Kitchen</v>
          </cell>
          <cell r="E313">
            <v>161043.12699999998</v>
          </cell>
          <cell r="F313">
            <v>1</v>
          </cell>
        </row>
        <row r="314">
          <cell r="A314">
            <v>2018</v>
          </cell>
          <cell r="B314" t="str">
            <v>Actual</v>
          </cell>
          <cell r="C314" t="str">
            <v>Jan</v>
          </cell>
          <cell r="D314" t="str">
            <v>Chairs</v>
          </cell>
          <cell r="E314">
            <v>4197.5219999999999</v>
          </cell>
          <cell r="F314">
            <v>1</v>
          </cell>
        </row>
        <row r="315">
          <cell r="A315">
            <v>2019</v>
          </cell>
          <cell r="B315" t="str">
            <v>Budget</v>
          </cell>
          <cell r="C315" t="str">
            <v>Jan</v>
          </cell>
          <cell r="D315" t="str">
            <v>Tables</v>
          </cell>
          <cell r="E315">
            <v>69868.721999999994</v>
          </cell>
          <cell r="F315">
            <v>1</v>
          </cell>
        </row>
        <row r="316">
          <cell r="A316">
            <v>2019</v>
          </cell>
          <cell r="B316" t="str">
            <v>Actual</v>
          </cell>
          <cell r="C316" t="str">
            <v>Jan</v>
          </cell>
          <cell r="D316" t="str">
            <v>Kitchen</v>
          </cell>
          <cell r="E316">
            <v>11268.585999999999</v>
          </cell>
          <cell r="F316">
            <v>1</v>
          </cell>
        </row>
        <row r="317">
          <cell r="A317">
            <v>2018</v>
          </cell>
          <cell r="B317" t="str">
            <v>Budget</v>
          </cell>
          <cell r="C317" t="str">
            <v>Jan</v>
          </cell>
          <cell r="D317" t="str">
            <v>Chairs</v>
          </cell>
          <cell r="E317">
            <v>56570.766000000003</v>
          </cell>
          <cell r="F317">
            <v>1</v>
          </cell>
        </row>
        <row r="318">
          <cell r="A318">
            <v>2018</v>
          </cell>
          <cell r="B318" t="str">
            <v>Actual</v>
          </cell>
          <cell r="C318" t="str">
            <v>Jan</v>
          </cell>
          <cell r="D318" t="str">
            <v>Tables</v>
          </cell>
          <cell r="E318">
            <v>607668.01899999997</v>
          </cell>
          <cell r="F318">
            <v>1</v>
          </cell>
        </row>
        <row r="319">
          <cell r="A319">
            <v>2019</v>
          </cell>
          <cell r="B319" t="str">
            <v>Budget</v>
          </cell>
          <cell r="C319" t="str">
            <v>Jan</v>
          </cell>
          <cell r="D319" t="str">
            <v>Kitchen</v>
          </cell>
          <cell r="E319">
            <v>72364.305999999997</v>
          </cell>
          <cell r="F319">
            <v>1</v>
          </cell>
        </row>
        <row r="320">
          <cell r="A320">
            <v>2018</v>
          </cell>
          <cell r="B320" t="str">
            <v>Actual</v>
          </cell>
          <cell r="C320" t="str">
            <v>Jan</v>
          </cell>
          <cell r="D320" t="str">
            <v>Chairs</v>
          </cell>
          <cell r="E320">
            <v>1049234.872</v>
          </cell>
          <cell r="F320">
            <v>1</v>
          </cell>
        </row>
        <row r="321">
          <cell r="A321">
            <v>2019</v>
          </cell>
          <cell r="B321" t="str">
            <v>Budget</v>
          </cell>
          <cell r="C321" t="str">
            <v>Jan</v>
          </cell>
          <cell r="D321" t="str">
            <v>Chairs</v>
          </cell>
          <cell r="E321">
            <v>3429432.1460000002</v>
          </cell>
          <cell r="F321">
            <v>1</v>
          </cell>
        </row>
        <row r="322">
          <cell r="A322">
            <v>2018</v>
          </cell>
          <cell r="B322" t="str">
            <v>Actual</v>
          </cell>
          <cell r="C322" t="str">
            <v>Jan</v>
          </cell>
          <cell r="D322" t="str">
            <v>Chairs</v>
          </cell>
          <cell r="E322">
            <v>5952684.318</v>
          </cell>
          <cell r="F322">
            <v>1</v>
          </cell>
        </row>
        <row r="323">
          <cell r="A323">
            <v>2018</v>
          </cell>
          <cell r="B323" t="str">
            <v>Budget</v>
          </cell>
          <cell r="C323" t="str">
            <v>Jan</v>
          </cell>
          <cell r="D323" t="str">
            <v>Chairs</v>
          </cell>
          <cell r="E323">
            <v>2198247.6529999999</v>
          </cell>
          <cell r="F323">
            <v>1</v>
          </cell>
        </row>
        <row r="324">
          <cell r="A324">
            <v>2018</v>
          </cell>
          <cell r="B324" t="str">
            <v>Actual</v>
          </cell>
          <cell r="C324" t="str">
            <v>Jan</v>
          </cell>
          <cell r="D324" t="str">
            <v>Chairs</v>
          </cell>
          <cell r="E324">
            <v>-19104.364999999998</v>
          </cell>
          <cell r="F324">
            <v>1</v>
          </cell>
        </row>
        <row r="325">
          <cell r="A325">
            <v>2018</v>
          </cell>
          <cell r="B325" t="str">
            <v>Budget</v>
          </cell>
          <cell r="C325" t="str">
            <v>Jan</v>
          </cell>
          <cell r="D325" t="str">
            <v>Chairs</v>
          </cell>
          <cell r="E325">
            <v>5691750.2110000001</v>
          </cell>
          <cell r="F325">
            <v>1</v>
          </cell>
        </row>
        <row r="326">
          <cell r="A326">
            <v>2018</v>
          </cell>
          <cell r="B326" t="str">
            <v>Actual</v>
          </cell>
          <cell r="C326" t="str">
            <v>Jan</v>
          </cell>
          <cell r="D326" t="str">
            <v>Chairs</v>
          </cell>
          <cell r="E326">
            <v>180700.65299999999</v>
          </cell>
          <cell r="F326">
            <v>1</v>
          </cell>
        </row>
        <row r="327">
          <cell r="A327">
            <v>2018</v>
          </cell>
          <cell r="B327" t="str">
            <v>Budget</v>
          </cell>
          <cell r="C327" t="str">
            <v>Jan</v>
          </cell>
          <cell r="D327" t="str">
            <v>Chairs</v>
          </cell>
          <cell r="E327">
            <v>391390.04800000001</v>
          </cell>
          <cell r="F327">
            <v>1</v>
          </cell>
        </row>
        <row r="328">
          <cell r="A328">
            <v>2019</v>
          </cell>
          <cell r="B328" t="str">
            <v>Actual</v>
          </cell>
          <cell r="C328" t="str">
            <v>Jan</v>
          </cell>
          <cell r="D328" t="str">
            <v>Chairs</v>
          </cell>
          <cell r="E328">
            <v>1545066.6909999999</v>
          </cell>
          <cell r="F328">
            <v>1</v>
          </cell>
        </row>
        <row r="329">
          <cell r="A329">
            <v>2018</v>
          </cell>
          <cell r="B329" t="str">
            <v>Budget</v>
          </cell>
          <cell r="C329" t="str">
            <v>Jan</v>
          </cell>
          <cell r="D329" t="str">
            <v>Chairs</v>
          </cell>
          <cell r="E329">
            <v>17061.085999999999</v>
          </cell>
          <cell r="F329">
            <v>1</v>
          </cell>
        </row>
        <row r="330">
          <cell r="A330">
            <v>2018</v>
          </cell>
          <cell r="B330" t="str">
            <v>Actual</v>
          </cell>
          <cell r="C330" t="str">
            <v>Jan</v>
          </cell>
          <cell r="D330" t="str">
            <v>Chairs</v>
          </cell>
          <cell r="E330">
            <v>1307261.5009999999</v>
          </cell>
          <cell r="F330">
            <v>1</v>
          </cell>
        </row>
        <row r="331">
          <cell r="A331">
            <v>2019</v>
          </cell>
          <cell r="B331" t="str">
            <v>Budget</v>
          </cell>
          <cell r="C331" t="str">
            <v>Jan</v>
          </cell>
          <cell r="D331" t="str">
            <v>Chairs</v>
          </cell>
          <cell r="E331">
            <v>1243413.8569999998</v>
          </cell>
          <cell r="F331">
            <v>1</v>
          </cell>
        </row>
        <row r="332">
          <cell r="A332">
            <v>2018</v>
          </cell>
          <cell r="B332" t="str">
            <v>Actual</v>
          </cell>
          <cell r="C332" t="str">
            <v>Jan</v>
          </cell>
          <cell r="D332" t="str">
            <v>Chairs</v>
          </cell>
          <cell r="E332">
            <v>1317795.1709999999</v>
          </cell>
          <cell r="F332">
            <v>1</v>
          </cell>
        </row>
        <row r="333">
          <cell r="A333">
            <v>2019</v>
          </cell>
          <cell r="B333" t="str">
            <v>Budget</v>
          </cell>
          <cell r="C333" t="str">
            <v>Jan</v>
          </cell>
          <cell r="D333" t="str">
            <v>Chairs</v>
          </cell>
          <cell r="E333">
            <v>797295.96099999989</v>
          </cell>
          <cell r="F333">
            <v>1</v>
          </cell>
        </row>
        <row r="334">
          <cell r="A334">
            <v>2019</v>
          </cell>
          <cell r="B334" t="str">
            <v>Actual</v>
          </cell>
          <cell r="C334" t="str">
            <v>Jan</v>
          </cell>
          <cell r="D334" t="str">
            <v>Chairs</v>
          </cell>
          <cell r="E334">
            <v>513527.74899999995</v>
          </cell>
          <cell r="F334">
            <v>1</v>
          </cell>
        </row>
        <row r="335">
          <cell r="A335">
            <v>2019</v>
          </cell>
          <cell r="B335" t="str">
            <v>Budget</v>
          </cell>
          <cell r="C335" t="str">
            <v>Jan</v>
          </cell>
          <cell r="D335" t="str">
            <v>Chairs</v>
          </cell>
          <cell r="E335">
            <v>387181.50099999999</v>
          </cell>
          <cell r="F335">
            <v>1</v>
          </cell>
        </row>
        <row r="336">
          <cell r="A336">
            <v>2019</v>
          </cell>
          <cell r="B336" t="str">
            <v>Actual</v>
          </cell>
          <cell r="C336" t="str">
            <v>Jan</v>
          </cell>
          <cell r="D336" t="str">
            <v>Chairs</v>
          </cell>
          <cell r="E336">
            <v>273488.69099999999</v>
          </cell>
          <cell r="F336">
            <v>1</v>
          </cell>
        </row>
        <row r="337">
          <cell r="A337">
            <v>2018</v>
          </cell>
          <cell r="B337" t="str">
            <v>Budget</v>
          </cell>
          <cell r="C337" t="str">
            <v>Jan</v>
          </cell>
          <cell r="D337" t="str">
            <v>Chairs</v>
          </cell>
          <cell r="E337">
            <v>223010.046</v>
          </cell>
          <cell r="F337">
            <v>1</v>
          </cell>
        </row>
        <row r="338">
          <cell r="A338">
            <v>2018</v>
          </cell>
          <cell r="B338" t="str">
            <v>Actual</v>
          </cell>
          <cell r="C338" t="str">
            <v>Jan</v>
          </cell>
          <cell r="D338" t="str">
            <v>Chairs</v>
          </cell>
          <cell r="E338">
            <v>197442.448</v>
          </cell>
          <cell r="F338">
            <v>1</v>
          </cell>
        </row>
        <row r="339">
          <cell r="A339">
            <v>2019</v>
          </cell>
          <cell r="B339" t="str">
            <v>Budget</v>
          </cell>
          <cell r="C339" t="str">
            <v>Jan</v>
          </cell>
          <cell r="D339" t="str">
            <v>Chairs</v>
          </cell>
          <cell r="E339">
            <v>72741261.900999993</v>
          </cell>
          <cell r="F339">
            <v>1</v>
          </cell>
        </row>
        <row r="340">
          <cell r="A340">
            <v>2018</v>
          </cell>
          <cell r="B340" t="str">
            <v>Actual</v>
          </cell>
          <cell r="C340" t="str">
            <v>Jan</v>
          </cell>
          <cell r="D340" t="str">
            <v>Chairs</v>
          </cell>
          <cell r="E340">
            <v>63645.574999999997</v>
          </cell>
          <cell r="F340">
            <v>1</v>
          </cell>
        </row>
        <row r="341">
          <cell r="A341">
            <v>2018</v>
          </cell>
          <cell r="B341" t="str">
            <v>Budget</v>
          </cell>
          <cell r="C341" t="str">
            <v>Jan</v>
          </cell>
          <cell r="D341" t="str">
            <v>Chairs</v>
          </cell>
          <cell r="E341">
            <v>7047.607</v>
          </cell>
          <cell r="F341">
            <v>1</v>
          </cell>
        </row>
        <row r="342">
          <cell r="A342">
            <v>2018</v>
          </cell>
          <cell r="B342" t="str">
            <v>Actual</v>
          </cell>
          <cell r="C342" t="str">
            <v>Jan</v>
          </cell>
          <cell r="D342" t="str">
            <v>Chairs</v>
          </cell>
          <cell r="E342">
            <v>664784.5469999999</v>
          </cell>
          <cell r="F342">
            <v>1</v>
          </cell>
        </row>
        <row r="343">
          <cell r="A343">
            <v>2018</v>
          </cell>
          <cell r="B343" t="str">
            <v>Budget</v>
          </cell>
          <cell r="C343" t="str">
            <v>Jan</v>
          </cell>
          <cell r="D343" t="str">
            <v>Chairs</v>
          </cell>
          <cell r="E343">
            <v>452653.02600000001</v>
          </cell>
          <cell r="F343">
            <v>1</v>
          </cell>
        </row>
        <row r="344">
          <cell r="A344">
            <v>2019</v>
          </cell>
          <cell r="B344" t="str">
            <v>Actual</v>
          </cell>
          <cell r="C344" t="str">
            <v>Jan</v>
          </cell>
          <cell r="D344" t="str">
            <v>Chairs</v>
          </cell>
          <cell r="E344">
            <v>4149.4880000000003</v>
          </cell>
          <cell r="F344">
            <v>1</v>
          </cell>
        </row>
        <row r="345">
          <cell r="A345">
            <v>2018</v>
          </cell>
          <cell r="B345" t="str">
            <v>Budget</v>
          </cell>
          <cell r="C345" t="str">
            <v>Jan</v>
          </cell>
          <cell r="D345" t="str">
            <v>Chairs</v>
          </cell>
          <cell r="E345">
            <v>6295.7510000000002</v>
          </cell>
          <cell r="F345">
            <v>1</v>
          </cell>
        </row>
        <row r="346">
          <cell r="A346">
            <v>2019</v>
          </cell>
          <cell r="B346" t="str">
            <v>Actual</v>
          </cell>
          <cell r="C346" t="str">
            <v>Jan</v>
          </cell>
          <cell r="D346" t="str">
            <v>Tables</v>
          </cell>
          <cell r="E346">
            <v>89056.939999999988</v>
          </cell>
          <cell r="F346">
            <v>1</v>
          </cell>
        </row>
        <row r="347">
          <cell r="A347">
            <v>2019</v>
          </cell>
          <cell r="B347" t="str">
            <v>Budget</v>
          </cell>
          <cell r="C347" t="str">
            <v>Jan</v>
          </cell>
          <cell r="D347" t="str">
            <v>Kitchen</v>
          </cell>
          <cell r="E347">
            <v>39451.614999999998</v>
          </cell>
          <cell r="F347">
            <v>1</v>
          </cell>
        </row>
        <row r="348">
          <cell r="A348">
            <v>2019</v>
          </cell>
          <cell r="B348" t="str">
            <v>Actual</v>
          </cell>
          <cell r="C348" t="str">
            <v>Jan</v>
          </cell>
          <cell r="D348" t="str">
            <v>Chairs</v>
          </cell>
          <cell r="E348">
            <v>37567.725999999995</v>
          </cell>
          <cell r="F348">
            <v>1</v>
          </cell>
        </row>
        <row r="349">
          <cell r="A349">
            <v>2019</v>
          </cell>
          <cell r="B349" t="str">
            <v>Budget</v>
          </cell>
          <cell r="C349" t="str">
            <v>Jan</v>
          </cell>
          <cell r="D349" t="str">
            <v>Chairs</v>
          </cell>
          <cell r="E349">
            <v>20944.188999999998</v>
          </cell>
          <cell r="F349">
            <v>1</v>
          </cell>
        </row>
        <row r="350">
          <cell r="A350">
            <v>2018</v>
          </cell>
          <cell r="B350" t="str">
            <v>Actual</v>
          </cell>
          <cell r="C350" t="str">
            <v>Jan</v>
          </cell>
          <cell r="D350" t="str">
            <v>Chairs</v>
          </cell>
          <cell r="E350">
            <v>23359.587999999996</v>
          </cell>
          <cell r="F350">
            <v>1</v>
          </cell>
        </row>
        <row r="351">
          <cell r="A351">
            <v>2019</v>
          </cell>
          <cell r="B351" t="str">
            <v>Budget</v>
          </cell>
          <cell r="C351" t="str">
            <v>Jan</v>
          </cell>
          <cell r="D351" t="str">
            <v>Chairs</v>
          </cell>
          <cell r="E351">
            <v>6669.5439999999999</v>
          </cell>
          <cell r="F351">
            <v>1</v>
          </cell>
        </row>
        <row r="352">
          <cell r="A352">
            <v>2019</v>
          </cell>
          <cell r="B352" t="str">
            <v>Actual</v>
          </cell>
          <cell r="C352" t="str">
            <v>Jan</v>
          </cell>
          <cell r="D352" t="str">
            <v>Chairs</v>
          </cell>
          <cell r="E352">
            <v>2698620.3159999996</v>
          </cell>
          <cell r="F352">
            <v>1</v>
          </cell>
        </row>
        <row r="353">
          <cell r="A353">
            <v>2019</v>
          </cell>
          <cell r="B353" t="str">
            <v>Budget</v>
          </cell>
          <cell r="C353" t="str">
            <v>Jan</v>
          </cell>
          <cell r="D353" t="str">
            <v>Tables</v>
          </cell>
          <cell r="E353">
            <v>4688614.1119999997</v>
          </cell>
          <cell r="F353">
            <v>1</v>
          </cell>
        </row>
        <row r="354">
          <cell r="A354">
            <v>2019</v>
          </cell>
          <cell r="B354" t="str">
            <v>Actual</v>
          </cell>
          <cell r="C354" t="str">
            <v>Jan</v>
          </cell>
          <cell r="D354" t="str">
            <v>Kitchen</v>
          </cell>
          <cell r="E354">
            <v>14553896.623</v>
          </cell>
          <cell r="F354">
            <v>1</v>
          </cell>
        </row>
        <row r="355">
          <cell r="A355">
            <v>2018</v>
          </cell>
          <cell r="B355" t="str">
            <v>Budget</v>
          </cell>
          <cell r="C355" t="str">
            <v>Jan</v>
          </cell>
          <cell r="D355" t="str">
            <v>Chairs</v>
          </cell>
          <cell r="E355">
            <v>7189216.0060000001</v>
          </cell>
          <cell r="F355">
            <v>1</v>
          </cell>
        </row>
        <row r="356">
          <cell r="A356">
            <v>2019</v>
          </cell>
          <cell r="B356" t="str">
            <v>Actual</v>
          </cell>
          <cell r="C356" t="str">
            <v>Jan</v>
          </cell>
          <cell r="D356" t="str">
            <v>Chairs</v>
          </cell>
          <cell r="E356">
            <v>5278150.1779999994</v>
          </cell>
          <cell r="F356">
            <v>1</v>
          </cell>
        </row>
        <row r="357">
          <cell r="A357">
            <v>2019</v>
          </cell>
          <cell r="B357" t="str">
            <v>Budget</v>
          </cell>
          <cell r="C357" t="str">
            <v>Jan</v>
          </cell>
          <cell r="D357" t="str">
            <v>Chairs</v>
          </cell>
          <cell r="E357">
            <v>2540861.0219999999</v>
          </cell>
          <cell r="F357">
            <v>1</v>
          </cell>
        </row>
        <row r="358">
          <cell r="A358">
            <v>2018</v>
          </cell>
          <cell r="B358" t="str">
            <v>Actual</v>
          </cell>
          <cell r="C358" t="str">
            <v>Jan</v>
          </cell>
          <cell r="D358" t="str">
            <v>Tables</v>
          </cell>
          <cell r="E358">
            <v>14042900.088</v>
          </cell>
          <cell r="F358">
            <v>1</v>
          </cell>
        </row>
        <row r="359">
          <cell r="A359">
            <v>2018</v>
          </cell>
          <cell r="B359" t="str">
            <v>Budget</v>
          </cell>
          <cell r="C359" t="str">
            <v>Jan</v>
          </cell>
          <cell r="D359" t="str">
            <v>Kitchen</v>
          </cell>
          <cell r="E359">
            <v>1343401.8359999999</v>
          </cell>
          <cell r="F359">
            <v>1</v>
          </cell>
        </row>
        <row r="360">
          <cell r="A360">
            <v>2018</v>
          </cell>
          <cell r="B360" t="str">
            <v>Actual</v>
          </cell>
          <cell r="C360" t="str">
            <v>Jan</v>
          </cell>
          <cell r="D360" t="str">
            <v>Chairs</v>
          </cell>
          <cell r="E360">
            <v>1630025.18</v>
          </cell>
          <cell r="F360">
            <v>1</v>
          </cell>
        </row>
        <row r="361">
          <cell r="A361">
            <v>2018</v>
          </cell>
          <cell r="B361" t="str">
            <v>Budget</v>
          </cell>
          <cell r="C361" t="str">
            <v>Jan</v>
          </cell>
          <cell r="D361" t="str">
            <v>Chairs</v>
          </cell>
          <cell r="E361">
            <v>44556.532999999996</v>
          </cell>
          <cell r="F361">
            <v>1</v>
          </cell>
        </row>
        <row r="362">
          <cell r="A362">
            <v>2018</v>
          </cell>
          <cell r="B362" t="str">
            <v>Actual</v>
          </cell>
          <cell r="C362" t="str">
            <v>Jan</v>
          </cell>
          <cell r="D362" t="str">
            <v>Tables</v>
          </cell>
          <cell r="E362">
            <v>976801.58100000001</v>
          </cell>
          <cell r="F362">
            <v>1</v>
          </cell>
        </row>
        <row r="363">
          <cell r="A363">
            <v>2019</v>
          </cell>
          <cell r="B363" t="str">
            <v>Budget</v>
          </cell>
          <cell r="C363" t="str">
            <v>Jan</v>
          </cell>
          <cell r="D363" t="str">
            <v>Kitchen</v>
          </cell>
          <cell r="E363">
            <v>99710234.623999983</v>
          </cell>
          <cell r="F363">
            <v>1</v>
          </cell>
        </row>
        <row r="364">
          <cell r="A364">
            <v>2019</v>
          </cell>
          <cell r="B364" t="str">
            <v>Actual</v>
          </cell>
          <cell r="C364" t="str">
            <v>Jan</v>
          </cell>
          <cell r="D364" t="str">
            <v>Chairs</v>
          </cell>
          <cell r="E364">
            <v>374232.859</v>
          </cell>
          <cell r="F364">
            <v>1</v>
          </cell>
        </row>
        <row r="365">
          <cell r="A365">
            <v>2019</v>
          </cell>
          <cell r="B365" t="str">
            <v>Budget</v>
          </cell>
          <cell r="C365" t="str">
            <v>Jan</v>
          </cell>
          <cell r="D365" t="str">
            <v>Chairs</v>
          </cell>
          <cell r="E365">
            <v>554748.86599999992</v>
          </cell>
          <cell r="F365">
            <v>1</v>
          </cell>
        </row>
        <row r="366">
          <cell r="A366">
            <v>2019</v>
          </cell>
          <cell r="B366" t="str">
            <v>Actual</v>
          </cell>
          <cell r="C366" t="str">
            <v>Jan</v>
          </cell>
          <cell r="D366" t="str">
            <v>Chairs</v>
          </cell>
          <cell r="E366">
            <v>2044699.3839999998</v>
          </cell>
          <cell r="F366">
            <v>1</v>
          </cell>
        </row>
        <row r="367">
          <cell r="A367">
            <v>2019</v>
          </cell>
          <cell r="B367" t="str">
            <v>Budget</v>
          </cell>
          <cell r="C367" t="str">
            <v>Jan</v>
          </cell>
          <cell r="D367" t="str">
            <v>Tables</v>
          </cell>
          <cell r="E367">
            <v>528204.31299999997</v>
          </cell>
          <cell r="F367">
            <v>1</v>
          </cell>
        </row>
        <row r="368">
          <cell r="A368">
            <v>2018</v>
          </cell>
          <cell r="B368" t="str">
            <v>Actual</v>
          </cell>
          <cell r="C368" t="str">
            <v>Jan</v>
          </cell>
          <cell r="D368" t="str">
            <v>Kitchen</v>
          </cell>
          <cell r="E368">
            <v>1479867.9839999999</v>
          </cell>
          <cell r="F368">
            <v>1</v>
          </cell>
        </row>
        <row r="369">
          <cell r="A369">
            <v>2019</v>
          </cell>
          <cell r="B369" t="str">
            <v>Budget</v>
          </cell>
          <cell r="C369" t="str">
            <v>Jan</v>
          </cell>
          <cell r="D369" t="str">
            <v>Accessories</v>
          </cell>
          <cell r="E369">
            <v>77053.654999999984</v>
          </cell>
          <cell r="F369">
            <v>1</v>
          </cell>
        </row>
        <row r="370">
          <cell r="A370">
            <v>2018</v>
          </cell>
          <cell r="B370" t="str">
            <v>Actual</v>
          </cell>
          <cell r="C370" t="str">
            <v>Jan</v>
          </cell>
          <cell r="D370" t="str">
            <v>Chairs</v>
          </cell>
          <cell r="E370">
            <v>325753.141</v>
          </cell>
          <cell r="F370">
            <v>1</v>
          </cell>
        </row>
        <row r="371">
          <cell r="A371">
            <v>2019</v>
          </cell>
          <cell r="B371" t="str">
            <v>Budget</v>
          </cell>
          <cell r="C371" t="str">
            <v>Jan</v>
          </cell>
          <cell r="D371" t="str">
            <v>Tables</v>
          </cell>
          <cell r="E371">
            <v>6848.576</v>
          </cell>
          <cell r="F371">
            <v>1</v>
          </cell>
        </row>
        <row r="372">
          <cell r="A372">
            <v>2018</v>
          </cell>
          <cell r="B372" t="str">
            <v>Actual</v>
          </cell>
          <cell r="C372" t="str">
            <v>Jan</v>
          </cell>
          <cell r="D372" t="str">
            <v>Kitchen</v>
          </cell>
          <cell r="E372">
            <v>115549.42</v>
          </cell>
          <cell r="F372">
            <v>1</v>
          </cell>
        </row>
        <row r="373">
          <cell r="A373">
            <v>2019</v>
          </cell>
          <cell r="B373" t="str">
            <v>Budget</v>
          </cell>
          <cell r="C373" t="str">
            <v>Jan</v>
          </cell>
          <cell r="D373" t="str">
            <v>Accessories</v>
          </cell>
          <cell r="E373">
            <v>148396.19899999999</v>
          </cell>
          <cell r="F373">
            <v>1</v>
          </cell>
        </row>
        <row r="374">
          <cell r="A374">
            <v>2019</v>
          </cell>
          <cell r="B374" t="str">
            <v>Actual</v>
          </cell>
          <cell r="C374" t="str">
            <v>Jan</v>
          </cell>
          <cell r="D374" t="str">
            <v>Chairs</v>
          </cell>
          <cell r="E374">
            <v>500046.82699999993</v>
          </cell>
          <cell r="F374">
            <v>1</v>
          </cell>
        </row>
        <row r="375">
          <cell r="A375">
            <v>2019</v>
          </cell>
          <cell r="B375" t="str">
            <v>Budget</v>
          </cell>
          <cell r="C375" t="str">
            <v>Jan</v>
          </cell>
          <cell r="D375" t="str">
            <v>Tables</v>
          </cell>
          <cell r="E375">
            <v>127466.52799999999</v>
          </cell>
          <cell r="F375">
            <v>1</v>
          </cell>
        </row>
        <row r="376">
          <cell r="A376">
            <v>2018</v>
          </cell>
          <cell r="B376" t="str">
            <v>Actual</v>
          </cell>
          <cell r="C376" t="str">
            <v>Jan</v>
          </cell>
          <cell r="D376" t="str">
            <v>Kitchen</v>
          </cell>
          <cell r="E376">
            <v>118082.412</v>
          </cell>
          <cell r="F376">
            <v>1</v>
          </cell>
        </row>
        <row r="377">
          <cell r="A377">
            <v>2018</v>
          </cell>
          <cell r="B377" t="str">
            <v>Budget</v>
          </cell>
          <cell r="C377" t="str">
            <v>Jan</v>
          </cell>
          <cell r="D377" t="str">
            <v>Accessories</v>
          </cell>
          <cell r="E377">
            <v>229309.68900000001</v>
          </cell>
          <cell r="F377">
            <v>1</v>
          </cell>
        </row>
        <row r="378">
          <cell r="A378">
            <v>2018</v>
          </cell>
          <cell r="B378" t="str">
            <v>Actual</v>
          </cell>
          <cell r="C378" t="str">
            <v>Jan</v>
          </cell>
          <cell r="D378" t="str">
            <v>Chairs</v>
          </cell>
          <cell r="E378">
            <v>113140.01299999999</v>
          </cell>
          <cell r="F378">
            <v>1</v>
          </cell>
        </row>
        <row r="379">
          <cell r="A379">
            <v>2018</v>
          </cell>
          <cell r="B379" t="str">
            <v>Budget</v>
          </cell>
          <cell r="C379" t="str">
            <v>Jan</v>
          </cell>
          <cell r="D379" t="str">
            <v>Tables</v>
          </cell>
          <cell r="E379">
            <v>2638357.75</v>
          </cell>
          <cell r="F379">
            <v>1</v>
          </cell>
        </row>
        <row r="380">
          <cell r="A380">
            <v>2018</v>
          </cell>
          <cell r="B380" t="str">
            <v>Actual</v>
          </cell>
          <cell r="C380" t="str">
            <v>Jan</v>
          </cell>
          <cell r="D380" t="str">
            <v>Kitchen</v>
          </cell>
          <cell r="E380">
            <v>344607.935</v>
          </cell>
          <cell r="F380">
            <v>1</v>
          </cell>
        </row>
        <row r="381">
          <cell r="A381">
            <v>2018</v>
          </cell>
          <cell r="B381" t="str">
            <v>Budget</v>
          </cell>
          <cell r="C381" t="str">
            <v>Jan</v>
          </cell>
          <cell r="D381" t="str">
            <v>Accessories</v>
          </cell>
          <cell r="E381">
            <v>6315.6030000000001</v>
          </cell>
          <cell r="F381">
            <v>1</v>
          </cell>
        </row>
        <row r="382">
          <cell r="A382">
            <v>2019</v>
          </cell>
          <cell r="B382" t="str">
            <v>Actual</v>
          </cell>
          <cell r="C382" t="str">
            <v>Jan</v>
          </cell>
          <cell r="D382" t="str">
            <v>Chairs</v>
          </cell>
          <cell r="E382">
            <v>544367.81700000004</v>
          </cell>
          <cell r="F382">
            <v>1</v>
          </cell>
        </row>
        <row r="383">
          <cell r="A383">
            <v>2019</v>
          </cell>
          <cell r="B383" t="str">
            <v>Budget</v>
          </cell>
          <cell r="C383" t="str">
            <v>Jan</v>
          </cell>
          <cell r="D383" t="str">
            <v>Chairs</v>
          </cell>
          <cell r="E383">
            <v>784313.32000000007</v>
          </cell>
          <cell r="F383">
            <v>1</v>
          </cell>
        </row>
        <row r="384">
          <cell r="A384">
            <v>2018</v>
          </cell>
          <cell r="B384" t="str">
            <v>Actual</v>
          </cell>
          <cell r="C384" t="str">
            <v>Jan</v>
          </cell>
          <cell r="D384" t="str">
            <v>Tables</v>
          </cell>
          <cell r="E384">
            <v>258513.43699999998</v>
          </cell>
          <cell r="F384">
            <v>1</v>
          </cell>
        </row>
        <row r="385">
          <cell r="A385">
            <v>2019</v>
          </cell>
          <cell r="B385" t="str">
            <v>Budget</v>
          </cell>
          <cell r="C385" t="str">
            <v>Jan</v>
          </cell>
          <cell r="D385" t="str">
            <v>Kitchen</v>
          </cell>
          <cell r="E385">
            <v>118557.43899999998</v>
          </cell>
          <cell r="F385">
            <v>1</v>
          </cell>
        </row>
        <row r="386">
          <cell r="A386">
            <v>2019</v>
          </cell>
          <cell r="B386" t="str">
            <v>Actual</v>
          </cell>
          <cell r="C386" t="str">
            <v>Jan</v>
          </cell>
          <cell r="D386" t="str">
            <v>Chairs</v>
          </cell>
          <cell r="E386">
            <v>106630.594</v>
          </cell>
          <cell r="F386">
            <v>1</v>
          </cell>
        </row>
        <row r="387">
          <cell r="A387">
            <v>2019</v>
          </cell>
          <cell r="B387" t="str">
            <v>Budget</v>
          </cell>
          <cell r="C387" t="str">
            <v>Jan</v>
          </cell>
          <cell r="D387" t="str">
            <v>Tables</v>
          </cell>
          <cell r="E387">
            <v>795340.85399999993</v>
          </cell>
          <cell r="F387">
            <v>1</v>
          </cell>
        </row>
        <row r="388">
          <cell r="A388">
            <v>2018</v>
          </cell>
          <cell r="B388" t="str">
            <v>Actual</v>
          </cell>
          <cell r="C388" t="str">
            <v>Jan</v>
          </cell>
          <cell r="D388" t="str">
            <v>Kitchen</v>
          </cell>
          <cell r="E388">
            <v>1416290.9179999998</v>
          </cell>
          <cell r="F388">
            <v>1</v>
          </cell>
        </row>
        <row r="389">
          <cell r="A389">
            <v>2019</v>
          </cell>
          <cell r="B389" t="str">
            <v>Budget</v>
          </cell>
          <cell r="C389" t="str">
            <v>Jan</v>
          </cell>
          <cell r="D389" t="str">
            <v>Chairs</v>
          </cell>
          <cell r="E389">
            <v>1399924.449</v>
          </cell>
          <cell r="F389">
            <v>1</v>
          </cell>
        </row>
        <row r="390">
          <cell r="A390">
            <v>2018</v>
          </cell>
          <cell r="B390" t="str">
            <v>Actual</v>
          </cell>
          <cell r="C390" t="str">
            <v>Jan</v>
          </cell>
          <cell r="D390" t="str">
            <v>Tables</v>
          </cell>
          <cell r="E390">
            <v>4244680.6710000001</v>
          </cell>
          <cell r="F390">
            <v>1</v>
          </cell>
        </row>
        <row r="391">
          <cell r="A391">
            <v>2019</v>
          </cell>
          <cell r="B391" t="str">
            <v>Budget</v>
          </cell>
          <cell r="C391" t="str">
            <v>Jan</v>
          </cell>
          <cell r="D391" t="str">
            <v>Kitchen</v>
          </cell>
          <cell r="E391">
            <v>1269030.8539999998</v>
          </cell>
          <cell r="F391">
            <v>1</v>
          </cell>
        </row>
        <row r="392">
          <cell r="A392">
            <v>2018</v>
          </cell>
          <cell r="B392" t="str">
            <v>Actual</v>
          </cell>
          <cell r="C392" t="str">
            <v>Jan</v>
          </cell>
          <cell r="D392" t="str">
            <v>Chairs</v>
          </cell>
          <cell r="E392">
            <v>34005580.328999996</v>
          </cell>
          <cell r="F392">
            <v>1</v>
          </cell>
        </row>
        <row r="393">
          <cell r="A393">
            <v>2019</v>
          </cell>
          <cell r="B393" t="str">
            <v>Budget</v>
          </cell>
          <cell r="C393" t="str">
            <v>Jan</v>
          </cell>
          <cell r="D393" t="str">
            <v>Chairs</v>
          </cell>
          <cell r="E393">
            <v>2464627.7390000001</v>
          </cell>
          <cell r="F393">
            <v>1</v>
          </cell>
        </row>
        <row r="394">
          <cell r="A394">
            <v>2018</v>
          </cell>
          <cell r="B394" t="str">
            <v>Actual</v>
          </cell>
          <cell r="C394" t="str">
            <v>Jan</v>
          </cell>
          <cell r="D394" t="str">
            <v>Chairs</v>
          </cell>
          <cell r="E394">
            <v>1679070.9949999999</v>
          </cell>
          <cell r="F394">
            <v>1</v>
          </cell>
        </row>
        <row r="395">
          <cell r="A395">
            <v>2019</v>
          </cell>
          <cell r="B395" t="str">
            <v>Budget</v>
          </cell>
          <cell r="C395" t="str">
            <v>Jan</v>
          </cell>
          <cell r="D395" t="str">
            <v>Chairs</v>
          </cell>
          <cell r="E395">
            <v>3123959.2509999997</v>
          </cell>
          <cell r="F395">
            <v>1</v>
          </cell>
        </row>
        <row r="396">
          <cell r="A396">
            <v>2019</v>
          </cell>
          <cell r="B396" t="str">
            <v>Actual</v>
          </cell>
          <cell r="C396" t="str">
            <v>Jan</v>
          </cell>
          <cell r="D396" t="str">
            <v>Chairs</v>
          </cell>
          <cell r="E396">
            <v>20899134.591999996</v>
          </cell>
          <cell r="F396">
            <v>1</v>
          </cell>
        </row>
        <row r="397">
          <cell r="A397">
            <v>2018</v>
          </cell>
          <cell r="B397" t="str">
            <v>Budget</v>
          </cell>
          <cell r="C397" t="str">
            <v>Jan</v>
          </cell>
          <cell r="D397" t="str">
            <v>Chairs</v>
          </cell>
          <cell r="E397">
            <v>3535386.7710000002</v>
          </cell>
          <cell r="F397">
            <v>1</v>
          </cell>
        </row>
        <row r="398">
          <cell r="A398">
            <v>2019</v>
          </cell>
          <cell r="B398" t="str">
            <v>Actual</v>
          </cell>
          <cell r="C398" t="str">
            <v>Jan</v>
          </cell>
          <cell r="D398" t="str">
            <v>Chairs</v>
          </cell>
          <cell r="E398">
            <v>6188200.4730000002</v>
          </cell>
          <cell r="F398">
            <v>1</v>
          </cell>
        </row>
        <row r="399">
          <cell r="A399">
            <v>2019</v>
          </cell>
          <cell r="B399" t="str">
            <v>Budget</v>
          </cell>
          <cell r="C399" t="str">
            <v>Jan</v>
          </cell>
          <cell r="D399" t="str">
            <v>Chairs</v>
          </cell>
          <cell r="E399">
            <v>152006.07800000001</v>
          </cell>
          <cell r="F399">
            <v>1</v>
          </cell>
        </row>
        <row r="400">
          <cell r="A400">
            <v>2019</v>
          </cell>
          <cell r="B400" t="str">
            <v>Actual</v>
          </cell>
          <cell r="C400" t="str">
            <v>Jan</v>
          </cell>
          <cell r="D400" t="str">
            <v>Chairs</v>
          </cell>
          <cell r="E400">
            <v>4707106.8659999995</v>
          </cell>
          <cell r="F400">
            <v>1</v>
          </cell>
        </row>
        <row r="401">
          <cell r="A401">
            <v>2019</v>
          </cell>
          <cell r="B401" t="str">
            <v>Budget</v>
          </cell>
          <cell r="C401" t="str">
            <v>Jan</v>
          </cell>
          <cell r="D401" t="str">
            <v>Chairs</v>
          </cell>
          <cell r="E401">
            <v>1492925.868</v>
          </cell>
          <cell r="F401">
            <v>1</v>
          </cell>
        </row>
        <row r="402">
          <cell r="A402">
            <v>2019</v>
          </cell>
          <cell r="B402" t="str">
            <v>Actual</v>
          </cell>
          <cell r="C402" t="str">
            <v>Jan</v>
          </cell>
          <cell r="D402" t="str">
            <v>Chairs</v>
          </cell>
          <cell r="E402">
            <v>1355656.764</v>
          </cell>
          <cell r="F402">
            <v>1</v>
          </cell>
        </row>
        <row r="403">
          <cell r="A403">
            <v>2019</v>
          </cell>
          <cell r="B403" t="str">
            <v>Budget</v>
          </cell>
          <cell r="C403" t="str">
            <v>Jan</v>
          </cell>
          <cell r="D403" t="str">
            <v>Chairs</v>
          </cell>
          <cell r="E403">
            <v>174546.42799999999</v>
          </cell>
          <cell r="F403">
            <v>1</v>
          </cell>
        </row>
        <row r="404">
          <cell r="A404">
            <v>2018</v>
          </cell>
          <cell r="B404" t="str">
            <v>Actual</v>
          </cell>
          <cell r="C404" t="str">
            <v>Jan</v>
          </cell>
          <cell r="D404" t="str">
            <v>Chairs</v>
          </cell>
          <cell r="E404">
            <v>534289.17499999993</v>
          </cell>
          <cell r="F404">
            <v>1</v>
          </cell>
        </row>
        <row r="405">
          <cell r="A405">
            <v>2019</v>
          </cell>
          <cell r="B405" t="str">
            <v>Budget</v>
          </cell>
          <cell r="C405" t="str">
            <v>Jan</v>
          </cell>
          <cell r="D405" t="str">
            <v>Chairs</v>
          </cell>
          <cell r="E405">
            <v>83697451.949999988</v>
          </cell>
          <cell r="F405">
            <v>1</v>
          </cell>
        </row>
        <row r="406">
          <cell r="A406">
            <v>2018</v>
          </cell>
          <cell r="B406" t="str">
            <v>Actual</v>
          </cell>
          <cell r="C406" t="str">
            <v>Jan</v>
          </cell>
          <cell r="D406" t="str">
            <v>Chairs</v>
          </cell>
          <cell r="E406">
            <v>237889.96699999998</v>
          </cell>
          <cell r="F406">
            <v>1</v>
          </cell>
        </row>
        <row r="407">
          <cell r="A407">
            <v>2019</v>
          </cell>
          <cell r="B407" t="str">
            <v>Budget</v>
          </cell>
          <cell r="C407" t="str">
            <v>Jan</v>
          </cell>
          <cell r="D407" t="str">
            <v>Chairs</v>
          </cell>
          <cell r="E407">
            <v>118529.537</v>
          </cell>
          <cell r="F407">
            <v>1</v>
          </cell>
        </row>
        <row r="408">
          <cell r="A408">
            <v>2019</v>
          </cell>
          <cell r="B408" t="str">
            <v>Actual</v>
          </cell>
          <cell r="C408" t="str">
            <v>Jan</v>
          </cell>
          <cell r="D408" t="str">
            <v>Chairs</v>
          </cell>
          <cell r="E408">
            <v>29676.857</v>
          </cell>
          <cell r="F408">
            <v>1</v>
          </cell>
        </row>
        <row r="409">
          <cell r="A409">
            <v>2018</v>
          </cell>
          <cell r="B409" t="str">
            <v>Budget</v>
          </cell>
          <cell r="C409" t="str">
            <v>Jan</v>
          </cell>
          <cell r="D409" t="str">
            <v>Chairs</v>
          </cell>
          <cell r="E409">
            <v>386248.97499999998</v>
          </cell>
          <cell r="F409">
            <v>1</v>
          </cell>
        </row>
        <row r="410">
          <cell r="A410">
            <v>2019</v>
          </cell>
          <cell r="B410" t="str">
            <v>Actual</v>
          </cell>
          <cell r="C410" t="str">
            <v>Jan</v>
          </cell>
          <cell r="D410" t="str">
            <v>Chairs</v>
          </cell>
          <cell r="E410">
            <v>99649.500999999989</v>
          </cell>
          <cell r="F410">
            <v>1</v>
          </cell>
        </row>
        <row r="411">
          <cell r="A411">
            <v>2019</v>
          </cell>
          <cell r="B411" t="str">
            <v>Budget</v>
          </cell>
          <cell r="C411" t="str">
            <v>Jan</v>
          </cell>
          <cell r="D411" t="str">
            <v>Chairs</v>
          </cell>
          <cell r="E411">
            <v>132439.50999999998</v>
          </cell>
          <cell r="F411">
            <v>1</v>
          </cell>
        </row>
        <row r="412">
          <cell r="A412">
            <v>2018</v>
          </cell>
          <cell r="B412" t="str">
            <v>Actual</v>
          </cell>
          <cell r="C412" t="str">
            <v>Jan</v>
          </cell>
          <cell r="D412" t="str">
            <v>Chairs</v>
          </cell>
          <cell r="E412">
            <v>131774.88799999998</v>
          </cell>
          <cell r="F412">
            <v>1</v>
          </cell>
        </row>
        <row r="413">
          <cell r="A413">
            <v>2019</v>
          </cell>
          <cell r="B413" t="str">
            <v>Budget</v>
          </cell>
          <cell r="C413" t="str">
            <v>Jan</v>
          </cell>
          <cell r="D413" t="str">
            <v>Chairs</v>
          </cell>
          <cell r="E413">
            <v>141877.12699999998</v>
          </cell>
          <cell r="F413">
            <v>1</v>
          </cell>
        </row>
        <row r="414">
          <cell r="A414">
            <v>2019</v>
          </cell>
          <cell r="B414" t="str">
            <v>Actual</v>
          </cell>
          <cell r="C414" t="str">
            <v>Jan</v>
          </cell>
          <cell r="D414" t="str">
            <v>Chairs</v>
          </cell>
          <cell r="E414">
            <v>284456.473</v>
          </cell>
          <cell r="F414">
            <v>1</v>
          </cell>
        </row>
        <row r="415">
          <cell r="A415">
            <v>2018</v>
          </cell>
          <cell r="B415" t="str">
            <v>Budget</v>
          </cell>
          <cell r="C415" t="str">
            <v>Jan</v>
          </cell>
          <cell r="D415" t="str">
            <v>Chairs</v>
          </cell>
          <cell r="E415">
            <v>178715.67699999997</v>
          </cell>
          <cell r="F415">
            <v>1</v>
          </cell>
        </row>
        <row r="416">
          <cell r="A416">
            <v>2018</v>
          </cell>
          <cell r="B416" t="str">
            <v>Actual</v>
          </cell>
          <cell r="C416" t="str">
            <v>Jan</v>
          </cell>
          <cell r="D416" t="str">
            <v>Chairs</v>
          </cell>
          <cell r="E416">
            <v>51647.700999999994</v>
          </cell>
          <cell r="F416">
            <v>1</v>
          </cell>
        </row>
        <row r="417">
          <cell r="A417">
            <v>2018</v>
          </cell>
          <cell r="B417" t="str">
            <v>Budget</v>
          </cell>
          <cell r="C417" t="str">
            <v>Jan</v>
          </cell>
          <cell r="D417" t="str">
            <v>Chairs</v>
          </cell>
          <cell r="E417">
            <v>61965.441999999995</v>
          </cell>
          <cell r="F417">
            <v>1</v>
          </cell>
        </row>
        <row r="418">
          <cell r="A418">
            <v>2019</v>
          </cell>
          <cell r="B418" t="str">
            <v>Actual</v>
          </cell>
          <cell r="C418" t="str">
            <v>Jan</v>
          </cell>
          <cell r="D418" t="str">
            <v>Tables</v>
          </cell>
          <cell r="E418">
            <v>1032669.4069999999</v>
          </cell>
          <cell r="F418">
            <v>1</v>
          </cell>
        </row>
        <row r="419">
          <cell r="A419">
            <v>2018</v>
          </cell>
          <cell r="B419" t="str">
            <v>Budget</v>
          </cell>
          <cell r="C419" t="str">
            <v>Jan</v>
          </cell>
          <cell r="D419" t="str">
            <v>Kitchen</v>
          </cell>
          <cell r="E419">
            <v>372276.66000000003</v>
          </cell>
          <cell r="F419">
            <v>1</v>
          </cell>
        </row>
        <row r="420">
          <cell r="A420">
            <v>2019</v>
          </cell>
          <cell r="B420" t="str">
            <v>Actual</v>
          </cell>
          <cell r="C420" t="str">
            <v>Jan</v>
          </cell>
          <cell r="D420" t="str">
            <v>Chairs</v>
          </cell>
          <cell r="E420">
            <v>729168.17399999988</v>
          </cell>
          <cell r="F420">
            <v>1</v>
          </cell>
        </row>
        <row r="421">
          <cell r="A421">
            <v>2019</v>
          </cell>
          <cell r="B421" t="str">
            <v>Budget</v>
          </cell>
          <cell r="C421" t="str">
            <v>Jan</v>
          </cell>
          <cell r="D421" t="str">
            <v>Chairs</v>
          </cell>
          <cell r="E421">
            <v>160028.98799999998</v>
          </cell>
          <cell r="F421">
            <v>1</v>
          </cell>
        </row>
        <row r="422">
          <cell r="A422">
            <v>2019</v>
          </cell>
          <cell r="B422" t="str">
            <v>Actual</v>
          </cell>
          <cell r="C422" t="str">
            <v>Jan</v>
          </cell>
          <cell r="D422" t="str">
            <v>Chairs</v>
          </cell>
          <cell r="E422">
            <v>8991.1149999999998</v>
          </cell>
          <cell r="F422">
            <v>1</v>
          </cell>
        </row>
        <row r="423">
          <cell r="A423">
            <v>2019</v>
          </cell>
          <cell r="B423" t="str">
            <v>Budget</v>
          </cell>
          <cell r="C423" t="str">
            <v>Jan</v>
          </cell>
          <cell r="D423" t="str">
            <v>Chairs</v>
          </cell>
          <cell r="E423">
            <v>252487.93499999997</v>
          </cell>
          <cell r="F423">
            <v>1</v>
          </cell>
        </row>
        <row r="424">
          <cell r="A424">
            <v>2018</v>
          </cell>
          <cell r="B424" t="str">
            <v>Actual</v>
          </cell>
          <cell r="C424" t="str">
            <v>Jan</v>
          </cell>
          <cell r="D424" t="str">
            <v>Chairs</v>
          </cell>
          <cell r="E424">
            <v>24064.025999999998</v>
          </cell>
          <cell r="F424">
            <v>1</v>
          </cell>
        </row>
        <row r="425">
          <cell r="A425">
            <v>2018</v>
          </cell>
          <cell r="B425" t="str">
            <v>Budget</v>
          </cell>
          <cell r="C425" t="str">
            <v>Jan</v>
          </cell>
          <cell r="D425" t="str">
            <v>Tables</v>
          </cell>
          <cell r="E425">
            <v>1081204.656</v>
          </cell>
          <cell r="F425">
            <v>1</v>
          </cell>
        </row>
        <row r="426">
          <cell r="A426">
            <v>2018</v>
          </cell>
          <cell r="B426" t="str">
            <v>Actual</v>
          </cell>
          <cell r="C426" t="str">
            <v>Jan</v>
          </cell>
          <cell r="D426" t="str">
            <v>Kitchen</v>
          </cell>
          <cell r="E426">
            <v>229782.02799999996</v>
          </cell>
          <cell r="F426">
            <v>1</v>
          </cell>
        </row>
        <row r="427">
          <cell r="A427">
            <v>2019</v>
          </cell>
          <cell r="B427" t="str">
            <v>Budget</v>
          </cell>
          <cell r="C427" t="str">
            <v>Jan</v>
          </cell>
          <cell r="D427" t="str">
            <v>Chairs</v>
          </cell>
          <cell r="E427">
            <v>1329100.3459999999</v>
          </cell>
          <cell r="F427">
            <v>1</v>
          </cell>
        </row>
        <row r="428">
          <cell r="A428">
            <v>2019</v>
          </cell>
          <cell r="B428" t="str">
            <v>Actual</v>
          </cell>
          <cell r="C428" t="str">
            <v>Jan</v>
          </cell>
          <cell r="D428" t="str">
            <v>Chairs</v>
          </cell>
          <cell r="E428">
            <v>1824808.3419999999</v>
          </cell>
          <cell r="F428">
            <v>1</v>
          </cell>
        </row>
        <row r="429">
          <cell r="A429">
            <v>2019</v>
          </cell>
          <cell r="B429" t="str">
            <v>Budget</v>
          </cell>
          <cell r="C429" t="str">
            <v>Jan</v>
          </cell>
          <cell r="D429" t="str">
            <v>Chairs</v>
          </cell>
          <cell r="E429">
            <v>2590661.4509999999</v>
          </cell>
          <cell r="F429">
            <v>1</v>
          </cell>
        </row>
        <row r="430">
          <cell r="A430">
            <v>2019</v>
          </cell>
          <cell r="B430" t="str">
            <v>Actual</v>
          </cell>
          <cell r="C430" t="str">
            <v>Jan</v>
          </cell>
          <cell r="D430" t="str">
            <v>Tables</v>
          </cell>
          <cell r="E430">
            <v>3449002.9839999997</v>
          </cell>
          <cell r="F430">
            <v>1</v>
          </cell>
        </row>
        <row r="431">
          <cell r="A431">
            <v>2018</v>
          </cell>
          <cell r="B431" t="str">
            <v>Budget</v>
          </cell>
          <cell r="C431" t="str">
            <v>Jan</v>
          </cell>
          <cell r="D431" t="str">
            <v>Kitchen</v>
          </cell>
          <cell r="E431">
            <v>1028680.4639999999</v>
          </cell>
          <cell r="F431">
            <v>1</v>
          </cell>
        </row>
        <row r="432">
          <cell r="A432">
            <v>2018</v>
          </cell>
          <cell r="B432" t="str">
            <v>Actual</v>
          </cell>
          <cell r="C432" t="str">
            <v>Jan</v>
          </cell>
          <cell r="D432" t="str">
            <v>Chairs</v>
          </cell>
          <cell r="E432">
            <v>748827.56199999992</v>
          </cell>
          <cell r="F432">
            <v>1</v>
          </cell>
        </row>
        <row r="433">
          <cell r="A433">
            <v>2018</v>
          </cell>
          <cell r="B433" t="str">
            <v>Budget</v>
          </cell>
          <cell r="C433" t="str">
            <v>Jan</v>
          </cell>
          <cell r="D433" t="str">
            <v>Chairs</v>
          </cell>
          <cell r="E433">
            <v>-15992.563999999998</v>
          </cell>
          <cell r="F433">
            <v>1</v>
          </cell>
        </row>
        <row r="434">
          <cell r="A434">
            <v>2019</v>
          </cell>
          <cell r="B434" t="str">
            <v>Actual</v>
          </cell>
          <cell r="C434" t="str">
            <v>Jan</v>
          </cell>
          <cell r="D434" t="str">
            <v>Tables</v>
          </cell>
          <cell r="E434">
            <v>849.87699999999984</v>
          </cell>
          <cell r="F434">
            <v>1</v>
          </cell>
        </row>
        <row r="435">
          <cell r="A435">
            <v>2018</v>
          </cell>
          <cell r="B435" t="str">
            <v>Budget</v>
          </cell>
          <cell r="C435" t="str">
            <v>Jan</v>
          </cell>
          <cell r="D435" t="str">
            <v>Kitchen</v>
          </cell>
          <cell r="E435">
            <v>492895.61999999994</v>
          </cell>
          <cell r="F435">
            <v>1</v>
          </cell>
        </row>
        <row r="436">
          <cell r="A436">
            <v>2019</v>
          </cell>
          <cell r="B436" t="str">
            <v>Actual</v>
          </cell>
          <cell r="C436" t="str">
            <v>Jan</v>
          </cell>
          <cell r="D436" t="str">
            <v>Chairs</v>
          </cell>
          <cell r="E436">
            <v>1135122.7439999999</v>
          </cell>
          <cell r="F436">
            <v>1</v>
          </cell>
        </row>
        <row r="437">
          <cell r="A437">
            <v>2019</v>
          </cell>
          <cell r="B437" t="str">
            <v>Budget</v>
          </cell>
          <cell r="C437" t="str">
            <v>Jan</v>
          </cell>
          <cell r="D437" t="str">
            <v>Chairs</v>
          </cell>
          <cell r="E437">
            <v>642449.75199999998</v>
          </cell>
          <cell r="F437">
            <v>1</v>
          </cell>
        </row>
        <row r="438">
          <cell r="A438">
            <v>2018</v>
          </cell>
          <cell r="B438" t="str">
            <v>Actual</v>
          </cell>
          <cell r="C438" t="str">
            <v>Jan</v>
          </cell>
          <cell r="D438" t="str">
            <v>Chairs</v>
          </cell>
          <cell r="E438">
            <v>1214708.257</v>
          </cell>
          <cell r="F438">
            <v>1</v>
          </cell>
        </row>
        <row r="439">
          <cell r="A439">
            <v>2018</v>
          </cell>
          <cell r="B439" t="str">
            <v>Budget</v>
          </cell>
          <cell r="C439" t="str">
            <v>Jan</v>
          </cell>
          <cell r="D439" t="str">
            <v>Tables</v>
          </cell>
          <cell r="E439">
            <v>609105.16099999996</v>
          </cell>
          <cell r="F439">
            <v>1</v>
          </cell>
        </row>
        <row r="440">
          <cell r="A440">
            <v>2019</v>
          </cell>
          <cell r="B440" t="str">
            <v>Actual</v>
          </cell>
          <cell r="C440" t="str">
            <v>Jan</v>
          </cell>
          <cell r="D440" t="str">
            <v>Kitchen</v>
          </cell>
          <cell r="E440">
            <v>1286498.4649999999</v>
          </cell>
          <cell r="F440">
            <v>1</v>
          </cell>
        </row>
        <row r="441">
          <cell r="A441">
            <v>2018</v>
          </cell>
          <cell r="B441" t="str">
            <v>Budget</v>
          </cell>
          <cell r="C441" t="str">
            <v>Jan</v>
          </cell>
          <cell r="D441" t="str">
            <v>Accessories</v>
          </cell>
          <cell r="E441">
            <v>22069221.131999999</v>
          </cell>
          <cell r="F441">
            <v>1</v>
          </cell>
        </row>
        <row r="442">
          <cell r="A442">
            <v>2018</v>
          </cell>
          <cell r="B442" t="str">
            <v>Actual</v>
          </cell>
          <cell r="C442" t="str">
            <v>Jan</v>
          </cell>
          <cell r="D442" t="str">
            <v>Chairs</v>
          </cell>
          <cell r="E442">
            <v>2529219.861</v>
          </cell>
          <cell r="F442">
            <v>1</v>
          </cell>
        </row>
        <row r="443">
          <cell r="A443">
            <v>2018</v>
          </cell>
          <cell r="B443" t="str">
            <v>Budget</v>
          </cell>
          <cell r="C443" t="str">
            <v>Jan</v>
          </cell>
          <cell r="D443" t="str">
            <v>Tables</v>
          </cell>
          <cell r="E443">
            <v>5896547.8600000003</v>
          </cell>
          <cell r="F443">
            <v>1</v>
          </cell>
        </row>
        <row r="444">
          <cell r="A444">
            <v>2019</v>
          </cell>
          <cell r="B444" t="str">
            <v>Actual</v>
          </cell>
          <cell r="C444" t="str">
            <v>Jan</v>
          </cell>
          <cell r="D444" t="str">
            <v>Kitchen</v>
          </cell>
          <cell r="E444">
            <v>904225.7</v>
          </cell>
          <cell r="F444">
            <v>1</v>
          </cell>
        </row>
        <row r="445">
          <cell r="A445">
            <v>2018</v>
          </cell>
          <cell r="B445" t="str">
            <v>Budget</v>
          </cell>
          <cell r="C445" t="str">
            <v>Jan</v>
          </cell>
          <cell r="D445" t="str">
            <v>Accessories</v>
          </cell>
          <cell r="E445">
            <v>3452622.0889999997</v>
          </cell>
          <cell r="F445">
            <v>1</v>
          </cell>
        </row>
        <row r="446">
          <cell r="A446">
            <v>2018</v>
          </cell>
          <cell r="B446" t="str">
            <v>Actual</v>
          </cell>
          <cell r="C446" t="str">
            <v>Jan</v>
          </cell>
          <cell r="D446" t="str">
            <v>Chairs</v>
          </cell>
          <cell r="E446">
            <v>12349247.344000001</v>
          </cell>
          <cell r="F446">
            <v>1</v>
          </cell>
        </row>
        <row r="447">
          <cell r="A447">
            <v>2019</v>
          </cell>
          <cell r="B447" t="str">
            <v>Budget</v>
          </cell>
          <cell r="C447" t="str">
            <v>Jan</v>
          </cell>
          <cell r="D447" t="str">
            <v>Tables</v>
          </cell>
          <cell r="E447">
            <v>918088.51399999997</v>
          </cell>
          <cell r="F447">
            <v>1</v>
          </cell>
        </row>
        <row r="448">
          <cell r="A448">
            <v>2018</v>
          </cell>
          <cell r="B448" t="str">
            <v>Actual</v>
          </cell>
          <cell r="C448" t="str">
            <v>Jan</v>
          </cell>
          <cell r="D448" t="str">
            <v>Kitchen</v>
          </cell>
          <cell r="E448">
            <v>3803237.2349999994</v>
          </cell>
          <cell r="F448">
            <v>1</v>
          </cell>
        </row>
        <row r="449">
          <cell r="A449">
            <v>2018</v>
          </cell>
          <cell r="B449" t="str">
            <v>Budget</v>
          </cell>
          <cell r="C449" t="str">
            <v>Jan</v>
          </cell>
          <cell r="D449" t="str">
            <v>Accessories</v>
          </cell>
          <cell r="E449">
            <v>230575.84199999998</v>
          </cell>
          <cell r="F449">
            <v>1</v>
          </cell>
        </row>
        <row r="450">
          <cell r="A450">
            <v>2018</v>
          </cell>
          <cell r="B450" t="str">
            <v>Actual</v>
          </cell>
          <cell r="C450" t="str">
            <v>Jan</v>
          </cell>
          <cell r="D450" t="str">
            <v>Chairs</v>
          </cell>
          <cell r="E450">
            <v>45852.974999999999</v>
          </cell>
          <cell r="F450">
            <v>1</v>
          </cell>
        </row>
        <row r="451">
          <cell r="A451">
            <v>2018</v>
          </cell>
          <cell r="B451" t="str">
            <v>Budget</v>
          </cell>
          <cell r="C451" t="str">
            <v>Jan</v>
          </cell>
          <cell r="D451" t="str">
            <v>Tables</v>
          </cell>
          <cell r="E451">
            <v>1310099.8399999999</v>
          </cell>
          <cell r="F451">
            <v>1</v>
          </cell>
        </row>
        <row r="452">
          <cell r="A452">
            <v>2019</v>
          </cell>
          <cell r="B452" t="str">
            <v>Actual</v>
          </cell>
          <cell r="C452" t="str">
            <v>Jan</v>
          </cell>
          <cell r="D452" t="str">
            <v>Kitchen</v>
          </cell>
          <cell r="E452">
            <v>92287.607999999993</v>
          </cell>
          <cell r="F452">
            <v>1</v>
          </cell>
        </row>
        <row r="453">
          <cell r="A453">
            <v>2019</v>
          </cell>
          <cell r="B453" t="str">
            <v>Budget</v>
          </cell>
          <cell r="C453" t="str">
            <v>Jan</v>
          </cell>
          <cell r="D453" t="str">
            <v>Accessories</v>
          </cell>
          <cell r="E453">
            <v>760560.55599999998</v>
          </cell>
          <cell r="F453">
            <v>1</v>
          </cell>
        </row>
        <row r="454">
          <cell r="A454">
            <v>2018</v>
          </cell>
          <cell r="B454" t="str">
            <v>Actual</v>
          </cell>
          <cell r="C454" t="str">
            <v>Jan</v>
          </cell>
          <cell r="D454" t="str">
            <v>Chairs</v>
          </cell>
          <cell r="E454">
            <v>83662.243000000002</v>
          </cell>
          <cell r="F454">
            <v>1</v>
          </cell>
        </row>
        <row r="455">
          <cell r="A455">
            <v>2019</v>
          </cell>
          <cell r="B455" t="str">
            <v>Budget</v>
          </cell>
          <cell r="C455" t="str">
            <v>Jan</v>
          </cell>
          <cell r="D455" t="str">
            <v>Chairs</v>
          </cell>
          <cell r="E455">
            <v>140965.93</v>
          </cell>
          <cell r="F455">
            <v>1</v>
          </cell>
        </row>
        <row r="456">
          <cell r="A456">
            <v>2019</v>
          </cell>
          <cell r="B456" t="str">
            <v>Actual</v>
          </cell>
          <cell r="C456" t="str">
            <v>Jan</v>
          </cell>
          <cell r="D456" t="str">
            <v>Tables</v>
          </cell>
          <cell r="E456">
            <v>30480.001999999997</v>
          </cell>
          <cell r="F456">
            <v>1</v>
          </cell>
        </row>
        <row r="457">
          <cell r="A457">
            <v>2019</v>
          </cell>
          <cell r="B457" t="str">
            <v>Budget</v>
          </cell>
          <cell r="C457" t="str">
            <v>Jan</v>
          </cell>
          <cell r="D457" t="str">
            <v>Kitchen</v>
          </cell>
          <cell r="E457">
            <v>327620.70600000001</v>
          </cell>
          <cell r="F457">
            <v>1</v>
          </cell>
        </row>
        <row r="458">
          <cell r="A458">
            <v>2018</v>
          </cell>
          <cell r="B458" t="str">
            <v>Actual</v>
          </cell>
          <cell r="C458" t="str">
            <v>Jan</v>
          </cell>
          <cell r="D458" t="str">
            <v>Chairs</v>
          </cell>
          <cell r="E458">
            <v>88901.337</v>
          </cell>
          <cell r="F458">
            <v>1</v>
          </cell>
        </row>
        <row r="459">
          <cell r="A459">
            <v>2018</v>
          </cell>
          <cell r="B459" t="str">
            <v>Budget</v>
          </cell>
          <cell r="C459" t="str">
            <v>Jan</v>
          </cell>
          <cell r="D459" t="str">
            <v>Tables</v>
          </cell>
          <cell r="E459">
            <v>18932.731999999996</v>
          </cell>
          <cell r="F459">
            <v>1</v>
          </cell>
        </row>
        <row r="460">
          <cell r="A460">
            <v>2018</v>
          </cell>
          <cell r="B460" t="str">
            <v>Actual</v>
          </cell>
          <cell r="C460" t="str">
            <v>Jan</v>
          </cell>
          <cell r="D460" t="str">
            <v>Kitchen</v>
          </cell>
          <cell r="E460">
            <v>35971.039999999994</v>
          </cell>
          <cell r="F460">
            <v>1</v>
          </cell>
        </row>
        <row r="461">
          <cell r="A461">
            <v>2018</v>
          </cell>
          <cell r="B461" t="str">
            <v>Budget</v>
          </cell>
          <cell r="C461" t="str">
            <v>Jan</v>
          </cell>
          <cell r="D461" t="str">
            <v>Chairs</v>
          </cell>
          <cell r="E461">
            <v>271071.38799999998</v>
          </cell>
          <cell r="F461">
            <v>1</v>
          </cell>
        </row>
        <row r="462">
          <cell r="A462">
            <v>2018</v>
          </cell>
          <cell r="B462" t="str">
            <v>Actual</v>
          </cell>
          <cell r="C462" t="str">
            <v>Jan</v>
          </cell>
          <cell r="D462" t="str">
            <v>Tables</v>
          </cell>
          <cell r="E462">
            <v>256608.14199999999</v>
          </cell>
          <cell r="F462">
            <v>1</v>
          </cell>
        </row>
        <row r="463">
          <cell r="A463">
            <v>2018</v>
          </cell>
          <cell r="B463" t="str">
            <v>Budget</v>
          </cell>
          <cell r="C463" t="str">
            <v>Jan</v>
          </cell>
          <cell r="D463" t="str">
            <v>Kitchen</v>
          </cell>
          <cell r="E463">
            <v>251587.02799999996</v>
          </cell>
          <cell r="F463">
            <v>1</v>
          </cell>
        </row>
        <row r="464">
          <cell r="A464">
            <v>2019</v>
          </cell>
          <cell r="B464" t="str">
            <v>Actual</v>
          </cell>
          <cell r="C464" t="str">
            <v>Jan</v>
          </cell>
          <cell r="D464" t="str">
            <v>Chairs</v>
          </cell>
          <cell r="E464">
            <v>712322.20499999996</v>
          </cell>
          <cell r="F464">
            <v>1</v>
          </cell>
        </row>
        <row r="465">
          <cell r="A465">
            <v>2018</v>
          </cell>
          <cell r="B465" t="str">
            <v>Budget</v>
          </cell>
          <cell r="C465" t="str">
            <v>Jan</v>
          </cell>
          <cell r="D465" t="str">
            <v>Chairs</v>
          </cell>
          <cell r="E465">
            <v>392455.609</v>
          </cell>
          <cell r="F465">
            <v>1</v>
          </cell>
        </row>
        <row r="466">
          <cell r="A466">
            <v>2019</v>
          </cell>
          <cell r="B466" t="str">
            <v>Actual</v>
          </cell>
          <cell r="C466" t="str">
            <v>Jan</v>
          </cell>
          <cell r="D466" t="str">
            <v>Chairs</v>
          </cell>
          <cell r="E466">
            <v>220566.122</v>
          </cell>
          <cell r="F466">
            <v>1</v>
          </cell>
        </row>
        <row r="467">
          <cell r="A467">
            <v>2019</v>
          </cell>
          <cell r="B467" t="str">
            <v>Budget</v>
          </cell>
          <cell r="C467" t="str">
            <v>Jan</v>
          </cell>
          <cell r="D467" t="str">
            <v>Chairs</v>
          </cell>
          <cell r="E467">
            <v>2613425.7309999997</v>
          </cell>
          <cell r="F467">
            <v>1</v>
          </cell>
        </row>
        <row r="468">
          <cell r="A468">
            <v>2018</v>
          </cell>
          <cell r="B468" t="str">
            <v>Actual</v>
          </cell>
          <cell r="C468" t="str">
            <v>Jan</v>
          </cell>
          <cell r="D468" t="str">
            <v>Chairs</v>
          </cell>
          <cell r="E468">
            <v>340202.71599999996</v>
          </cell>
          <cell r="F468">
            <v>1</v>
          </cell>
        </row>
        <row r="469">
          <cell r="A469">
            <v>2018</v>
          </cell>
          <cell r="B469" t="str">
            <v>Budget</v>
          </cell>
          <cell r="C469" t="str">
            <v>Jan</v>
          </cell>
          <cell r="D469" t="str">
            <v>Chairs</v>
          </cell>
          <cell r="E469">
            <v>389010.15299999999</v>
          </cell>
          <cell r="F469">
            <v>1</v>
          </cell>
        </row>
        <row r="470">
          <cell r="A470">
            <v>2018</v>
          </cell>
          <cell r="B470" t="str">
            <v>Actual</v>
          </cell>
          <cell r="C470" t="str">
            <v>Jan</v>
          </cell>
          <cell r="D470" t="str">
            <v>Chairs</v>
          </cell>
          <cell r="E470">
            <v>995273.83899999992</v>
          </cell>
          <cell r="F470">
            <v>1</v>
          </cell>
        </row>
        <row r="471">
          <cell r="A471">
            <v>2019</v>
          </cell>
          <cell r="B471" t="str">
            <v>Budget</v>
          </cell>
          <cell r="C471" t="str">
            <v>Jan</v>
          </cell>
          <cell r="D471" t="str">
            <v>Chairs</v>
          </cell>
          <cell r="E471">
            <v>1342931.4639999999</v>
          </cell>
          <cell r="F471">
            <v>1</v>
          </cell>
        </row>
        <row r="472">
          <cell r="A472">
            <v>2019</v>
          </cell>
          <cell r="B472" t="str">
            <v>Actual</v>
          </cell>
          <cell r="C472" t="str">
            <v>Jan</v>
          </cell>
          <cell r="D472" t="str">
            <v>Chairs</v>
          </cell>
          <cell r="E472">
            <v>3540003.9709999999</v>
          </cell>
          <cell r="F472">
            <v>1</v>
          </cell>
        </row>
        <row r="473">
          <cell r="A473">
            <v>2019</v>
          </cell>
          <cell r="B473" t="str">
            <v>Budget</v>
          </cell>
          <cell r="C473" t="str">
            <v>Jan</v>
          </cell>
          <cell r="D473" t="str">
            <v>Chairs</v>
          </cell>
          <cell r="E473">
            <v>11981355.483999999</v>
          </cell>
          <cell r="F473">
            <v>1</v>
          </cell>
        </row>
        <row r="474">
          <cell r="A474">
            <v>2018</v>
          </cell>
          <cell r="B474" t="str">
            <v>Actual</v>
          </cell>
          <cell r="C474" t="str">
            <v>Jan</v>
          </cell>
          <cell r="D474" t="str">
            <v>Chairs</v>
          </cell>
          <cell r="E474">
            <v>2819256.4959999998</v>
          </cell>
          <cell r="F474">
            <v>1</v>
          </cell>
        </row>
        <row r="475">
          <cell r="A475">
            <v>2018</v>
          </cell>
          <cell r="B475" t="str">
            <v>Budget</v>
          </cell>
          <cell r="C475" t="str">
            <v>Jan</v>
          </cell>
          <cell r="D475" t="str">
            <v>Chairs</v>
          </cell>
          <cell r="E475">
            <v>4526415.5649999995</v>
          </cell>
          <cell r="F475">
            <v>1</v>
          </cell>
        </row>
        <row r="476">
          <cell r="A476">
            <v>2018</v>
          </cell>
          <cell r="B476" t="str">
            <v>Actual</v>
          </cell>
          <cell r="C476" t="str">
            <v>Jan</v>
          </cell>
          <cell r="D476" t="str">
            <v>Chairs</v>
          </cell>
          <cell r="E476">
            <v>370126.51199999999</v>
          </cell>
          <cell r="F476">
            <v>1</v>
          </cell>
        </row>
        <row r="477">
          <cell r="A477">
            <v>2019</v>
          </cell>
          <cell r="B477" t="str">
            <v>Budget</v>
          </cell>
          <cell r="C477" t="str">
            <v>Jan</v>
          </cell>
          <cell r="D477" t="str">
            <v>Chairs</v>
          </cell>
          <cell r="E477">
            <v>1655453.443</v>
          </cell>
          <cell r="F477">
            <v>1</v>
          </cell>
        </row>
        <row r="478">
          <cell r="A478">
            <v>2019</v>
          </cell>
          <cell r="B478" t="str">
            <v>Actual</v>
          </cell>
          <cell r="C478" t="str">
            <v>Jan</v>
          </cell>
          <cell r="D478" t="str">
            <v>Chairs</v>
          </cell>
          <cell r="E478">
            <v>94973.612999999998</v>
          </cell>
          <cell r="F478">
            <v>1</v>
          </cell>
        </row>
        <row r="479">
          <cell r="A479">
            <v>2018</v>
          </cell>
          <cell r="B479" t="str">
            <v>Budget</v>
          </cell>
          <cell r="C479" t="str">
            <v>Jan</v>
          </cell>
          <cell r="D479" t="str">
            <v>Chairs</v>
          </cell>
          <cell r="E479">
            <v>22379849.379999999</v>
          </cell>
          <cell r="F479">
            <v>1</v>
          </cell>
        </row>
        <row r="480">
          <cell r="A480">
            <v>2019</v>
          </cell>
          <cell r="B480" t="str">
            <v>Actual</v>
          </cell>
          <cell r="C480" t="str">
            <v>Jan</v>
          </cell>
          <cell r="D480" t="str">
            <v>Chairs</v>
          </cell>
          <cell r="E480">
            <v>109853.954</v>
          </cell>
          <cell r="F480">
            <v>1</v>
          </cell>
        </row>
        <row r="481">
          <cell r="A481">
            <v>2019</v>
          </cell>
          <cell r="B481" t="str">
            <v>Budget</v>
          </cell>
          <cell r="C481" t="str">
            <v>Jan</v>
          </cell>
          <cell r="D481" t="str">
            <v>Chairs</v>
          </cell>
          <cell r="E481">
            <v>1327322.22</v>
          </cell>
          <cell r="F481">
            <v>1</v>
          </cell>
        </row>
        <row r="482">
          <cell r="A482">
            <v>2018</v>
          </cell>
          <cell r="B482" t="str">
            <v>Actual</v>
          </cell>
          <cell r="C482" t="str">
            <v>Jan</v>
          </cell>
          <cell r="D482" t="str">
            <v>Chairs</v>
          </cell>
          <cell r="E482">
            <v>3639661.8089999999</v>
          </cell>
          <cell r="F482">
            <v>1</v>
          </cell>
        </row>
        <row r="483">
          <cell r="A483">
            <v>2018</v>
          </cell>
          <cell r="B483" t="str">
            <v>Budget</v>
          </cell>
          <cell r="C483" t="str">
            <v>Jan</v>
          </cell>
          <cell r="D483" t="str">
            <v>Chairs</v>
          </cell>
          <cell r="E483">
            <v>124741.323</v>
          </cell>
          <cell r="F483">
            <v>1</v>
          </cell>
        </row>
        <row r="484">
          <cell r="A484">
            <v>2019</v>
          </cell>
          <cell r="B484" t="str">
            <v>Actual</v>
          </cell>
          <cell r="C484" t="str">
            <v>Jan</v>
          </cell>
          <cell r="D484" t="str">
            <v>Chairs</v>
          </cell>
          <cell r="E484">
            <v>962535.196</v>
          </cell>
          <cell r="F484">
            <v>1</v>
          </cell>
        </row>
        <row r="485">
          <cell r="A485">
            <v>2018</v>
          </cell>
          <cell r="B485" t="str">
            <v>Budget</v>
          </cell>
          <cell r="C485" t="str">
            <v>Jan</v>
          </cell>
          <cell r="D485" t="str">
            <v>Chairs</v>
          </cell>
          <cell r="E485">
            <v>637796.57899999991</v>
          </cell>
          <cell r="F485">
            <v>1</v>
          </cell>
        </row>
        <row r="486">
          <cell r="A486">
            <v>2019</v>
          </cell>
          <cell r="B486" t="str">
            <v>Actual</v>
          </cell>
          <cell r="C486" t="str">
            <v>Jan</v>
          </cell>
          <cell r="D486" t="str">
            <v>Chairs</v>
          </cell>
          <cell r="E486">
            <v>249160.88399999999</v>
          </cell>
          <cell r="F486">
            <v>1</v>
          </cell>
        </row>
        <row r="487">
          <cell r="A487">
            <v>2019</v>
          </cell>
          <cell r="B487" t="str">
            <v>Budget</v>
          </cell>
          <cell r="C487" t="str">
            <v>Jan</v>
          </cell>
          <cell r="D487" t="str">
            <v>Chairs</v>
          </cell>
          <cell r="E487">
            <v>6205727.5839999989</v>
          </cell>
          <cell r="F487">
            <v>1</v>
          </cell>
        </row>
        <row r="488">
          <cell r="A488">
            <v>2019</v>
          </cell>
          <cell r="B488" t="str">
            <v>Actual</v>
          </cell>
          <cell r="C488" t="str">
            <v>Jan</v>
          </cell>
          <cell r="D488" t="str">
            <v>Chairs</v>
          </cell>
          <cell r="E488">
            <v>119985.30599999998</v>
          </cell>
          <cell r="F488">
            <v>1</v>
          </cell>
        </row>
        <row r="489">
          <cell r="A489">
            <v>2018</v>
          </cell>
          <cell r="B489" t="str">
            <v>Budget</v>
          </cell>
          <cell r="C489" t="str">
            <v>Jan</v>
          </cell>
          <cell r="D489" t="str">
            <v>Chairs</v>
          </cell>
          <cell r="E489">
            <v>243884.56399999998</v>
          </cell>
          <cell r="F489">
            <v>1</v>
          </cell>
        </row>
        <row r="490">
          <cell r="A490">
            <v>2019</v>
          </cell>
          <cell r="B490" t="str">
            <v>Actual</v>
          </cell>
          <cell r="C490" t="str">
            <v>Jan</v>
          </cell>
          <cell r="D490" t="str">
            <v>Tables</v>
          </cell>
          <cell r="E490">
            <v>3686765.0189999999</v>
          </cell>
          <cell r="F490">
            <v>1</v>
          </cell>
        </row>
        <row r="491">
          <cell r="A491">
            <v>2018</v>
          </cell>
          <cell r="B491" t="str">
            <v>Budget</v>
          </cell>
          <cell r="C491" t="str">
            <v>Jan</v>
          </cell>
          <cell r="D491" t="str">
            <v>Kitchen</v>
          </cell>
          <cell r="E491">
            <v>32670.518999999997</v>
          </cell>
          <cell r="F491">
            <v>1</v>
          </cell>
        </row>
        <row r="492">
          <cell r="A492">
            <v>2019</v>
          </cell>
          <cell r="B492" t="str">
            <v>Actual</v>
          </cell>
          <cell r="C492" t="str">
            <v>Jan</v>
          </cell>
          <cell r="D492" t="str">
            <v>Chairs</v>
          </cell>
          <cell r="E492">
            <v>217123.63399999999</v>
          </cell>
          <cell r="F492">
            <v>1</v>
          </cell>
        </row>
        <row r="493">
          <cell r="A493">
            <v>2018</v>
          </cell>
          <cell r="B493" t="str">
            <v>Budget</v>
          </cell>
          <cell r="C493" t="str">
            <v>Jan</v>
          </cell>
          <cell r="D493" t="str">
            <v>Chairs</v>
          </cell>
          <cell r="E493">
            <v>1413795.1310000001</v>
          </cell>
          <cell r="F493">
            <v>1</v>
          </cell>
        </row>
        <row r="494">
          <cell r="A494">
            <v>2018</v>
          </cell>
          <cell r="B494" t="str">
            <v>Actual</v>
          </cell>
          <cell r="C494" t="str">
            <v>Jan</v>
          </cell>
          <cell r="D494" t="str">
            <v>Chairs</v>
          </cell>
          <cell r="E494">
            <v>1779013.5999999999</v>
          </cell>
          <cell r="F494">
            <v>1</v>
          </cell>
        </row>
        <row r="495">
          <cell r="A495">
            <v>2018</v>
          </cell>
          <cell r="B495" t="str">
            <v>Budget</v>
          </cell>
          <cell r="C495" t="str">
            <v>Jan</v>
          </cell>
          <cell r="D495" t="str">
            <v>Chairs</v>
          </cell>
          <cell r="E495">
            <v>43545522.769000001</v>
          </cell>
          <cell r="F495">
            <v>1</v>
          </cell>
        </row>
        <row r="496">
          <cell r="A496">
            <v>2019</v>
          </cell>
          <cell r="B496" t="str">
            <v>Actual</v>
          </cell>
          <cell r="C496" t="str">
            <v>Jan</v>
          </cell>
          <cell r="D496" t="str">
            <v>Chairs</v>
          </cell>
          <cell r="E496">
            <v>12019523.942999998</v>
          </cell>
          <cell r="F496">
            <v>1</v>
          </cell>
        </row>
        <row r="497">
          <cell r="A497">
            <v>2018</v>
          </cell>
          <cell r="B497" t="str">
            <v>Budget</v>
          </cell>
          <cell r="C497" t="str">
            <v>Jan</v>
          </cell>
          <cell r="D497" t="str">
            <v>Tables</v>
          </cell>
          <cell r="E497">
            <v>1154362.7969999998</v>
          </cell>
          <cell r="F497">
            <v>1</v>
          </cell>
        </row>
        <row r="498">
          <cell r="A498">
            <v>2019</v>
          </cell>
          <cell r="B498" t="str">
            <v>Actual</v>
          </cell>
          <cell r="C498" t="str">
            <v>Jan</v>
          </cell>
          <cell r="D498" t="str">
            <v>Kitchen</v>
          </cell>
          <cell r="E498">
            <v>3417859.2209999999</v>
          </cell>
          <cell r="F498">
            <v>1</v>
          </cell>
        </row>
        <row r="499">
          <cell r="A499">
            <v>2018</v>
          </cell>
          <cell r="B499" t="str">
            <v>Budget</v>
          </cell>
          <cell r="C499" t="str">
            <v>Jan</v>
          </cell>
          <cell r="D499" t="str">
            <v>Chairs</v>
          </cell>
          <cell r="E499">
            <v>5563537.2239999995</v>
          </cell>
          <cell r="F499">
            <v>1</v>
          </cell>
        </row>
        <row r="500">
          <cell r="A500">
            <v>2019</v>
          </cell>
          <cell r="B500" t="str">
            <v>Actual</v>
          </cell>
          <cell r="C500" t="str">
            <v>Jan</v>
          </cell>
          <cell r="D500" t="str">
            <v>Chairs</v>
          </cell>
          <cell r="E500">
            <v>8540615.9790000003</v>
          </cell>
          <cell r="F500">
            <v>1</v>
          </cell>
        </row>
        <row r="501">
          <cell r="A501">
            <v>2018</v>
          </cell>
          <cell r="B501" t="str">
            <v>Budget</v>
          </cell>
          <cell r="C501" t="str">
            <v>Jan</v>
          </cell>
          <cell r="D501" t="str">
            <v>Chairs</v>
          </cell>
          <cell r="E501">
            <v>2237567.108</v>
          </cell>
          <cell r="F501">
            <v>1</v>
          </cell>
        </row>
        <row r="502">
          <cell r="A502">
            <v>2018</v>
          </cell>
          <cell r="B502" t="str">
            <v>Actual</v>
          </cell>
          <cell r="C502" t="str">
            <v>Jan</v>
          </cell>
          <cell r="D502" t="str">
            <v>Tables</v>
          </cell>
          <cell r="E502">
            <v>15174735.463999998</v>
          </cell>
          <cell r="F502">
            <v>1</v>
          </cell>
        </row>
        <row r="503">
          <cell r="A503">
            <v>2018</v>
          </cell>
          <cell r="B503" t="str">
            <v>Budget</v>
          </cell>
          <cell r="C503" t="str">
            <v>Jan</v>
          </cell>
          <cell r="D503" t="str">
            <v>Kitchen</v>
          </cell>
          <cell r="E503">
            <v>3059873.2429999998</v>
          </cell>
          <cell r="F503">
            <v>1</v>
          </cell>
        </row>
        <row r="504">
          <cell r="A504">
            <v>2019</v>
          </cell>
          <cell r="B504" t="str">
            <v>Actual</v>
          </cell>
          <cell r="C504" t="str">
            <v>Jan</v>
          </cell>
          <cell r="D504" t="str">
            <v>Chairs</v>
          </cell>
          <cell r="E504">
            <v>741924.23899999994</v>
          </cell>
          <cell r="F504">
            <v>1</v>
          </cell>
        </row>
        <row r="505">
          <cell r="A505">
            <v>2019</v>
          </cell>
          <cell r="B505" t="str">
            <v>Budget</v>
          </cell>
          <cell r="C505" t="str">
            <v>Jan</v>
          </cell>
          <cell r="D505" t="str">
            <v>Chairs</v>
          </cell>
          <cell r="E505">
            <v>1872658.6269999999</v>
          </cell>
          <cell r="F505">
            <v>1</v>
          </cell>
        </row>
        <row r="506">
          <cell r="A506">
            <v>2019</v>
          </cell>
          <cell r="B506" t="str">
            <v>Actual</v>
          </cell>
          <cell r="C506" t="str">
            <v>Jan</v>
          </cell>
          <cell r="D506" t="str">
            <v>Tables</v>
          </cell>
          <cell r="E506">
            <v>509459.13899999997</v>
          </cell>
          <cell r="F506">
            <v>1</v>
          </cell>
        </row>
        <row r="507">
          <cell r="A507">
            <v>2018</v>
          </cell>
          <cell r="B507" t="str">
            <v>Budget</v>
          </cell>
          <cell r="C507" t="str">
            <v>Jan</v>
          </cell>
          <cell r="D507" t="str">
            <v>Kitchen</v>
          </cell>
          <cell r="E507">
            <v>2065425.334</v>
          </cell>
          <cell r="F507">
            <v>1</v>
          </cell>
        </row>
        <row r="508">
          <cell r="A508">
            <v>2019</v>
          </cell>
          <cell r="B508" t="str">
            <v>Actual</v>
          </cell>
          <cell r="C508" t="str">
            <v>Jan</v>
          </cell>
          <cell r="D508" t="str">
            <v>Chairs</v>
          </cell>
          <cell r="E508">
            <v>1117400.1299999999</v>
          </cell>
          <cell r="F508">
            <v>1</v>
          </cell>
        </row>
        <row r="509">
          <cell r="A509">
            <v>2019</v>
          </cell>
          <cell r="B509" t="str">
            <v>Budget</v>
          </cell>
          <cell r="C509" t="str">
            <v>Jan</v>
          </cell>
          <cell r="D509" t="str">
            <v>Chairs</v>
          </cell>
          <cell r="E509">
            <v>1204302.3369999998</v>
          </cell>
          <cell r="F509">
            <v>1</v>
          </cell>
        </row>
        <row r="510">
          <cell r="A510">
            <v>2019</v>
          </cell>
          <cell r="B510" t="str">
            <v>Actual</v>
          </cell>
          <cell r="C510" t="str">
            <v>Jan</v>
          </cell>
          <cell r="D510" t="str">
            <v>Chairs</v>
          </cell>
          <cell r="E510">
            <v>717013.28299999994</v>
          </cell>
          <cell r="F510">
            <v>1</v>
          </cell>
        </row>
        <row r="511">
          <cell r="A511">
            <v>2019</v>
          </cell>
          <cell r="B511" t="str">
            <v>Budget</v>
          </cell>
          <cell r="C511" t="str">
            <v>Jan</v>
          </cell>
          <cell r="D511" t="str">
            <v>Tables</v>
          </cell>
          <cell r="E511">
            <v>3099693.2399999998</v>
          </cell>
          <cell r="F511">
            <v>1</v>
          </cell>
        </row>
        <row r="512">
          <cell r="A512">
            <v>2018</v>
          </cell>
          <cell r="B512" t="str">
            <v>Actual</v>
          </cell>
          <cell r="C512" t="str">
            <v>Jan</v>
          </cell>
          <cell r="D512" t="str">
            <v>Kitchen</v>
          </cell>
          <cell r="E512">
            <v>1210695.3459999999</v>
          </cell>
          <cell r="F512">
            <v>1</v>
          </cell>
        </row>
        <row r="513">
          <cell r="A513">
            <v>2018</v>
          </cell>
          <cell r="B513" t="str">
            <v>Budget</v>
          </cell>
          <cell r="C513" t="str">
            <v>Jan</v>
          </cell>
          <cell r="D513" t="str">
            <v>Accessories</v>
          </cell>
          <cell r="E513">
            <v>133389.29800000001</v>
          </cell>
          <cell r="F513">
            <v>1</v>
          </cell>
        </row>
        <row r="514">
          <cell r="A514">
            <v>2019</v>
          </cell>
          <cell r="B514" t="str">
            <v>Actual</v>
          </cell>
          <cell r="C514" t="str">
            <v>Jan</v>
          </cell>
          <cell r="D514" t="str">
            <v>Chairs</v>
          </cell>
          <cell r="E514">
            <v>422587.25599999994</v>
          </cell>
          <cell r="F514">
            <v>1</v>
          </cell>
        </row>
        <row r="515">
          <cell r="A515">
            <v>2018</v>
          </cell>
          <cell r="B515" t="str">
            <v>Budget</v>
          </cell>
          <cell r="C515" t="str">
            <v>Jan</v>
          </cell>
          <cell r="D515" t="str">
            <v>Tables</v>
          </cell>
          <cell r="E515">
            <v>1933800.3929999999</v>
          </cell>
          <cell r="F515">
            <v>1</v>
          </cell>
        </row>
        <row r="516">
          <cell r="A516">
            <v>2018</v>
          </cell>
          <cell r="B516" t="str">
            <v>Actual</v>
          </cell>
          <cell r="C516" t="str">
            <v>Jan</v>
          </cell>
          <cell r="D516" t="str">
            <v>Kitchen</v>
          </cell>
          <cell r="E516">
            <v>598737.71299999999</v>
          </cell>
          <cell r="F516">
            <v>1</v>
          </cell>
        </row>
        <row r="517">
          <cell r="A517">
            <v>2018</v>
          </cell>
          <cell r="B517" t="str">
            <v>Budget</v>
          </cell>
          <cell r="C517" t="str">
            <v>Jan</v>
          </cell>
          <cell r="D517" t="str">
            <v>Accessories</v>
          </cell>
          <cell r="E517">
            <v>10871468.391000001</v>
          </cell>
          <cell r="F517">
            <v>1</v>
          </cell>
        </row>
        <row r="518">
          <cell r="A518">
            <v>2018</v>
          </cell>
          <cell r="B518" t="str">
            <v>Actual</v>
          </cell>
          <cell r="C518" t="str">
            <v>Jan</v>
          </cell>
          <cell r="D518" t="str">
            <v>Chairs</v>
          </cell>
          <cell r="E518">
            <v>1108453.878</v>
          </cell>
          <cell r="F518">
            <v>1</v>
          </cell>
        </row>
        <row r="519">
          <cell r="A519">
            <v>2018</v>
          </cell>
          <cell r="B519" t="str">
            <v>Budget</v>
          </cell>
          <cell r="C519" t="str">
            <v>Jan</v>
          </cell>
          <cell r="D519" t="str">
            <v>Tables</v>
          </cell>
          <cell r="E519">
            <v>1120532.371</v>
          </cell>
          <cell r="F519">
            <v>1</v>
          </cell>
        </row>
        <row r="520">
          <cell r="A520">
            <v>2019</v>
          </cell>
          <cell r="B520" t="str">
            <v>Actual</v>
          </cell>
          <cell r="C520" t="str">
            <v>Jan</v>
          </cell>
          <cell r="D520" t="str">
            <v>Kitchen</v>
          </cell>
          <cell r="E520">
            <v>368258.02999999997</v>
          </cell>
          <cell r="F520">
            <v>1</v>
          </cell>
        </row>
        <row r="521">
          <cell r="A521">
            <v>2019</v>
          </cell>
          <cell r="B521" t="str">
            <v>Budget</v>
          </cell>
          <cell r="C521" t="str">
            <v>Jan</v>
          </cell>
          <cell r="D521" t="str">
            <v>Accessories</v>
          </cell>
          <cell r="E521">
            <v>3453194.43</v>
          </cell>
          <cell r="F521">
            <v>1</v>
          </cell>
        </row>
        <row r="522">
          <cell r="A522">
            <v>2019</v>
          </cell>
          <cell r="B522" t="str">
            <v>Actual</v>
          </cell>
          <cell r="C522" t="str">
            <v>Jan</v>
          </cell>
          <cell r="D522" t="str">
            <v>Chairs</v>
          </cell>
          <cell r="E522">
            <v>1973165.8239999998</v>
          </cell>
          <cell r="F522">
            <v>1</v>
          </cell>
        </row>
        <row r="523">
          <cell r="A523">
            <v>2018</v>
          </cell>
          <cell r="B523" t="str">
            <v>Budget</v>
          </cell>
          <cell r="C523" t="str">
            <v>Jan</v>
          </cell>
          <cell r="D523" t="str">
            <v>Tables</v>
          </cell>
          <cell r="E523">
            <v>3871583.4919999996</v>
          </cell>
          <cell r="F523">
            <v>1</v>
          </cell>
        </row>
        <row r="524">
          <cell r="A524">
            <v>2019</v>
          </cell>
          <cell r="B524" t="str">
            <v>Actual</v>
          </cell>
          <cell r="C524" t="str">
            <v>Jan</v>
          </cell>
          <cell r="D524" t="str">
            <v>Kitchen</v>
          </cell>
          <cell r="E524">
            <v>561348.94200000004</v>
          </cell>
          <cell r="F524">
            <v>1</v>
          </cell>
        </row>
        <row r="525">
          <cell r="A525">
            <v>2018</v>
          </cell>
          <cell r="B525" t="str">
            <v>Budget</v>
          </cell>
          <cell r="C525" t="str">
            <v>Jan</v>
          </cell>
          <cell r="D525" t="str">
            <v>Accessories</v>
          </cell>
          <cell r="E525">
            <v>13889308.460999999</v>
          </cell>
          <cell r="F525">
            <v>1</v>
          </cell>
        </row>
        <row r="526">
          <cell r="A526">
            <v>2018</v>
          </cell>
          <cell r="B526" t="str">
            <v>Actual</v>
          </cell>
          <cell r="C526" t="str">
            <v>Jan</v>
          </cell>
          <cell r="D526" t="str">
            <v>Chairs</v>
          </cell>
          <cell r="E526">
            <v>156277.56899999999</v>
          </cell>
          <cell r="F526">
            <v>1</v>
          </cell>
        </row>
        <row r="527">
          <cell r="A527">
            <v>2018</v>
          </cell>
          <cell r="B527" t="str">
            <v>Budget</v>
          </cell>
          <cell r="C527" t="str">
            <v>Jan</v>
          </cell>
          <cell r="D527" t="str">
            <v>Chairs</v>
          </cell>
          <cell r="E527">
            <v>900655.37800000003</v>
          </cell>
          <cell r="F527">
            <v>1</v>
          </cell>
        </row>
        <row r="528">
          <cell r="A528">
            <v>2019</v>
          </cell>
          <cell r="B528" t="str">
            <v>Actual</v>
          </cell>
          <cell r="C528" t="str">
            <v>Jan</v>
          </cell>
          <cell r="D528" t="str">
            <v>Tables</v>
          </cell>
          <cell r="E528">
            <v>5011132.1610000003</v>
          </cell>
          <cell r="F528">
            <v>1</v>
          </cell>
        </row>
        <row r="529">
          <cell r="A529">
            <v>2019</v>
          </cell>
          <cell r="B529" t="str">
            <v>Budget</v>
          </cell>
          <cell r="C529" t="str">
            <v>Jan</v>
          </cell>
          <cell r="D529" t="str">
            <v>Kitchen</v>
          </cell>
          <cell r="E529">
            <v>1531930.4769999997</v>
          </cell>
          <cell r="F529">
            <v>1</v>
          </cell>
        </row>
        <row r="530">
          <cell r="A530">
            <v>2019</v>
          </cell>
          <cell r="B530" t="str">
            <v>Actual</v>
          </cell>
          <cell r="C530" t="str">
            <v>Jan</v>
          </cell>
          <cell r="D530" t="str">
            <v>Chairs</v>
          </cell>
          <cell r="E530">
            <v>1726129.0549999999</v>
          </cell>
          <cell r="F530">
            <v>1</v>
          </cell>
        </row>
        <row r="531">
          <cell r="A531">
            <v>2019</v>
          </cell>
          <cell r="B531" t="str">
            <v>Budget</v>
          </cell>
          <cell r="C531" t="str">
            <v>Jan</v>
          </cell>
          <cell r="D531" t="str">
            <v>Tables</v>
          </cell>
          <cell r="E531">
            <v>210705.42499999999</v>
          </cell>
          <cell r="F531">
            <v>1</v>
          </cell>
        </row>
        <row r="532">
          <cell r="A532">
            <v>2019</v>
          </cell>
          <cell r="B532" t="str">
            <v>Actual</v>
          </cell>
          <cell r="C532" t="str">
            <v>Jan</v>
          </cell>
          <cell r="D532" t="str">
            <v>Kitchen</v>
          </cell>
          <cell r="E532">
            <v>3212463.0019999999</v>
          </cell>
          <cell r="F532">
            <v>1</v>
          </cell>
        </row>
        <row r="533">
          <cell r="A533">
            <v>2018</v>
          </cell>
          <cell r="B533" t="str">
            <v>Budget</v>
          </cell>
          <cell r="C533" t="str">
            <v>Jan</v>
          </cell>
          <cell r="D533" t="str">
            <v>Chairs</v>
          </cell>
          <cell r="E533">
            <v>570052.28</v>
          </cell>
          <cell r="F533">
            <v>1</v>
          </cell>
        </row>
        <row r="534">
          <cell r="A534">
            <v>2019</v>
          </cell>
          <cell r="B534" t="str">
            <v>Actual</v>
          </cell>
          <cell r="C534" t="str">
            <v>Jan</v>
          </cell>
          <cell r="D534" t="str">
            <v>Tables</v>
          </cell>
          <cell r="E534">
            <v>1701502.74</v>
          </cell>
          <cell r="F534">
            <v>1</v>
          </cell>
        </row>
        <row r="535">
          <cell r="A535">
            <v>2018</v>
          </cell>
          <cell r="B535" t="str">
            <v>Budget</v>
          </cell>
          <cell r="C535" t="str">
            <v>Jan</v>
          </cell>
          <cell r="D535" t="str">
            <v>Kitchen</v>
          </cell>
          <cell r="E535">
            <v>256215.74999999997</v>
          </cell>
          <cell r="F535">
            <v>1</v>
          </cell>
        </row>
        <row r="536">
          <cell r="A536">
            <v>2018</v>
          </cell>
          <cell r="B536" t="str">
            <v>Actual</v>
          </cell>
          <cell r="C536" t="str">
            <v>Jan</v>
          </cell>
          <cell r="D536" t="str">
            <v>Chairs</v>
          </cell>
          <cell r="E536">
            <v>46713.716</v>
          </cell>
          <cell r="F536">
            <v>1</v>
          </cell>
        </row>
        <row r="537">
          <cell r="A537">
            <v>2019</v>
          </cell>
          <cell r="B537" t="str">
            <v>Budget</v>
          </cell>
          <cell r="C537" t="str">
            <v>Jan</v>
          </cell>
          <cell r="D537" t="str">
            <v>Chairs</v>
          </cell>
          <cell r="E537">
            <v>70890.567999999999</v>
          </cell>
          <cell r="F537">
            <v>1</v>
          </cell>
        </row>
        <row r="538">
          <cell r="A538">
            <v>2018</v>
          </cell>
          <cell r="B538" t="str">
            <v>Actual</v>
          </cell>
          <cell r="C538" t="str">
            <v>Jan</v>
          </cell>
          <cell r="D538" t="str">
            <v>Chairs</v>
          </cell>
          <cell r="E538">
            <v>145363.85499999998</v>
          </cell>
          <cell r="F538">
            <v>1</v>
          </cell>
        </row>
        <row r="539">
          <cell r="A539">
            <v>2019</v>
          </cell>
          <cell r="B539" t="str">
            <v>Budget</v>
          </cell>
          <cell r="C539" t="str">
            <v>Jan</v>
          </cell>
          <cell r="D539" t="str">
            <v>Chairs</v>
          </cell>
          <cell r="E539">
            <v>1744866.7949999999</v>
          </cell>
          <cell r="F539">
            <v>1</v>
          </cell>
        </row>
        <row r="540">
          <cell r="A540">
            <v>2018</v>
          </cell>
          <cell r="B540" t="str">
            <v>Actual</v>
          </cell>
          <cell r="C540" t="str">
            <v>Jan</v>
          </cell>
          <cell r="D540" t="str">
            <v>Chairs</v>
          </cell>
          <cell r="E540">
            <v>579865.69899999991</v>
          </cell>
          <cell r="F540">
            <v>1</v>
          </cell>
        </row>
        <row r="541">
          <cell r="A541">
            <v>2018</v>
          </cell>
          <cell r="B541" t="str">
            <v>Budget</v>
          </cell>
          <cell r="C541" t="str">
            <v>Jan</v>
          </cell>
          <cell r="D541" t="str">
            <v>Chairs</v>
          </cell>
          <cell r="E541">
            <v>2145887.443</v>
          </cell>
          <cell r="F541">
            <v>1</v>
          </cell>
        </row>
        <row r="542">
          <cell r="A542">
            <v>2019</v>
          </cell>
          <cell r="B542" t="str">
            <v>Actual</v>
          </cell>
          <cell r="C542" t="str">
            <v>Jan</v>
          </cell>
          <cell r="D542" t="str">
            <v>Chairs</v>
          </cell>
          <cell r="E542">
            <v>1822618.3499999999</v>
          </cell>
          <cell r="F542">
            <v>1</v>
          </cell>
        </row>
        <row r="543">
          <cell r="A543">
            <v>2019</v>
          </cell>
          <cell r="B543" t="str">
            <v>Budget</v>
          </cell>
          <cell r="C543" t="str">
            <v>Jan</v>
          </cell>
          <cell r="D543" t="str">
            <v>Chairs</v>
          </cell>
          <cell r="E543">
            <v>337284.598</v>
          </cell>
          <cell r="F543">
            <v>1</v>
          </cell>
        </row>
        <row r="544">
          <cell r="A544">
            <v>2018</v>
          </cell>
          <cell r="B544" t="str">
            <v>Actual</v>
          </cell>
          <cell r="C544" t="str">
            <v>Jan</v>
          </cell>
          <cell r="D544" t="str">
            <v>Chairs</v>
          </cell>
          <cell r="E544">
            <v>1838372.0529999998</v>
          </cell>
          <cell r="F544">
            <v>1</v>
          </cell>
        </row>
        <row r="545">
          <cell r="A545">
            <v>2019</v>
          </cell>
          <cell r="B545" t="str">
            <v>Budget</v>
          </cell>
          <cell r="C545" t="str">
            <v>Jan</v>
          </cell>
          <cell r="D545" t="str">
            <v>Chairs</v>
          </cell>
          <cell r="E545">
            <v>265689.26999999996</v>
          </cell>
          <cell r="F545">
            <v>1</v>
          </cell>
        </row>
        <row r="546">
          <cell r="A546">
            <v>2019</v>
          </cell>
          <cell r="B546" t="str">
            <v>Actual</v>
          </cell>
          <cell r="C546" t="str">
            <v>Jan</v>
          </cell>
          <cell r="D546" t="str">
            <v>Chairs</v>
          </cell>
          <cell r="E546">
            <v>420732.02499999997</v>
          </cell>
          <cell r="F546">
            <v>1</v>
          </cell>
        </row>
        <row r="547">
          <cell r="A547">
            <v>2018</v>
          </cell>
          <cell r="B547" t="str">
            <v>Budget</v>
          </cell>
          <cell r="C547" t="str">
            <v>Jan</v>
          </cell>
          <cell r="D547" t="str">
            <v>Chairs</v>
          </cell>
          <cell r="E547">
            <v>843286.47899999993</v>
          </cell>
          <cell r="F547">
            <v>1</v>
          </cell>
        </row>
        <row r="548">
          <cell r="A548">
            <v>2019</v>
          </cell>
          <cell r="B548" t="str">
            <v>Actual</v>
          </cell>
          <cell r="C548" t="str">
            <v>Jan</v>
          </cell>
          <cell r="D548" t="str">
            <v>Chairs</v>
          </cell>
          <cell r="E548">
            <v>1469532.3230000001</v>
          </cell>
          <cell r="F548">
            <v>1</v>
          </cell>
        </row>
        <row r="549">
          <cell r="A549">
            <v>2019</v>
          </cell>
          <cell r="B549" t="str">
            <v>Budget</v>
          </cell>
          <cell r="C549" t="str">
            <v>Jan</v>
          </cell>
          <cell r="D549" t="str">
            <v>Chairs</v>
          </cell>
          <cell r="E549">
            <v>548890.76899999997</v>
          </cell>
          <cell r="F549">
            <v>1</v>
          </cell>
        </row>
        <row r="550">
          <cell r="A550">
            <v>2019</v>
          </cell>
          <cell r="B550" t="str">
            <v>Actual</v>
          </cell>
          <cell r="C550" t="str">
            <v>Jan</v>
          </cell>
          <cell r="D550" t="str">
            <v>Chairs</v>
          </cell>
          <cell r="E550">
            <v>816860.89799999993</v>
          </cell>
          <cell r="F550">
            <v>1</v>
          </cell>
        </row>
        <row r="551">
          <cell r="A551">
            <v>2019</v>
          </cell>
          <cell r="B551" t="str">
            <v>Budget</v>
          </cell>
          <cell r="C551" t="str">
            <v>Jan</v>
          </cell>
          <cell r="D551" t="str">
            <v>Chairs</v>
          </cell>
          <cell r="E551">
            <v>557907.55299999996</v>
          </cell>
          <cell r="F551">
            <v>1</v>
          </cell>
        </row>
        <row r="552">
          <cell r="A552">
            <v>2019</v>
          </cell>
          <cell r="B552" t="str">
            <v>Actual</v>
          </cell>
          <cell r="C552" t="str">
            <v>Jan</v>
          </cell>
          <cell r="D552" t="str">
            <v>Chairs</v>
          </cell>
          <cell r="E552">
            <v>2305072.1749999998</v>
          </cell>
          <cell r="F552">
            <v>1</v>
          </cell>
        </row>
        <row r="553">
          <cell r="A553">
            <v>2019</v>
          </cell>
          <cell r="B553" t="str">
            <v>Budget</v>
          </cell>
          <cell r="C553" t="str">
            <v>Jan</v>
          </cell>
          <cell r="D553" t="str">
            <v>Chairs</v>
          </cell>
          <cell r="E553">
            <v>4235009.7509999992</v>
          </cell>
          <cell r="F553">
            <v>1</v>
          </cell>
        </row>
        <row r="554">
          <cell r="A554">
            <v>2019</v>
          </cell>
          <cell r="B554" t="str">
            <v>Actual</v>
          </cell>
          <cell r="C554" t="str">
            <v>Jan</v>
          </cell>
          <cell r="D554" t="str">
            <v>Chairs</v>
          </cell>
          <cell r="E554">
            <v>1137362.4219999998</v>
          </cell>
          <cell r="F554">
            <v>1</v>
          </cell>
        </row>
        <row r="555">
          <cell r="A555">
            <v>2019</v>
          </cell>
          <cell r="B555" t="str">
            <v>Budget</v>
          </cell>
          <cell r="C555" t="str">
            <v>Jan</v>
          </cell>
          <cell r="D555" t="str">
            <v>Chairs</v>
          </cell>
          <cell r="E555">
            <v>564023.31999999995</v>
          </cell>
          <cell r="F555">
            <v>1</v>
          </cell>
        </row>
        <row r="556">
          <cell r="A556">
            <v>2019</v>
          </cell>
          <cell r="B556" t="str">
            <v>Actual</v>
          </cell>
          <cell r="C556" t="str">
            <v>Jan</v>
          </cell>
          <cell r="D556" t="str">
            <v>Chairs</v>
          </cell>
          <cell r="E556">
            <v>14386.210999999999</v>
          </cell>
          <cell r="F556">
            <v>1</v>
          </cell>
        </row>
        <row r="557">
          <cell r="A557">
            <v>2018</v>
          </cell>
          <cell r="B557" t="str">
            <v>Budget</v>
          </cell>
          <cell r="C557" t="str">
            <v>Jan</v>
          </cell>
          <cell r="D557" t="str">
            <v>Chairs</v>
          </cell>
          <cell r="E557">
            <v>141558.774</v>
          </cell>
          <cell r="F557">
            <v>1</v>
          </cell>
        </row>
        <row r="558">
          <cell r="A558">
            <v>2018</v>
          </cell>
          <cell r="B558" t="str">
            <v>Actual</v>
          </cell>
          <cell r="C558" t="str">
            <v>Jan</v>
          </cell>
          <cell r="D558" t="str">
            <v>Chairs</v>
          </cell>
          <cell r="E558">
            <v>2189940.4449999998</v>
          </cell>
          <cell r="F558">
            <v>1</v>
          </cell>
        </row>
        <row r="559">
          <cell r="A559">
            <v>2019</v>
          </cell>
          <cell r="B559" t="str">
            <v>Budget</v>
          </cell>
          <cell r="C559" t="str">
            <v>Jan</v>
          </cell>
          <cell r="D559" t="str">
            <v>Chairs</v>
          </cell>
          <cell r="E559">
            <v>244862.198</v>
          </cell>
          <cell r="F559">
            <v>1</v>
          </cell>
        </row>
        <row r="560">
          <cell r="A560">
            <v>2018</v>
          </cell>
          <cell r="B560" t="str">
            <v>Actual</v>
          </cell>
          <cell r="C560" t="str">
            <v>Jan</v>
          </cell>
          <cell r="D560" t="str">
            <v>Chairs</v>
          </cell>
          <cell r="E560">
            <v>241444.098</v>
          </cell>
          <cell r="F560">
            <v>1</v>
          </cell>
        </row>
        <row r="561">
          <cell r="A561">
            <v>2019</v>
          </cell>
          <cell r="B561" t="str">
            <v>Budget</v>
          </cell>
          <cell r="C561" t="str">
            <v>Jan</v>
          </cell>
          <cell r="D561" t="str">
            <v>Chairs</v>
          </cell>
          <cell r="E561">
            <v>3351715.6259999997</v>
          </cell>
          <cell r="F561">
            <v>1</v>
          </cell>
        </row>
        <row r="562">
          <cell r="A562">
            <v>2018</v>
          </cell>
          <cell r="B562" t="str">
            <v>Actual</v>
          </cell>
          <cell r="C562" t="str">
            <v>Jan</v>
          </cell>
          <cell r="D562" t="str">
            <v>Tables</v>
          </cell>
          <cell r="E562">
            <v>3126477.2560000001</v>
          </cell>
          <cell r="F562">
            <v>1</v>
          </cell>
        </row>
        <row r="563">
          <cell r="A563">
            <v>2019</v>
          </cell>
          <cell r="B563" t="str">
            <v>Budget</v>
          </cell>
          <cell r="C563" t="str">
            <v>Jan</v>
          </cell>
          <cell r="D563" t="str">
            <v>Kitchen</v>
          </cell>
          <cell r="E563">
            <v>1301983.27</v>
          </cell>
          <cell r="F563">
            <v>1</v>
          </cell>
        </row>
        <row r="564">
          <cell r="A564">
            <v>2019</v>
          </cell>
          <cell r="B564" t="str">
            <v>Actual</v>
          </cell>
          <cell r="C564" t="str">
            <v>Jan</v>
          </cell>
          <cell r="D564" t="str">
            <v>Chairs</v>
          </cell>
          <cell r="E564">
            <v>1590074.584</v>
          </cell>
          <cell r="F564">
            <v>1</v>
          </cell>
        </row>
        <row r="565">
          <cell r="A565">
            <v>2019</v>
          </cell>
          <cell r="B565" t="str">
            <v>Budget</v>
          </cell>
          <cell r="C565" t="str">
            <v>Jan</v>
          </cell>
          <cell r="D565" t="str">
            <v>Chairs</v>
          </cell>
          <cell r="E565">
            <v>700041.03399999999</v>
          </cell>
          <cell r="F565">
            <v>1</v>
          </cell>
        </row>
        <row r="566">
          <cell r="A566">
            <v>2019</v>
          </cell>
          <cell r="B566" t="str">
            <v>Actual</v>
          </cell>
          <cell r="C566" t="str">
            <v>Jan</v>
          </cell>
          <cell r="D566" t="str">
            <v>Chairs</v>
          </cell>
          <cell r="E566">
            <v>3870792.233</v>
          </cell>
          <cell r="F566">
            <v>1</v>
          </cell>
        </row>
        <row r="567">
          <cell r="A567">
            <v>2018</v>
          </cell>
          <cell r="B567" t="str">
            <v>Budget</v>
          </cell>
          <cell r="C567" t="str">
            <v>Jan</v>
          </cell>
          <cell r="D567" t="str">
            <v>Chairs</v>
          </cell>
          <cell r="E567">
            <v>661478.28599999996</v>
          </cell>
          <cell r="F567">
            <v>1</v>
          </cell>
        </row>
        <row r="568">
          <cell r="A568">
            <v>2019</v>
          </cell>
          <cell r="B568" t="str">
            <v>Actual</v>
          </cell>
          <cell r="C568" t="str">
            <v>Jan</v>
          </cell>
          <cell r="D568" t="str">
            <v>Chairs</v>
          </cell>
          <cell r="E568">
            <v>487800.50899999996</v>
          </cell>
          <cell r="F568">
            <v>1</v>
          </cell>
        </row>
        <row r="569">
          <cell r="A569">
            <v>2018</v>
          </cell>
          <cell r="B569" t="str">
            <v>Budget</v>
          </cell>
          <cell r="C569" t="str">
            <v>Jan</v>
          </cell>
          <cell r="D569" t="str">
            <v>Tables</v>
          </cell>
          <cell r="E569">
            <v>18294258.415999997</v>
          </cell>
          <cell r="F569">
            <v>1</v>
          </cell>
        </row>
        <row r="570">
          <cell r="A570">
            <v>2019</v>
          </cell>
          <cell r="B570" t="str">
            <v>Actual</v>
          </cell>
          <cell r="C570" t="str">
            <v>Jan</v>
          </cell>
          <cell r="D570" t="str">
            <v>Kitchen</v>
          </cell>
          <cell r="E570">
            <v>52532.991000000002</v>
          </cell>
          <cell r="F570">
            <v>1</v>
          </cell>
        </row>
        <row r="571">
          <cell r="A571">
            <v>2019</v>
          </cell>
          <cell r="B571" t="str">
            <v>Budget</v>
          </cell>
          <cell r="C571" t="str">
            <v>Jan</v>
          </cell>
          <cell r="D571" t="str">
            <v>Chairs</v>
          </cell>
          <cell r="E571">
            <v>8018.7519999999995</v>
          </cell>
          <cell r="F571">
            <v>1</v>
          </cell>
        </row>
        <row r="572">
          <cell r="A572">
            <v>2019</v>
          </cell>
          <cell r="B572" t="str">
            <v>Actual</v>
          </cell>
          <cell r="C572" t="str">
            <v>Jan</v>
          </cell>
          <cell r="D572" t="str">
            <v>Chairs</v>
          </cell>
          <cell r="E572">
            <v>436306.94799999997</v>
          </cell>
          <cell r="F572">
            <v>1</v>
          </cell>
        </row>
        <row r="573">
          <cell r="A573">
            <v>2018</v>
          </cell>
          <cell r="B573" t="str">
            <v>Budget</v>
          </cell>
          <cell r="C573" t="str">
            <v>Jan</v>
          </cell>
          <cell r="D573" t="str">
            <v>Chairs</v>
          </cell>
          <cell r="E573">
            <v>718587.30299999996</v>
          </cell>
          <cell r="F573">
            <v>1</v>
          </cell>
        </row>
        <row r="574">
          <cell r="A574">
            <v>2018</v>
          </cell>
          <cell r="B574" t="str">
            <v>Actual</v>
          </cell>
          <cell r="C574" t="str">
            <v>Jan</v>
          </cell>
          <cell r="D574" t="str">
            <v>Tables</v>
          </cell>
          <cell r="E574">
            <v>966899.55599999998</v>
          </cell>
          <cell r="F574">
            <v>1</v>
          </cell>
        </row>
        <row r="575">
          <cell r="A575">
            <v>2018</v>
          </cell>
          <cell r="B575" t="str">
            <v>Budget</v>
          </cell>
          <cell r="C575" t="str">
            <v>Jan</v>
          </cell>
          <cell r="D575" t="str">
            <v>Kitchen</v>
          </cell>
          <cell r="E575">
            <v>508322.598</v>
          </cell>
          <cell r="F575">
            <v>1</v>
          </cell>
        </row>
        <row r="576">
          <cell r="A576">
            <v>2019</v>
          </cell>
          <cell r="B576" t="str">
            <v>Actual</v>
          </cell>
          <cell r="C576" t="str">
            <v>Jan</v>
          </cell>
          <cell r="D576" t="str">
            <v>Chairs</v>
          </cell>
          <cell r="E576">
            <v>495044.24200000003</v>
          </cell>
          <cell r="F576">
            <v>1</v>
          </cell>
        </row>
        <row r="577">
          <cell r="A577">
            <v>2019</v>
          </cell>
          <cell r="B577" t="str">
            <v>Budget</v>
          </cell>
          <cell r="C577" t="str">
            <v>Jan</v>
          </cell>
          <cell r="D577" t="str">
            <v>Chairs</v>
          </cell>
          <cell r="E577">
            <v>42593.221999999994</v>
          </cell>
          <cell r="F577">
            <v>1</v>
          </cell>
        </row>
        <row r="578">
          <cell r="A578">
            <v>2018</v>
          </cell>
          <cell r="B578" t="str">
            <v>Actual</v>
          </cell>
          <cell r="C578" t="str">
            <v>Jan</v>
          </cell>
          <cell r="D578" t="str">
            <v>Tables</v>
          </cell>
          <cell r="E578">
            <v>81387.116999999998</v>
          </cell>
          <cell r="F578">
            <v>1</v>
          </cell>
        </row>
        <row r="579">
          <cell r="A579">
            <v>2019</v>
          </cell>
          <cell r="B579" t="str">
            <v>Budget</v>
          </cell>
          <cell r="C579" t="str">
            <v>Jan</v>
          </cell>
          <cell r="D579" t="str">
            <v>Kitchen</v>
          </cell>
          <cell r="E579">
            <v>49909.558999999994</v>
          </cell>
          <cell r="F579">
            <v>1</v>
          </cell>
        </row>
        <row r="580">
          <cell r="A580">
            <v>2019</v>
          </cell>
          <cell r="B580" t="str">
            <v>Actual</v>
          </cell>
          <cell r="C580" t="str">
            <v>Jan</v>
          </cell>
          <cell r="D580" t="str">
            <v>Chairs</v>
          </cell>
          <cell r="E580">
            <v>153982.66799999998</v>
          </cell>
          <cell r="F580">
            <v>1</v>
          </cell>
        </row>
        <row r="581">
          <cell r="A581">
            <v>2019</v>
          </cell>
          <cell r="B581" t="str">
            <v>Budget</v>
          </cell>
          <cell r="C581" t="str">
            <v>Jan</v>
          </cell>
          <cell r="D581" t="str">
            <v>Chairs</v>
          </cell>
          <cell r="E581">
            <v>4187021.1809999999</v>
          </cell>
          <cell r="F581">
            <v>1</v>
          </cell>
        </row>
        <row r="582">
          <cell r="A582">
            <v>2018</v>
          </cell>
          <cell r="B582" t="str">
            <v>Actual</v>
          </cell>
          <cell r="C582" t="str">
            <v>Jan</v>
          </cell>
          <cell r="D582" t="str">
            <v>Chairs</v>
          </cell>
          <cell r="E582">
            <v>32110.183000000001</v>
          </cell>
          <cell r="F582">
            <v>1</v>
          </cell>
        </row>
        <row r="583">
          <cell r="A583">
            <v>2018</v>
          </cell>
          <cell r="B583" t="str">
            <v>Budget</v>
          </cell>
          <cell r="C583" t="str">
            <v>Jan</v>
          </cell>
          <cell r="D583" t="str">
            <v>Tables</v>
          </cell>
          <cell r="E583">
            <v>334132.84099999996</v>
          </cell>
          <cell r="F583">
            <v>1</v>
          </cell>
        </row>
        <row r="584">
          <cell r="A584">
            <v>2019</v>
          </cell>
          <cell r="B584" t="str">
            <v>Actual</v>
          </cell>
          <cell r="C584" t="str">
            <v>Jan</v>
          </cell>
          <cell r="D584" t="str">
            <v>Kitchen</v>
          </cell>
          <cell r="E584">
            <v>41835.492999999995</v>
          </cell>
          <cell r="F584">
            <v>1</v>
          </cell>
        </row>
        <row r="585">
          <cell r="A585">
            <v>2019</v>
          </cell>
          <cell r="B585" t="str">
            <v>Budget</v>
          </cell>
          <cell r="C585" t="str">
            <v>Jan</v>
          </cell>
          <cell r="D585" t="str">
            <v>Accessories</v>
          </cell>
          <cell r="E585">
            <v>241630.26300000001</v>
          </cell>
          <cell r="F585">
            <v>1</v>
          </cell>
        </row>
        <row r="586">
          <cell r="A586">
            <v>2018</v>
          </cell>
          <cell r="B586" t="str">
            <v>Actual</v>
          </cell>
          <cell r="C586" t="str">
            <v>Jan</v>
          </cell>
          <cell r="D586" t="str">
            <v>Chairs</v>
          </cell>
          <cell r="E586">
            <v>987498.10600000003</v>
          </cell>
          <cell r="F586">
            <v>1</v>
          </cell>
        </row>
        <row r="587">
          <cell r="A587">
            <v>2018</v>
          </cell>
          <cell r="B587" t="str">
            <v>Budget</v>
          </cell>
          <cell r="C587" t="str">
            <v>Jan</v>
          </cell>
          <cell r="D587" t="str">
            <v>Tables</v>
          </cell>
          <cell r="E587">
            <v>17964.148999999998</v>
          </cell>
          <cell r="F587">
            <v>1</v>
          </cell>
        </row>
        <row r="588">
          <cell r="A588">
            <v>2019</v>
          </cell>
          <cell r="B588" t="str">
            <v>Actual</v>
          </cell>
          <cell r="C588" t="str">
            <v>Jan</v>
          </cell>
          <cell r="D588" t="str">
            <v>Kitchen</v>
          </cell>
          <cell r="E588">
            <v>123475.583</v>
          </cell>
          <cell r="F588">
            <v>1</v>
          </cell>
        </row>
        <row r="589">
          <cell r="A589">
            <v>2019</v>
          </cell>
          <cell r="B589" t="str">
            <v>Budget</v>
          </cell>
          <cell r="C589" t="str">
            <v>Jan</v>
          </cell>
          <cell r="D589" t="str">
            <v>Accessories</v>
          </cell>
          <cell r="E589">
            <v>310202.43800000002</v>
          </cell>
          <cell r="F589">
            <v>1</v>
          </cell>
        </row>
        <row r="590">
          <cell r="A590">
            <v>2019</v>
          </cell>
          <cell r="B590" t="str">
            <v>Actual</v>
          </cell>
          <cell r="C590" t="str">
            <v>Jan</v>
          </cell>
          <cell r="D590" t="str">
            <v>Chairs</v>
          </cell>
          <cell r="E590">
            <v>7338.7020000000002</v>
          </cell>
          <cell r="F590">
            <v>1</v>
          </cell>
        </row>
        <row r="591">
          <cell r="A591">
            <v>2019</v>
          </cell>
          <cell r="B591" t="str">
            <v>Budget</v>
          </cell>
          <cell r="C591" t="str">
            <v>Jan</v>
          </cell>
          <cell r="D591" t="str">
            <v>Tables</v>
          </cell>
          <cell r="E591">
            <v>90303.64</v>
          </cell>
          <cell r="F591">
            <v>1</v>
          </cell>
        </row>
        <row r="592">
          <cell r="A592">
            <v>2019</v>
          </cell>
          <cell r="B592" t="str">
            <v>Actual</v>
          </cell>
          <cell r="C592" t="str">
            <v>Jan</v>
          </cell>
          <cell r="D592" t="str">
            <v>Kitchen</v>
          </cell>
          <cell r="E592">
            <v>264998.54499999998</v>
          </cell>
          <cell r="F592">
            <v>1</v>
          </cell>
        </row>
        <row r="593">
          <cell r="A593">
            <v>2018</v>
          </cell>
          <cell r="B593" t="str">
            <v>Budget</v>
          </cell>
          <cell r="C593" t="str">
            <v>Jan</v>
          </cell>
          <cell r="D593" t="str">
            <v>Accessories</v>
          </cell>
          <cell r="E593">
            <v>20616.505000000001</v>
          </cell>
          <cell r="F593">
            <v>1</v>
          </cell>
        </row>
        <row r="594">
          <cell r="A594">
            <v>2019</v>
          </cell>
          <cell r="B594" t="str">
            <v>Actual</v>
          </cell>
          <cell r="C594" t="str">
            <v>Jan</v>
          </cell>
          <cell r="D594" t="str">
            <v>Chairs</v>
          </cell>
          <cell r="E594">
            <v>698090.9879999999</v>
          </cell>
          <cell r="F594">
            <v>1</v>
          </cell>
        </row>
        <row r="595">
          <cell r="A595">
            <v>2019</v>
          </cell>
          <cell r="B595" t="str">
            <v>Budget</v>
          </cell>
          <cell r="C595" t="str">
            <v>Jan</v>
          </cell>
          <cell r="D595" t="str">
            <v>Tables</v>
          </cell>
          <cell r="E595">
            <v>82295.633000000002</v>
          </cell>
          <cell r="F595">
            <v>1</v>
          </cell>
        </row>
        <row r="596">
          <cell r="A596">
            <v>2018</v>
          </cell>
          <cell r="B596" t="str">
            <v>Actual</v>
          </cell>
          <cell r="C596" t="str">
            <v>Jan</v>
          </cell>
          <cell r="D596" t="str">
            <v>Kitchen</v>
          </cell>
          <cell r="E596">
            <v>73910.934999999998</v>
          </cell>
          <cell r="F596">
            <v>1</v>
          </cell>
        </row>
        <row r="597">
          <cell r="A597">
            <v>2018</v>
          </cell>
          <cell r="B597" t="str">
            <v>Budget</v>
          </cell>
          <cell r="C597" t="str">
            <v>Jan</v>
          </cell>
          <cell r="D597" t="str">
            <v>Accessories</v>
          </cell>
          <cell r="E597">
            <v>93286.549999999988</v>
          </cell>
          <cell r="F597">
            <v>1</v>
          </cell>
        </row>
        <row r="598">
          <cell r="A598">
            <v>2018</v>
          </cell>
          <cell r="B598" t="str">
            <v>Actual</v>
          </cell>
          <cell r="C598" t="str">
            <v>Jan</v>
          </cell>
          <cell r="D598" t="str">
            <v>Chairs</v>
          </cell>
          <cell r="E598">
            <v>96761.671999999991</v>
          </cell>
          <cell r="F598">
            <v>1</v>
          </cell>
        </row>
        <row r="599">
          <cell r="A599">
            <v>2018</v>
          </cell>
          <cell r="B599" t="str">
            <v>Budget</v>
          </cell>
          <cell r="C599" t="str">
            <v>Jan</v>
          </cell>
          <cell r="D599" t="str">
            <v>Chairs</v>
          </cell>
          <cell r="E599">
            <v>206917.23499999999</v>
          </cell>
          <cell r="F599">
            <v>1</v>
          </cell>
        </row>
        <row r="600">
          <cell r="A600">
            <v>2019</v>
          </cell>
          <cell r="B600" t="str">
            <v>Actual</v>
          </cell>
          <cell r="C600" t="str">
            <v>Jan</v>
          </cell>
          <cell r="D600" t="str">
            <v>Tables</v>
          </cell>
          <cell r="E600">
            <v>16436.168000000001</v>
          </cell>
          <cell r="F600">
            <v>1</v>
          </cell>
        </row>
        <row r="601">
          <cell r="A601">
            <v>2018</v>
          </cell>
          <cell r="B601" t="str">
            <v>Budget</v>
          </cell>
          <cell r="C601" t="str">
            <v>Jan</v>
          </cell>
          <cell r="D601" t="str">
            <v>Kitchen</v>
          </cell>
          <cell r="E601">
            <v>253175.66399999999</v>
          </cell>
          <cell r="F601">
            <v>1</v>
          </cell>
        </row>
        <row r="602">
          <cell r="A602">
            <v>2018</v>
          </cell>
          <cell r="B602" t="str">
            <v>Actual</v>
          </cell>
          <cell r="C602" t="str">
            <v>Jan</v>
          </cell>
          <cell r="D602" t="str">
            <v>Chairs</v>
          </cell>
          <cell r="E602">
            <v>7114.1489999999994</v>
          </cell>
          <cell r="F602">
            <v>1</v>
          </cell>
        </row>
        <row r="603">
          <cell r="A603">
            <v>2019</v>
          </cell>
          <cell r="B603" t="str">
            <v>Budget</v>
          </cell>
          <cell r="C603" t="str">
            <v>Jan</v>
          </cell>
          <cell r="D603" t="str">
            <v>Tables</v>
          </cell>
          <cell r="E603">
            <v>157392.85799999998</v>
          </cell>
          <cell r="F603">
            <v>1</v>
          </cell>
        </row>
        <row r="604">
          <cell r="A604">
            <v>2018</v>
          </cell>
          <cell r="B604" t="str">
            <v>Actual</v>
          </cell>
          <cell r="C604" t="str">
            <v>Jan</v>
          </cell>
          <cell r="D604" t="str">
            <v>Kitchen</v>
          </cell>
          <cell r="E604">
            <v>11057.241999999998</v>
          </cell>
          <cell r="F604">
            <v>1</v>
          </cell>
        </row>
        <row r="605">
          <cell r="A605">
            <v>2019</v>
          </cell>
          <cell r="B605" t="str">
            <v>Budget</v>
          </cell>
          <cell r="C605" t="str">
            <v>Jan</v>
          </cell>
          <cell r="D605" t="str">
            <v>Chairs</v>
          </cell>
          <cell r="E605">
            <v>35191.106999999996</v>
          </cell>
          <cell r="F605">
            <v>1</v>
          </cell>
        </row>
        <row r="606">
          <cell r="A606">
            <v>2018</v>
          </cell>
          <cell r="B606" t="str">
            <v>Actual</v>
          </cell>
          <cell r="C606" t="str">
            <v>Jan</v>
          </cell>
          <cell r="D606" t="str">
            <v>Tables</v>
          </cell>
          <cell r="E606">
            <v>23690.274999999998</v>
          </cell>
          <cell r="F606">
            <v>1</v>
          </cell>
        </row>
        <row r="607">
          <cell r="A607">
            <v>2018</v>
          </cell>
          <cell r="B607" t="str">
            <v>Budget</v>
          </cell>
          <cell r="C607" t="str">
            <v>Jan</v>
          </cell>
          <cell r="D607" t="str">
            <v>Kitchen</v>
          </cell>
          <cell r="E607">
            <v>139248.921</v>
          </cell>
          <cell r="F607">
            <v>1</v>
          </cell>
        </row>
        <row r="608">
          <cell r="A608">
            <v>2018</v>
          </cell>
          <cell r="B608" t="str">
            <v>Actual</v>
          </cell>
          <cell r="C608" t="str">
            <v>Jan</v>
          </cell>
          <cell r="D608" t="str">
            <v>Chairs</v>
          </cell>
          <cell r="E608">
            <v>46129.299999999996</v>
          </cell>
          <cell r="F608">
            <v>1</v>
          </cell>
        </row>
        <row r="609">
          <cell r="A609">
            <v>2019</v>
          </cell>
          <cell r="B609" t="str">
            <v>Budget</v>
          </cell>
          <cell r="C609" t="str">
            <v>Jan</v>
          </cell>
          <cell r="D609" t="str">
            <v>Chairs</v>
          </cell>
          <cell r="E609">
            <v>1476398.2379999999</v>
          </cell>
          <cell r="F609">
            <v>1</v>
          </cell>
        </row>
        <row r="610">
          <cell r="A610">
            <v>2019</v>
          </cell>
          <cell r="B610" t="str">
            <v>Actual</v>
          </cell>
          <cell r="C610" t="str">
            <v>Jan</v>
          </cell>
          <cell r="D610" t="str">
            <v>Chairs</v>
          </cell>
          <cell r="E610">
            <v>49436.288999999997</v>
          </cell>
          <cell r="F610">
            <v>1</v>
          </cell>
        </row>
        <row r="611">
          <cell r="A611">
            <v>2018</v>
          </cell>
          <cell r="B611" t="str">
            <v>Budget</v>
          </cell>
          <cell r="C611" t="str">
            <v>Jan</v>
          </cell>
          <cell r="D611" t="str">
            <v>Chairs</v>
          </cell>
          <cell r="E611">
            <v>35887.998999999996</v>
          </cell>
          <cell r="F611">
            <v>1</v>
          </cell>
        </row>
        <row r="612">
          <cell r="A612">
            <v>2018</v>
          </cell>
          <cell r="B612" t="str">
            <v>Actual</v>
          </cell>
          <cell r="C612" t="str">
            <v>Jan</v>
          </cell>
          <cell r="D612" t="str">
            <v>Chairs</v>
          </cell>
          <cell r="E612">
            <v>57582.272999999994</v>
          </cell>
          <cell r="F612">
            <v>1</v>
          </cell>
        </row>
        <row r="613">
          <cell r="A613">
            <v>2018</v>
          </cell>
          <cell r="B613" t="str">
            <v>Budget</v>
          </cell>
          <cell r="C613" t="str">
            <v>Jan</v>
          </cell>
          <cell r="D613" t="str">
            <v>Chairs</v>
          </cell>
          <cell r="E613">
            <v>25887.883000000002</v>
          </cell>
          <cell r="F613">
            <v>1</v>
          </cell>
        </row>
        <row r="614">
          <cell r="A614">
            <v>2019</v>
          </cell>
          <cell r="B614" t="str">
            <v>Actual</v>
          </cell>
          <cell r="C614" t="str">
            <v>Jan</v>
          </cell>
          <cell r="D614" t="str">
            <v>Chairs</v>
          </cell>
          <cell r="E614">
            <v>383039.76199999999</v>
          </cell>
          <cell r="F614">
            <v>1</v>
          </cell>
        </row>
        <row r="615">
          <cell r="A615">
            <v>2018</v>
          </cell>
          <cell r="B615" t="str">
            <v>Budget</v>
          </cell>
          <cell r="C615" t="str">
            <v>Jan</v>
          </cell>
          <cell r="D615" t="str">
            <v>Chairs</v>
          </cell>
          <cell r="E615">
            <v>357077.95199999999</v>
          </cell>
          <cell r="F615">
            <v>1</v>
          </cell>
        </row>
        <row r="616">
          <cell r="A616">
            <v>2019</v>
          </cell>
          <cell r="B616" t="str">
            <v>Actual</v>
          </cell>
          <cell r="C616" t="str">
            <v>Jan</v>
          </cell>
          <cell r="D616" t="str">
            <v>Chairs</v>
          </cell>
          <cell r="E616">
            <v>167041.37099999998</v>
          </cell>
          <cell r="F616">
            <v>1</v>
          </cell>
        </row>
        <row r="617">
          <cell r="A617">
            <v>2019</v>
          </cell>
          <cell r="B617" t="str">
            <v>Budget</v>
          </cell>
          <cell r="C617" t="str">
            <v>Jan</v>
          </cell>
          <cell r="D617" t="str">
            <v>Chairs</v>
          </cell>
          <cell r="E617">
            <v>122884.12499999999</v>
          </cell>
          <cell r="F617">
            <v>1</v>
          </cell>
        </row>
        <row r="618">
          <cell r="A618">
            <v>2018</v>
          </cell>
          <cell r="B618" t="str">
            <v>Actual</v>
          </cell>
          <cell r="C618" t="str">
            <v>Jan</v>
          </cell>
          <cell r="D618" t="str">
            <v>Chairs</v>
          </cell>
          <cell r="E618">
            <v>2929923.36</v>
          </cell>
          <cell r="F618">
            <v>1</v>
          </cell>
        </row>
        <row r="619">
          <cell r="A619">
            <v>2018</v>
          </cell>
          <cell r="B619" t="str">
            <v>Budget</v>
          </cell>
          <cell r="C619" t="str">
            <v>Jan</v>
          </cell>
          <cell r="D619" t="str">
            <v>Chairs</v>
          </cell>
          <cell r="E619">
            <v>299703.663</v>
          </cell>
          <cell r="F619">
            <v>1</v>
          </cell>
        </row>
        <row r="620">
          <cell r="A620">
            <v>2019</v>
          </cell>
          <cell r="B620" t="str">
            <v>Actual</v>
          </cell>
          <cell r="C620" t="str">
            <v>Jan</v>
          </cell>
          <cell r="D620" t="str">
            <v>Chairs</v>
          </cell>
          <cell r="E620">
            <v>264886.74099999998</v>
          </cell>
          <cell r="F620">
            <v>1</v>
          </cell>
        </row>
        <row r="621">
          <cell r="A621">
            <v>2019</v>
          </cell>
          <cell r="B621" t="str">
            <v>Budget</v>
          </cell>
          <cell r="C621" t="str">
            <v>Jan</v>
          </cell>
          <cell r="D621" t="str">
            <v>Chairs</v>
          </cell>
          <cell r="E621">
            <v>45382.616999999998</v>
          </cell>
          <cell r="F621">
            <v>1</v>
          </cell>
        </row>
        <row r="622">
          <cell r="A622">
            <v>2018</v>
          </cell>
          <cell r="B622" t="str">
            <v>Actual</v>
          </cell>
          <cell r="C622" t="str">
            <v>Jan</v>
          </cell>
          <cell r="D622" t="str">
            <v>Chairs</v>
          </cell>
          <cell r="E622">
            <v>354606.69999999995</v>
          </cell>
          <cell r="F622">
            <v>1</v>
          </cell>
        </row>
        <row r="623">
          <cell r="A623">
            <v>2018</v>
          </cell>
          <cell r="B623" t="str">
            <v>Budget</v>
          </cell>
          <cell r="C623" t="str">
            <v>Jan</v>
          </cell>
          <cell r="D623" t="str">
            <v>Chairs</v>
          </cell>
          <cell r="E623">
            <v>19370.210999999999</v>
          </cell>
          <cell r="F623">
            <v>1</v>
          </cell>
        </row>
        <row r="624">
          <cell r="A624">
            <v>2019</v>
          </cell>
          <cell r="B624" t="str">
            <v>Actual</v>
          </cell>
          <cell r="C624" t="str">
            <v>Jan</v>
          </cell>
          <cell r="D624" t="str">
            <v>Chairs</v>
          </cell>
          <cell r="E624">
            <v>259028.63</v>
          </cell>
          <cell r="F624">
            <v>1</v>
          </cell>
        </row>
        <row r="625">
          <cell r="A625">
            <v>2019</v>
          </cell>
          <cell r="B625" t="str">
            <v>Budget</v>
          </cell>
          <cell r="C625" t="str">
            <v>Jan</v>
          </cell>
          <cell r="D625" t="str">
            <v>Chairs</v>
          </cell>
          <cell r="E625">
            <v>85156.434999999998</v>
          </cell>
          <cell r="F625">
            <v>1</v>
          </cell>
        </row>
        <row r="626">
          <cell r="A626">
            <v>2019</v>
          </cell>
          <cell r="B626" t="str">
            <v>Actual</v>
          </cell>
          <cell r="C626" t="str">
            <v>Jan</v>
          </cell>
          <cell r="D626" t="str">
            <v>Chairs</v>
          </cell>
          <cell r="E626">
            <v>63358.47</v>
          </cell>
          <cell r="F626">
            <v>1</v>
          </cell>
        </row>
        <row r="627">
          <cell r="A627">
            <v>2019</v>
          </cell>
          <cell r="B627" t="str">
            <v>Budget</v>
          </cell>
          <cell r="C627" t="str">
            <v>Jan</v>
          </cell>
          <cell r="D627" t="str">
            <v>Chairs</v>
          </cell>
          <cell r="E627">
            <v>158887.253</v>
          </cell>
          <cell r="F627">
            <v>1</v>
          </cell>
        </row>
        <row r="628">
          <cell r="A628">
            <v>2018</v>
          </cell>
          <cell r="B628" t="str">
            <v>Actual</v>
          </cell>
          <cell r="C628" t="str">
            <v>Jan</v>
          </cell>
          <cell r="D628" t="str">
            <v>Chairs</v>
          </cell>
          <cell r="E628">
            <v>164492.03399999999</v>
          </cell>
          <cell r="F628">
            <v>1</v>
          </cell>
        </row>
        <row r="629">
          <cell r="A629">
            <v>2019</v>
          </cell>
          <cell r="B629" t="str">
            <v>Budget</v>
          </cell>
          <cell r="C629" t="str">
            <v>Jan</v>
          </cell>
          <cell r="D629" t="str">
            <v>Chairs</v>
          </cell>
          <cell r="E629">
            <v>113668.849</v>
          </cell>
          <cell r="F629">
            <v>1</v>
          </cell>
        </row>
        <row r="630">
          <cell r="A630">
            <v>2018</v>
          </cell>
          <cell r="B630" t="str">
            <v>Actual</v>
          </cell>
          <cell r="C630" t="str">
            <v>Jan</v>
          </cell>
          <cell r="D630" t="str">
            <v>Chairs</v>
          </cell>
          <cell r="E630">
            <v>733758.04599999997</v>
          </cell>
          <cell r="F630">
            <v>1</v>
          </cell>
        </row>
        <row r="631">
          <cell r="A631">
            <v>2019</v>
          </cell>
          <cell r="B631" t="str">
            <v>Budget</v>
          </cell>
          <cell r="C631" t="str">
            <v>Jan</v>
          </cell>
          <cell r="D631" t="str">
            <v>Chairs</v>
          </cell>
          <cell r="E631">
            <v>883349.14500000002</v>
          </cell>
          <cell r="F631">
            <v>1</v>
          </cell>
        </row>
        <row r="632">
          <cell r="A632">
            <v>2018</v>
          </cell>
          <cell r="B632" t="str">
            <v>Actual</v>
          </cell>
          <cell r="C632" t="str">
            <v>Jan</v>
          </cell>
          <cell r="D632" t="str">
            <v>Chairs</v>
          </cell>
          <cell r="E632">
            <v>1014306.853</v>
          </cell>
          <cell r="F632">
            <v>1</v>
          </cell>
        </row>
        <row r="633">
          <cell r="A633">
            <v>2019</v>
          </cell>
          <cell r="B633" t="str">
            <v>Budget</v>
          </cell>
          <cell r="C633" t="str">
            <v>Jan</v>
          </cell>
          <cell r="D633" t="str">
            <v>Chairs</v>
          </cell>
          <cell r="E633">
            <v>508048.06499999994</v>
          </cell>
          <cell r="F633">
            <v>1</v>
          </cell>
        </row>
        <row r="634">
          <cell r="A634">
            <v>2018</v>
          </cell>
          <cell r="B634" t="str">
            <v>Actual</v>
          </cell>
          <cell r="C634" t="str">
            <v>Jan</v>
          </cell>
          <cell r="D634" t="str">
            <v>Tables</v>
          </cell>
          <cell r="E634">
            <v>18476.156999999999</v>
          </cell>
          <cell r="F634">
            <v>1</v>
          </cell>
        </row>
        <row r="635">
          <cell r="A635">
            <v>2018</v>
          </cell>
          <cell r="B635" t="str">
            <v>Budget</v>
          </cell>
          <cell r="C635" t="str">
            <v>Jan</v>
          </cell>
          <cell r="D635" t="str">
            <v>Kitchen</v>
          </cell>
          <cell r="E635">
            <v>91710.36</v>
          </cell>
          <cell r="F635">
            <v>1</v>
          </cell>
        </row>
        <row r="636">
          <cell r="A636">
            <v>2019</v>
          </cell>
          <cell r="B636" t="str">
            <v>Actual</v>
          </cell>
          <cell r="C636" t="str">
            <v>Jan</v>
          </cell>
          <cell r="D636" t="str">
            <v>Chairs</v>
          </cell>
          <cell r="E636">
            <v>271224.95399999997</v>
          </cell>
          <cell r="F636">
            <v>1</v>
          </cell>
        </row>
        <row r="637">
          <cell r="A637">
            <v>2018</v>
          </cell>
          <cell r="B637" t="str">
            <v>Budget</v>
          </cell>
          <cell r="C637" t="str">
            <v>Jan</v>
          </cell>
          <cell r="D637" t="str">
            <v>Chairs</v>
          </cell>
          <cell r="E637">
            <v>83660.142999999996</v>
          </cell>
          <cell r="F637">
            <v>1</v>
          </cell>
        </row>
        <row r="638">
          <cell r="A638">
            <v>2019</v>
          </cell>
          <cell r="B638" t="str">
            <v>Actual</v>
          </cell>
          <cell r="C638" t="str">
            <v>Jan</v>
          </cell>
          <cell r="D638" t="str">
            <v>Chairs</v>
          </cell>
          <cell r="E638">
            <v>244157.25599999999</v>
          </cell>
          <cell r="F638">
            <v>1</v>
          </cell>
        </row>
        <row r="639">
          <cell r="A639">
            <v>2019</v>
          </cell>
          <cell r="B639" t="str">
            <v>Budget</v>
          </cell>
          <cell r="C639" t="str">
            <v>Jan</v>
          </cell>
          <cell r="D639" t="str">
            <v>Chairs</v>
          </cell>
          <cell r="E639">
            <v>44979.445</v>
          </cell>
          <cell r="F639">
            <v>1</v>
          </cell>
        </row>
        <row r="640">
          <cell r="A640">
            <v>2019</v>
          </cell>
          <cell r="B640" t="str">
            <v>Actual</v>
          </cell>
          <cell r="C640" t="str">
            <v>Jan</v>
          </cell>
          <cell r="D640" t="str">
            <v>Chairs</v>
          </cell>
          <cell r="E640">
            <v>15193.668</v>
          </cell>
          <cell r="F640">
            <v>1</v>
          </cell>
        </row>
        <row r="641">
          <cell r="A641">
            <v>2018</v>
          </cell>
          <cell r="B641" t="str">
            <v>Budget</v>
          </cell>
          <cell r="C641" t="str">
            <v>Jan</v>
          </cell>
          <cell r="D641" t="str">
            <v>Tables</v>
          </cell>
          <cell r="E641">
            <v>14729.33</v>
          </cell>
          <cell r="F641">
            <v>1</v>
          </cell>
        </row>
        <row r="642">
          <cell r="A642">
            <v>2019</v>
          </cell>
          <cell r="B642" t="str">
            <v>Actual</v>
          </cell>
          <cell r="C642" t="str">
            <v>Jan</v>
          </cell>
          <cell r="D642" t="str">
            <v>Kitchen</v>
          </cell>
          <cell r="E642">
            <v>27790.454999999998</v>
          </cell>
          <cell r="F642">
            <v>1</v>
          </cell>
        </row>
        <row r="643">
          <cell r="A643">
            <v>2019</v>
          </cell>
          <cell r="B643" t="str">
            <v>Budget</v>
          </cell>
          <cell r="C643" t="str">
            <v>Jan</v>
          </cell>
          <cell r="D643" t="str">
            <v>Chairs</v>
          </cell>
          <cell r="E643">
            <v>31237.934000000001</v>
          </cell>
          <cell r="F643">
            <v>1</v>
          </cell>
        </row>
        <row r="644">
          <cell r="A644">
            <v>2019</v>
          </cell>
          <cell r="B644" t="str">
            <v>Actual</v>
          </cell>
          <cell r="C644" t="str">
            <v>Jan</v>
          </cell>
          <cell r="D644" t="str">
            <v>Chairs</v>
          </cell>
          <cell r="E644">
            <v>3616.2349999999997</v>
          </cell>
          <cell r="F644">
            <v>1</v>
          </cell>
        </row>
        <row r="645">
          <cell r="A645">
            <v>2019</v>
          </cell>
          <cell r="B645" t="str">
            <v>Budget</v>
          </cell>
          <cell r="C645" t="str">
            <v>Jan</v>
          </cell>
          <cell r="D645" t="str">
            <v>Chairs</v>
          </cell>
          <cell r="E645">
            <v>257229.91699999999</v>
          </cell>
          <cell r="F645">
            <v>1</v>
          </cell>
        </row>
        <row r="646">
          <cell r="A646">
            <v>2018</v>
          </cell>
          <cell r="B646" t="str">
            <v>Actual</v>
          </cell>
          <cell r="C646" t="str">
            <v>Jan</v>
          </cell>
          <cell r="D646" t="str">
            <v>Tables</v>
          </cell>
          <cell r="E646">
            <v>15612.568999999998</v>
          </cell>
          <cell r="F646">
            <v>1</v>
          </cell>
        </row>
        <row r="647">
          <cell r="A647">
            <v>2019</v>
          </cell>
          <cell r="B647" t="str">
            <v>Budget</v>
          </cell>
          <cell r="C647" t="str">
            <v>Jan</v>
          </cell>
          <cell r="D647" t="str">
            <v>Kitchen</v>
          </cell>
          <cell r="E647">
            <v>241483.26999999996</v>
          </cell>
          <cell r="F647">
            <v>1</v>
          </cell>
        </row>
        <row r="648">
          <cell r="A648">
            <v>2019</v>
          </cell>
          <cell r="B648" t="str">
            <v>Actual</v>
          </cell>
          <cell r="C648" t="str">
            <v>Jan</v>
          </cell>
          <cell r="D648" t="str">
            <v>Chairs</v>
          </cell>
          <cell r="E648">
            <v>83853.608999999997</v>
          </cell>
          <cell r="F648">
            <v>1</v>
          </cell>
        </row>
        <row r="649">
          <cell r="A649">
            <v>2018</v>
          </cell>
          <cell r="B649" t="str">
            <v>Budget</v>
          </cell>
          <cell r="C649" t="str">
            <v>Jan</v>
          </cell>
          <cell r="D649" t="str">
            <v>Chairs</v>
          </cell>
          <cell r="E649">
            <v>209033.08299999998</v>
          </cell>
          <cell r="F649">
            <v>1</v>
          </cell>
        </row>
        <row r="650">
          <cell r="A650">
            <v>2018</v>
          </cell>
          <cell r="B650" t="str">
            <v>Actual</v>
          </cell>
          <cell r="C650" t="str">
            <v>Jan</v>
          </cell>
          <cell r="D650" t="str">
            <v>Tables</v>
          </cell>
          <cell r="E650">
            <v>113462.125</v>
          </cell>
          <cell r="F650">
            <v>1</v>
          </cell>
        </row>
        <row r="651">
          <cell r="A651">
            <v>2018</v>
          </cell>
          <cell r="B651" t="str">
            <v>Budget</v>
          </cell>
          <cell r="C651" t="str">
            <v>Jan</v>
          </cell>
          <cell r="D651" t="str">
            <v>Kitchen</v>
          </cell>
          <cell r="E651">
            <v>429752.18299999996</v>
          </cell>
          <cell r="F651">
            <v>1</v>
          </cell>
        </row>
        <row r="652">
          <cell r="A652">
            <v>2019</v>
          </cell>
          <cell r="B652" t="str">
            <v>Actual</v>
          </cell>
          <cell r="C652" t="str">
            <v>Jan</v>
          </cell>
          <cell r="D652" t="str">
            <v>Chairs</v>
          </cell>
          <cell r="E652">
            <v>973582.57499999995</v>
          </cell>
          <cell r="F652">
            <v>1</v>
          </cell>
        </row>
        <row r="653">
          <cell r="A653">
            <v>2018</v>
          </cell>
          <cell r="B653" t="str">
            <v>Budget</v>
          </cell>
          <cell r="C653" t="str">
            <v>Jan</v>
          </cell>
          <cell r="D653" t="str">
            <v>Chairs</v>
          </cell>
          <cell r="E653">
            <v>624208.1719999999</v>
          </cell>
          <cell r="F653">
            <v>1</v>
          </cell>
        </row>
        <row r="654">
          <cell r="A654">
            <v>2018</v>
          </cell>
          <cell r="B654" t="str">
            <v>Actual</v>
          </cell>
          <cell r="C654" t="str">
            <v>Jan</v>
          </cell>
          <cell r="D654" t="str">
            <v>Chairs</v>
          </cell>
          <cell r="E654">
            <v>3677593.8849999998</v>
          </cell>
          <cell r="F654">
            <v>1</v>
          </cell>
        </row>
        <row r="655">
          <cell r="A655">
            <v>2018</v>
          </cell>
          <cell r="B655" t="str">
            <v>Budget</v>
          </cell>
          <cell r="C655" t="str">
            <v>Jan</v>
          </cell>
          <cell r="D655" t="str">
            <v>Tables</v>
          </cell>
          <cell r="E655">
            <v>30621.625999999997</v>
          </cell>
          <cell r="F655">
            <v>1</v>
          </cell>
        </row>
        <row r="656">
          <cell r="A656">
            <v>2018</v>
          </cell>
          <cell r="B656" t="str">
            <v>Actual</v>
          </cell>
          <cell r="C656" t="str">
            <v>Jan</v>
          </cell>
          <cell r="D656" t="str">
            <v>Kitchen</v>
          </cell>
          <cell r="E656">
            <v>392024.03799999994</v>
          </cell>
          <cell r="F656">
            <v>1</v>
          </cell>
        </row>
        <row r="657">
          <cell r="A657">
            <v>2018</v>
          </cell>
          <cell r="B657" t="str">
            <v>Budget</v>
          </cell>
          <cell r="C657" t="str">
            <v>Jan</v>
          </cell>
          <cell r="D657" t="str">
            <v>Accessories</v>
          </cell>
          <cell r="E657">
            <v>55245.525999999991</v>
          </cell>
          <cell r="F657">
            <v>1</v>
          </cell>
        </row>
        <row r="658">
          <cell r="A658">
            <v>2018</v>
          </cell>
          <cell r="B658" t="str">
            <v>Actual</v>
          </cell>
          <cell r="C658" t="str">
            <v>Jan</v>
          </cell>
          <cell r="D658" t="str">
            <v>Chairs</v>
          </cell>
          <cell r="E658">
            <v>48622.601999999999</v>
          </cell>
          <cell r="F658">
            <v>1</v>
          </cell>
        </row>
        <row r="659">
          <cell r="A659">
            <v>2018</v>
          </cell>
          <cell r="B659" t="str">
            <v>Budget</v>
          </cell>
          <cell r="C659" t="str">
            <v>Jan</v>
          </cell>
          <cell r="D659" t="str">
            <v>Tables</v>
          </cell>
          <cell r="E659">
            <v>275117.14999999997</v>
          </cell>
          <cell r="F659">
            <v>1</v>
          </cell>
        </row>
        <row r="660">
          <cell r="A660">
            <v>2018</v>
          </cell>
          <cell r="B660" t="str">
            <v>Actual</v>
          </cell>
          <cell r="C660" t="str">
            <v>Jan</v>
          </cell>
          <cell r="D660" t="str">
            <v>Kitchen</v>
          </cell>
          <cell r="E660">
            <v>376938.14199999999</v>
          </cell>
          <cell r="F660">
            <v>1</v>
          </cell>
        </row>
        <row r="661">
          <cell r="A661">
            <v>2019</v>
          </cell>
          <cell r="B661" t="str">
            <v>Budget</v>
          </cell>
          <cell r="C661" t="str">
            <v>Jan</v>
          </cell>
          <cell r="D661" t="str">
            <v>Accessories</v>
          </cell>
          <cell r="E661">
            <v>391382.93599999999</v>
          </cell>
          <cell r="F661">
            <v>1</v>
          </cell>
        </row>
        <row r="662">
          <cell r="A662">
            <v>2018</v>
          </cell>
          <cell r="B662" t="str">
            <v>Actual</v>
          </cell>
          <cell r="C662" t="str">
            <v>Jan</v>
          </cell>
          <cell r="D662" t="str">
            <v>Chairs</v>
          </cell>
          <cell r="E662">
            <v>562373.02099999995</v>
          </cell>
          <cell r="F662">
            <v>1</v>
          </cell>
        </row>
        <row r="663">
          <cell r="A663">
            <v>2018</v>
          </cell>
          <cell r="B663" t="str">
            <v>Budget</v>
          </cell>
          <cell r="C663" t="str">
            <v>Jan</v>
          </cell>
          <cell r="D663" t="str">
            <v>Tables</v>
          </cell>
          <cell r="E663">
            <v>1292646.159</v>
          </cell>
          <cell r="F663">
            <v>1</v>
          </cell>
        </row>
        <row r="664">
          <cell r="A664">
            <v>2018</v>
          </cell>
          <cell r="B664" t="str">
            <v>Actual</v>
          </cell>
          <cell r="C664" t="str">
            <v>Jan</v>
          </cell>
          <cell r="D664" t="str">
            <v>Kitchen</v>
          </cell>
          <cell r="E664">
            <v>2187410.9040000001</v>
          </cell>
          <cell r="F664">
            <v>1</v>
          </cell>
        </row>
        <row r="665">
          <cell r="A665">
            <v>2018</v>
          </cell>
          <cell r="B665" t="str">
            <v>Budget</v>
          </cell>
          <cell r="C665" t="str">
            <v>Jan</v>
          </cell>
          <cell r="D665" t="str">
            <v>Accessories</v>
          </cell>
          <cell r="E665">
            <v>208880.51099999997</v>
          </cell>
          <cell r="F665">
            <v>1</v>
          </cell>
        </row>
        <row r="666">
          <cell r="A666">
            <v>2018</v>
          </cell>
          <cell r="B666" t="str">
            <v>Actual</v>
          </cell>
          <cell r="C666" t="str">
            <v>Jan</v>
          </cell>
          <cell r="D666" t="str">
            <v>Chairs</v>
          </cell>
          <cell r="E666">
            <v>103793.48699999999</v>
          </cell>
          <cell r="F666">
            <v>1</v>
          </cell>
        </row>
        <row r="667">
          <cell r="A667">
            <v>2019</v>
          </cell>
          <cell r="B667" t="str">
            <v>Budget</v>
          </cell>
          <cell r="C667" t="str">
            <v>Jan</v>
          </cell>
          <cell r="D667" t="str">
            <v>Tables</v>
          </cell>
          <cell r="E667">
            <v>180405.70799999998</v>
          </cell>
          <cell r="F667">
            <v>1</v>
          </cell>
        </row>
        <row r="668">
          <cell r="A668">
            <v>2019</v>
          </cell>
          <cell r="B668" t="str">
            <v>Actual</v>
          </cell>
          <cell r="C668" t="str">
            <v>Jan</v>
          </cell>
          <cell r="D668" t="str">
            <v>Kitchen</v>
          </cell>
          <cell r="E668">
            <v>428838.21399999998</v>
          </cell>
          <cell r="F668">
            <v>1</v>
          </cell>
        </row>
        <row r="669">
          <cell r="A669">
            <v>2018</v>
          </cell>
          <cell r="B669" t="str">
            <v>Budget</v>
          </cell>
          <cell r="C669" t="str">
            <v>Jan</v>
          </cell>
          <cell r="D669" t="str">
            <v>Accessories</v>
          </cell>
          <cell r="E669">
            <v>179881.68099999998</v>
          </cell>
          <cell r="F669">
            <v>1</v>
          </cell>
        </row>
        <row r="670">
          <cell r="A670">
            <v>2019</v>
          </cell>
          <cell r="B670" t="str">
            <v>Actual</v>
          </cell>
          <cell r="C670" t="str">
            <v>Jan</v>
          </cell>
          <cell r="D670" t="str">
            <v>Chairs</v>
          </cell>
          <cell r="E670">
            <v>327105.76500000001</v>
          </cell>
          <cell r="F670">
            <v>1</v>
          </cell>
        </row>
        <row r="671">
          <cell r="A671">
            <v>2019</v>
          </cell>
          <cell r="B671" t="str">
            <v>Budget</v>
          </cell>
          <cell r="C671" t="str">
            <v>Jan</v>
          </cell>
          <cell r="D671" t="str">
            <v>Chairs</v>
          </cell>
          <cell r="E671">
            <v>1448588.19</v>
          </cell>
          <cell r="F671">
            <v>1</v>
          </cell>
        </row>
        <row r="672">
          <cell r="A672">
            <v>2019</v>
          </cell>
          <cell r="B672" t="str">
            <v>Actual</v>
          </cell>
          <cell r="C672" t="str">
            <v>Jan</v>
          </cell>
          <cell r="D672" t="str">
            <v>Tables</v>
          </cell>
          <cell r="E672">
            <v>2393012.426</v>
          </cell>
          <cell r="F672">
            <v>1</v>
          </cell>
        </row>
        <row r="673">
          <cell r="A673">
            <v>2018</v>
          </cell>
          <cell r="B673" t="str">
            <v>Budget</v>
          </cell>
          <cell r="C673" t="str">
            <v>Jan</v>
          </cell>
          <cell r="D673" t="str">
            <v>Kitchen</v>
          </cell>
          <cell r="E673">
            <v>307635.54499999998</v>
          </cell>
          <cell r="F673">
            <v>1</v>
          </cell>
        </row>
        <row r="674">
          <cell r="A674">
            <v>2018</v>
          </cell>
          <cell r="B674" t="str">
            <v>Actual</v>
          </cell>
          <cell r="C674" t="str">
            <v>Jan</v>
          </cell>
          <cell r="D674" t="str">
            <v>Chairs</v>
          </cell>
          <cell r="E674">
            <v>244695.49299999999</v>
          </cell>
          <cell r="F674">
            <v>1</v>
          </cell>
        </row>
        <row r="675">
          <cell r="A675">
            <v>2019</v>
          </cell>
          <cell r="B675" t="str">
            <v>Budget</v>
          </cell>
          <cell r="C675" t="str">
            <v>Jan</v>
          </cell>
          <cell r="D675" t="str">
            <v>Tables</v>
          </cell>
          <cell r="E675">
            <v>254987.34099999999</v>
          </cell>
          <cell r="F675">
            <v>1</v>
          </cell>
        </row>
        <row r="676">
          <cell r="A676">
            <v>2018</v>
          </cell>
          <cell r="B676" t="str">
            <v>Actual</v>
          </cell>
          <cell r="C676" t="str">
            <v>Jan</v>
          </cell>
          <cell r="D676" t="str">
            <v>Kitchen</v>
          </cell>
          <cell r="E676">
            <v>70444.338999999993</v>
          </cell>
          <cell r="F676">
            <v>1</v>
          </cell>
        </row>
        <row r="677">
          <cell r="A677">
            <v>2019</v>
          </cell>
          <cell r="B677" t="str">
            <v>Budget</v>
          </cell>
          <cell r="C677" t="str">
            <v>Jan</v>
          </cell>
          <cell r="D677" t="str">
            <v>Chairs</v>
          </cell>
          <cell r="E677">
            <v>504216.38399999996</v>
          </cell>
          <cell r="F677">
            <v>1</v>
          </cell>
        </row>
        <row r="678">
          <cell r="A678">
            <v>2018</v>
          </cell>
          <cell r="B678" t="str">
            <v>Actual</v>
          </cell>
          <cell r="C678" t="str">
            <v>Jan</v>
          </cell>
          <cell r="D678" t="str">
            <v>Tables</v>
          </cell>
          <cell r="E678">
            <v>1134539.3429999999</v>
          </cell>
          <cell r="F678">
            <v>1</v>
          </cell>
        </row>
        <row r="679">
          <cell r="A679">
            <v>2018</v>
          </cell>
          <cell r="B679" t="str">
            <v>Budget</v>
          </cell>
          <cell r="C679" t="str">
            <v>Jan</v>
          </cell>
          <cell r="D679" t="str">
            <v>Kitchen</v>
          </cell>
          <cell r="E679">
            <v>75082.391999999993</v>
          </cell>
          <cell r="F679">
            <v>1</v>
          </cell>
        </row>
        <row r="680">
          <cell r="A680">
            <v>2018</v>
          </cell>
          <cell r="B680" t="str">
            <v>Actual</v>
          </cell>
          <cell r="C680" t="str">
            <v>Jan</v>
          </cell>
          <cell r="D680" t="str">
            <v>Chairs</v>
          </cell>
          <cell r="E680">
            <v>63766.898999999998</v>
          </cell>
          <cell r="F680">
            <v>1</v>
          </cell>
        </row>
        <row r="681">
          <cell r="A681">
            <v>2018</v>
          </cell>
          <cell r="B681" t="str">
            <v>Budget</v>
          </cell>
          <cell r="C681" t="str">
            <v>Jan</v>
          </cell>
          <cell r="D681" t="str">
            <v>Chairs</v>
          </cell>
          <cell r="E681">
            <v>71954.357999999993</v>
          </cell>
          <cell r="F681">
            <v>1</v>
          </cell>
        </row>
        <row r="682">
          <cell r="A682">
            <v>2019</v>
          </cell>
          <cell r="B682" t="str">
            <v>Actual</v>
          </cell>
          <cell r="C682" t="str">
            <v>Jan</v>
          </cell>
          <cell r="D682" t="str">
            <v>Chairs</v>
          </cell>
          <cell r="E682">
            <v>183010.13499999998</v>
          </cell>
          <cell r="F682">
            <v>1</v>
          </cell>
        </row>
        <row r="683">
          <cell r="A683">
            <v>2018</v>
          </cell>
          <cell r="B683" t="str">
            <v>Budget</v>
          </cell>
          <cell r="C683" t="str">
            <v>Jan</v>
          </cell>
          <cell r="D683" t="str">
            <v>Chairs</v>
          </cell>
          <cell r="E683">
            <v>118403.74699999999</v>
          </cell>
          <cell r="F683">
            <v>1</v>
          </cell>
        </row>
        <row r="684">
          <cell r="A684">
            <v>2019</v>
          </cell>
          <cell r="B684" t="str">
            <v>Actual</v>
          </cell>
          <cell r="C684" t="str">
            <v>Jan</v>
          </cell>
          <cell r="D684" t="str">
            <v>Chairs</v>
          </cell>
          <cell r="E684">
            <v>57953.07</v>
          </cell>
          <cell r="F684">
            <v>1</v>
          </cell>
        </row>
        <row r="685">
          <cell r="A685">
            <v>2019</v>
          </cell>
          <cell r="B685" t="str">
            <v>Budget</v>
          </cell>
          <cell r="C685" t="str">
            <v>Jan</v>
          </cell>
          <cell r="D685" t="str">
            <v>Chairs</v>
          </cell>
          <cell r="E685">
            <v>340033.11999999994</v>
          </cell>
          <cell r="F685">
            <v>1</v>
          </cell>
        </row>
        <row r="686">
          <cell r="A686">
            <v>2019</v>
          </cell>
          <cell r="B686" t="str">
            <v>Actual</v>
          </cell>
          <cell r="C686" t="str">
            <v>Jan</v>
          </cell>
          <cell r="D686" t="str">
            <v>Chairs</v>
          </cell>
          <cell r="E686">
            <v>2292373.6359999999</v>
          </cell>
          <cell r="F686">
            <v>1</v>
          </cell>
        </row>
        <row r="687">
          <cell r="A687">
            <v>2018</v>
          </cell>
          <cell r="B687" t="str">
            <v>Budget</v>
          </cell>
          <cell r="C687" t="str">
            <v>Jan</v>
          </cell>
          <cell r="D687" t="str">
            <v>Chairs</v>
          </cell>
          <cell r="E687">
            <v>1362377.2609999999</v>
          </cell>
          <cell r="F687">
            <v>1</v>
          </cell>
        </row>
        <row r="688">
          <cell r="A688">
            <v>2018</v>
          </cell>
          <cell r="B688" t="str">
            <v>Actual</v>
          </cell>
          <cell r="C688" t="str">
            <v>Jan</v>
          </cell>
          <cell r="D688" t="str">
            <v>Chairs</v>
          </cell>
          <cell r="E688">
            <v>529583.9219999999</v>
          </cell>
          <cell r="F688">
            <v>1</v>
          </cell>
        </row>
        <row r="689">
          <cell r="A689">
            <v>2019</v>
          </cell>
          <cell r="B689" t="str">
            <v>Budget</v>
          </cell>
          <cell r="C689" t="str">
            <v>Jan</v>
          </cell>
          <cell r="D689" t="str">
            <v>Chairs</v>
          </cell>
          <cell r="E689">
            <v>165861.647</v>
          </cell>
          <cell r="F689">
            <v>1</v>
          </cell>
        </row>
        <row r="690">
          <cell r="A690">
            <v>2019</v>
          </cell>
          <cell r="B690" t="str">
            <v>Actual</v>
          </cell>
          <cell r="C690" t="str">
            <v>Jan</v>
          </cell>
          <cell r="D690" t="str">
            <v>Chairs</v>
          </cell>
          <cell r="E690">
            <v>210486.63999999998</v>
          </cell>
          <cell r="F690">
            <v>1</v>
          </cell>
        </row>
        <row r="691">
          <cell r="A691">
            <v>2018</v>
          </cell>
          <cell r="B691" t="str">
            <v>Budget</v>
          </cell>
          <cell r="C691" t="str">
            <v>Jan</v>
          </cell>
          <cell r="D691" t="str">
            <v>Chairs</v>
          </cell>
          <cell r="E691">
            <v>2737831.2009999999</v>
          </cell>
          <cell r="F691">
            <v>1</v>
          </cell>
        </row>
        <row r="692">
          <cell r="A692">
            <v>2019</v>
          </cell>
          <cell r="B692" t="str">
            <v>Actual</v>
          </cell>
          <cell r="C692" t="str">
            <v>Jan</v>
          </cell>
          <cell r="D692" t="str">
            <v>Chairs</v>
          </cell>
          <cell r="E692">
            <v>249031.88800000001</v>
          </cell>
          <cell r="F692">
            <v>1</v>
          </cell>
        </row>
        <row r="693">
          <cell r="A693">
            <v>2019</v>
          </cell>
          <cell r="B693" t="str">
            <v>Budget</v>
          </cell>
          <cell r="C693" t="str">
            <v>Jan</v>
          </cell>
          <cell r="D693" t="str">
            <v>Chairs</v>
          </cell>
          <cell r="E693">
            <v>109942.88899999998</v>
          </cell>
          <cell r="F693">
            <v>1</v>
          </cell>
        </row>
        <row r="694">
          <cell r="A694">
            <v>2019</v>
          </cell>
          <cell r="B694" t="str">
            <v>Actual</v>
          </cell>
          <cell r="C694" t="str">
            <v>Jan</v>
          </cell>
          <cell r="D694" t="str">
            <v>Chairs</v>
          </cell>
          <cell r="E694">
            <v>45123.490999999995</v>
          </cell>
          <cell r="F694">
            <v>1</v>
          </cell>
        </row>
        <row r="695">
          <cell r="A695">
            <v>2019</v>
          </cell>
          <cell r="B695" t="str">
            <v>Budget</v>
          </cell>
          <cell r="C695" t="str">
            <v>Jan</v>
          </cell>
          <cell r="D695" t="str">
            <v>Chairs</v>
          </cell>
          <cell r="E695">
            <v>30917.837999999996</v>
          </cell>
          <cell r="F695">
            <v>1</v>
          </cell>
        </row>
        <row r="696">
          <cell r="A696">
            <v>2018</v>
          </cell>
          <cell r="B696" t="str">
            <v>Actual</v>
          </cell>
          <cell r="C696" t="str">
            <v>Jan</v>
          </cell>
          <cell r="D696" t="str">
            <v>Chairs</v>
          </cell>
          <cell r="E696">
            <v>16538.353999999999</v>
          </cell>
          <cell r="F696">
            <v>1</v>
          </cell>
        </row>
        <row r="697">
          <cell r="A697">
            <v>2018</v>
          </cell>
          <cell r="B697" t="str">
            <v>Budget</v>
          </cell>
          <cell r="C697" t="str">
            <v>Jan</v>
          </cell>
          <cell r="D697" t="str">
            <v>Chairs</v>
          </cell>
          <cell r="E697">
            <v>72555.539000000004</v>
          </cell>
          <cell r="F697">
            <v>1</v>
          </cell>
        </row>
        <row r="698">
          <cell r="A698">
            <v>2018</v>
          </cell>
          <cell r="B698" t="str">
            <v>Actual</v>
          </cell>
          <cell r="C698" t="str">
            <v>Jan</v>
          </cell>
          <cell r="D698" t="str">
            <v>Chairs</v>
          </cell>
          <cell r="E698">
            <v>53773.839</v>
          </cell>
          <cell r="F698">
            <v>1</v>
          </cell>
        </row>
        <row r="699">
          <cell r="A699">
            <v>2019</v>
          </cell>
          <cell r="B699" t="str">
            <v>Budget</v>
          </cell>
          <cell r="C699" t="str">
            <v>Jan</v>
          </cell>
          <cell r="D699" t="str">
            <v>Chairs</v>
          </cell>
          <cell r="E699">
            <v>61543.040999999997</v>
          </cell>
          <cell r="F699">
            <v>1</v>
          </cell>
        </row>
        <row r="700">
          <cell r="A700">
            <v>2019</v>
          </cell>
          <cell r="B700" t="str">
            <v>Actual</v>
          </cell>
          <cell r="C700" t="str">
            <v>Jan</v>
          </cell>
          <cell r="D700" t="str">
            <v>Chairs</v>
          </cell>
          <cell r="E700">
            <v>48898.135999999991</v>
          </cell>
          <cell r="F700">
            <v>1</v>
          </cell>
        </row>
        <row r="701">
          <cell r="A701">
            <v>2019</v>
          </cell>
          <cell r="B701" t="str">
            <v>Budget</v>
          </cell>
          <cell r="C701" t="str">
            <v>Jan</v>
          </cell>
          <cell r="D701" t="str">
            <v>Chairs</v>
          </cell>
          <cell r="E701">
            <v>59508.966999999997</v>
          </cell>
          <cell r="F701">
            <v>1</v>
          </cell>
        </row>
        <row r="702">
          <cell r="A702">
            <v>2019</v>
          </cell>
          <cell r="B702" t="str">
            <v>Actual</v>
          </cell>
          <cell r="C702" t="str">
            <v>Jan</v>
          </cell>
          <cell r="D702" t="str">
            <v>Chairs</v>
          </cell>
          <cell r="E702">
            <v>23896.893999999997</v>
          </cell>
          <cell r="F702">
            <v>1</v>
          </cell>
        </row>
        <row r="703">
          <cell r="A703">
            <v>2018</v>
          </cell>
          <cell r="B703" t="str">
            <v>Budget</v>
          </cell>
          <cell r="C703" t="str">
            <v>Jan</v>
          </cell>
          <cell r="D703" t="str">
            <v>Chairs</v>
          </cell>
          <cell r="E703">
            <v>89324.332999999999</v>
          </cell>
          <cell r="F703">
            <v>1</v>
          </cell>
        </row>
        <row r="704">
          <cell r="A704">
            <v>2018</v>
          </cell>
          <cell r="B704" t="str">
            <v>Actual</v>
          </cell>
          <cell r="C704" t="str">
            <v>Jan</v>
          </cell>
          <cell r="D704" t="str">
            <v>Chairs</v>
          </cell>
          <cell r="E704">
            <v>37206.987999999998</v>
          </cell>
          <cell r="F704">
            <v>1</v>
          </cell>
        </row>
        <row r="705">
          <cell r="A705">
            <v>2019</v>
          </cell>
          <cell r="B705" t="str">
            <v>Budget</v>
          </cell>
          <cell r="C705" t="str">
            <v>Jan</v>
          </cell>
          <cell r="D705" t="str">
            <v>Chairs</v>
          </cell>
          <cell r="E705">
            <v>1998.1849999999999</v>
          </cell>
          <cell r="F705">
            <v>1</v>
          </cell>
        </row>
        <row r="706">
          <cell r="A706">
            <v>2019</v>
          </cell>
          <cell r="B706" t="str">
            <v>Actual</v>
          </cell>
          <cell r="C706" t="str">
            <v>Jan</v>
          </cell>
          <cell r="D706" t="str">
            <v>Tables</v>
          </cell>
          <cell r="E706">
            <v>28872.843999999997</v>
          </cell>
          <cell r="F706">
            <v>1</v>
          </cell>
        </row>
        <row r="707">
          <cell r="A707">
            <v>2018</v>
          </cell>
          <cell r="B707" t="str">
            <v>Budget</v>
          </cell>
          <cell r="C707" t="str">
            <v>Jan</v>
          </cell>
          <cell r="D707" t="str">
            <v>Kitchen</v>
          </cell>
          <cell r="E707">
            <v>12465.467000000001</v>
          </cell>
          <cell r="F707">
            <v>1</v>
          </cell>
        </row>
        <row r="708">
          <cell r="A708">
            <v>2018</v>
          </cell>
          <cell r="B708" t="str">
            <v>Actual</v>
          </cell>
          <cell r="C708" t="str">
            <v>Jan</v>
          </cell>
          <cell r="D708" t="str">
            <v>Chairs</v>
          </cell>
          <cell r="E708">
            <v>18072.873</v>
          </cell>
          <cell r="F708">
            <v>1</v>
          </cell>
        </row>
        <row r="709">
          <cell r="A709">
            <v>2018</v>
          </cell>
          <cell r="B709" t="str">
            <v>Budget</v>
          </cell>
          <cell r="C709" t="str">
            <v>Jan</v>
          </cell>
          <cell r="D709" t="str">
            <v>Chairs</v>
          </cell>
          <cell r="E709">
            <v>30809.485000000001</v>
          </cell>
          <cell r="F709">
            <v>1</v>
          </cell>
        </row>
        <row r="710">
          <cell r="A710">
            <v>2019</v>
          </cell>
          <cell r="B710" t="str">
            <v>Actual</v>
          </cell>
          <cell r="C710" t="str">
            <v>Jan</v>
          </cell>
          <cell r="D710" t="str">
            <v>Chairs</v>
          </cell>
          <cell r="E710">
            <v>29440.081999999999</v>
          </cell>
          <cell r="F710">
            <v>1</v>
          </cell>
        </row>
        <row r="711">
          <cell r="A711">
            <v>2018</v>
          </cell>
          <cell r="B711" t="str">
            <v>Budget</v>
          </cell>
          <cell r="C711" t="str">
            <v>Jan</v>
          </cell>
          <cell r="D711" t="str">
            <v>Chairs</v>
          </cell>
          <cell r="E711">
            <v>22840.495999999999</v>
          </cell>
          <cell r="F711">
            <v>1</v>
          </cell>
        </row>
        <row r="712">
          <cell r="A712">
            <v>2018</v>
          </cell>
          <cell r="B712" t="str">
            <v>Actual</v>
          </cell>
          <cell r="C712" t="str">
            <v>Jan</v>
          </cell>
          <cell r="D712" t="str">
            <v>Chairs</v>
          </cell>
          <cell r="E712">
            <v>36422.217999999993</v>
          </cell>
          <cell r="F712">
            <v>1</v>
          </cell>
        </row>
        <row r="713">
          <cell r="A713">
            <v>2018</v>
          </cell>
          <cell r="B713" t="str">
            <v>Budget</v>
          </cell>
          <cell r="C713" t="str">
            <v>Jan</v>
          </cell>
          <cell r="D713" t="str">
            <v>Tables</v>
          </cell>
          <cell r="E713">
            <v>169006.66999999998</v>
          </cell>
          <cell r="F713">
            <v>1</v>
          </cell>
        </row>
        <row r="714">
          <cell r="A714">
            <v>2019</v>
          </cell>
          <cell r="B714" t="str">
            <v>Actual</v>
          </cell>
          <cell r="C714" t="str">
            <v>Jan</v>
          </cell>
          <cell r="D714" t="str">
            <v>Kitchen</v>
          </cell>
          <cell r="E714">
            <v>754754.28699999989</v>
          </cell>
          <cell r="F714">
            <v>1</v>
          </cell>
        </row>
        <row r="715">
          <cell r="A715">
            <v>2019</v>
          </cell>
          <cell r="B715" t="str">
            <v>Budget</v>
          </cell>
          <cell r="C715" t="str">
            <v>Jan</v>
          </cell>
          <cell r="D715" t="str">
            <v>Chairs</v>
          </cell>
          <cell r="E715">
            <v>1342693.52</v>
          </cell>
          <cell r="F715">
            <v>1</v>
          </cell>
        </row>
        <row r="716">
          <cell r="A716">
            <v>2019</v>
          </cell>
          <cell r="B716" t="str">
            <v>Actual</v>
          </cell>
          <cell r="C716" t="str">
            <v>Jan</v>
          </cell>
          <cell r="D716" t="str">
            <v>Chairs</v>
          </cell>
          <cell r="E716">
            <v>52206.405999999995</v>
          </cell>
          <cell r="F716">
            <v>1</v>
          </cell>
        </row>
        <row r="717">
          <cell r="A717">
            <v>2019</v>
          </cell>
          <cell r="B717" t="str">
            <v>Budget</v>
          </cell>
          <cell r="C717" t="str">
            <v>Jan</v>
          </cell>
          <cell r="D717" t="str">
            <v>Chairs</v>
          </cell>
          <cell r="E717">
            <v>2851.3029999999999</v>
          </cell>
          <cell r="F717">
            <v>1</v>
          </cell>
        </row>
        <row r="718">
          <cell r="A718">
            <v>2019</v>
          </cell>
          <cell r="B718" t="str">
            <v>Actual</v>
          </cell>
          <cell r="C718" t="str">
            <v>Jan</v>
          </cell>
          <cell r="D718" t="str">
            <v>Tables</v>
          </cell>
          <cell r="E718">
            <v>199219.321</v>
          </cell>
          <cell r="F718">
            <v>1</v>
          </cell>
        </row>
        <row r="719">
          <cell r="A719">
            <v>2019</v>
          </cell>
          <cell r="B719" t="str">
            <v>Budget</v>
          </cell>
          <cell r="C719" t="str">
            <v>Jan</v>
          </cell>
          <cell r="D719" t="str">
            <v>Kitchen</v>
          </cell>
          <cell r="E719">
            <v>8285.9210000000003</v>
          </cell>
          <cell r="F719">
            <v>1</v>
          </cell>
        </row>
        <row r="720">
          <cell r="A720">
            <v>2019</v>
          </cell>
          <cell r="B720" t="str">
            <v>Actual</v>
          </cell>
          <cell r="C720" t="str">
            <v>Jan</v>
          </cell>
          <cell r="D720" t="str">
            <v>Chairs</v>
          </cell>
          <cell r="E720">
            <v>423821.87399999995</v>
          </cell>
          <cell r="F720">
            <v>1</v>
          </cell>
        </row>
        <row r="721">
          <cell r="A721">
            <v>2019</v>
          </cell>
          <cell r="B721" t="str">
            <v>Budget</v>
          </cell>
          <cell r="C721" t="str">
            <v>Jan</v>
          </cell>
          <cell r="D721" t="str">
            <v>Chairs</v>
          </cell>
          <cell r="E721">
            <v>608464.6399999999</v>
          </cell>
          <cell r="F721">
            <v>1</v>
          </cell>
        </row>
        <row r="722">
          <cell r="A722">
            <v>2018</v>
          </cell>
          <cell r="B722" t="str">
            <v>Actual</v>
          </cell>
          <cell r="C722" t="str">
            <v>Jan</v>
          </cell>
          <cell r="D722" t="str">
            <v>Tables</v>
          </cell>
          <cell r="E722">
            <v>246723.30199999997</v>
          </cell>
          <cell r="F722">
            <v>1</v>
          </cell>
        </row>
        <row r="723">
          <cell r="A723">
            <v>2018</v>
          </cell>
          <cell r="B723" t="str">
            <v>Budget</v>
          </cell>
          <cell r="C723" t="str">
            <v>Feb</v>
          </cell>
          <cell r="D723" t="str">
            <v>Kitchen</v>
          </cell>
          <cell r="E723">
            <v>19283.131000000001</v>
          </cell>
          <cell r="F723">
            <v>2</v>
          </cell>
        </row>
        <row r="724">
          <cell r="A724">
            <v>2018</v>
          </cell>
          <cell r="B724" t="str">
            <v>Actual</v>
          </cell>
          <cell r="C724" t="str">
            <v>Feb</v>
          </cell>
          <cell r="D724" t="str">
            <v>Chairs</v>
          </cell>
          <cell r="E724">
            <v>187028.18399999998</v>
          </cell>
          <cell r="F724">
            <v>2</v>
          </cell>
        </row>
        <row r="725">
          <cell r="A725">
            <v>2019</v>
          </cell>
          <cell r="B725" t="str">
            <v>Budget</v>
          </cell>
          <cell r="C725" t="str">
            <v>Feb</v>
          </cell>
          <cell r="D725" t="str">
            <v>Chairs</v>
          </cell>
          <cell r="E725">
            <v>112612.90599999999</v>
          </cell>
          <cell r="F725">
            <v>2</v>
          </cell>
        </row>
        <row r="726">
          <cell r="A726">
            <v>2018</v>
          </cell>
          <cell r="B726" t="str">
            <v>Actual</v>
          </cell>
          <cell r="C726" t="str">
            <v>Feb</v>
          </cell>
          <cell r="D726" t="str">
            <v>Chairs</v>
          </cell>
          <cell r="E726">
            <v>93080.036000000007</v>
          </cell>
          <cell r="F726">
            <v>2</v>
          </cell>
        </row>
        <row r="727">
          <cell r="A727">
            <v>2018</v>
          </cell>
          <cell r="B727" t="str">
            <v>Budget</v>
          </cell>
          <cell r="C727" t="str">
            <v>Feb</v>
          </cell>
          <cell r="D727" t="str">
            <v>Tables</v>
          </cell>
          <cell r="E727">
            <v>25291.027999999998</v>
          </cell>
          <cell r="F727">
            <v>2</v>
          </cell>
        </row>
        <row r="728">
          <cell r="A728">
            <v>2019</v>
          </cell>
          <cell r="B728" t="str">
            <v>Actual</v>
          </cell>
          <cell r="C728" t="str">
            <v>Feb</v>
          </cell>
          <cell r="D728" t="str">
            <v>Kitchen</v>
          </cell>
          <cell r="E728">
            <v>203046.522</v>
          </cell>
          <cell r="F728">
            <v>2</v>
          </cell>
        </row>
        <row r="729">
          <cell r="A729">
            <v>2019</v>
          </cell>
          <cell r="B729" t="str">
            <v>Budget</v>
          </cell>
          <cell r="C729" t="str">
            <v>Feb</v>
          </cell>
          <cell r="D729" t="str">
            <v>Accessories</v>
          </cell>
          <cell r="E729">
            <v>44235.834999999999</v>
          </cell>
          <cell r="F729">
            <v>2</v>
          </cell>
        </row>
        <row r="730">
          <cell r="A730">
            <v>2018</v>
          </cell>
          <cell r="B730" t="str">
            <v>Actual</v>
          </cell>
          <cell r="C730" t="str">
            <v>Feb</v>
          </cell>
          <cell r="D730" t="str">
            <v>Chairs</v>
          </cell>
          <cell r="E730">
            <v>117833.632</v>
          </cell>
          <cell r="F730">
            <v>2</v>
          </cell>
        </row>
        <row r="731">
          <cell r="A731">
            <v>2018</v>
          </cell>
          <cell r="B731" t="str">
            <v>Budget</v>
          </cell>
          <cell r="C731" t="str">
            <v>Feb</v>
          </cell>
          <cell r="D731" t="str">
            <v>Tables</v>
          </cell>
          <cell r="E731">
            <v>98366.204999999987</v>
          </cell>
          <cell r="F731">
            <v>2</v>
          </cell>
        </row>
        <row r="732">
          <cell r="A732">
            <v>2019</v>
          </cell>
          <cell r="B732" t="str">
            <v>Actual</v>
          </cell>
          <cell r="C732" t="str">
            <v>Feb</v>
          </cell>
          <cell r="D732" t="str">
            <v>Kitchen</v>
          </cell>
          <cell r="E732">
            <v>29323.510999999999</v>
          </cell>
          <cell r="F732">
            <v>2</v>
          </cell>
        </row>
        <row r="733">
          <cell r="A733">
            <v>2019</v>
          </cell>
          <cell r="B733" t="str">
            <v>Budget</v>
          </cell>
          <cell r="C733" t="str">
            <v>Feb</v>
          </cell>
          <cell r="D733" t="str">
            <v>Accessories</v>
          </cell>
          <cell r="E733">
            <v>159146.83399999997</v>
          </cell>
          <cell r="F733">
            <v>2</v>
          </cell>
        </row>
        <row r="734">
          <cell r="A734">
            <v>2018</v>
          </cell>
          <cell r="B734" t="str">
            <v>Actual</v>
          </cell>
          <cell r="C734" t="str">
            <v>Feb</v>
          </cell>
          <cell r="D734" t="str">
            <v>Chairs</v>
          </cell>
          <cell r="E734">
            <v>94242.714999999997</v>
          </cell>
          <cell r="F734">
            <v>2</v>
          </cell>
        </row>
        <row r="735">
          <cell r="A735">
            <v>2018</v>
          </cell>
          <cell r="B735" t="str">
            <v>Budget</v>
          </cell>
          <cell r="C735" t="str">
            <v>Feb</v>
          </cell>
          <cell r="D735" t="str">
            <v>Tables</v>
          </cell>
          <cell r="E735">
            <v>44025.086000000003</v>
          </cell>
          <cell r="F735">
            <v>2</v>
          </cell>
        </row>
        <row r="736">
          <cell r="A736">
            <v>2019</v>
          </cell>
          <cell r="B736" t="str">
            <v>Actual</v>
          </cell>
          <cell r="C736" t="str">
            <v>Feb</v>
          </cell>
          <cell r="D736" t="str">
            <v>Kitchen</v>
          </cell>
          <cell r="E736">
            <v>1380.183</v>
          </cell>
          <cell r="F736">
            <v>2</v>
          </cell>
        </row>
        <row r="737">
          <cell r="A737">
            <v>2019</v>
          </cell>
          <cell r="B737" t="str">
            <v>Budget</v>
          </cell>
          <cell r="C737" t="str">
            <v>Feb</v>
          </cell>
          <cell r="D737" t="str">
            <v>Accessories</v>
          </cell>
          <cell r="E737">
            <v>4797990.2809999995</v>
          </cell>
          <cell r="F737">
            <v>2</v>
          </cell>
        </row>
        <row r="738">
          <cell r="A738">
            <v>2018</v>
          </cell>
          <cell r="B738" t="str">
            <v>Actual</v>
          </cell>
          <cell r="C738" t="str">
            <v>Feb</v>
          </cell>
          <cell r="D738" t="str">
            <v>Chairs</v>
          </cell>
          <cell r="E738">
            <v>116909.27499999999</v>
          </cell>
          <cell r="F738">
            <v>2</v>
          </cell>
        </row>
        <row r="739">
          <cell r="A739">
            <v>2019</v>
          </cell>
          <cell r="B739" t="str">
            <v>Budget</v>
          </cell>
          <cell r="C739" t="str">
            <v>Feb</v>
          </cell>
          <cell r="D739" t="str">
            <v>Tables</v>
          </cell>
          <cell r="E739">
            <v>96967.5</v>
          </cell>
          <cell r="F739">
            <v>2</v>
          </cell>
        </row>
        <row r="740">
          <cell r="A740">
            <v>2019</v>
          </cell>
          <cell r="B740" t="str">
            <v>Actual</v>
          </cell>
          <cell r="C740" t="str">
            <v>Feb</v>
          </cell>
          <cell r="D740" t="str">
            <v>Kitchen</v>
          </cell>
          <cell r="E740">
            <v>44466.820999999996</v>
          </cell>
          <cell r="F740">
            <v>2</v>
          </cell>
        </row>
        <row r="741">
          <cell r="A741">
            <v>2019</v>
          </cell>
          <cell r="B741" t="str">
            <v>Budget</v>
          </cell>
          <cell r="C741" t="str">
            <v>Feb</v>
          </cell>
          <cell r="D741" t="str">
            <v>Accessories</v>
          </cell>
          <cell r="E741">
            <v>5576.7249999999995</v>
          </cell>
          <cell r="F741">
            <v>2</v>
          </cell>
        </row>
        <row r="742">
          <cell r="A742">
            <v>2019</v>
          </cell>
          <cell r="B742" t="str">
            <v>Actual</v>
          </cell>
          <cell r="C742" t="str">
            <v>Feb</v>
          </cell>
          <cell r="D742" t="str">
            <v>Chairs</v>
          </cell>
          <cell r="E742">
            <v>283546.641</v>
          </cell>
          <cell r="F742">
            <v>2</v>
          </cell>
        </row>
        <row r="743">
          <cell r="A743">
            <v>2018</v>
          </cell>
          <cell r="B743" t="str">
            <v>Budget</v>
          </cell>
          <cell r="C743" t="str">
            <v>Feb</v>
          </cell>
          <cell r="D743" t="str">
            <v>Chairs</v>
          </cell>
          <cell r="E743">
            <v>261103.073</v>
          </cell>
          <cell r="F743">
            <v>2</v>
          </cell>
        </row>
        <row r="744">
          <cell r="A744">
            <v>2018</v>
          </cell>
          <cell r="B744" t="str">
            <v>Actual</v>
          </cell>
          <cell r="C744" t="str">
            <v>Feb</v>
          </cell>
          <cell r="D744" t="str">
            <v>Tables</v>
          </cell>
          <cell r="E744">
            <v>3534805.7080000001</v>
          </cell>
          <cell r="F744">
            <v>2</v>
          </cell>
        </row>
        <row r="745">
          <cell r="A745">
            <v>2018</v>
          </cell>
          <cell r="B745" t="str">
            <v>Budget</v>
          </cell>
          <cell r="C745" t="str">
            <v>Feb</v>
          </cell>
          <cell r="D745" t="str">
            <v>Kitchen</v>
          </cell>
          <cell r="E745">
            <v>365764.42699999997</v>
          </cell>
          <cell r="F745">
            <v>2</v>
          </cell>
        </row>
        <row r="746">
          <cell r="A746">
            <v>2018</v>
          </cell>
          <cell r="B746" t="str">
            <v>Actual</v>
          </cell>
          <cell r="C746" t="str">
            <v>Feb</v>
          </cell>
          <cell r="D746" t="str">
            <v>Chairs</v>
          </cell>
          <cell r="E746">
            <v>324991.41499999998</v>
          </cell>
          <cell r="F746">
            <v>2</v>
          </cell>
        </row>
        <row r="747">
          <cell r="A747">
            <v>2019</v>
          </cell>
          <cell r="B747" t="str">
            <v>Budget</v>
          </cell>
          <cell r="C747" t="str">
            <v>Feb</v>
          </cell>
          <cell r="D747" t="str">
            <v>Tables</v>
          </cell>
          <cell r="E747">
            <v>30049.746999999996</v>
          </cell>
          <cell r="F747">
            <v>2</v>
          </cell>
        </row>
        <row r="748">
          <cell r="A748">
            <v>2018</v>
          </cell>
          <cell r="B748" t="str">
            <v>Actual</v>
          </cell>
          <cell r="C748" t="str">
            <v>Feb</v>
          </cell>
          <cell r="D748" t="str">
            <v>Kitchen</v>
          </cell>
          <cell r="E748">
            <v>93415.846999999994</v>
          </cell>
          <cell r="F748">
            <v>2</v>
          </cell>
        </row>
        <row r="749">
          <cell r="A749">
            <v>2019</v>
          </cell>
          <cell r="B749" t="str">
            <v>Budget</v>
          </cell>
          <cell r="C749" t="str">
            <v>Feb</v>
          </cell>
          <cell r="D749" t="str">
            <v>Chairs</v>
          </cell>
          <cell r="E749">
            <v>311326.25299999997</v>
          </cell>
          <cell r="F749">
            <v>2</v>
          </cell>
        </row>
        <row r="750">
          <cell r="A750">
            <v>2019</v>
          </cell>
          <cell r="B750" t="str">
            <v>Actual</v>
          </cell>
          <cell r="C750" t="str">
            <v>Feb</v>
          </cell>
          <cell r="D750" t="str">
            <v>Tables</v>
          </cell>
          <cell r="E750">
            <v>327884.68299999996</v>
          </cell>
          <cell r="F750">
            <v>2</v>
          </cell>
        </row>
        <row r="751">
          <cell r="A751">
            <v>2018</v>
          </cell>
          <cell r="B751" t="str">
            <v>Budget</v>
          </cell>
          <cell r="C751" t="str">
            <v>Feb</v>
          </cell>
          <cell r="D751" t="str">
            <v>Kitchen</v>
          </cell>
          <cell r="E751">
            <v>49707.7</v>
          </cell>
          <cell r="F751">
            <v>2</v>
          </cell>
        </row>
        <row r="752">
          <cell r="A752">
            <v>2019</v>
          </cell>
          <cell r="B752" t="str">
            <v>Actual</v>
          </cell>
          <cell r="C752" t="str">
            <v>Feb</v>
          </cell>
          <cell r="D752" t="str">
            <v>Chairs</v>
          </cell>
          <cell r="E752">
            <v>145843.894</v>
          </cell>
          <cell r="F752">
            <v>2</v>
          </cell>
        </row>
        <row r="753">
          <cell r="A753">
            <v>2019</v>
          </cell>
          <cell r="B753" t="str">
            <v>Budget</v>
          </cell>
          <cell r="C753" t="str">
            <v>Feb</v>
          </cell>
          <cell r="D753" t="str">
            <v>Chairs</v>
          </cell>
          <cell r="E753">
            <v>192875.9</v>
          </cell>
          <cell r="F753">
            <v>2</v>
          </cell>
        </row>
        <row r="754">
          <cell r="A754">
            <v>2018</v>
          </cell>
          <cell r="B754" t="str">
            <v>Actual</v>
          </cell>
          <cell r="C754" t="str">
            <v>Feb</v>
          </cell>
          <cell r="D754" t="str">
            <v>Chairs</v>
          </cell>
          <cell r="E754">
            <v>192377.52799999996</v>
          </cell>
          <cell r="F754">
            <v>2</v>
          </cell>
        </row>
        <row r="755">
          <cell r="A755">
            <v>2018</v>
          </cell>
          <cell r="B755" t="str">
            <v>Budget</v>
          </cell>
          <cell r="C755" t="str">
            <v>Feb</v>
          </cell>
          <cell r="D755" t="str">
            <v>Chairs</v>
          </cell>
          <cell r="E755">
            <v>284884.67</v>
          </cell>
          <cell r="F755">
            <v>2</v>
          </cell>
        </row>
        <row r="756">
          <cell r="A756">
            <v>2018</v>
          </cell>
          <cell r="B756" t="str">
            <v>Actual</v>
          </cell>
          <cell r="C756" t="str">
            <v>Feb</v>
          </cell>
          <cell r="D756" t="str">
            <v>Chairs</v>
          </cell>
          <cell r="E756">
            <v>529032.04899999988</v>
          </cell>
          <cell r="F756">
            <v>2</v>
          </cell>
        </row>
        <row r="757">
          <cell r="A757">
            <v>2018</v>
          </cell>
          <cell r="B757" t="str">
            <v>Budget</v>
          </cell>
          <cell r="C757" t="str">
            <v>Feb</v>
          </cell>
          <cell r="D757" t="str">
            <v>Chairs</v>
          </cell>
          <cell r="E757">
            <v>230023.10099999997</v>
          </cell>
          <cell r="F757">
            <v>2</v>
          </cell>
        </row>
        <row r="758">
          <cell r="A758">
            <v>2019</v>
          </cell>
          <cell r="B758" t="str">
            <v>Actual</v>
          </cell>
          <cell r="C758" t="str">
            <v>Feb</v>
          </cell>
          <cell r="D758" t="str">
            <v>Chairs</v>
          </cell>
          <cell r="E758">
            <v>63190.12</v>
          </cell>
          <cell r="F758">
            <v>2</v>
          </cell>
        </row>
        <row r="759">
          <cell r="A759">
            <v>2019</v>
          </cell>
          <cell r="B759" t="str">
            <v>Budget</v>
          </cell>
          <cell r="C759" t="str">
            <v>Feb</v>
          </cell>
          <cell r="D759" t="str">
            <v>Chairs</v>
          </cell>
          <cell r="E759">
            <v>217025.12299999999</v>
          </cell>
          <cell r="F759">
            <v>2</v>
          </cell>
        </row>
        <row r="760">
          <cell r="A760">
            <v>2019</v>
          </cell>
          <cell r="B760" t="str">
            <v>Actual</v>
          </cell>
          <cell r="C760" t="str">
            <v>Feb</v>
          </cell>
          <cell r="D760" t="str">
            <v>Chairs</v>
          </cell>
          <cell r="E760">
            <v>5826.6459999999997</v>
          </cell>
          <cell r="F760">
            <v>2</v>
          </cell>
        </row>
        <row r="761">
          <cell r="A761">
            <v>2018</v>
          </cell>
          <cell r="B761" t="str">
            <v>Budget</v>
          </cell>
          <cell r="C761" t="str">
            <v>Feb</v>
          </cell>
          <cell r="D761" t="str">
            <v>Chairs</v>
          </cell>
          <cell r="E761">
            <v>29491.496999999996</v>
          </cell>
          <cell r="F761">
            <v>2</v>
          </cell>
        </row>
        <row r="762">
          <cell r="A762">
            <v>2018</v>
          </cell>
          <cell r="B762" t="str">
            <v>Actual</v>
          </cell>
          <cell r="C762" t="str">
            <v>Feb</v>
          </cell>
          <cell r="D762" t="str">
            <v>Chairs</v>
          </cell>
          <cell r="E762">
            <v>141761.228</v>
          </cell>
          <cell r="F762">
            <v>2</v>
          </cell>
        </row>
        <row r="763">
          <cell r="A763">
            <v>2018</v>
          </cell>
          <cell r="B763" t="str">
            <v>Budget</v>
          </cell>
          <cell r="C763" t="str">
            <v>Feb</v>
          </cell>
          <cell r="D763" t="str">
            <v>Chairs</v>
          </cell>
          <cell r="E763">
            <v>19589.149999999998</v>
          </cell>
          <cell r="F763">
            <v>2</v>
          </cell>
        </row>
        <row r="764">
          <cell r="A764">
            <v>2018</v>
          </cell>
          <cell r="B764" t="str">
            <v>Actual</v>
          </cell>
          <cell r="C764" t="str">
            <v>Feb</v>
          </cell>
          <cell r="D764" t="str">
            <v>Chairs</v>
          </cell>
          <cell r="E764">
            <v>17782.197999999997</v>
          </cell>
          <cell r="F764">
            <v>2</v>
          </cell>
        </row>
        <row r="765">
          <cell r="A765">
            <v>2018</v>
          </cell>
          <cell r="B765" t="str">
            <v>Budget</v>
          </cell>
          <cell r="C765" t="str">
            <v>Feb</v>
          </cell>
          <cell r="D765" t="str">
            <v>Chairs</v>
          </cell>
          <cell r="E765">
            <v>63470.308999999994</v>
          </cell>
          <cell r="F765">
            <v>2</v>
          </cell>
        </row>
        <row r="766">
          <cell r="A766">
            <v>2019</v>
          </cell>
          <cell r="B766" t="str">
            <v>Actual</v>
          </cell>
          <cell r="C766" t="str">
            <v>Feb</v>
          </cell>
          <cell r="D766" t="str">
            <v>Chairs</v>
          </cell>
          <cell r="E766">
            <v>51260.887999999992</v>
          </cell>
          <cell r="F766">
            <v>2</v>
          </cell>
        </row>
        <row r="767">
          <cell r="A767">
            <v>2019</v>
          </cell>
          <cell r="B767" t="str">
            <v>Budget</v>
          </cell>
          <cell r="C767" t="str">
            <v>Feb</v>
          </cell>
          <cell r="D767" t="str">
            <v>Chairs</v>
          </cell>
          <cell r="E767">
            <v>160442.63199999998</v>
          </cell>
          <cell r="F767">
            <v>2</v>
          </cell>
        </row>
        <row r="768">
          <cell r="A768">
            <v>2019</v>
          </cell>
          <cell r="B768" t="str">
            <v>Actual</v>
          </cell>
          <cell r="C768" t="str">
            <v>Feb</v>
          </cell>
          <cell r="D768" t="str">
            <v>Chairs</v>
          </cell>
          <cell r="E768">
            <v>432306.06299999997</v>
          </cell>
          <cell r="F768">
            <v>2</v>
          </cell>
        </row>
        <row r="769">
          <cell r="A769">
            <v>2019</v>
          </cell>
          <cell r="B769" t="str">
            <v>Budget</v>
          </cell>
          <cell r="C769" t="str">
            <v>Feb</v>
          </cell>
          <cell r="D769" t="str">
            <v>Chairs</v>
          </cell>
          <cell r="E769">
            <v>290315.739</v>
          </cell>
          <cell r="F769">
            <v>2</v>
          </cell>
        </row>
        <row r="770">
          <cell r="A770">
            <v>2019</v>
          </cell>
          <cell r="B770" t="str">
            <v>Actual</v>
          </cell>
          <cell r="C770" t="str">
            <v>Feb</v>
          </cell>
          <cell r="D770" t="str">
            <v>Chairs</v>
          </cell>
          <cell r="E770">
            <v>6081668.6139999991</v>
          </cell>
          <cell r="F770">
            <v>2</v>
          </cell>
        </row>
        <row r="771">
          <cell r="A771">
            <v>2019</v>
          </cell>
          <cell r="B771" t="str">
            <v>Budget</v>
          </cell>
          <cell r="C771" t="str">
            <v>Feb</v>
          </cell>
          <cell r="D771" t="str">
            <v>Chairs</v>
          </cell>
          <cell r="E771">
            <v>272605.81599999999</v>
          </cell>
          <cell r="F771">
            <v>2</v>
          </cell>
        </row>
        <row r="772">
          <cell r="A772">
            <v>2018</v>
          </cell>
          <cell r="B772" t="str">
            <v>Actual</v>
          </cell>
          <cell r="C772" t="str">
            <v>Feb</v>
          </cell>
          <cell r="D772" t="str">
            <v>Chairs</v>
          </cell>
          <cell r="E772">
            <v>7087718.3789999997</v>
          </cell>
          <cell r="F772">
            <v>2</v>
          </cell>
        </row>
        <row r="773">
          <cell r="A773">
            <v>2018</v>
          </cell>
          <cell r="B773" t="str">
            <v>Budget</v>
          </cell>
          <cell r="C773" t="str">
            <v>Feb</v>
          </cell>
          <cell r="D773" t="str">
            <v>Chairs</v>
          </cell>
          <cell r="E773">
            <v>541050.17399999988</v>
          </cell>
          <cell r="F773">
            <v>2</v>
          </cell>
        </row>
        <row r="774">
          <cell r="A774">
            <v>2019</v>
          </cell>
          <cell r="B774" t="str">
            <v>Actual</v>
          </cell>
          <cell r="C774" t="str">
            <v>Feb</v>
          </cell>
          <cell r="D774" t="str">
            <v>Chairs</v>
          </cell>
          <cell r="E774">
            <v>319744.09600000002</v>
          </cell>
          <cell r="F774">
            <v>2</v>
          </cell>
        </row>
        <row r="775">
          <cell r="A775">
            <v>2019</v>
          </cell>
          <cell r="B775" t="str">
            <v>Budget</v>
          </cell>
          <cell r="C775" t="str">
            <v>Feb</v>
          </cell>
          <cell r="D775" t="str">
            <v>Chairs</v>
          </cell>
          <cell r="E775">
            <v>1810973.9339999999</v>
          </cell>
          <cell r="F775">
            <v>2</v>
          </cell>
        </row>
        <row r="776">
          <cell r="A776">
            <v>2019</v>
          </cell>
          <cell r="B776" t="str">
            <v>Actual</v>
          </cell>
          <cell r="C776" t="str">
            <v>Feb</v>
          </cell>
          <cell r="D776" t="str">
            <v>Chairs</v>
          </cell>
          <cell r="E776">
            <v>448360.962</v>
          </cell>
          <cell r="F776">
            <v>2</v>
          </cell>
        </row>
        <row r="777">
          <cell r="A777">
            <v>2019</v>
          </cell>
          <cell r="B777" t="str">
            <v>Budget</v>
          </cell>
          <cell r="C777" t="str">
            <v>Feb</v>
          </cell>
          <cell r="D777" t="str">
            <v>Chairs</v>
          </cell>
          <cell r="E777">
            <v>75557.054999999993</v>
          </cell>
          <cell r="F777">
            <v>2</v>
          </cell>
        </row>
        <row r="778">
          <cell r="A778">
            <v>2018</v>
          </cell>
          <cell r="B778" t="str">
            <v>Actual</v>
          </cell>
          <cell r="C778" t="str">
            <v>Feb</v>
          </cell>
          <cell r="D778" t="str">
            <v>Tables</v>
          </cell>
          <cell r="E778">
            <v>185762.682</v>
          </cell>
          <cell r="F778">
            <v>2</v>
          </cell>
        </row>
        <row r="779">
          <cell r="A779">
            <v>2019</v>
          </cell>
          <cell r="B779" t="str">
            <v>Budget</v>
          </cell>
          <cell r="C779" t="str">
            <v>Feb</v>
          </cell>
          <cell r="D779" t="str">
            <v>Kitchen</v>
          </cell>
          <cell r="E779">
            <v>14918143.778999997</v>
          </cell>
          <cell r="F779">
            <v>2</v>
          </cell>
        </row>
        <row r="780">
          <cell r="A780">
            <v>2018</v>
          </cell>
          <cell r="B780" t="str">
            <v>Actual</v>
          </cell>
          <cell r="C780" t="str">
            <v>Feb</v>
          </cell>
          <cell r="D780" t="str">
            <v>Chairs</v>
          </cell>
          <cell r="E780">
            <v>2570897.8819999998</v>
          </cell>
          <cell r="F780">
            <v>2</v>
          </cell>
        </row>
        <row r="781">
          <cell r="A781">
            <v>2019</v>
          </cell>
          <cell r="B781" t="str">
            <v>Budget</v>
          </cell>
          <cell r="C781" t="str">
            <v>Feb</v>
          </cell>
          <cell r="D781" t="str">
            <v>Chairs</v>
          </cell>
          <cell r="E781">
            <v>160790.84699999998</v>
          </cell>
          <cell r="F781">
            <v>2</v>
          </cell>
        </row>
        <row r="782">
          <cell r="A782">
            <v>2018</v>
          </cell>
          <cell r="B782" t="str">
            <v>Actual</v>
          </cell>
          <cell r="C782" t="str">
            <v>Feb</v>
          </cell>
          <cell r="D782" t="str">
            <v>Chairs</v>
          </cell>
          <cell r="E782">
            <v>540685.37600000005</v>
          </cell>
          <cell r="F782">
            <v>2</v>
          </cell>
        </row>
        <row r="783">
          <cell r="A783">
            <v>2018</v>
          </cell>
          <cell r="B783" t="str">
            <v>Budget</v>
          </cell>
          <cell r="C783" t="str">
            <v>Feb</v>
          </cell>
          <cell r="D783" t="str">
            <v>Chairs</v>
          </cell>
          <cell r="E783">
            <v>146759.788</v>
          </cell>
          <cell r="F783">
            <v>2</v>
          </cell>
        </row>
        <row r="784">
          <cell r="A784">
            <v>2018</v>
          </cell>
          <cell r="B784" t="str">
            <v>Actual</v>
          </cell>
          <cell r="C784" t="str">
            <v>Feb</v>
          </cell>
          <cell r="D784" t="str">
            <v>Chairs</v>
          </cell>
          <cell r="E784">
            <v>253951.57899999997</v>
          </cell>
          <cell r="F784">
            <v>2</v>
          </cell>
        </row>
        <row r="785">
          <cell r="A785">
            <v>2019</v>
          </cell>
          <cell r="B785" t="str">
            <v>Budget</v>
          </cell>
          <cell r="C785" t="str">
            <v>Feb</v>
          </cell>
          <cell r="D785" t="str">
            <v>Tables</v>
          </cell>
          <cell r="E785">
            <v>1189470.8840000001</v>
          </cell>
          <cell r="F785">
            <v>2</v>
          </cell>
        </row>
        <row r="786">
          <cell r="A786">
            <v>2018</v>
          </cell>
          <cell r="B786" t="str">
            <v>Actual</v>
          </cell>
          <cell r="C786" t="str">
            <v>Feb</v>
          </cell>
          <cell r="D786" t="str">
            <v>Kitchen</v>
          </cell>
          <cell r="E786">
            <v>286974.97499999998</v>
          </cell>
          <cell r="F786">
            <v>2</v>
          </cell>
        </row>
        <row r="787">
          <cell r="A787">
            <v>2018</v>
          </cell>
          <cell r="B787" t="str">
            <v>Budget</v>
          </cell>
          <cell r="C787" t="str">
            <v>Feb</v>
          </cell>
          <cell r="D787" t="str">
            <v>Chairs</v>
          </cell>
          <cell r="E787">
            <v>151868.07999999999</v>
          </cell>
          <cell r="F787">
            <v>2</v>
          </cell>
        </row>
        <row r="788">
          <cell r="A788">
            <v>2019</v>
          </cell>
          <cell r="B788" t="str">
            <v>Actual</v>
          </cell>
          <cell r="C788" t="str">
            <v>Feb</v>
          </cell>
          <cell r="D788" t="str">
            <v>Chairs</v>
          </cell>
          <cell r="E788">
            <v>-941.29</v>
          </cell>
          <cell r="F788">
            <v>2</v>
          </cell>
        </row>
        <row r="789">
          <cell r="A789">
            <v>2018</v>
          </cell>
          <cell r="B789" t="str">
            <v>Budget</v>
          </cell>
          <cell r="C789" t="str">
            <v>Feb</v>
          </cell>
          <cell r="D789" t="str">
            <v>Chairs</v>
          </cell>
          <cell r="E789">
            <v>4533635.7989999996</v>
          </cell>
          <cell r="F789">
            <v>2</v>
          </cell>
        </row>
        <row r="790">
          <cell r="A790">
            <v>2018</v>
          </cell>
          <cell r="B790" t="str">
            <v>Actual</v>
          </cell>
          <cell r="C790" t="str">
            <v>Feb</v>
          </cell>
          <cell r="D790" t="str">
            <v>Tables</v>
          </cell>
          <cell r="E790">
            <v>1247951.8589999999</v>
          </cell>
          <cell r="F790">
            <v>2</v>
          </cell>
        </row>
        <row r="791">
          <cell r="A791">
            <v>2019</v>
          </cell>
          <cell r="B791" t="str">
            <v>Budget</v>
          </cell>
          <cell r="C791" t="str">
            <v>Feb</v>
          </cell>
          <cell r="D791" t="str">
            <v>Kitchen</v>
          </cell>
          <cell r="E791">
            <v>519861.08299999993</v>
          </cell>
          <cell r="F791">
            <v>2</v>
          </cell>
        </row>
        <row r="792">
          <cell r="A792">
            <v>2019</v>
          </cell>
          <cell r="B792" t="str">
            <v>Actual</v>
          </cell>
          <cell r="C792" t="str">
            <v>Feb</v>
          </cell>
          <cell r="D792" t="str">
            <v>Chairs</v>
          </cell>
          <cell r="E792">
            <v>300890.21899999998</v>
          </cell>
          <cell r="F792">
            <v>2</v>
          </cell>
        </row>
        <row r="793">
          <cell r="A793">
            <v>2019</v>
          </cell>
          <cell r="B793" t="str">
            <v>Budget</v>
          </cell>
          <cell r="C793" t="str">
            <v>Feb</v>
          </cell>
          <cell r="D793" t="str">
            <v>Chairs</v>
          </cell>
          <cell r="E793">
            <v>-6269.5989999999993</v>
          </cell>
          <cell r="F793">
            <v>2</v>
          </cell>
        </row>
        <row r="794">
          <cell r="A794">
            <v>2019</v>
          </cell>
          <cell r="B794" t="str">
            <v>Actual</v>
          </cell>
          <cell r="C794" t="str">
            <v>Feb</v>
          </cell>
          <cell r="D794" t="str">
            <v>Tables</v>
          </cell>
          <cell r="E794">
            <v>528803.06499999994</v>
          </cell>
          <cell r="F794">
            <v>2</v>
          </cell>
        </row>
        <row r="795">
          <cell r="A795">
            <v>2019</v>
          </cell>
          <cell r="B795" t="str">
            <v>Budget</v>
          </cell>
          <cell r="C795" t="str">
            <v>Feb</v>
          </cell>
          <cell r="D795" t="str">
            <v>Kitchen</v>
          </cell>
          <cell r="E795">
            <v>-9999.5280000000002</v>
          </cell>
          <cell r="F795">
            <v>2</v>
          </cell>
        </row>
        <row r="796">
          <cell r="A796">
            <v>2018</v>
          </cell>
          <cell r="B796" t="str">
            <v>Actual</v>
          </cell>
          <cell r="C796" t="str">
            <v>Feb</v>
          </cell>
          <cell r="D796" t="str">
            <v>Chairs</v>
          </cell>
          <cell r="E796">
            <v>224179.56400000001</v>
          </cell>
          <cell r="F796">
            <v>2</v>
          </cell>
        </row>
        <row r="797">
          <cell r="A797">
            <v>2018</v>
          </cell>
          <cell r="B797" t="str">
            <v>Budget</v>
          </cell>
          <cell r="C797" t="str">
            <v>Feb</v>
          </cell>
          <cell r="D797" t="str">
            <v>Chairs</v>
          </cell>
          <cell r="E797">
            <v>33573.616999999998</v>
          </cell>
          <cell r="F797">
            <v>2</v>
          </cell>
        </row>
        <row r="798">
          <cell r="A798">
            <v>2018</v>
          </cell>
          <cell r="B798" t="str">
            <v>Actual</v>
          </cell>
          <cell r="C798" t="str">
            <v>Feb</v>
          </cell>
          <cell r="D798" t="str">
            <v>Chairs</v>
          </cell>
          <cell r="E798">
            <v>258617.32399999999</v>
          </cell>
          <cell r="F798">
            <v>2</v>
          </cell>
        </row>
        <row r="799">
          <cell r="A799">
            <v>2018</v>
          </cell>
          <cell r="B799" t="str">
            <v>Budget</v>
          </cell>
          <cell r="C799" t="str">
            <v>Feb</v>
          </cell>
          <cell r="D799" t="str">
            <v>Tables</v>
          </cell>
          <cell r="E799">
            <v>16654.96</v>
          </cell>
          <cell r="F799">
            <v>2</v>
          </cell>
        </row>
        <row r="800">
          <cell r="A800">
            <v>2019</v>
          </cell>
          <cell r="B800" t="str">
            <v>Actual</v>
          </cell>
          <cell r="C800" t="str">
            <v>Feb</v>
          </cell>
          <cell r="D800" t="str">
            <v>Kitchen</v>
          </cell>
          <cell r="E800">
            <v>2079929.4040000001</v>
          </cell>
          <cell r="F800">
            <v>2</v>
          </cell>
        </row>
        <row r="801">
          <cell r="A801">
            <v>2018</v>
          </cell>
          <cell r="B801" t="str">
            <v>Budget</v>
          </cell>
          <cell r="C801" t="str">
            <v>Feb</v>
          </cell>
          <cell r="D801" t="str">
            <v>Accessories</v>
          </cell>
          <cell r="E801">
            <v>293630.75699999998</v>
          </cell>
          <cell r="F801">
            <v>2</v>
          </cell>
        </row>
        <row r="802">
          <cell r="A802">
            <v>2018</v>
          </cell>
          <cell r="B802" t="str">
            <v>Actual</v>
          </cell>
          <cell r="C802" t="str">
            <v>Feb</v>
          </cell>
          <cell r="D802" t="str">
            <v>Chairs</v>
          </cell>
          <cell r="E802">
            <v>869812.125</v>
          </cell>
          <cell r="F802">
            <v>2</v>
          </cell>
        </row>
        <row r="803">
          <cell r="A803">
            <v>2018</v>
          </cell>
          <cell r="B803" t="str">
            <v>Budget</v>
          </cell>
          <cell r="C803" t="str">
            <v>Feb</v>
          </cell>
          <cell r="D803" t="str">
            <v>Tables</v>
          </cell>
          <cell r="E803">
            <v>601387.02399999998</v>
          </cell>
          <cell r="F803">
            <v>2</v>
          </cell>
        </row>
        <row r="804">
          <cell r="A804">
            <v>2018</v>
          </cell>
          <cell r="B804" t="str">
            <v>Actual</v>
          </cell>
          <cell r="C804" t="str">
            <v>Feb</v>
          </cell>
          <cell r="D804" t="str">
            <v>Kitchen</v>
          </cell>
          <cell r="E804">
            <v>1315126.8829999999</v>
          </cell>
          <cell r="F804">
            <v>2</v>
          </cell>
        </row>
        <row r="805">
          <cell r="A805">
            <v>2019</v>
          </cell>
          <cell r="B805" t="str">
            <v>Budget</v>
          </cell>
          <cell r="C805" t="str">
            <v>Feb</v>
          </cell>
          <cell r="D805" t="str">
            <v>Accessories</v>
          </cell>
          <cell r="E805">
            <v>390104.15499999997</v>
          </cell>
          <cell r="F805">
            <v>2</v>
          </cell>
        </row>
        <row r="806">
          <cell r="A806">
            <v>2019</v>
          </cell>
          <cell r="B806" t="str">
            <v>Actual</v>
          </cell>
          <cell r="C806" t="str">
            <v>Feb</v>
          </cell>
          <cell r="D806" t="str">
            <v>Chairs</v>
          </cell>
          <cell r="E806">
            <v>201999.06999999998</v>
          </cell>
          <cell r="F806">
            <v>2</v>
          </cell>
        </row>
        <row r="807">
          <cell r="A807">
            <v>2018</v>
          </cell>
          <cell r="B807" t="str">
            <v>Budget</v>
          </cell>
          <cell r="C807" t="str">
            <v>Feb</v>
          </cell>
          <cell r="D807" t="str">
            <v>Tables</v>
          </cell>
          <cell r="E807">
            <v>57061.458999999995</v>
          </cell>
          <cell r="F807">
            <v>2</v>
          </cell>
        </row>
        <row r="808">
          <cell r="A808">
            <v>2018</v>
          </cell>
          <cell r="B808" t="str">
            <v>Actual</v>
          </cell>
          <cell r="C808" t="str">
            <v>Feb</v>
          </cell>
          <cell r="D808" t="str">
            <v>Kitchen</v>
          </cell>
          <cell r="E808">
            <v>124325.36900000001</v>
          </cell>
          <cell r="F808">
            <v>2</v>
          </cell>
        </row>
        <row r="809">
          <cell r="A809">
            <v>2019</v>
          </cell>
          <cell r="B809" t="str">
            <v>Budget</v>
          </cell>
          <cell r="C809" t="str">
            <v>Feb</v>
          </cell>
          <cell r="D809" t="str">
            <v>Accessories</v>
          </cell>
          <cell r="E809">
            <v>37262.665999999997</v>
          </cell>
          <cell r="F809">
            <v>2</v>
          </cell>
        </row>
        <row r="810">
          <cell r="A810">
            <v>2019</v>
          </cell>
          <cell r="B810" t="str">
            <v>Actual</v>
          </cell>
          <cell r="C810" t="str">
            <v>Feb</v>
          </cell>
          <cell r="D810" t="str">
            <v>Chairs</v>
          </cell>
          <cell r="E810">
            <v>26357.681</v>
          </cell>
          <cell r="F810">
            <v>2</v>
          </cell>
        </row>
        <row r="811">
          <cell r="A811">
            <v>2018</v>
          </cell>
          <cell r="B811" t="str">
            <v>Budget</v>
          </cell>
          <cell r="C811" t="str">
            <v>Feb</v>
          </cell>
          <cell r="D811" t="str">
            <v>Tables</v>
          </cell>
          <cell r="E811">
            <v>428678.22899999993</v>
          </cell>
          <cell r="F811">
            <v>2</v>
          </cell>
        </row>
        <row r="812">
          <cell r="A812">
            <v>2018</v>
          </cell>
          <cell r="B812" t="str">
            <v>Actual</v>
          </cell>
          <cell r="C812" t="str">
            <v>Feb</v>
          </cell>
          <cell r="D812" t="str">
            <v>Kitchen</v>
          </cell>
          <cell r="E812">
            <v>29251.515999999996</v>
          </cell>
          <cell r="F812">
            <v>2</v>
          </cell>
        </row>
        <row r="813">
          <cell r="A813">
            <v>2019</v>
          </cell>
          <cell r="B813" t="str">
            <v>Budget</v>
          </cell>
          <cell r="C813" t="str">
            <v>Feb</v>
          </cell>
          <cell r="D813" t="str">
            <v>Accessories</v>
          </cell>
          <cell r="E813">
            <v>116586.15499999998</v>
          </cell>
          <cell r="F813">
            <v>2</v>
          </cell>
        </row>
        <row r="814">
          <cell r="A814">
            <v>2019</v>
          </cell>
          <cell r="B814" t="str">
            <v>Actual</v>
          </cell>
          <cell r="C814" t="str">
            <v>Feb</v>
          </cell>
          <cell r="D814" t="str">
            <v>Chairs</v>
          </cell>
          <cell r="E814">
            <v>185653.21599999999</v>
          </cell>
          <cell r="F814">
            <v>2</v>
          </cell>
        </row>
        <row r="815">
          <cell r="A815">
            <v>2019</v>
          </cell>
          <cell r="B815" t="str">
            <v>Budget</v>
          </cell>
          <cell r="C815" t="str">
            <v>Feb</v>
          </cell>
          <cell r="D815" t="str">
            <v>Chairs</v>
          </cell>
          <cell r="E815">
            <v>55883.778999999995</v>
          </cell>
          <cell r="F815">
            <v>2</v>
          </cell>
        </row>
        <row r="816">
          <cell r="A816">
            <v>2019</v>
          </cell>
          <cell r="B816" t="str">
            <v>Actual</v>
          </cell>
          <cell r="C816" t="str">
            <v>Feb</v>
          </cell>
          <cell r="D816" t="str">
            <v>Tables</v>
          </cell>
          <cell r="E816">
            <v>389431.77699999994</v>
          </cell>
          <cell r="F816">
            <v>2</v>
          </cell>
        </row>
        <row r="817">
          <cell r="A817">
            <v>2018</v>
          </cell>
          <cell r="B817" t="str">
            <v>Budget</v>
          </cell>
          <cell r="C817" t="str">
            <v>Feb</v>
          </cell>
          <cell r="D817" t="str">
            <v>Kitchen</v>
          </cell>
          <cell r="E817">
            <v>74147.842999999993</v>
          </cell>
          <cell r="F817">
            <v>2</v>
          </cell>
        </row>
        <row r="818">
          <cell r="A818">
            <v>2019</v>
          </cell>
          <cell r="B818" t="str">
            <v>Actual</v>
          </cell>
          <cell r="C818" t="str">
            <v>Feb</v>
          </cell>
          <cell r="D818" t="str">
            <v>Chairs</v>
          </cell>
          <cell r="E818">
            <v>316374.02299999999</v>
          </cell>
          <cell r="F818">
            <v>2</v>
          </cell>
        </row>
        <row r="819">
          <cell r="A819">
            <v>2019</v>
          </cell>
          <cell r="B819" t="str">
            <v>Budget</v>
          </cell>
          <cell r="C819" t="str">
            <v>Feb</v>
          </cell>
          <cell r="D819" t="str">
            <v>Tables</v>
          </cell>
          <cell r="E819">
            <v>11348.47</v>
          </cell>
          <cell r="F819">
            <v>2</v>
          </cell>
        </row>
        <row r="820">
          <cell r="A820">
            <v>2018</v>
          </cell>
          <cell r="B820" t="str">
            <v>Actual</v>
          </cell>
          <cell r="C820" t="str">
            <v>Feb</v>
          </cell>
          <cell r="D820" t="str">
            <v>Kitchen</v>
          </cell>
          <cell r="E820">
            <v>812222.67700000003</v>
          </cell>
          <cell r="F820">
            <v>2</v>
          </cell>
        </row>
        <row r="821">
          <cell r="A821">
            <v>2019</v>
          </cell>
          <cell r="B821" t="str">
            <v>Budget</v>
          </cell>
          <cell r="C821" t="str">
            <v>Feb</v>
          </cell>
          <cell r="D821" t="str">
            <v>Chairs</v>
          </cell>
          <cell r="E821">
            <v>567508.97699999996</v>
          </cell>
          <cell r="F821">
            <v>2</v>
          </cell>
        </row>
        <row r="822">
          <cell r="A822">
            <v>2018</v>
          </cell>
          <cell r="B822" t="str">
            <v>Actual</v>
          </cell>
          <cell r="C822" t="str">
            <v>Feb</v>
          </cell>
          <cell r="D822" t="str">
            <v>Tables</v>
          </cell>
          <cell r="E822">
            <v>38731.741999999998</v>
          </cell>
          <cell r="F822">
            <v>2</v>
          </cell>
        </row>
        <row r="823">
          <cell r="A823">
            <v>2019</v>
          </cell>
          <cell r="B823" t="str">
            <v>Budget</v>
          </cell>
          <cell r="C823" t="str">
            <v>Feb</v>
          </cell>
          <cell r="D823" t="str">
            <v>Kitchen</v>
          </cell>
          <cell r="E823">
            <v>81891.312999999995</v>
          </cell>
          <cell r="F823">
            <v>2</v>
          </cell>
        </row>
        <row r="824">
          <cell r="A824">
            <v>2019</v>
          </cell>
          <cell r="B824" t="str">
            <v>Actual</v>
          </cell>
          <cell r="C824" t="str">
            <v>Feb</v>
          </cell>
          <cell r="D824" t="str">
            <v>Chairs</v>
          </cell>
          <cell r="E824">
            <v>39872.161</v>
          </cell>
          <cell r="F824">
            <v>2</v>
          </cell>
        </row>
        <row r="825">
          <cell r="A825">
            <v>2018</v>
          </cell>
          <cell r="B825" t="str">
            <v>Budget</v>
          </cell>
          <cell r="C825" t="str">
            <v>Feb</v>
          </cell>
          <cell r="D825" t="str">
            <v>Chairs</v>
          </cell>
          <cell r="E825">
            <v>185188.33199999999</v>
          </cell>
          <cell r="F825">
            <v>2</v>
          </cell>
        </row>
        <row r="826">
          <cell r="A826">
            <v>2018</v>
          </cell>
          <cell r="B826" t="str">
            <v>Actual</v>
          </cell>
          <cell r="C826" t="str">
            <v>Feb</v>
          </cell>
          <cell r="D826" t="str">
            <v>Chairs</v>
          </cell>
          <cell r="E826">
            <v>323010.60399999993</v>
          </cell>
          <cell r="F826">
            <v>2</v>
          </cell>
        </row>
        <row r="827">
          <cell r="A827">
            <v>2019</v>
          </cell>
          <cell r="B827" t="str">
            <v>Budget</v>
          </cell>
          <cell r="C827" t="str">
            <v>Feb</v>
          </cell>
          <cell r="D827" t="str">
            <v>Chairs</v>
          </cell>
          <cell r="E827">
            <v>34762.483</v>
          </cell>
          <cell r="F827">
            <v>2</v>
          </cell>
        </row>
        <row r="828">
          <cell r="A828">
            <v>2018</v>
          </cell>
          <cell r="B828" t="str">
            <v>Actual</v>
          </cell>
          <cell r="C828" t="str">
            <v>Feb</v>
          </cell>
          <cell r="D828" t="str">
            <v>Chairs</v>
          </cell>
          <cell r="E828">
            <v>1424749.1089999999</v>
          </cell>
          <cell r="F828">
            <v>2</v>
          </cell>
        </row>
        <row r="829">
          <cell r="A829">
            <v>2019</v>
          </cell>
          <cell r="B829" t="str">
            <v>Budget</v>
          </cell>
          <cell r="C829" t="str">
            <v>Feb</v>
          </cell>
          <cell r="D829" t="str">
            <v>Chairs</v>
          </cell>
          <cell r="E829">
            <v>353553.79499999998</v>
          </cell>
          <cell r="F829">
            <v>2</v>
          </cell>
        </row>
        <row r="830">
          <cell r="A830">
            <v>2019</v>
          </cell>
          <cell r="B830" t="str">
            <v>Actual</v>
          </cell>
          <cell r="C830" t="str">
            <v>Feb</v>
          </cell>
          <cell r="D830" t="str">
            <v>Chairs</v>
          </cell>
          <cell r="E830">
            <v>7992.186999999999</v>
          </cell>
          <cell r="F830">
            <v>2</v>
          </cell>
        </row>
        <row r="831">
          <cell r="A831">
            <v>2018</v>
          </cell>
          <cell r="B831" t="str">
            <v>Budget</v>
          </cell>
          <cell r="C831" t="str">
            <v>Feb</v>
          </cell>
          <cell r="D831" t="str">
            <v>Chairs</v>
          </cell>
          <cell r="E831">
            <v>1885.8419999999999</v>
          </cell>
          <cell r="F831">
            <v>2</v>
          </cell>
        </row>
        <row r="832">
          <cell r="A832">
            <v>2019</v>
          </cell>
          <cell r="B832" t="str">
            <v>Actual</v>
          </cell>
          <cell r="C832" t="str">
            <v>Feb</v>
          </cell>
          <cell r="D832" t="str">
            <v>Chairs</v>
          </cell>
          <cell r="E832">
            <v>7209.5939999999991</v>
          </cell>
          <cell r="F832">
            <v>2</v>
          </cell>
        </row>
        <row r="833">
          <cell r="A833">
            <v>2018</v>
          </cell>
          <cell r="B833" t="str">
            <v>Budget</v>
          </cell>
          <cell r="C833" t="str">
            <v>Feb</v>
          </cell>
          <cell r="D833" t="str">
            <v>Chairs</v>
          </cell>
          <cell r="E833">
            <v>18215.483999999997</v>
          </cell>
          <cell r="F833">
            <v>2</v>
          </cell>
        </row>
        <row r="834">
          <cell r="A834">
            <v>2018</v>
          </cell>
          <cell r="B834" t="str">
            <v>Actual</v>
          </cell>
          <cell r="C834" t="str">
            <v>Feb</v>
          </cell>
          <cell r="D834" t="str">
            <v>Chairs</v>
          </cell>
          <cell r="E834">
            <v>74381.376999999993</v>
          </cell>
          <cell r="F834">
            <v>2</v>
          </cell>
        </row>
        <row r="835">
          <cell r="A835">
            <v>2018</v>
          </cell>
          <cell r="B835" t="str">
            <v>Budget</v>
          </cell>
          <cell r="C835" t="str">
            <v>Feb</v>
          </cell>
          <cell r="D835" t="str">
            <v>Chairs</v>
          </cell>
          <cell r="E835">
            <v>14778.357999999998</v>
          </cell>
          <cell r="F835">
            <v>2</v>
          </cell>
        </row>
        <row r="836">
          <cell r="A836">
            <v>2019</v>
          </cell>
          <cell r="B836" t="str">
            <v>Actual</v>
          </cell>
          <cell r="C836" t="str">
            <v>Feb</v>
          </cell>
          <cell r="D836" t="str">
            <v>Chairs</v>
          </cell>
          <cell r="E836">
            <v>245650.42599999998</v>
          </cell>
          <cell r="F836">
            <v>2</v>
          </cell>
        </row>
        <row r="837">
          <cell r="A837">
            <v>2018</v>
          </cell>
          <cell r="B837" t="str">
            <v>Budget</v>
          </cell>
          <cell r="C837" t="str">
            <v>Feb</v>
          </cell>
          <cell r="D837" t="str">
            <v>Chairs</v>
          </cell>
          <cell r="E837">
            <v>229835.38199999998</v>
          </cell>
          <cell r="F837">
            <v>2</v>
          </cell>
        </row>
        <row r="838">
          <cell r="A838">
            <v>2018</v>
          </cell>
          <cell r="B838" t="str">
            <v>Actual</v>
          </cell>
          <cell r="C838" t="str">
            <v>Feb</v>
          </cell>
          <cell r="D838" t="str">
            <v>Chairs</v>
          </cell>
          <cell r="E838">
            <v>540299.73199999996</v>
          </cell>
          <cell r="F838">
            <v>2</v>
          </cell>
        </row>
        <row r="839">
          <cell r="A839">
            <v>2019</v>
          </cell>
          <cell r="B839" t="str">
            <v>Budget</v>
          </cell>
          <cell r="C839" t="str">
            <v>Feb</v>
          </cell>
          <cell r="D839" t="str">
            <v>Chairs</v>
          </cell>
          <cell r="E839">
            <v>498709.24599999998</v>
          </cell>
          <cell r="F839">
            <v>2</v>
          </cell>
        </row>
        <row r="840">
          <cell r="A840">
            <v>2019</v>
          </cell>
          <cell r="B840" t="str">
            <v>Actual</v>
          </cell>
          <cell r="C840" t="str">
            <v>Feb</v>
          </cell>
          <cell r="D840" t="str">
            <v>Chairs</v>
          </cell>
          <cell r="E840">
            <v>638668.89099999995</v>
          </cell>
          <cell r="F840">
            <v>2</v>
          </cell>
        </row>
        <row r="841">
          <cell r="A841">
            <v>2019</v>
          </cell>
          <cell r="B841" t="str">
            <v>Budget</v>
          </cell>
          <cell r="C841" t="str">
            <v>Feb</v>
          </cell>
          <cell r="D841" t="str">
            <v>Chairs</v>
          </cell>
          <cell r="E841">
            <v>221625.992</v>
          </cell>
          <cell r="F841">
            <v>2</v>
          </cell>
        </row>
        <row r="842">
          <cell r="A842">
            <v>2018</v>
          </cell>
          <cell r="B842" t="str">
            <v>Actual</v>
          </cell>
          <cell r="C842" t="str">
            <v>Feb</v>
          </cell>
          <cell r="D842" t="str">
            <v>Chairs</v>
          </cell>
          <cell r="E842">
            <v>344622.06099999999</v>
          </cell>
          <cell r="F842">
            <v>2</v>
          </cell>
        </row>
        <row r="843">
          <cell r="A843">
            <v>2018</v>
          </cell>
          <cell r="B843" t="str">
            <v>Budget</v>
          </cell>
          <cell r="C843" t="str">
            <v>Feb</v>
          </cell>
          <cell r="D843" t="str">
            <v>Chairs</v>
          </cell>
          <cell r="E843">
            <v>25696.341999999997</v>
          </cell>
          <cell r="F843">
            <v>2</v>
          </cell>
        </row>
        <row r="844">
          <cell r="A844">
            <v>2018</v>
          </cell>
          <cell r="B844" t="str">
            <v>Actual</v>
          </cell>
          <cell r="C844" t="str">
            <v>Feb</v>
          </cell>
          <cell r="D844" t="str">
            <v>Chairs</v>
          </cell>
          <cell r="E844">
            <v>4207.7349999999997</v>
          </cell>
          <cell r="F844">
            <v>2</v>
          </cell>
        </row>
        <row r="845">
          <cell r="A845">
            <v>2018</v>
          </cell>
          <cell r="B845" t="str">
            <v>Budget</v>
          </cell>
          <cell r="C845" t="str">
            <v>Feb</v>
          </cell>
          <cell r="D845" t="str">
            <v>Chairs</v>
          </cell>
          <cell r="E845">
            <v>114398.22099999999</v>
          </cell>
          <cell r="F845">
            <v>2</v>
          </cell>
        </row>
        <row r="846">
          <cell r="A846">
            <v>2019</v>
          </cell>
          <cell r="B846" t="str">
            <v>Actual</v>
          </cell>
          <cell r="C846" t="str">
            <v>Feb</v>
          </cell>
          <cell r="D846" t="str">
            <v>Chairs</v>
          </cell>
          <cell r="E846">
            <v>963980.75199999998</v>
          </cell>
          <cell r="F846">
            <v>2</v>
          </cell>
        </row>
        <row r="847">
          <cell r="A847">
            <v>2018</v>
          </cell>
          <cell r="B847" t="str">
            <v>Budget</v>
          </cell>
          <cell r="C847" t="str">
            <v>Feb</v>
          </cell>
          <cell r="D847" t="str">
            <v>Chairs</v>
          </cell>
          <cell r="E847">
            <v>171883.117</v>
          </cell>
          <cell r="F847">
            <v>2</v>
          </cell>
        </row>
        <row r="848">
          <cell r="A848">
            <v>2018</v>
          </cell>
          <cell r="B848" t="str">
            <v>Actual</v>
          </cell>
          <cell r="C848" t="str">
            <v>Feb</v>
          </cell>
          <cell r="D848" t="str">
            <v>Chairs</v>
          </cell>
          <cell r="E848">
            <v>241970.288</v>
          </cell>
          <cell r="F848">
            <v>2</v>
          </cell>
        </row>
        <row r="849">
          <cell r="A849">
            <v>2018</v>
          </cell>
          <cell r="B849" t="str">
            <v>Budget</v>
          </cell>
          <cell r="C849" t="str">
            <v>Feb</v>
          </cell>
          <cell r="D849" t="str">
            <v>Chairs</v>
          </cell>
          <cell r="E849">
            <v>715969.02299999993</v>
          </cell>
          <cell r="F849">
            <v>2</v>
          </cell>
        </row>
        <row r="850">
          <cell r="A850">
            <v>2018</v>
          </cell>
          <cell r="B850" t="str">
            <v>Actual</v>
          </cell>
          <cell r="C850" t="str">
            <v>Feb</v>
          </cell>
          <cell r="D850" t="str">
            <v>Tables</v>
          </cell>
          <cell r="E850">
            <v>1725920.8260000001</v>
          </cell>
          <cell r="F850">
            <v>2</v>
          </cell>
        </row>
        <row r="851">
          <cell r="A851">
            <v>2018</v>
          </cell>
          <cell r="B851" t="str">
            <v>Budget</v>
          </cell>
          <cell r="C851" t="str">
            <v>Feb</v>
          </cell>
          <cell r="D851" t="str">
            <v>Kitchen</v>
          </cell>
          <cell r="E851">
            <v>329586.64899999998</v>
          </cell>
          <cell r="F851">
            <v>2</v>
          </cell>
        </row>
        <row r="852">
          <cell r="A852">
            <v>2018</v>
          </cell>
          <cell r="B852" t="str">
            <v>Actual</v>
          </cell>
          <cell r="C852" t="str">
            <v>Feb</v>
          </cell>
          <cell r="D852" t="str">
            <v>Chairs</v>
          </cell>
          <cell r="E852">
            <v>65996.637000000002</v>
          </cell>
          <cell r="F852">
            <v>2</v>
          </cell>
        </row>
        <row r="853">
          <cell r="A853">
            <v>2019</v>
          </cell>
          <cell r="B853" t="str">
            <v>Budget</v>
          </cell>
          <cell r="C853" t="str">
            <v>Feb</v>
          </cell>
          <cell r="D853" t="str">
            <v>Chairs</v>
          </cell>
          <cell r="E853">
            <v>110649.90300000001</v>
          </cell>
          <cell r="F853">
            <v>2</v>
          </cell>
        </row>
        <row r="854">
          <cell r="A854">
            <v>2019</v>
          </cell>
          <cell r="B854" t="str">
            <v>Actual</v>
          </cell>
          <cell r="C854" t="str">
            <v>Feb</v>
          </cell>
          <cell r="D854" t="str">
            <v>Chairs</v>
          </cell>
          <cell r="E854">
            <v>68292.335999999996</v>
          </cell>
          <cell r="F854">
            <v>2</v>
          </cell>
        </row>
        <row r="855">
          <cell r="A855">
            <v>2018</v>
          </cell>
          <cell r="B855" t="str">
            <v>Budget</v>
          </cell>
          <cell r="C855" t="str">
            <v>Feb</v>
          </cell>
          <cell r="D855" t="str">
            <v>Chairs</v>
          </cell>
          <cell r="E855">
            <v>9334042.7459999993</v>
          </cell>
          <cell r="F855">
            <v>2</v>
          </cell>
        </row>
        <row r="856">
          <cell r="A856">
            <v>2018</v>
          </cell>
          <cell r="B856" t="str">
            <v>Actual</v>
          </cell>
          <cell r="C856" t="str">
            <v>Feb</v>
          </cell>
          <cell r="D856" t="str">
            <v>Chairs</v>
          </cell>
          <cell r="E856">
            <v>265887.18800000002</v>
          </cell>
          <cell r="F856">
            <v>2</v>
          </cell>
        </row>
        <row r="857">
          <cell r="A857">
            <v>2018</v>
          </cell>
          <cell r="B857" t="str">
            <v>Budget</v>
          </cell>
          <cell r="C857" t="str">
            <v>Feb</v>
          </cell>
          <cell r="D857" t="str">
            <v>Tables</v>
          </cell>
          <cell r="E857">
            <v>1001551.6979999999</v>
          </cell>
          <cell r="F857">
            <v>2</v>
          </cell>
        </row>
        <row r="858">
          <cell r="A858">
            <v>2018</v>
          </cell>
          <cell r="B858" t="str">
            <v>Actual</v>
          </cell>
          <cell r="C858" t="str">
            <v>Feb</v>
          </cell>
          <cell r="D858" t="str">
            <v>Kitchen</v>
          </cell>
          <cell r="E858">
            <v>307273.21799999999</v>
          </cell>
          <cell r="F858">
            <v>2</v>
          </cell>
        </row>
        <row r="859">
          <cell r="A859">
            <v>2018</v>
          </cell>
          <cell r="B859" t="str">
            <v>Budget</v>
          </cell>
          <cell r="C859" t="str">
            <v>Feb</v>
          </cell>
          <cell r="D859" t="str">
            <v>Chairs</v>
          </cell>
          <cell r="E859">
            <v>653324.98</v>
          </cell>
          <cell r="F859">
            <v>2</v>
          </cell>
        </row>
        <row r="860">
          <cell r="A860">
            <v>2018</v>
          </cell>
          <cell r="B860" t="str">
            <v>Actual</v>
          </cell>
          <cell r="C860" t="str">
            <v>Feb</v>
          </cell>
          <cell r="D860" t="str">
            <v>Chairs</v>
          </cell>
          <cell r="E860">
            <v>4673961.2009999994</v>
          </cell>
          <cell r="F860">
            <v>2</v>
          </cell>
        </row>
        <row r="861">
          <cell r="A861">
            <v>2018</v>
          </cell>
          <cell r="B861" t="str">
            <v>Budget</v>
          </cell>
          <cell r="C861" t="str">
            <v>Feb</v>
          </cell>
          <cell r="D861" t="str">
            <v>Chairs</v>
          </cell>
          <cell r="E861">
            <v>2778579.0129999998</v>
          </cell>
          <cell r="F861">
            <v>2</v>
          </cell>
        </row>
        <row r="862">
          <cell r="A862">
            <v>2019</v>
          </cell>
          <cell r="B862" t="str">
            <v>Actual</v>
          </cell>
          <cell r="C862" t="str">
            <v>Feb</v>
          </cell>
          <cell r="D862" t="str">
            <v>Tables</v>
          </cell>
          <cell r="E862">
            <v>30256.155999999999</v>
          </cell>
          <cell r="F862">
            <v>2</v>
          </cell>
        </row>
        <row r="863">
          <cell r="A863">
            <v>2018</v>
          </cell>
          <cell r="B863" t="str">
            <v>Budget</v>
          </cell>
          <cell r="C863" t="str">
            <v>Feb</v>
          </cell>
          <cell r="D863" t="str">
            <v>Kitchen</v>
          </cell>
          <cell r="E863">
            <v>235419.28199999998</v>
          </cell>
          <cell r="F863">
            <v>2</v>
          </cell>
        </row>
        <row r="864">
          <cell r="A864">
            <v>2018</v>
          </cell>
          <cell r="B864" t="str">
            <v>Actual</v>
          </cell>
          <cell r="C864" t="str">
            <v>Feb</v>
          </cell>
          <cell r="D864" t="str">
            <v>Chairs</v>
          </cell>
          <cell r="E864">
            <v>32517795.575999998</v>
          </cell>
          <cell r="F864">
            <v>2</v>
          </cell>
        </row>
        <row r="865">
          <cell r="A865">
            <v>2018</v>
          </cell>
          <cell r="B865" t="str">
            <v>Budget</v>
          </cell>
          <cell r="C865" t="str">
            <v>Feb</v>
          </cell>
          <cell r="D865" t="str">
            <v>Chairs</v>
          </cell>
          <cell r="E865">
            <v>1070985.5729999999</v>
          </cell>
          <cell r="F865">
            <v>2</v>
          </cell>
        </row>
        <row r="866">
          <cell r="A866">
            <v>2018</v>
          </cell>
          <cell r="B866" t="str">
            <v>Actual</v>
          </cell>
          <cell r="C866" t="str">
            <v>Feb</v>
          </cell>
          <cell r="D866" t="str">
            <v>Tables</v>
          </cell>
          <cell r="E866">
            <v>-455001.77100000001</v>
          </cell>
          <cell r="F866">
            <v>2</v>
          </cell>
        </row>
        <row r="867">
          <cell r="A867">
            <v>2019</v>
          </cell>
          <cell r="B867" t="str">
            <v>Budget</v>
          </cell>
          <cell r="C867" t="str">
            <v>Feb</v>
          </cell>
          <cell r="D867" t="str">
            <v>Kitchen</v>
          </cell>
          <cell r="E867">
            <v>22482.789000000001</v>
          </cell>
          <cell r="F867">
            <v>2</v>
          </cell>
        </row>
        <row r="868">
          <cell r="A868">
            <v>2019</v>
          </cell>
          <cell r="B868" t="str">
            <v>Actual</v>
          </cell>
          <cell r="C868" t="str">
            <v>Feb</v>
          </cell>
          <cell r="D868" t="str">
            <v>Chairs</v>
          </cell>
          <cell r="E868">
            <v>121675.30899999999</v>
          </cell>
          <cell r="F868">
            <v>2</v>
          </cell>
        </row>
        <row r="869">
          <cell r="A869">
            <v>2018</v>
          </cell>
          <cell r="B869" t="str">
            <v>Budget</v>
          </cell>
          <cell r="C869" t="str">
            <v>Feb</v>
          </cell>
          <cell r="D869" t="str">
            <v>Chairs</v>
          </cell>
          <cell r="E869">
            <v>239718.40199999997</v>
          </cell>
          <cell r="F869">
            <v>2</v>
          </cell>
        </row>
        <row r="870">
          <cell r="A870">
            <v>2018</v>
          </cell>
          <cell r="B870" t="str">
            <v>Actual</v>
          </cell>
          <cell r="C870" t="str">
            <v>Feb</v>
          </cell>
          <cell r="D870" t="str">
            <v>Chairs</v>
          </cell>
          <cell r="E870">
            <v>34096.629000000001</v>
          </cell>
          <cell r="F870">
            <v>2</v>
          </cell>
        </row>
        <row r="871">
          <cell r="A871">
            <v>2018</v>
          </cell>
          <cell r="B871" t="str">
            <v>Budget</v>
          </cell>
          <cell r="C871" t="str">
            <v>Feb</v>
          </cell>
          <cell r="D871" t="str">
            <v>Tables</v>
          </cell>
          <cell r="E871">
            <v>55630.868999999999</v>
          </cell>
          <cell r="F871">
            <v>2</v>
          </cell>
        </row>
        <row r="872">
          <cell r="A872">
            <v>2018</v>
          </cell>
          <cell r="B872" t="str">
            <v>Actual</v>
          </cell>
          <cell r="C872" t="str">
            <v>Feb</v>
          </cell>
          <cell r="D872" t="str">
            <v>Kitchen</v>
          </cell>
          <cell r="E872">
            <v>96020.203999999998</v>
          </cell>
          <cell r="F872">
            <v>2</v>
          </cell>
        </row>
        <row r="873">
          <cell r="A873">
            <v>2018</v>
          </cell>
          <cell r="B873" t="str">
            <v>Budget</v>
          </cell>
          <cell r="C873" t="str">
            <v>Feb</v>
          </cell>
          <cell r="D873" t="str">
            <v>Accessories</v>
          </cell>
          <cell r="E873">
            <v>39075.385999999999</v>
          </cell>
          <cell r="F873">
            <v>2</v>
          </cell>
        </row>
        <row r="874">
          <cell r="A874">
            <v>2019</v>
          </cell>
          <cell r="B874" t="str">
            <v>Actual</v>
          </cell>
          <cell r="C874" t="str">
            <v>Feb</v>
          </cell>
          <cell r="D874" t="str">
            <v>Chairs</v>
          </cell>
          <cell r="E874">
            <v>720732.34100000001</v>
          </cell>
          <cell r="F874">
            <v>2</v>
          </cell>
        </row>
        <row r="875">
          <cell r="A875">
            <v>2018</v>
          </cell>
          <cell r="B875" t="str">
            <v>Budget</v>
          </cell>
          <cell r="C875" t="str">
            <v>Feb</v>
          </cell>
          <cell r="D875" t="str">
            <v>Tables</v>
          </cell>
          <cell r="E875">
            <v>336062.83199999999</v>
          </cell>
          <cell r="F875">
            <v>2</v>
          </cell>
        </row>
        <row r="876">
          <cell r="A876">
            <v>2018</v>
          </cell>
          <cell r="B876" t="str">
            <v>Actual</v>
          </cell>
          <cell r="C876" t="str">
            <v>Feb</v>
          </cell>
          <cell r="D876" t="str">
            <v>Kitchen</v>
          </cell>
          <cell r="E876">
            <v>801845.70200000005</v>
          </cell>
          <cell r="F876">
            <v>2</v>
          </cell>
        </row>
        <row r="877">
          <cell r="A877">
            <v>2019</v>
          </cell>
          <cell r="B877" t="str">
            <v>Budget</v>
          </cell>
          <cell r="C877" t="str">
            <v>Feb</v>
          </cell>
          <cell r="D877" t="str">
            <v>Accessories</v>
          </cell>
          <cell r="E877">
            <v>51949.582999999999</v>
          </cell>
          <cell r="F877">
            <v>2</v>
          </cell>
        </row>
        <row r="878">
          <cell r="A878">
            <v>2018</v>
          </cell>
          <cell r="B878" t="str">
            <v>Actual</v>
          </cell>
          <cell r="C878" t="str">
            <v>Feb</v>
          </cell>
          <cell r="D878" t="str">
            <v>Chairs</v>
          </cell>
          <cell r="E878">
            <v>30654.763999999996</v>
          </cell>
          <cell r="F878">
            <v>2</v>
          </cell>
        </row>
        <row r="879">
          <cell r="A879">
            <v>2019</v>
          </cell>
          <cell r="B879" t="str">
            <v>Budget</v>
          </cell>
          <cell r="C879" t="str">
            <v>Feb</v>
          </cell>
          <cell r="D879" t="str">
            <v>Tables</v>
          </cell>
          <cell r="E879">
            <v>26878.914999999997</v>
          </cell>
          <cell r="F879">
            <v>2</v>
          </cell>
        </row>
        <row r="880">
          <cell r="A880">
            <v>2018</v>
          </cell>
          <cell r="B880" t="str">
            <v>Actual</v>
          </cell>
          <cell r="C880" t="str">
            <v>Feb</v>
          </cell>
          <cell r="D880" t="str">
            <v>Kitchen</v>
          </cell>
          <cell r="E880">
            <v>284340.95199999999</v>
          </cell>
          <cell r="F880">
            <v>2</v>
          </cell>
        </row>
        <row r="881">
          <cell r="A881">
            <v>2018</v>
          </cell>
          <cell r="B881" t="str">
            <v>Budget</v>
          </cell>
          <cell r="C881" t="str">
            <v>Feb</v>
          </cell>
          <cell r="D881" t="str">
            <v>Accessories</v>
          </cell>
          <cell r="E881">
            <v>196207.291</v>
          </cell>
          <cell r="F881">
            <v>2</v>
          </cell>
        </row>
        <row r="882">
          <cell r="A882">
            <v>2018</v>
          </cell>
          <cell r="B882" t="str">
            <v>Actual</v>
          </cell>
          <cell r="C882" t="str">
            <v>Feb</v>
          </cell>
          <cell r="D882" t="str">
            <v>Chairs</v>
          </cell>
          <cell r="E882">
            <v>1388929.6539999999</v>
          </cell>
          <cell r="F882">
            <v>2</v>
          </cell>
        </row>
        <row r="883">
          <cell r="A883">
            <v>2018</v>
          </cell>
          <cell r="B883" t="str">
            <v>Budget</v>
          </cell>
          <cell r="C883" t="str">
            <v>Feb</v>
          </cell>
          <cell r="D883" t="str">
            <v>Tables</v>
          </cell>
          <cell r="E883">
            <v>84816.801999999996</v>
          </cell>
          <cell r="F883">
            <v>2</v>
          </cell>
        </row>
        <row r="884">
          <cell r="A884">
            <v>2018</v>
          </cell>
          <cell r="B884" t="str">
            <v>Actual</v>
          </cell>
          <cell r="C884" t="str">
            <v>Feb</v>
          </cell>
          <cell r="D884" t="str">
            <v>Kitchen</v>
          </cell>
          <cell r="E884">
            <v>613827.71099999989</v>
          </cell>
          <cell r="F884">
            <v>2</v>
          </cell>
        </row>
        <row r="885">
          <cell r="A885">
            <v>2018</v>
          </cell>
          <cell r="B885" t="str">
            <v>Budget</v>
          </cell>
          <cell r="C885" t="str">
            <v>Feb</v>
          </cell>
          <cell r="D885" t="str">
            <v>Accessories</v>
          </cell>
          <cell r="E885">
            <v>371675.06599999999</v>
          </cell>
          <cell r="F885">
            <v>2</v>
          </cell>
        </row>
        <row r="886">
          <cell r="A886">
            <v>2018</v>
          </cell>
          <cell r="B886" t="str">
            <v>Actual</v>
          </cell>
          <cell r="C886" t="str">
            <v>Feb</v>
          </cell>
          <cell r="D886" t="str">
            <v>Chairs</v>
          </cell>
          <cell r="E886">
            <v>54025.489000000001</v>
          </cell>
          <cell r="F886">
            <v>2</v>
          </cell>
        </row>
        <row r="887">
          <cell r="A887">
            <v>2018</v>
          </cell>
          <cell r="B887" t="str">
            <v>Budget</v>
          </cell>
          <cell r="C887" t="str">
            <v>Feb</v>
          </cell>
          <cell r="D887" t="str">
            <v>Chairs</v>
          </cell>
          <cell r="E887">
            <v>20615.524999999998</v>
          </cell>
          <cell r="F887">
            <v>2</v>
          </cell>
        </row>
        <row r="888">
          <cell r="A888">
            <v>2019</v>
          </cell>
          <cell r="B888" t="str">
            <v>Actual</v>
          </cell>
          <cell r="C888" t="str">
            <v>Feb</v>
          </cell>
          <cell r="D888" t="str">
            <v>Tables</v>
          </cell>
          <cell r="E888">
            <v>131135.46599999999</v>
          </cell>
          <cell r="F888">
            <v>2</v>
          </cell>
        </row>
        <row r="889">
          <cell r="A889">
            <v>2018</v>
          </cell>
          <cell r="B889" t="str">
            <v>Budget</v>
          </cell>
          <cell r="C889" t="str">
            <v>Feb</v>
          </cell>
          <cell r="D889" t="str">
            <v>Kitchen</v>
          </cell>
          <cell r="E889">
            <v>469442.46299999993</v>
          </cell>
          <cell r="F889">
            <v>2</v>
          </cell>
        </row>
        <row r="890">
          <cell r="A890">
            <v>2019</v>
          </cell>
          <cell r="B890" t="str">
            <v>Actual</v>
          </cell>
          <cell r="C890" t="str">
            <v>Feb</v>
          </cell>
          <cell r="D890" t="str">
            <v>Chairs</v>
          </cell>
          <cell r="E890">
            <v>312739.973</v>
          </cell>
          <cell r="F890">
            <v>2</v>
          </cell>
        </row>
        <row r="891">
          <cell r="A891">
            <v>2019</v>
          </cell>
          <cell r="B891" t="str">
            <v>Budget</v>
          </cell>
          <cell r="C891" t="str">
            <v>Feb</v>
          </cell>
          <cell r="D891" t="str">
            <v>Tables</v>
          </cell>
          <cell r="E891">
            <v>281654.86300000001</v>
          </cell>
          <cell r="F891">
            <v>2</v>
          </cell>
        </row>
        <row r="892">
          <cell r="A892">
            <v>2018</v>
          </cell>
          <cell r="B892" t="str">
            <v>Actual</v>
          </cell>
          <cell r="C892" t="str">
            <v>Feb</v>
          </cell>
          <cell r="D892" t="str">
            <v>Kitchen</v>
          </cell>
          <cell r="E892">
            <v>310004.60399999993</v>
          </cell>
          <cell r="F892">
            <v>2</v>
          </cell>
        </row>
        <row r="893">
          <cell r="A893">
            <v>2018</v>
          </cell>
          <cell r="B893" t="str">
            <v>Budget</v>
          </cell>
          <cell r="C893" t="str">
            <v>Feb</v>
          </cell>
          <cell r="D893" t="str">
            <v>Chairs</v>
          </cell>
          <cell r="E893">
            <v>25788.287</v>
          </cell>
          <cell r="F893">
            <v>2</v>
          </cell>
        </row>
        <row r="894">
          <cell r="A894">
            <v>2018</v>
          </cell>
          <cell r="B894" t="str">
            <v>Actual</v>
          </cell>
          <cell r="C894" t="str">
            <v>Feb</v>
          </cell>
          <cell r="D894" t="str">
            <v>Tables</v>
          </cell>
          <cell r="E894">
            <v>18132.687999999998</v>
          </cell>
          <cell r="F894">
            <v>2</v>
          </cell>
        </row>
        <row r="895">
          <cell r="A895">
            <v>2019</v>
          </cell>
          <cell r="B895" t="str">
            <v>Budget</v>
          </cell>
          <cell r="C895" t="str">
            <v>Feb</v>
          </cell>
          <cell r="D895" t="str">
            <v>Kitchen</v>
          </cell>
          <cell r="E895">
            <v>220423.35699999999</v>
          </cell>
          <cell r="F895">
            <v>2</v>
          </cell>
        </row>
        <row r="896">
          <cell r="A896">
            <v>2019</v>
          </cell>
          <cell r="B896" t="str">
            <v>Actual</v>
          </cell>
          <cell r="C896" t="str">
            <v>Feb</v>
          </cell>
          <cell r="D896" t="str">
            <v>Chairs</v>
          </cell>
          <cell r="E896">
            <v>71660.981</v>
          </cell>
          <cell r="F896">
            <v>2</v>
          </cell>
        </row>
        <row r="897">
          <cell r="A897">
            <v>2019</v>
          </cell>
          <cell r="B897" t="str">
            <v>Budget</v>
          </cell>
          <cell r="C897" t="str">
            <v>Feb</v>
          </cell>
          <cell r="D897" t="str">
            <v>Chairs</v>
          </cell>
          <cell r="E897">
            <v>94314.541999999987</v>
          </cell>
          <cell r="F897">
            <v>2</v>
          </cell>
        </row>
        <row r="898">
          <cell r="A898">
            <v>2018</v>
          </cell>
          <cell r="B898" t="str">
            <v>Actual</v>
          </cell>
          <cell r="C898" t="str">
            <v>Feb</v>
          </cell>
          <cell r="D898" t="str">
            <v>Chairs</v>
          </cell>
          <cell r="E898">
            <v>126203.11199999999</v>
          </cell>
          <cell r="F898">
            <v>2</v>
          </cell>
        </row>
        <row r="899">
          <cell r="A899">
            <v>2019</v>
          </cell>
          <cell r="B899" t="str">
            <v>Budget</v>
          </cell>
          <cell r="C899" t="str">
            <v>Feb</v>
          </cell>
          <cell r="D899" t="str">
            <v>Chairs</v>
          </cell>
          <cell r="E899">
            <v>215937.42799999999</v>
          </cell>
          <cell r="F899">
            <v>2</v>
          </cell>
        </row>
        <row r="900">
          <cell r="A900">
            <v>2019</v>
          </cell>
          <cell r="B900" t="str">
            <v>Actual</v>
          </cell>
          <cell r="C900" t="str">
            <v>Feb</v>
          </cell>
          <cell r="D900" t="str">
            <v>Chairs</v>
          </cell>
          <cell r="E900">
            <v>3898052.0599999996</v>
          </cell>
          <cell r="F900">
            <v>2</v>
          </cell>
        </row>
        <row r="901">
          <cell r="A901">
            <v>2019</v>
          </cell>
          <cell r="B901" t="str">
            <v>Budget</v>
          </cell>
          <cell r="C901" t="str">
            <v>Feb</v>
          </cell>
          <cell r="D901" t="str">
            <v>Chairs</v>
          </cell>
          <cell r="E901">
            <v>15871.421999999999</v>
          </cell>
          <cell r="F901">
            <v>2</v>
          </cell>
        </row>
        <row r="902">
          <cell r="A902">
            <v>2018</v>
          </cell>
          <cell r="B902" t="str">
            <v>Actual</v>
          </cell>
          <cell r="C902" t="str">
            <v>Feb</v>
          </cell>
          <cell r="D902" t="str">
            <v>Chairs</v>
          </cell>
          <cell r="E902">
            <v>350492.87699999998</v>
          </cell>
          <cell r="F902">
            <v>2</v>
          </cell>
        </row>
        <row r="903">
          <cell r="A903">
            <v>2018</v>
          </cell>
          <cell r="B903" t="str">
            <v>Budget</v>
          </cell>
          <cell r="C903" t="str">
            <v>Feb</v>
          </cell>
          <cell r="D903" t="str">
            <v>Chairs</v>
          </cell>
          <cell r="E903">
            <v>23060.359</v>
          </cell>
          <cell r="F903">
            <v>2</v>
          </cell>
        </row>
        <row r="904">
          <cell r="A904">
            <v>2019</v>
          </cell>
          <cell r="B904" t="str">
            <v>Actual</v>
          </cell>
          <cell r="C904" t="str">
            <v>Feb</v>
          </cell>
          <cell r="D904" t="str">
            <v>Chairs</v>
          </cell>
          <cell r="E904">
            <v>8212.3859999999986</v>
          </cell>
          <cell r="F904">
            <v>2</v>
          </cell>
        </row>
        <row r="905">
          <cell r="A905">
            <v>2018</v>
          </cell>
          <cell r="B905" t="str">
            <v>Budget</v>
          </cell>
          <cell r="C905" t="str">
            <v>Feb</v>
          </cell>
          <cell r="D905" t="str">
            <v>Chairs</v>
          </cell>
          <cell r="E905">
            <v>916711.01199999987</v>
          </cell>
          <cell r="F905">
            <v>2</v>
          </cell>
        </row>
        <row r="906">
          <cell r="A906">
            <v>2019</v>
          </cell>
          <cell r="B906" t="str">
            <v>Actual</v>
          </cell>
          <cell r="C906" t="str">
            <v>Feb</v>
          </cell>
          <cell r="D906" t="str">
            <v>Chairs</v>
          </cell>
          <cell r="E906">
            <v>122627.42099999999</v>
          </cell>
          <cell r="F906">
            <v>2</v>
          </cell>
        </row>
        <row r="907">
          <cell r="A907">
            <v>2019</v>
          </cell>
          <cell r="B907" t="str">
            <v>Budget</v>
          </cell>
          <cell r="C907" t="str">
            <v>Feb</v>
          </cell>
          <cell r="D907" t="str">
            <v>Chairs</v>
          </cell>
          <cell r="E907">
            <v>6579.110999999999</v>
          </cell>
          <cell r="F907">
            <v>2</v>
          </cell>
        </row>
        <row r="908">
          <cell r="A908">
            <v>2018</v>
          </cell>
          <cell r="B908" t="str">
            <v>Actual</v>
          </cell>
          <cell r="C908" t="str">
            <v>Feb</v>
          </cell>
          <cell r="D908" t="str">
            <v>Chairs</v>
          </cell>
          <cell r="E908">
            <v>93787.175999999992</v>
          </cell>
          <cell r="F908">
            <v>2</v>
          </cell>
        </row>
        <row r="909">
          <cell r="A909">
            <v>2018</v>
          </cell>
          <cell r="B909" t="str">
            <v>Budget</v>
          </cell>
          <cell r="C909" t="str">
            <v>Feb</v>
          </cell>
          <cell r="D909" t="str">
            <v>Chairs</v>
          </cell>
          <cell r="E909">
            <v>187234.19399999999</v>
          </cell>
          <cell r="F909">
            <v>2</v>
          </cell>
        </row>
        <row r="910">
          <cell r="A910">
            <v>2018</v>
          </cell>
          <cell r="B910" t="str">
            <v>Actual</v>
          </cell>
          <cell r="C910" t="str">
            <v>Feb</v>
          </cell>
          <cell r="D910" t="str">
            <v>Chairs</v>
          </cell>
          <cell r="E910">
            <v>8271.2909999999993</v>
          </cell>
          <cell r="F910">
            <v>2</v>
          </cell>
        </row>
        <row r="911">
          <cell r="A911">
            <v>2019</v>
          </cell>
          <cell r="B911" t="str">
            <v>Budget</v>
          </cell>
          <cell r="C911" t="str">
            <v>Feb</v>
          </cell>
          <cell r="D911" t="str">
            <v>Chairs</v>
          </cell>
          <cell r="E911">
            <v>293754.13199999998</v>
          </cell>
          <cell r="F911">
            <v>2</v>
          </cell>
        </row>
        <row r="912">
          <cell r="A912">
            <v>2018</v>
          </cell>
          <cell r="B912" t="str">
            <v>Actual</v>
          </cell>
          <cell r="C912" t="str">
            <v>Feb</v>
          </cell>
          <cell r="D912" t="str">
            <v>Chairs</v>
          </cell>
          <cell r="E912">
            <v>54314.315999999999</v>
          </cell>
          <cell r="F912">
            <v>2</v>
          </cell>
        </row>
        <row r="913">
          <cell r="A913">
            <v>2018</v>
          </cell>
          <cell r="B913" t="str">
            <v>Budget</v>
          </cell>
          <cell r="C913" t="str">
            <v>Feb</v>
          </cell>
          <cell r="D913" t="str">
            <v>Chairs</v>
          </cell>
          <cell r="E913">
            <v>2108987.6709999996</v>
          </cell>
          <cell r="F913">
            <v>2</v>
          </cell>
        </row>
        <row r="914">
          <cell r="A914">
            <v>2019</v>
          </cell>
          <cell r="B914" t="str">
            <v>Actual</v>
          </cell>
          <cell r="C914" t="str">
            <v>Feb</v>
          </cell>
          <cell r="D914" t="str">
            <v>Chairs</v>
          </cell>
          <cell r="E914">
            <v>34739.774999999994</v>
          </cell>
          <cell r="F914">
            <v>2</v>
          </cell>
        </row>
        <row r="915">
          <cell r="A915">
            <v>2019</v>
          </cell>
          <cell r="B915" t="str">
            <v>Budget</v>
          </cell>
          <cell r="C915" t="str">
            <v>Feb</v>
          </cell>
          <cell r="D915" t="str">
            <v>Chairs</v>
          </cell>
          <cell r="E915">
            <v>357171.19899999996</v>
          </cell>
          <cell r="F915">
            <v>2</v>
          </cell>
        </row>
        <row r="916">
          <cell r="A916">
            <v>2018</v>
          </cell>
          <cell r="B916" t="str">
            <v>Actual</v>
          </cell>
          <cell r="C916" t="str">
            <v>Feb</v>
          </cell>
          <cell r="D916" t="str">
            <v>Chairs</v>
          </cell>
          <cell r="E916">
            <v>-3161.7040000000002</v>
          </cell>
          <cell r="F916">
            <v>2</v>
          </cell>
        </row>
        <row r="917">
          <cell r="A917">
            <v>2019</v>
          </cell>
          <cell r="B917" t="str">
            <v>Budget</v>
          </cell>
          <cell r="C917" t="str">
            <v>Feb</v>
          </cell>
          <cell r="D917" t="str">
            <v>Chairs</v>
          </cell>
          <cell r="E917">
            <v>3544652.3139999993</v>
          </cell>
          <cell r="F917">
            <v>2</v>
          </cell>
        </row>
        <row r="918">
          <cell r="A918">
            <v>2019</v>
          </cell>
          <cell r="B918" t="str">
            <v>Actual</v>
          </cell>
          <cell r="C918" t="str">
            <v>Feb</v>
          </cell>
          <cell r="D918" t="str">
            <v>Chairs</v>
          </cell>
          <cell r="E918">
            <v>3027629.2479999997</v>
          </cell>
          <cell r="F918">
            <v>2</v>
          </cell>
        </row>
        <row r="919">
          <cell r="A919">
            <v>2019</v>
          </cell>
          <cell r="B919" t="str">
            <v>Budget</v>
          </cell>
          <cell r="C919" t="str">
            <v>Feb</v>
          </cell>
          <cell r="D919" t="str">
            <v>Chairs</v>
          </cell>
          <cell r="E919">
            <v>760493.25099999993</v>
          </cell>
          <cell r="F919">
            <v>2</v>
          </cell>
        </row>
        <row r="920">
          <cell r="A920">
            <v>2018</v>
          </cell>
          <cell r="B920" t="str">
            <v>Actual</v>
          </cell>
          <cell r="C920" t="str">
            <v>Feb</v>
          </cell>
          <cell r="D920" t="str">
            <v>Chairs</v>
          </cell>
          <cell r="E920">
            <v>93391.941999999995</v>
          </cell>
          <cell r="F920">
            <v>2</v>
          </cell>
        </row>
        <row r="921">
          <cell r="A921">
            <v>2019</v>
          </cell>
          <cell r="B921" t="str">
            <v>Budget</v>
          </cell>
          <cell r="C921" t="str">
            <v>Feb</v>
          </cell>
          <cell r="D921" t="str">
            <v>Chairs</v>
          </cell>
          <cell r="E921">
            <v>33267.037999999993</v>
          </cell>
          <cell r="F921">
            <v>2</v>
          </cell>
        </row>
        <row r="922">
          <cell r="A922">
            <v>2018</v>
          </cell>
          <cell r="B922" t="str">
            <v>Actual</v>
          </cell>
          <cell r="C922" t="str">
            <v>Feb</v>
          </cell>
          <cell r="D922" t="str">
            <v>Tables</v>
          </cell>
          <cell r="E922">
            <v>2923516.5189999999</v>
          </cell>
          <cell r="F922">
            <v>2</v>
          </cell>
        </row>
        <row r="923">
          <cell r="A923">
            <v>2018</v>
          </cell>
          <cell r="B923" t="str">
            <v>Budget</v>
          </cell>
          <cell r="C923" t="str">
            <v>Feb</v>
          </cell>
          <cell r="D923" t="str">
            <v>Kitchen</v>
          </cell>
          <cell r="E923">
            <v>394757.82499999995</v>
          </cell>
          <cell r="F923">
            <v>2</v>
          </cell>
        </row>
        <row r="924">
          <cell r="A924">
            <v>2019</v>
          </cell>
          <cell r="B924" t="str">
            <v>Actual</v>
          </cell>
          <cell r="C924" t="str">
            <v>Feb</v>
          </cell>
          <cell r="D924" t="str">
            <v>Chairs</v>
          </cell>
          <cell r="E924">
            <v>66781.252999999997</v>
          </cell>
          <cell r="F924">
            <v>2</v>
          </cell>
        </row>
        <row r="925">
          <cell r="A925">
            <v>2019</v>
          </cell>
          <cell r="B925" t="str">
            <v>Budget</v>
          </cell>
          <cell r="C925" t="str">
            <v>Feb</v>
          </cell>
          <cell r="D925" t="str">
            <v>Chairs</v>
          </cell>
          <cell r="E925">
            <v>2675.4490000000001</v>
          </cell>
          <cell r="F925">
            <v>2</v>
          </cell>
        </row>
        <row r="926">
          <cell r="A926">
            <v>2019</v>
          </cell>
          <cell r="B926" t="str">
            <v>Actual</v>
          </cell>
          <cell r="C926" t="str">
            <v>Feb</v>
          </cell>
          <cell r="D926" t="str">
            <v>Chairs</v>
          </cell>
          <cell r="E926">
            <v>53148.12999999999</v>
          </cell>
          <cell r="F926">
            <v>2</v>
          </cell>
        </row>
        <row r="927">
          <cell r="A927">
            <v>2018</v>
          </cell>
          <cell r="B927" t="str">
            <v>Budget</v>
          </cell>
          <cell r="C927" t="str">
            <v>Feb</v>
          </cell>
          <cell r="D927" t="str">
            <v>Chairs</v>
          </cell>
          <cell r="E927">
            <v>222175.114</v>
          </cell>
          <cell r="F927">
            <v>2</v>
          </cell>
        </row>
        <row r="928">
          <cell r="A928">
            <v>2019</v>
          </cell>
          <cell r="B928" t="str">
            <v>Actual</v>
          </cell>
          <cell r="C928" t="str">
            <v>Feb</v>
          </cell>
          <cell r="D928" t="str">
            <v>Chairs</v>
          </cell>
          <cell r="E928">
            <v>244639.70299999998</v>
          </cell>
          <cell r="F928">
            <v>2</v>
          </cell>
        </row>
        <row r="929">
          <cell r="A929">
            <v>2018</v>
          </cell>
          <cell r="B929" t="str">
            <v>Budget</v>
          </cell>
          <cell r="C929" t="str">
            <v>Feb</v>
          </cell>
          <cell r="D929" t="str">
            <v>Tables</v>
          </cell>
          <cell r="E929">
            <v>177156.75599999999</v>
          </cell>
          <cell r="F929">
            <v>2</v>
          </cell>
        </row>
        <row r="930">
          <cell r="A930">
            <v>2018</v>
          </cell>
          <cell r="B930" t="str">
            <v>Actual</v>
          </cell>
          <cell r="C930" t="str">
            <v>Feb</v>
          </cell>
          <cell r="D930" t="str">
            <v>Kitchen</v>
          </cell>
          <cell r="E930">
            <v>24025.847999999998</v>
          </cell>
          <cell r="F930">
            <v>2</v>
          </cell>
        </row>
        <row r="931">
          <cell r="A931">
            <v>2019</v>
          </cell>
          <cell r="B931" t="str">
            <v>Budget</v>
          </cell>
          <cell r="C931" t="str">
            <v>Feb</v>
          </cell>
          <cell r="D931" t="str">
            <v>Chairs</v>
          </cell>
          <cell r="E931">
            <v>567555.18400000001</v>
          </cell>
          <cell r="F931">
            <v>2</v>
          </cell>
        </row>
        <row r="932">
          <cell r="A932">
            <v>2019</v>
          </cell>
          <cell r="B932" t="str">
            <v>Actual</v>
          </cell>
          <cell r="C932" t="str">
            <v>Feb</v>
          </cell>
          <cell r="D932" t="str">
            <v>Chairs</v>
          </cell>
          <cell r="E932">
            <v>87982.86</v>
          </cell>
          <cell r="F932">
            <v>2</v>
          </cell>
        </row>
        <row r="933">
          <cell r="A933">
            <v>2019</v>
          </cell>
          <cell r="B933" t="str">
            <v>Budget</v>
          </cell>
          <cell r="C933" t="str">
            <v>Feb</v>
          </cell>
          <cell r="D933" t="str">
            <v>Chairs</v>
          </cell>
          <cell r="E933">
            <v>377846.10499999998</v>
          </cell>
          <cell r="F933">
            <v>2</v>
          </cell>
        </row>
        <row r="934">
          <cell r="A934">
            <v>2018</v>
          </cell>
          <cell r="B934" t="str">
            <v>Actual</v>
          </cell>
          <cell r="C934" t="str">
            <v>Feb</v>
          </cell>
          <cell r="D934" t="str">
            <v>Tables</v>
          </cell>
          <cell r="E934">
            <v>269841.57199999999</v>
          </cell>
          <cell r="F934">
            <v>2</v>
          </cell>
        </row>
        <row r="935">
          <cell r="A935">
            <v>2019</v>
          </cell>
          <cell r="B935" t="str">
            <v>Budget</v>
          </cell>
          <cell r="C935" t="str">
            <v>Feb</v>
          </cell>
          <cell r="D935" t="str">
            <v>Kitchen</v>
          </cell>
          <cell r="E935">
            <v>976661.60199999996</v>
          </cell>
          <cell r="F935">
            <v>2</v>
          </cell>
        </row>
        <row r="936">
          <cell r="A936">
            <v>2019</v>
          </cell>
          <cell r="B936" t="str">
            <v>Actual</v>
          </cell>
          <cell r="C936" t="str">
            <v>Feb</v>
          </cell>
          <cell r="D936" t="str">
            <v>Chairs</v>
          </cell>
          <cell r="E936">
            <v>3779238.68</v>
          </cell>
          <cell r="F936">
            <v>2</v>
          </cell>
        </row>
        <row r="937">
          <cell r="A937">
            <v>2019</v>
          </cell>
          <cell r="B937" t="str">
            <v>Budget</v>
          </cell>
          <cell r="C937" t="str">
            <v>Feb</v>
          </cell>
          <cell r="D937" t="str">
            <v>Chairs</v>
          </cell>
          <cell r="E937">
            <v>29101.534</v>
          </cell>
          <cell r="F937">
            <v>2</v>
          </cell>
        </row>
        <row r="938">
          <cell r="A938">
            <v>2018</v>
          </cell>
          <cell r="B938" t="str">
            <v>Actual</v>
          </cell>
          <cell r="C938" t="str">
            <v>Feb</v>
          </cell>
          <cell r="D938" t="str">
            <v>Tables</v>
          </cell>
          <cell r="E938">
            <v>45209.170999999995</v>
          </cell>
          <cell r="F938">
            <v>2</v>
          </cell>
        </row>
        <row r="939">
          <cell r="A939">
            <v>2018</v>
          </cell>
          <cell r="B939" t="str">
            <v>Budget</v>
          </cell>
          <cell r="C939" t="str">
            <v>Feb</v>
          </cell>
          <cell r="D939" t="str">
            <v>Kitchen</v>
          </cell>
          <cell r="E939">
            <v>173903.44299999997</v>
          </cell>
          <cell r="F939">
            <v>2</v>
          </cell>
        </row>
        <row r="940">
          <cell r="A940">
            <v>2018</v>
          </cell>
          <cell r="B940" t="str">
            <v>Actual</v>
          </cell>
          <cell r="C940" t="str">
            <v>Feb</v>
          </cell>
          <cell r="D940" t="str">
            <v>Chairs</v>
          </cell>
          <cell r="E940">
            <v>124240.30499999999</v>
          </cell>
          <cell r="F940">
            <v>2</v>
          </cell>
        </row>
        <row r="941">
          <cell r="A941">
            <v>2018</v>
          </cell>
          <cell r="B941" t="str">
            <v>Budget</v>
          </cell>
          <cell r="C941" t="str">
            <v>Feb</v>
          </cell>
          <cell r="D941" t="str">
            <v>Chairs</v>
          </cell>
          <cell r="E941">
            <v>4347170.233</v>
          </cell>
          <cell r="F941">
            <v>2</v>
          </cell>
        </row>
        <row r="942">
          <cell r="A942">
            <v>2018</v>
          </cell>
          <cell r="B942" t="str">
            <v>Actual</v>
          </cell>
          <cell r="C942" t="str">
            <v>Feb</v>
          </cell>
          <cell r="D942" t="str">
            <v>Tables</v>
          </cell>
          <cell r="E942">
            <v>1169725.1159999999</v>
          </cell>
          <cell r="F942">
            <v>2</v>
          </cell>
        </row>
        <row r="943">
          <cell r="A943">
            <v>2018</v>
          </cell>
          <cell r="B943" t="str">
            <v>Budget</v>
          </cell>
          <cell r="C943" t="str">
            <v>Feb</v>
          </cell>
          <cell r="D943" t="str">
            <v>Chairs</v>
          </cell>
          <cell r="E943">
            <v>828888.94900000002</v>
          </cell>
          <cell r="F943">
            <v>2</v>
          </cell>
        </row>
        <row r="944">
          <cell r="A944">
            <v>2018</v>
          </cell>
          <cell r="B944" t="str">
            <v>Actual</v>
          </cell>
          <cell r="C944" t="str">
            <v>Feb</v>
          </cell>
          <cell r="D944" t="str">
            <v>Tables</v>
          </cell>
          <cell r="E944">
            <v>6227262.5029999986</v>
          </cell>
          <cell r="F944">
            <v>2</v>
          </cell>
        </row>
        <row r="945">
          <cell r="A945">
            <v>2019</v>
          </cell>
          <cell r="B945" t="str">
            <v>Budget</v>
          </cell>
          <cell r="C945" t="str">
            <v>Feb</v>
          </cell>
          <cell r="D945" t="str">
            <v>Kitchen</v>
          </cell>
          <cell r="E945">
            <v>12144.173999999999</v>
          </cell>
          <cell r="F945">
            <v>2</v>
          </cell>
        </row>
        <row r="946">
          <cell r="A946">
            <v>2018</v>
          </cell>
          <cell r="B946" t="str">
            <v>Actual</v>
          </cell>
          <cell r="C946" t="str">
            <v>Feb</v>
          </cell>
          <cell r="D946" t="str">
            <v>Accessories</v>
          </cell>
          <cell r="E946">
            <v>499969.89699999994</v>
          </cell>
          <cell r="F946">
            <v>2</v>
          </cell>
        </row>
        <row r="947">
          <cell r="A947">
            <v>2018</v>
          </cell>
          <cell r="B947" t="str">
            <v>Budget</v>
          </cell>
          <cell r="C947" t="str">
            <v>Feb</v>
          </cell>
          <cell r="D947" t="str">
            <v>Chairs</v>
          </cell>
          <cell r="E947">
            <v>18985.707999999999</v>
          </cell>
          <cell r="F947">
            <v>2</v>
          </cell>
        </row>
        <row r="948">
          <cell r="A948">
            <v>2019</v>
          </cell>
          <cell r="B948" t="str">
            <v>Actual</v>
          </cell>
          <cell r="C948" t="str">
            <v>Feb</v>
          </cell>
          <cell r="D948" t="str">
            <v>Tables</v>
          </cell>
          <cell r="E948">
            <v>24034.282999999999</v>
          </cell>
          <cell r="F948">
            <v>2</v>
          </cell>
        </row>
        <row r="949">
          <cell r="A949">
            <v>2019</v>
          </cell>
          <cell r="B949" t="str">
            <v>Budget</v>
          </cell>
          <cell r="C949" t="str">
            <v>Feb</v>
          </cell>
          <cell r="D949" t="str">
            <v>Kitchen</v>
          </cell>
          <cell r="E949">
            <v>335127.87699999998</v>
          </cell>
          <cell r="F949">
            <v>2</v>
          </cell>
        </row>
        <row r="950">
          <cell r="A950">
            <v>2018</v>
          </cell>
          <cell r="B950" t="str">
            <v>Actual</v>
          </cell>
          <cell r="C950" t="str">
            <v>Feb</v>
          </cell>
          <cell r="D950" t="str">
            <v>Accessories</v>
          </cell>
          <cell r="E950">
            <v>38060.911</v>
          </cell>
          <cell r="F950">
            <v>2</v>
          </cell>
        </row>
        <row r="951">
          <cell r="A951">
            <v>2019</v>
          </cell>
          <cell r="B951" t="str">
            <v>Budget</v>
          </cell>
          <cell r="C951" t="str">
            <v>Feb</v>
          </cell>
          <cell r="D951" t="str">
            <v>Chairs</v>
          </cell>
          <cell r="E951">
            <v>161197.519</v>
          </cell>
          <cell r="F951">
            <v>2</v>
          </cell>
        </row>
        <row r="952">
          <cell r="A952">
            <v>2019</v>
          </cell>
          <cell r="B952" t="str">
            <v>Actual</v>
          </cell>
          <cell r="C952" t="str">
            <v>Feb</v>
          </cell>
          <cell r="D952" t="str">
            <v>Tables</v>
          </cell>
          <cell r="E952">
            <v>44335.06</v>
          </cell>
          <cell r="F952">
            <v>2</v>
          </cell>
        </row>
        <row r="953">
          <cell r="A953">
            <v>2018</v>
          </cell>
          <cell r="B953" t="str">
            <v>Budget</v>
          </cell>
          <cell r="C953" t="str">
            <v>Feb</v>
          </cell>
          <cell r="D953" t="str">
            <v>Kitchen</v>
          </cell>
          <cell r="E953">
            <v>257939.36</v>
          </cell>
          <cell r="F953">
            <v>2</v>
          </cell>
        </row>
        <row r="954">
          <cell r="A954">
            <v>2019</v>
          </cell>
          <cell r="B954" t="str">
            <v>Actual</v>
          </cell>
          <cell r="C954" t="str">
            <v>Feb</v>
          </cell>
          <cell r="D954" t="str">
            <v>Accessories</v>
          </cell>
          <cell r="E954">
            <v>1637170.2620000001</v>
          </cell>
          <cell r="F954">
            <v>2</v>
          </cell>
        </row>
        <row r="955">
          <cell r="A955">
            <v>2018</v>
          </cell>
          <cell r="B955" t="str">
            <v>Budget</v>
          </cell>
          <cell r="C955" t="str">
            <v>Feb</v>
          </cell>
          <cell r="D955" t="str">
            <v>Chairs</v>
          </cell>
          <cell r="E955">
            <v>95333.433999999994</v>
          </cell>
          <cell r="F955">
            <v>2</v>
          </cell>
        </row>
        <row r="956">
          <cell r="A956">
            <v>2019</v>
          </cell>
          <cell r="B956" t="str">
            <v>Actual</v>
          </cell>
          <cell r="C956" t="str">
            <v>Feb</v>
          </cell>
          <cell r="D956" t="str">
            <v>Tables</v>
          </cell>
          <cell r="E956">
            <v>42273.440999999999</v>
          </cell>
          <cell r="F956">
            <v>2</v>
          </cell>
        </row>
        <row r="957">
          <cell r="A957">
            <v>2019</v>
          </cell>
          <cell r="B957" t="str">
            <v>Budget</v>
          </cell>
          <cell r="C957" t="str">
            <v>Feb</v>
          </cell>
          <cell r="D957" t="str">
            <v>Kitchen</v>
          </cell>
          <cell r="E957">
            <v>365473.64</v>
          </cell>
          <cell r="F957">
            <v>2</v>
          </cell>
        </row>
        <row r="958">
          <cell r="A958">
            <v>2018</v>
          </cell>
          <cell r="B958" t="str">
            <v>Actual</v>
          </cell>
          <cell r="C958" t="str">
            <v>Feb</v>
          </cell>
          <cell r="D958" t="str">
            <v>Accessories</v>
          </cell>
          <cell r="E958">
            <v>3018125.8169999993</v>
          </cell>
          <cell r="F958">
            <v>2</v>
          </cell>
        </row>
        <row r="959">
          <cell r="A959">
            <v>2019</v>
          </cell>
          <cell r="B959" t="str">
            <v>Budget</v>
          </cell>
          <cell r="C959" t="str">
            <v>Feb</v>
          </cell>
          <cell r="D959" t="str">
            <v>Chairs</v>
          </cell>
          <cell r="E959">
            <v>12690.867</v>
          </cell>
          <cell r="F959">
            <v>2</v>
          </cell>
        </row>
        <row r="960">
          <cell r="A960">
            <v>2019</v>
          </cell>
          <cell r="B960" t="str">
            <v>Actual</v>
          </cell>
          <cell r="C960" t="str">
            <v>Feb</v>
          </cell>
          <cell r="D960" t="str">
            <v>Chairs</v>
          </cell>
          <cell r="E960">
            <v>488986.88299999991</v>
          </cell>
          <cell r="F960">
            <v>2</v>
          </cell>
        </row>
        <row r="961">
          <cell r="A961">
            <v>2018</v>
          </cell>
          <cell r="B961" t="str">
            <v>Budget</v>
          </cell>
          <cell r="C961" t="str">
            <v>Feb</v>
          </cell>
          <cell r="D961" t="str">
            <v>Tables</v>
          </cell>
          <cell r="E961">
            <v>4016360.1379999998</v>
          </cell>
          <cell r="F961">
            <v>2</v>
          </cell>
        </row>
        <row r="962">
          <cell r="A962">
            <v>2019</v>
          </cell>
          <cell r="B962" t="str">
            <v>Actual</v>
          </cell>
          <cell r="C962" t="str">
            <v>Feb</v>
          </cell>
          <cell r="D962" t="str">
            <v>Kitchen</v>
          </cell>
          <cell r="E962">
            <v>378935.65499999997</v>
          </cell>
          <cell r="F962">
            <v>2</v>
          </cell>
        </row>
        <row r="963">
          <cell r="A963">
            <v>2019</v>
          </cell>
          <cell r="B963" t="str">
            <v>Budget</v>
          </cell>
          <cell r="C963" t="str">
            <v>Feb</v>
          </cell>
          <cell r="D963" t="str">
            <v>Chairs</v>
          </cell>
          <cell r="E963">
            <v>697569.36899999995</v>
          </cell>
          <cell r="F963">
            <v>2</v>
          </cell>
        </row>
        <row r="964">
          <cell r="A964">
            <v>2019</v>
          </cell>
          <cell r="B964" t="str">
            <v>Actual</v>
          </cell>
          <cell r="C964" t="str">
            <v>Feb</v>
          </cell>
          <cell r="D964" t="str">
            <v>Tables</v>
          </cell>
          <cell r="E964">
            <v>6560349.9639999997</v>
          </cell>
          <cell r="F964">
            <v>2</v>
          </cell>
        </row>
        <row r="965">
          <cell r="A965">
            <v>2019</v>
          </cell>
          <cell r="B965" t="str">
            <v>Budget</v>
          </cell>
          <cell r="C965" t="str">
            <v>Feb</v>
          </cell>
          <cell r="D965" t="str">
            <v>Kitchen</v>
          </cell>
          <cell r="E965">
            <v>1685710.8029999998</v>
          </cell>
          <cell r="F965">
            <v>2</v>
          </cell>
        </row>
        <row r="966">
          <cell r="A966">
            <v>2018</v>
          </cell>
          <cell r="B966" t="str">
            <v>Actual</v>
          </cell>
          <cell r="C966" t="str">
            <v>Feb</v>
          </cell>
          <cell r="D966" t="str">
            <v>Chairs</v>
          </cell>
          <cell r="E966">
            <v>343158.43800000002</v>
          </cell>
          <cell r="F966">
            <v>2</v>
          </cell>
        </row>
        <row r="967">
          <cell r="A967">
            <v>2019</v>
          </cell>
          <cell r="B967" t="str">
            <v>Budget</v>
          </cell>
          <cell r="C967" t="str">
            <v>Feb</v>
          </cell>
          <cell r="D967" t="str">
            <v>Tables</v>
          </cell>
          <cell r="E967">
            <v>3342787.9240000001</v>
          </cell>
          <cell r="F967">
            <v>2</v>
          </cell>
        </row>
        <row r="968">
          <cell r="A968">
            <v>2019</v>
          </cell>
          <cell r="B968" t="str">
            <v>Actual</v>
          </cell>
          <cell r="C968" t="str">
            <v>Feb</v>
          </cell>
          <cell r="D968" t="str">
            <v>Kitchen</v>
          </cell>
          <cell r="E968">
            <v>195254.84999999998</v>
          </cell>
          <cell r="F968">
            <v>2</v>
          </cell>
        </row>
        <row r="969">
          <cell r="A969">
            <v>2018</v>
          </cell>
          <cell r="B969" t="str">
            <v>Budget</v>
          </cell>
          <cell r="C969" t="str">
            <v>Feb</v>
          </cell>
          <cell r="D969" t="str">
            <v>Chairs</v>
          </cell>
          <cell r="E969">
            <v>386009.06400000001</v>
          </cell>
          <cell r="F969">
            <v>2</v>
          </cell>
        </row>
        <row r="970">
          <cell r="A970">
            <v>2019</v>
          </cell>
          <cell r="B970" t="str">
            <v>Actual</v>
          </cell>
          <cell r="C970" t="str">
            <v>Feb</v>
          </cell>
          <cell r="D970" t="str">
            <v>Chairs</v>
          </cell>
          <cell r="E970">
            <v>139735.08499999999</v>
          </cell>
          <cell r="F970">
            <v>2</v>
          </cell>
        </row>
        <row r="971">
          <cell r="A971">
            <v>2019</v>
          </cell>
          <cell r="B971" t="str">
            <v>Budget</v>
          </cell>
          <cell r="C971" t="str">
            <v>Feb</v>
          </cell>
          <cell r="D971" t="str">
            <v>Chairs</v>
          </cell>
          <cell r="E971">
            <v>93092.558999999994</v>
          </cell>
          <cell r="F971">
            <v>2</v>
          </cell>
        </row>
        <row r="972">
          <cell r="A972">
            <v>2018</v>
          </cell>
          <cell r="B972" t="str">
            <v>Actual</v>
          </cell>
          <cell r="C972" t="str">
            <v>Feb</v>
          </cell>
          <cell r="D972" t="str">
            <v>Chairs</v>
          </cell>
          <cell r="E972">
            <v>5871.1449999999995</v>
          </cell>
          <cell r="F972">
            <v>2</v>
          </cell>
        </row>
        <row r="973">
          <cell r="A973">
            <v>2019</v>
          </cell>
          <cell r="B973" t="str">
            <v>Budget</v>
          </cell>
          <cell r="C973" t="str">
            <v>Feb</v>
          </cell>
          <cell r="D973" t="str">
            <v>Chairs</v>
          </cell>
          <cell r="E973">
            <v>66508.812999999995</v>
          </cell>
          <cell r="F973">
            <v>2</v>
          </cell>
        </row>
        <row r="974">
          <cell r="A974">
            <v>2019</v>
          </cell>
          <cell r="B974" t="str">
            <v>Actual</v>
          </cell>
          <cell r="C974" t="str">
            <v>Feb</v>
          </cell>
          <cell r="D974" t="str">
            <v>Chairs</v>
          </cell>
          <cell r="E974">
            <v>555960.39099999995</v>
          </cell>
          <cell r="F974">
            <v>2</v>
          </cell>
        </row>
        <row r="975">
          <cell r="A975">
            <v>2019</v>
          </cell>
          <cell r="B975" t="str">
            <v>Budget</v>
          </cell>
          <cell r="C975" t="str">
            <v>Feb</v>
          </cell>
          <cell r="D975" t="str">
            <v>Chairs</v>
          </cell>
          <cell r="E975">
            <v>111317.787</v>
          </cell>
          <cell r="F975">
            <v>2</v>
          </cell>
        </row>
        <row r="976">
          <cell r="A976">
            <v>2019</v>
          </cell>
          <cell r="B976" t="str">
            <v>Actual</v>
          </cell>
          <cell r="C976" t="str">
            <v>Feb</v>
          </cell>
          <cell r="D976" t="str">
            <v>Chairs</v>
          </cell>
          <cell r="E976">
            <v>597584.61</v>
          </cell>
          <cell r="F976">
            <v>2</v>
          </cell>
        </row>
        <row r="977">
          <cell r="A977">
            <v>2018</v>
          </cell>
          <cell r="B977" t="str">
            <v>Budget</v>
          </cell>
          <cell r="C977" t="str">
            <v>Feb</v>
          </cell>
          <cell r="D977" t="str">
            <v>Chairs</v>
          </cell>
          <cell r="E977">
            <v>1228170.4469999999</v>
          </cell>
          <cell r="F977">
            <v>2</v>
          </cell>
        </row>
        <row r="978">
          <cell r="A978">
            <v>2018</v>
          </cell>
          <cell r="B978" t="str">
            <v>Actual</v>
          </cell>
          <cell r="C978" t="str">
            <v>Feb</v>
          </cell>
          <cell r="D978" t="str">
            <v>Chairs</v>
          </cell>
          <cell r="E978">
            <v>192793.041</v>
          </cell>
          <cell r="F978">
            <v>2</v>
          </cell>
        </row>
        <row r="979">
          <cell r="A979">
            <v>2019</v>
          </cell>
          <cell r="B979" t="str">
            <v>Budget</v>
          </cell>
          <cell r="C979" t="str">
            <v>Feb</v>
          </cell>
          <cell r="D979" t="str">
            <v>Chairs</v>
          </cell>
          <cell r="E979">
            <v>244596.21899999998</v>
          </cell>
          <cell r="F979">
            <v>2</v>
          </cell>
        </row>
        <row r="980">
          <cell r="A980">
            <v>2018</v>
          </cell>
          <cell r="B980" t="str">
            <v>Actual</v>
          </cell>
          <cell r="C980" t="str">
            <v>Feb</v>
          </cell>
          <cell r="D980" t="str">
            <v>Chairs</v>
          </cell>
          <cell r="E980">
            <v>136057.663</v>
          </cell>
          <cell r="F980">
            <v>2</v>
          </cell>
        </row>
        <row r="981">
          <cell r="A981">
            <v>2018</v>
          </cell>
          <cell r="B981" t="str">
            <v>Budget</v>
          </cell>
          <cell r="C981" t="str">
            <v>Feb</v>
          </cell>
          <cell r="D981" t="str">
            <v>Chairs</v>
          </cell>
          <cell r="E981">
            <v>82460.279999999984</v>
          </cell>
          <cell r="F981">
            <v>2</v>
          </cell>
        </row>
        <row r="982">
          <cell r="A982">
            <v>2019</v>
          </cell>
          <cell r="B982" t="str">
            <v>Actual</v>
          </cell>
          <cell r="C982" t="str">
            <v>Feb</v>
          </cell>
          <cell r="D982" t="str">
            <v>Chairs</v>
          </cell>
          <cell r="E982">
            <v>21959822.941</v>
          </cell>
          <cell r="F982">
            <v>2</v>
          </cell>
        </row>
        <row r="983">
          <cell r="A983">
            <v>2018</v>
          </cell>
          <cell r="B983" t="str">
            <v>Budget</v>
          </cell>
          <cell r="C983" t="str">
            <v>Feb</v>
          </cell>
          <cell r="D983" t="str">
            <v>Chairs</v>
          </cell>
          <cell r="E983">
            <v>627777.40899999999</v>
          </cell>
          <cell r="F983">
            <v>2</v>
          </cell>
        </row>
        <row r="984">
          <cell r="A984">
            <v>2018</v>
          </cell>
          <cell r="B984" t="str">
            <v>Actual</v>
          </cell>
          <cell r="C984" t="str">
            <v>Feb</v>
          </cell>
          <cell r="D984" t="str">
            <v>Chairs</v>
          </cell>
          <cell r="E984">
            <v>-52254.110999999997</v>
          </cell>
          <cell r="F984">
            <v>2</v>
          </cell>
        </row>
        <row r="985">
          <cell r="A985">
            <v>2019</v>
          </cell>
          <cell r="B985" t="str">
            <v>Budget</v>
          </cell>
          <cell r="C985" t="str">
            <v>Feb</v>
          </cell>
          <cell r="D985" t="str">
            <v>Chairs</v>
          </cell>
          <cell r="E985">
            <v>405204.07899999997</v>
          </cell>
          <cell r="F985">
            <v>2</v>
          </cell>
        </row>
        <row r="986">
          <cell r="A986">
            <v>2018</v>
          </cell>
          <cell r="B986" t="str">
            <v>Actual</v>
          </cell>
          <cell r="C986" t="str">
            <v>Feb</v>
          </cell>
          <cell r="D986" t="str">
            <v>Chairs</v>
          </cell>
          <cell r="E986">
            <v>1028699.847</v>
          </cell>
          <cell r="F986">
            <v>2</v>
          </cell>
        </row>
        <row r="987">
          <cell r="A987">
            <v>2018</v>
          </cell>
          <cell r="B987" t="str">
            <v>Budget</v>
          </cell>
          <cell r="C987" t="str">
            <v>Feb</v>
          </cell>
          <cell r="D987" t="str">
            <v>Chairs</v>
          </cell>
          <cell r="E987">
            <v>320415.29099999997</v>
          </cell>
          <cell r="F987">
            <v>2</v>
          </cell>
        </row>
        <row r="988">
          <cell r="A988">
            <v>2018</v>
          </cell>
          <cell r="B988" t="str">
            <v>Actual</v>
          </cell>
          <cell r="C988" t="str">
            <v>Feb</v>
          </cell>
          <cell r="D988" t="str">
            <v>Chairs</v>
          </cell>
          <cell r="E988">
            <v>183133.69899999999</v>
          </cell>
          <cell r="F988">
            <v>2</v>
          </cell>
        </row>
        <row r="989">
          <cell r="A989">
            <v>2018</v>
          </cell>
          <cell r="B989" t="str">
            <v>Budget</v>
          </cell>
          <cell r="C989" t="str">
            <v>Feb</v>
          </cell>
          <cell r="D989" t="str">
            <v>Chairs</v>
          </cell>
          <cell r="E989">
            <v>1017755.732</v>
          </cell>
          <cell r="F989">
            <v>2</v>
          </cell>
        </row>
        <row r="990">
          <cell r="A990">
            <v>2018</v>
          </cell>
          <cell r="B990" t="str">
            <v>Actual</v>
          </cell>
          <cell r="C990" t="str">
            <v>Feb</v>
          </cell>
          <cell r="D990" t="str">
            <v>Chairs</v>
          </cell>
          <cell r="E990">
            <v>387534.32899999997</v>
          </cell>
          <cell r="F990">
            <v>2</v>
          </cell>
        </row>
        <row r="991">
          <cell r="A991">
            <v>2019</v>
          </cell>
          <cell r="B991" t="str">
            <v>Budget</v>
          </cell>
          <cell r="C991" t="str">
            <v>Feb</v>
          </cell>
          <cell r="D991" t="str">
            <v>Chairs</v>
          </cell>
          <cell r="E991">
            <v>137817.87599999999</v>
          </cell>
          <cell r="F991">
            <v>2</v>
          </cell>
        </row>
        <row r="992">
          <cell r="A992">
            <v>2018</v>
          </cell>
          <cell r="B992" t="str">
            <v>Actual</v>
          </cell>
          <cell r="C992" t="str">
            <v>Feb</v>
          </cell>
          <cell r="D992" t="str">
            <v>Chairs</v>
          </cell>
          <cell r="E992">
            <v>67242.524999999994</v>
          </cell>
          <cell r="F992">
            <v>2</v>
          </cell>
        </row>
        <row r="993">
          <cell r="A993">
            <v>2018</v>
          </cell>
          <cell r="B993" t="str">
            <v>Budget</v>
          </cell>
          <cell r="C993" t="str">
            <v>Feb</v>
          </cell>
          <cell r="D993" t="str">
            <v>Chairs</v>
          </cell>
          <cell r="E993">
            <v>219050.80399999997</v>
          </cell>
          <cell r="F993">
            <v>2</v>
          </cell>
        </row>
        <row r="994">
          <cell r="A994">
            <v>2018</v>
          </cell>
          <cell r="B994" t="str">
            <v>Actual</v>
          </cell>
          <cell r="C994" t="str">
            <v>Feb</v>
          </cell>
          <cell r="D994" t="str">
            <v>Chairs</v>
          </cell>
          <cell r="E994">
            <v>28779.400999999998</v>
          </cell>
          <cell r="F994">
            <v>2</v>
          </cell>
        </row>
        <row r="995">
          <cell r="A995">
            <v>2018</v>
          </cell>
          <cell r="B995" t="str">
            <v>Budget</v>
          </cell>
          <cell r="C995" t="str">
            <v>Feb</v>
          </cell>
          <cell r="D995" t="str">
            <v>Tables</v>
          </cell>
          <cell r="E995">
            <v>255064.51599999997</v>
          </cell>
          <cell r="F995">
            <v>2</v>
          </cell>
        </row>
        <row r="996">
          <cell r="A996">
            <v>2018</v>
          </cell>
          <cell r="B996" t="str">
            <v>Actual</v>
          </cell>
          <cell r="C996" t="str">
            <v>Feb</v>
          </cell>
          <cell r="D996" t="str">
            <v>Kitchen</v>
          </cell>
          <cell r="E996">
            <v>1780720.8370000001</v>
          </cell>
          <cell r="F996">
            <v>2</v>
          </cell>
        </row>
        <row r="997">
          <cell r="A997">
            <v>2019</v>
          </cell>
          <cell r="B997" t="str">
            <v>Budget</v>
          </cell>
          <cell r="C997" t="str">
            <v>Feb</v>
          </cell>
          <cell r="D997" t="str">
            <v>Chairs</v>
          </cell>
          <cell r="E997">
            <v>5236093.7369999997</v>
          </cell>
          <cell r="F997">
            <v>2</v>
          </cell>
        </row>
        <row r="998">
          <cell r="A998">
            <v>2018</v>
          </cell>
          <cell r="B998" t="str">
            <v>Actual</v>
          </cell>
          <cell r="C998" t="str">
            <v>Feb</v>
          </cell>
          <cell r="D998" t="str">
            <v>Chairs</v>
          </cell>
          <cell r="E998">
            <v>38435.697999999997</v>
          </cell>
          <cell r="F998">
            <v>2</v>
          </cell>
        </row>
        <row r="999">
          <cell r="A999">
            <v>2018</v>
          </cell>
          <cell r="B999" t="str">
            <v>Budget</v>
          </cell>
          <cell r="C999" t="str">
            <v>Feb</v>
          </cell>
          <cell r="D999" t="str">
            <v>Chairs</v>
          </cell>
          <cell r="E999">
            <v>119811.307</v>
          </cell>
          <cell r="F999">
            <v>2</v>
          </cell>
        </row>
        <row r="1000">
          <cell r="A1000">
            <v>2019</v>
          </cell>
          <cell r="B1000" t="str">
            <v>Actual</v>
          </cell>
          <cell r="C1000" t="str">
            <v>Feb</v>
          </cell>
          <cell r="D1000" t="str">
            <v>Chairs</v>
          </cell>
          <cell r="E1000">
            <v>717118.38799999992</v>
          </cell>
          <cell r="F1000">
            <v>2</v>
          </cell>
        </row>
        <row r="1001">
          <cell r="A1001">
            <v>2018</v>
          </cell>
          <cell r="B1001" t="str">
            <v>Budget</v>
          </cell>
          <cell r="C1001" t="str">
            <v>Feb</v>
          </cell>
          <cell r="D1001" t="str">
            <v>Chairs</v>
          </cell>
          <cell r="E1001">
            <v>1859054.6029999999</v>
          </cell>
          <cell r="F1001">
            <v>2</v>
          </cell>
        </row>
        <row r="1002">
          <cell r="A1002">
            <v>2018</v>
          </cell>
          <cell r="B1002" t="str">
            <v>Actual</v>
          </cell>
          <cell r="C1002" t="str">
            <v>Feb</v>
          </cell>
          <cell r="D1002" t="str">
            <v>Tables</v>
          </cell>
          <cell r="E1002">
            <v>-423292.98199999996</v>
          </cell>
          <cell r="F1002">
            <v>2</v>
          </cell>
        </row>
        <row r="1003">
          <cell r="A1003">
            <v>2019</v>
          </cell>
          <cell r="B1003" t="str">
            <v>Budget</v>
          </cell>
          <cell r="C1003" t="str">
            <v>Feb</v>
          </cell>
          <cell r="D1003" t="str">
            <v>Kitchen</v>
          </cell>
          <cell r="E1003">
            <v>575627.33899999992</v>
          </cell>
          <cell r="F1003">
            <v>2</v>
          </cell>
        </row>
        <row r="1004">
          <cell r="A1004">
            <v>2019</v>
          </cell>
          <cell r="B1004" t="str">
            <v>Actual</v>
          </cell>
          <cell r="C1004" t="str">
            <v>Feb</v>
          </cell>
          <cell r="D1004" t="str">
            <v>Chairs</v>
          </cell>
          <cell r="E1004">
            <v>383421.41599999997</v>
          </cell>
          <cell r="F1004">
            <v>2</v>
          </cell>
        </row>
        <row r="1005">
          <cell r="A1005">
            <v>2018</v>
          </cell>
          <cell r="B1005" t="str">
            <v>Budget</v>
          </cell>
          <cell r="C1005" t="str">
            <v>Feb</v>
          </cell>
          <cell r="D1005" t="str">
            <v>Chairs</v>
          </cell>
          <cell r="E1005">
            <v>70000.111999999994</v>
          </cell>
          <cell r="F1005">
            <v>2</v>
          </cell>
        </row>
        <row r="1006">
          <cell r="A1006">
            <v>2018</v>
          </cell>
          <cell r="B1006" t="str">
            <v>Actual</v>
          </cell>
          <cell r="C1006" t="str">
            <v>Feb</v>
          </cell>
          <cell r="D1006" t="str">
            <v>Chairs</v>
          </cell>
          <cell r="E1006">
            <v>317656.20600000001</v>
          </cell>
          <cell r="F1006">
            <v>2</v>
          </cell>
        </row>
        <row r="1007">
          <cell r="A1007">
            <v>2019</v>
          </cell>
          <cell r="B1007" t="str">
            <v>Budget</v>
          </cell>
          <cell r="C1007" t="str">
            <v>Feb</v>
          </cell>
          <cell r="D1007" t="str">
            <v>Tables</v>
          </cell>
          <cell r="E1007">
            <v>1474477.8579999998</v>
          </cell>
          <cell r="F1007">
            <v>2</v>
          </cell>
        </row>
        <row r="1008">
          <cell r="A1008">
            <v>2018</v>
          </cell>
          <cell r="B1008" t="str">
            <v>Actual</v>
          </cell>
          <cell r="C1008" t="str">
            <v>Feb</v>
          </cell>
          <cell r="D1008" t="str">
            <v>Kitchen</v>
          </cell>
          <cell r="E1008">
            <v>-16202.262999999999</v>
          </cell>
          <cell r="F1008">
            <v>2</v>
          </cell>
        </row>
        <row r="1009">
          <cell r="A1009">
            <v>2018</v>
          </cell>
          <cell r="B1009" t="str">
            <v>Budget</v>
          </cell>
          <cell r="C1009" t="str">
            <v>Feb</v>
          </cell>
          <cell r="D1009" t="str">
            <v>Chairs</v>
          </cell>
          <cell r="E1009">
            <v>986986.02099999995</v>
          </cell>
          <cell r="F1009">
            <v>2</v>
          </cell>
        </row>
        <row r="1010">
          <cell r="A1010">
            <v>2019</v>
          </cell>
          <cell r="B1010" t="str">
            <v>Actual</v>
          </cell>
          <cell r="C1010" t="str">
            <v>Feb</v>
          </cell>
          <cell r="D1010" t="str">
            <v>Chairs</v>
          </cell>
          <cell r="E1010">
            <v>1409101.379</v>
          </cell>
          <cell r="F1010">
            <v>2</v>
          </cell>
        </row>
        <row r="1011">
          <cell r="A1011">
            <v>2018</v>
          </cell>
          <cell r="B1011" t="str">
            <v>Budget</v>
          </cell>
          <cell r="C1011" t="str">
            <v>Feb</v>
          </cell>
          <cell r="D1011" t="str">
            <v>Tables</v>
          </cell>
          <cell r="E1011">
            <v>1110080.4539999999</v>
          </cell>
          <cell r="F1011">
            <v>2</v>
          </cell>
        </row>
        <row r="1012">
          <cell r="A1012">
            <v>2018</v>
          </cell>
          <cell r="B1012" t="str">
            <v>Actual</v>
          </cell>
          <cell r="C1012" t="str">
            <v>Feb</v>
          </cell>
          <cell r="D1012" t="str">
            <v>Kitchen</v>
          </cell>
          <cell r="E1012">
            <v>6950906.5009999992</v>
          </cell>
          <cell r="F1012">
            <v>2</v>
          </cell>
        </row>
        <row r="1013">
          <cell r="A1013">
            <v>2018</v>
          </cell>
          <cell r="B1013" t="str">
            <v>Budget</v>
          </cell>
          <cell r="C1013" t="str">
            <v>Feb</v>
          </cell>
          <cell r="D1013" t="str">
            <v>Chairs</v>
          </cell>
          <cell r="E1013">
            <v>-195192.92799999999</v>
          </cell>
          <cell r="F1013">
            <v>2</v>
          </cell>
        </row>
        <row r="1014">
          <cell r="A1014">
            <v>2019</v>
          </cell>
          <cell r="B1014" t="str">
            <v>Actual</v>
          </cell>
          <cell r="C1014" t="str">
            <v>Feb</v>
          </cell>
          <cell r="D1014" t="str">
            <v>Chairs</v>
          </cell>
          <cell r="E1014">
            <v>275693.02599999995</v>
          </cell>
          <cell r="F1014">
            <v>2</v>
          </cell>
        </row>
        <row r="1015">
          <cell r="A1015">
            <v>2019</v>
          </cell>
          <cell r="B1015" t="str">
            <v>Budget</v>
          </cell>
          <cell r="C1015" t="str">
            <v>Feb</v>
          </cell>
          <cell r="D1015" t="str">
            <v>Tables</v>
          </cell>
          <cell r="E1015">
            <v>3787714.1539999996</v>
          </cell>
          <cell r="F1015">
            <v>2</v>
          </cell>
        </row>
        <row r="1016">
          <cell r="A1016">
            <v>2018</v>
          </cell>
          <cell r="B1016" t="str">
            <v>Actual</v>
          </cell>
          <cell r="C1016" t="str">
            <v>Feb</v>
          </cell>
          <cell r="D1016" t="str">
            <v>Kitchen</v>
          </cell>
          <cell r="E1016">
            <v>2486732.5209999997</v>
          </cell>
          <cell r="F1016">
            <v>2</v>
          </cell>
        </row>
        <row r="1017">
          <cell r="A1017">
            <v>2018</v>
          </cell>
          <cell r="B1017" t="str">
            <v>Budget</v>
          </cell>
          <cell r="C1017" t="str">
            <v>Feb</v>
          </cell>
          <cell r="D1017" t="str">
            <v>Accessories</v>
          </cell>
          <cell r="E1017">
            <v>444937.98299999995</v>
          </cell>
          <cell r="F1017">
            <v>2</v>
          </cell>
        </row>
        <row r="1018">
          <cell r="A1018">
            <v>2018</v>
          </cell>
          <cell r="B1018" t="str">
            <v>Actual</v>
          </cell>
          <cell r="C1018" t="str">
            <v>Feb</v>
          </cell>
          <cell r="D1018" t="str">
            <v>Chairs</v>
          </cell>
          <cell r="E1018">
            <v>1657113.6049999997</v>
          </cell>
          <cell r="F1018">
            <v>2</v>
          </cell>
        </row>
        <row r="1019">
          <cell r="A1019">
            <v>2018</v>
          </cell>
          <cell r="B1019" t="str">
            <v>Budget</v>
          </cell>
          <cell r="C1019" t="str">
            <v>Feb</v>
          </cell>
          <cell r="D1019" t="str">
            <v>Tables</v>
          </cell>
          <cell r="E1019">
            <v>99350.103999999992</v>
          </cell>
          <cell r="F1019">
            <v>2</v>
          </cell>
        </row>
        <row r="1020">
          <cell r="A1020">
            <v>2019</v>
          </cell>
          <cell r="B1020" t="str">
            <v>Actual</v>
          </cell>
          <cell r="C1020" t="str">
            <v>Feb</v>
          </cell>
          <cell r="D1020" t="str">
            <v>Kitchen</v>
          </cell>
          <cell r="E1020">
            <v>1231908.6079999998</v>
          </cell>
          <cell r="F1020">
            <v>2</v>
          </cell>
        </row>
        <row r="1021">
          <cell r="A1021">
            <v>2018</v>
          </cell>
          <cell r="B1021" t="str">
            <v>Budget</v>
          </cell>
          <cell r="C1021" t="str">
            <v>Feb</v>
          </cell>
          <cell r="D1021" t="str">
            <v>Accessories</v>
          </cell>
          <cell r="E1021">
            <v>15556063.417999998</v>
          </cell>
          <cell r="F1021">
            <v>2</v>
          </cell>
        </row>
        <row r="1022">
          <cell r="A1022">
            <v>2018</v>
          </cell>
          <cell r="B1022" t="str">
            <v>Actual</v>
          </cell>
          <cell r="C1022" t="str">
            <v>Feb</v>
          </cell>
          <cell r="D1022" t="str">
            <v>Chairs</v>
          </cell>
          <cell r="E1022">
            <v>-1712.375</v>
          </cell>
          <cell r="F1022">
            <v>2</v>
          </cell>
        </row>
        <row r="1023">
          <cell r="A1023">
            <v>2018</v>
          </cell>
          <cell r="B1023" t="str">
            <v>Budget</v>
          </cell>
          <cell r="C1023" t="str">
            <v>Feb</v>
          </cell>
          <cell r="D1023" t="str">
            <v>Tables</v>
          </cell>
          <cell r="E1023">
            <v>463641.22699999996</v>
          </cell>
          <cell r="F1023">
            <v>2</v>
          </cell>
        </row>
        <row r="1024">
          <cell r="A1024">
            <v>2019</v>
          </cell>
          <cell r="B1024" t="str">
            <v>Actual</v>
          </cell>
          <cell r="C1024" t="str">
            <v>Feb</v>
          </cell>
          <cell r="D1024" t="str">
            <v>Kitchen</v>
          </cell>
          <cell r="E1024">
            <v>1076943.4759999998</v>
          </cell>
          <cell r="F1024">
            <v>2</v>
          </cell>
        </row>
        <row r="1025">
          <cell r="A1025">
            <v>2018</v>
          </cell>
          <cell r="B1025" t="str">
            <v>Budget</v>
          </cell>
          <cell r="C1025" t="str">
            <v>Feb</v>
          </cell>
          <cell r="D1025" t="str">
            <v>Accessories</v>
          </cell>
          <cell r="E1025">
            <v>253907.00999999998</v>
          </cell>
          <cell r="F1025">
            <v>2</v>
          </cell>
        </row>
        <row r="1026">
          <cell r="A1026">
            <v>2019</v>
          </cell>
          <cell r="B1026" t="str">
            <v>Actual</v>
          </cell>
          <cell r="C1026" t="str">
            <v>Feb</v>
          </cell>
          <cell r="D1026" t="str">
            <v>Chairs</v>
          </cell>
          <cell r="E1026">
            <v>234182.53599999996</v>
          </cell>
          <cell r="F1026">
            <v>2</v>
          </cell>
        </row>
        <row r="1027">
          <cell r="A1027">
            <v>2018</v>
          </cell>
          <cell r="B1027" t="str">
            <v>Budget</v>
          </cell>
          <cell r="C1027" t="str">
            <v>Feb</v>
          </cell>
          <cell r="D1027" t="str">
            <v>Tables</v>
          </cell>
          <cell r="E1027">
            <v>1556896.2569999998</v>
          </cell>
          <cell r="F1027">
            <v>2</v>
          </cell>
        </row>
        <row r="1028">
          <cell r="A1028">
            <v>2018</v>
          </cell>
          <cell r="B1028" t="str">
            <v>Actual</v>
          </cell>
          <cell r="C1028" t="str">
            <v>Feb</v>
          </cell>
          <cell r="D1028" t="str">
            <v>Kitchen</v>
          </cell>
          <cell r="E1028">
            <v>1474252.2969999998</v>
          </cell>
          <cell r="F1028">
            <v>2</v>
          </cell>
        </row>
        <row r="1029">
          <cell r="A1029">
            <v>2019</v>
          </cell>
          <cell r="B1029" t="str">
            <v>Budget</v>
          </cell>
          <cell r="C1029" t="str">
            <v>Feb</v>
          </cell>
          <cell r="D1029" t="str">
            <v>Accessories</v>
          </cell>
          <cell r="E1029">
            <v>926004.82799999998</v>
          </cell>
          <cell r="F1029">
            <v>2</v>
          </cell>
        </row>
        <row r="1030">
          <cell r="A1030">
            <v>2019</v>
          </cell>
          <cell r="B1030" t="str">
            <v>Actual</v>
          </cell>
          <cell r="C1030" t="str">
            <v>Feb</v>
          </cell>
          <cell r="D1030" t="str">
            <v>Chairs</v>
          </cell>
          <cell r="E1030">
            <v>827201.88599999994</v>
          </cell>
          <cell r="F1030">
            <v>2</v>
          </cell>
        </row>
        <row r="1031">
          <cell r="A1031">
            <v>2018</v>
          </cell>
          <cell r="B1031" t="str">
            <v>Budget</v>
          </cell>
          <cell r="C1031" t="str">
            <v>Feb</v>
          </cell>
          <cell r="D1031" t="str">
            <v>Tables</v>
          </cell>
          <cell r="E1031">
            <v>72505.495999999999</v>
          </cell>
          <cell r="F1031">
            <v>2</v>
          </cell>
        </row>
        <row r="1032">
          <cell r="A1032">
            <v>2018</v>
          </cell>
          <cell r="B1032" t="str">
            <v>Actual</v>
          </cell>
          <cell r="C1032" t="str">
            <v>Feb</v>
          </cell>
          <cell r="D1032" t="str">
            <v>Kitchen</v>
          </cell>
          <cell r="E1032">
            <v>1384996.5359999998</v>
          </cell>
          <cell r="F1032">
            <v>2</v>
          </cell>
        </row>
        <row r="1033">
          <cell r="A1033">
            <v>2018</v>
          </cell>
          <cell r="B1033" t="str">
            <v>Budget</v>
          </cell>
          <cell r="C1033" t="str">
            <v>Feb</v>
          </cell>
          <cell r="D1033" t="str">
            <v>Accessories</v>
          </cell>
          <cell r="E1033">
            <v>162089.13699999999</v>
          </cell>
          <cell r="F1033">
            <v>2</v>
          </cell>
        </row>
        <row r="1034">
          <cell r="A1034">
            <v>2018</v>
          </cell>
          <cell r="B1034" t="str">
            <v>Actual</v>
          </cell>
          <cell r="C1034" t="str">
            <v>Feb</v>
          </cell>
          <cell r="D1034" t="str">
            <v>Chairs</v>
          </cell>
          <cell r="E1034">
            <v>419623.25300000003</v>
          </cell>
          <cell r="F1034">
            <v>2</v>
          </cell>
        </row>
        <row r="1035">
          <cell r="A1035">
            <v>2018</v>
          </cell>
          <cell r="B1035" t="str">
            <v>Budget</v>
          </cell>
          <cell r="C1035" t="str">
            <v>Feb</v>
          </cell>
          <cell r="D1035" t="str">
            <v>Chairs</v>
          </cell>
          <cell r="E1035">
            <v>232535.541</v>
          </cell>
          <cell r="F1035">
            <v>2</v>
          </cell>
        </row>
        <row r="1036">
          <cell r="A1036">
            <v>2019</v>
          </cell>
          <cell r="B1036" t="str">
            <v>Actual</v>
          </cell>
          <cell r="C1036" t="str">
            <v>Feb</v>
          </cell>
          <cell r="D1036" t="str">
            <v>Tables</v>
          </cell>
          <cell r="E1036">
            <v>188257.95099999997</v>
          </cell>
          <cell r="F1036">
            <v>2</v>
          </cell>
        </row>
        <row r="1037">
          <cell r="A1037">
            <v>2018</v>
          </cell>
          <cell r="B1037" t="str">
            <v>Budget</v>
          </cell>
          <cell r="C1037" t="str">
            <v>Feb</v>
          </cell>
          <cell r="D1037" t="str">
            <v>Kitchen</v>
          </cell>
          <cell r="E1037">
            <v>317374.51199999999</v>
          </cell>
          <cell r="F1037">
            <v>2</v>
          </cell>
        </row>
        <row r="1038">
          <cell r="A1038">
            <v>2018</v>
          </cell>
          <cell r="B1038" t="str">
            <v>Actual</v>
          </cell>
          <cell r="C1038" t="str">
            <v>Feb</v>
          </cell>
          <cell r="D1038" t="str">
            <v>Chairs</v>
          </cell>
          <cell r="E1038">
            <v>80175.108999999997</v>
          </cell>
          <cell r="F1038">
            <v>2</v>
          </cell>
        </row>
        <row r="1039">
          <cell r="A1039">
            <v>2018</v>
          </cell>
          <cell r="B1039" t="str">
            <v>Budget</v>
          </cell>
          <cell r="C1039" t="str">
            <v>Feb</v>
          </cell>
          <cell r="D1039" t="str">
            <v>Tables</v>
          </cell>
          <cell r="E1039">
            <v>729423.17699999991</v>
          </cell>
          <cell r="F1039">
            <v>2</v>
          </cell>
        </row>
        <row r="1040">
          <cell r="A1040">
            <v>2018</v>
          </cell>
          <cell r="B1040" t="str">
            <v>Actual</v>
          </cell>
          <cell r="C1040" t="str">
            <v>Feb</v>
          </cell>
          <cell r="D1040" t="str">
            <v>Kitchen</v>
          </cell>
          <cell r="E1040">
            <v>90130.145000000004</v>
          </cell>
          <cell r="F1040">
            <v>2</v>
          </cell>
        </row>
        <row r="1041">
          <cell r="A1041">
            <v>2019</v>
          </cell>
          <cell r="B1041" t="str">
            <v>Budget</v>
          </cell>
          <cell r="C1041" t="str">
            <v>Feb</v>
          </cell>
          <cell r="D1041" t="str">
            <v>Chairs</v>
          </cell>
          <cell r="E1041">
            <v>354756.61899999995</v>
          </cell>
          <cell r="F1041">
            <v>2</v>
          </cell>
        </row>
        <row r="1042">
          <cell r="A1042">
            <v>2018</v>
          </cell>
          <cell r="B1042" t="str">
            <v>Actual</v>
          </cell>
          <cell r="C1042" t="str">
            <v>Feb</v>
          </cell>
          <cell r="D1042" t="str">
            <v>Tables</v>
          </cell>
          <cell r="E1042">
            <v>93211.642999999982</v>
          </cell>
          <cell r="F1042">
            <v>2</v>
          </cell>
        </row>
        <row r="1043">
          <cell r="A1043">
            <v>2019</v>
          </cell>
          <cell r="B1043" t="str">
            <v>Budget</v>
          </cell>
          <cell r="C1043" t="str">
            <v>Feb</v>
          </cell>
          <cell r="D1043" t="str">
            <v>Kitchen</v>
          </cell>
          <cell r="E1043">
            <v>245838.85199999998</v>
          </cell>
          <cell r="F1043">
            <v>2</v>
          </cell>
        </row>
        <row r="1044">
          <cell r="A1044">
            <v>2018</v>
          </cell>
          <cell r="B1044" t="str">
            <v>Actual</v>
          </cell>
          <cell r="C1044" t="str">
            <v>Feb</v>
          </cell>
          <cell r="D1044" t="str">
            <v>Chairs</v>
          </cell>
          <cell r="E1044">
            <v>1042241.69</v>
          </cell>
          <cell r="F1044">
            <v>2</v>
          </cell>
        </row>
        <row r="1045">
          <cell r="A1045">
            <v>2019</v>
          </cell>
          <cell r="B1045" t="str">
            <v>Budget</v>
          </cell>
          <cell r="C1045" t="str">
            <v>Feb</v>
          </cell>
          <cell r="D1045" t="str">
            <v>Chairs</v>
          </cell>
          <cell r="E1045">
            <v>20947460.982000001</v>
          </cell>
          <cell r="F1045">
            <v>2</v>
          </cell>
        </row>
        <row r="1046">
          <cell r="A1046">
            <v>2018</v>
          </cell>
          <cell r="B1046" t="str">
            <v>Actual</v>
          </cell>
          <cell r="C1046" t="str">
            <v>Feb</v>
          </cell>
          <cell r="D1046" t="str">
            <v>Chairs</v>
          </cell>
          <cell r="E1046">
            <v>1343990.3539999998</v>
          </cell>
          <cell r="F1046">
            <v>2</v>
          </cell>
        </row>
        <row r="1047">
          <cell r="A1047">
            <v>2018</v>
          </cell>
          <cell r="B1047" t="str">
            <v>Budget</v>
          </cell>
          <cell r="C1047" t="str">
            <v>Feb</v>
          </cell>
          <cell r="D1047" t="str">
            <v>Chairs</v>
          </cell>
          <cell r="E1047">
            <v>3903777.1639999994</v>
          </cell>
          <cell r="F1047">
            <v>2</v>
          </cell>
        </row>
        <row r="1048">
          <cell r="A1048">
            <v>2018</v>
          </cell>
          <cell r="B1048" t="str">
            <v>Actual</v>
          </cell>
          <cell r="C1048" t="str">
            <v>Feb</v>
          </cell>
          <cell r="D1048" t="str">
            <v>Chairs</v>
          </cell>
          <cell r="E1048">
            <v>341701.66099999996</v>
          </cell>
          <cell r="F1048">
            <v>2</v>
          </cell>
        </row>
        <row r="1049">
          <cell r="A1049">
            <v>2018</v>
          </cell>
          <cell r="B1049" t="str">
            <v>Budget</v>
          </cell>
          <cell r="C1049" t="str">
            <v>Feb</v>
          </cell>
          <cell r="D1049" t="str">
            <v>Chairs</v>
          </cell>
          <cell r="E1049">
            <v>3448745.9229999995</v>
          </cell>
          <cell r="F1049">
            <v>2</v>
          </cell>
        </row>
        <row r="1050">
          <cell r="A1050">
            <v>2018</v>
          </cell>
          <cell r="B1050" t="str">
            <v>Actual</v>
          </cell>
          <cell r="C1050" t="str">
            <v>Feb</v>
          </cell>
          <cell r="D1050" t="str">
            <v>Chairs</v>
          </cell>
          <cell r="E1050">
            <v>378203</v>
          </cell>
          <cell r="F1050">
            <v>2</v>
          </cell>
        </row>
        <row r="1051">
          <cell r="A1051">
            <v>2018</v>
          </cell>
          <cell r="B1051" t="str">
            <v>Budget</v>
          </cell>
          <cell r="C1051" t="str">
            <v>Feb</v>
          </cell>
          <cell r="D1051" t="str">
            <v>Chairs</v>
          </cell>
          <cell r="E1051">
            <v>258823.19399999996</v>
          </cell>
          <cell r="F1051">
            <v>2</v>
          </cell>
        </row>
        <row r="1052">
          <cell r="A1052">
            <v>2018</v>
          </cell>
          <cell r="B1052" t="str">
            <v>Actual</v>
          </cell>
          <cell r="C1052" t="str">
            <v>Feb</v>
          </cell>
          <cell r="D1052" t="str">
            <v>Chairs</v>
          </cell>
          <cell r="E1052">
            <v>-3605.1399999999994</v>
          </cell>
          <cell r="F1052">
            <v>2</v>
          </cell>
        </row>
        <row r="1053">
          <cell r="A1053">
            <v>2019</v>
          </cell>
          <cell r="B1053" t="str">
            <v>Budget</v>
          </cell>
          <cell r="C1053" t="str">
            <v>Feb</v>
          </cell>
          <cell r="D1053" t="str">
            <v>Chairs</v>
          </cell>
          <cell r="E1053">
            <v>1466787.371</v>
          </cell>
          <cell r="F1053">
            <v>2</v>
          </cell>
        </row>
        <row r="1054">
          <cell r="A1054">
            <v>2018</v>
          </cell>
          <cell r="B1054" t="str">
            <v>Actual</v>
          </cell>
          <cell r="C1054" t="str">
            <v>Feb</v>
          </cell>
          <cell r="D1054" t="str">
            <v>Chairs</v>
          </cell>
          <cell r="E1054">
            <v>1110254.9219999998</v>
          </cell>
          <cell r="F1054">
            <v>2</v>
          </cell>
        </row>
        <row r="1055">
          <cell r="A1055">
            <v>2019</v>
          </cell>
          <cell r="B1055" t="str">
            <v>Budget</v>
          </cell>
          <cell r="C1055" t="str">
            <v>Feb</v>
          </cell>
          <cell r="D1055" t="str">
            <v>Chairs</v>
          </cell>
          <cell r="E1055">
            <v>632919.6719999999</v>
          </cell>
          <cell r="F1055">
            <v>2</v>
          </cell>
        </row>
        <row r="1056">
          <cell r="A1056">
            <v>2018</v>
          </cell>
          <cell r="B1056" t="str">
            <v>Actual</v>
          </cell>
          <cell r="C1056" t="str">
            <v>Feb</v>
          </cell>
          <cell r="D1056" t="str">
            <v>Chairs</v>
          </cell>
          <cell r="E1056">
            <v>2063422.3540000001</v>
          </cell>
          <cell r="F1056">
            <v>2</v>
          </cell>
        </row>
        <row r="1057">
          <cell r="A1057">
            <v>2018</v>
          </cell>
          <cell r="B1057" t="str">
            <v>Budget</v>
          </cell>
          <cell r="C1057" t="str">
            <v>Feb</v>
          </cell>
          <cell r="D1057" t="str">
            <v>Chairs</v>
          </cell>
          <cell r="E1057">
            <v>1276588.7049999998</v>
          </cell>
          <cell r="F1057">
            <v>2</v>
          </cell>
        </row>
        <row r="1058">
          <cell r="A1058">
            <v>2019</v>
          </cell>
          <cell r="B1058" t="str">
            <v>Actual</v>
          </cell>
          <cell r="C1058" t="str">
            <v>Feb</v>
          </cell>
          <cell r="D1058" t="str">
            <v>Chairs</v>
          </cell>
          <cell r="E1058">
            <v>14516485.774</v>
          </cell>
          <cell r="F1058">
            <v>2</v>
          </cell>
        </row>
        <row r="1059">
          <cell r="A1059">
            <v>2019</v>
          </cell>
          <cell r="B1059" t="str">
            <v>Budget</v>
          </cell>
          <cell r="C1059" t="str">
            <v>Feb</v>
          </cell>
          <cell r="D1059" t="str">
            <v>Chairs</v>
          </cell>
          <cell r="E1059">
            <v>610944.15899999999</v>
          </cell>
          <cell r="F1059">
            <v>2</v>
          </cell>
        </row>
        <row r="1060">
          <cell r="A1060">
            <v>2019</v>
          </cell>
          <cell r="B1060" t="str">
            <v>Actual</v>
          </cell>
          <cell r="C1060" t="str">
            <v>Feb</v>
          </cell>
          <cell r="D1060" t="str">
            <v>Chairs</v>
          </cell>
          <cell r="E1060">
            <v>125668.44499999999</v>
          </cell>
          <cell r="F1060">
            <v>2</v>
          </cell>
        </row>
        <row r="1061">
          <cell r="A1061">
            <v>2018</v>
          </cell>
          <cell r="B1061" t="str">
            <v>Budget</v>
          </cell>
          <cell r="C1061" t="str">
            <v>Feb</v>
          </cell>
          <cell r="D1061" t="str">
            <v>Chairs</v>
          </cell>
          <cell r="E1061">
            <v>1921898.0409999997</v>
          </cell>
          <cell r="F1061">
            <v>2</v>
          </cell>
        </row>
        <row r="1062">
          <cell r="A1062">
            <v>2018</v>
          </cell>
          <cell r="B1062" t="str">
            <v>Actual</v>
          </cell>
          <cell r="C1062" t="str">
            <v>Feb</v>
          </cell>
          <cell r="D1062" t="str">
            <v>Chairs</v>
          </cell>
          <cell r="E1062">
            <v>29699979.015000001</v>
          </cell>
          <cell r="F1062">
            <v>2</v>
          </cell>
        </row>
        <row r="1063">
          <cell r="A1063">
            <v>2019</v>
          </cell>
          <cell r="B1063" t="str">
            <v>Budget</v>
          </cell>
          <cell r="C1063" t="str">
            <v>Feb</v>
          </cell>
          <cell r="D1063" t="str">
            <v>Chairs</v>
          </cell>
          <cell r="E1063">
            <v>68547.48599999999</v>
          </cell>
          <cell r="F1063">
            <v>2</v>
          </cell>
        </row>
        <row r="1064">
          <cell r="A1064">
            <v>2019</v>
          </cell>
          <cell r="B1064" t="str">
            <v>Actual</v>
          </cell>
          <cell r="C1064" t="str">
            <v>Feb</v>
          </cell>
          <cell r="D1064" t="str">
            <v>Chairs</v>
          </cell>
          <cell r="E1064">
            <v>29538.130999999998</v>
          </cell>
          <cell r="F1064">
            <v>2</v>
          </cell>
        </row>
        <row r="1065">
          <cell r="A1065">
            <v>2018</v>
          </cell>
          <cell r="B1065" t="str">
            <v>Budget</v>
          </cell>
          <cell r="C1065" t="str">
            <v>Feb</v>
          </cell>
          <cell r="D1065" t="str">
            <v>Chairs</v>
          </cell>
          <cell r="E1065">
            <v>24998.294999999998</v>
          </cell>
          <cell r="F1065">
            <v>2</v>
          </cell>
        </row>
        <row r="1066">
          <cell r="A1066">
            <v>2018</v>
          </cell>
          <cell r="B1066" t="str">
            <v>Actual</v>
          </cell>
          <cell r="C1066" t="str">
            <v>Feb</v>
          </cell>
          <cell r="D1066" t="str">
            <v>Chairs</v>
          </cell>
          <cell r="E1066">
            <v>261698.40899999999</v>
          </cell>
          <cell r="F1066">
            <v>2</v>
          </cell>
        </row>
        <row r="1067">
          <cell r="A1067">
            <v>2018</v>
          </cell>
          <cell r="B1067" t="str">
            <v>Budget</v>
          </cell>
          <cell r="C1067" t="str">
            <v>Feb</v>
          </cell>
          <cell r="D1067" t="str">
            <v>Chairs</v>
          </cell>
          <cell r="E1067">
            <v>119425.04</v>
          </cell>
          <cell r="F1067">
            <v>2</v>
          </cell>
        </row>
        <row r="1068">
          <cell r="A1068">
            <v>2018</v>
          </cell>
          <cell r="B1068" t="str">
            <v>Actual</v>
          </cell>
          <cell r="C1068" t="str">
            <v>Feb</v>
          </cell>
          <cell r="D1068" t="str">
            <v>Chairs</v>
          </cell>
          <cell r="E1068">
            <v>53066.670999999995</v>
          </cell>
          <cell r="F1068">
            <v>2</v>
          </cell>
        </row>
        <row r="1069">
          <cell r="A1069">
            <v>2018</v>
          </cell>
          <cell r="B1069" t="str">
            <v>Budget</v>
          </cell>
          <cell r="C1069" t="str">
            <v>Feb</v>
          </cell>
          <cell r="D1069" t="str">
            <v>Chairs</v>
          </cell>
          <cell r="E1069">
            <v>36400.601999999999</v>
          </cell>
          <cell r="F1069">
            <v>2</v>
          </cell>
        </row>
        <row r="1070">
          <cell r="A1070">
            <v>2019</v>
          </cell>
          <cell r="B1070" t="str">
            <v>Actual</v>
          </cell>
          <cell r="C1070" t="str">
            <v>Feb</v>
          </cell>
          <cell r="D1070" t="str">
            <v>Tables</v>
          </cell>
          <cell r="E1070">
            <v>455143.68199999997</v>
          </cell>
          <cell r="F1070">
            <v>2</v>
          </cell>
        </row>
        <row r="1071">
          <cell r="A1071">
            <v>2018</v>
          </cell>
          <cell r="B1071" t="str">
            <v>Budget</v>
          </cell>
          <cell r="C1071" t="str">
            <v>Feb</v>
          </cell>
          <cell r="D1071" t="str">
            <v>Kitchen</v>
          </cell>
          <cell r="E1071">
            <v>230107.48599999998</v>
          </cell>
          <cell r="F1071">
            <v>2</v>
          </cell>
        </row>
        <row r="1072">
          <cell r="A1072">
            <v>2019</v>
          </cell>
          <cell r="B1072" t="str">
            <v>Actual</v>
          </cell>
          <cell r="C1072" t="str">
            <v>Feb</v>
          </cell>
          <cell r="D1072" t="str">
            <v>Chairs</v>
          </cell>
          <cell r="E1072">
            <v>-42749.741999999998</v>
          </cell>
          <cell r="F1072">
            <v>2</v>
          </cell>
        </row>
        <row r="1073">
          <cell r="A1073">
            <v>2019</v>
          </cell>
          <cell r="B1073" t="str">
            <v>Budget</v>
          </cell>
          <cell r="C1073" t="str">
            <v>Feb</v>
          </cell>
          <cell r="D1073" t="str">
            <v>Chairs</v>
          </cell>
          <cell r="E1073">
            <v>37864.784999999996</v>
          </cell>
          <cell r="F1073">
            <v>2</v>
          </cell>
        </row>
        <row r="1074">
          <cell r="A1074">
            <v>2019</v>
          </cell>
          <cell r="B1074" t="str">
            <v>Actual</v>
          </cell>
          <cell r="C1074" t="str">
            <v>Feb</v>
          </cell>
          <cell r="D1074" t="str">
            <v>Chairs</v>
          </cell>
          <cell r="E1074">
            <v>178068.38699999999</v>
          </cell>
          <cell r="F1074">
            <v>2</v>
          </cell>
        </row>
        <row r="1075">
          <cell r="A1075">
            <v>2018</v>
          </cell>
          <cell r="B1075" t="str">
            <v>Budget</v>
          </cell>
          <cell r="C1075" t="str">
            <v>Feb</v>
          </cell>
          <cell r="D1075" t="str">
            <v>Chairs</v>
          </cell>
          <cell r="E1075">
            <v>4263183.9949999992</v>
          </cell>
          <cell r="F1075">
            <v>2</v>
          </cell>
        </row>
        <row r="1076">
          <cell r="A1076">
            <v>2019</v>
          </cell>
          <cell r="B1076" t="str">
            <v>Actual</v>
          </cell>
          <cell r="C1076" t="str">
            <v>Feb</v>
          </cell>
          <cell r="D1076" t="str">
            <v>Chairs</v>
          </cell>
          <cell r="E1076">
            <v>2367974.679</v>
          </cell>
          <cell r="F1076">
            <v>2</v>
          </cell>
        </row>
        <row r="1077">
          <cell r="A1077">
            <v>2019</v>
          </cell>
          <cell r="B1077" t="str">
            <v>Budget</v>
          </cell>
          <cell r="C1077" t="str">
            <v>Feb</v>
          </cell>
          <cell r="D1077" t="str">
            <v>Tables</v>
          </cell>
          <cell r="E1077">
            <v>866805.12099999993</v>
          </cell>
          <cell r="F1077">
            <v>2</v>
          </cell>
        </row>
        <row r="1078">
          <cell r="A1078">
            <v>2018</v>
          </cell>
          <cell r="B1078" t="str">
            <v>Actual</v>
          </cell>
          <cell r="C1078" t="str">
            <v>Feb</v>
          </cell>
          <cell r="D1078" t="str">
            <v>Kitchen</v>
          </cell>
          <cell r="E1078">
            <v>3427224.2129999995</v>
          </cell>
          <cell r="F1078">
            <v>2</v>
          </cell>
        </row>
        <row r="1079">
          <cell r="A1079">
            <v>2019</v>
          </cell>
          <cell r="B1079" t="str">
            <v>Budget</v>
          </cell>
          <cell r="C1079" t="str">
            <v>Feb</v>
          </cell>
          <cell r="D1079" t="str">
            <v>Chairs</v>
          </cell>
          <cell r="E1079">
            <v>24605749.399</v>
          </cell>
          <cell r="F1079">
            <v>2</v>
          </cell>
        </row>
        <row r="1080">
          <cell r="A1080">
            <v>2019</v>
          </cell>
          <cell r="B1080" t="str">
            <v>Actual</v>
          </cell>
          <cell r="C1080" t="str">
            <v>Feb</v>
          </cell>
          <cell r="D1080" t="str">
            <v>Chairs</v>
          </cell>
          <cell r="E1080">
            <v>11039291.864999998</v>
          </cell>
          <cell r="F1080">
            <v>2</v>
          </cell>
        </row>
        <row r="1081">
          <cell r="A1081">
            <v>2019</v>
          </cell>
          <cell r="B1081" t="str">
            <v>Budget</v>
          </cell>
          <cell r="C1081" t="str">
            <v>Feb</v>
          </cell>
          <cell r="D1081" t="str">
            <v>Chairs</v>
          </cell>
          <cell r="E1081">
            <v>2530840.0879999995</v>
          </cell>
          <cell r="F1081">
            <v>2</v>
          </cell>
        </row>
        <row r="1082">
          <cell r="A1082">
            <v>2019</v>
          </cell>
          <cell r="B1082" t="str">
            <v>Actual</v>
          </cell>
          <cell r="C1082" t="str">
            <v>Feb</v>
          </cell>
          <cell r="D1082" t="str">
            <v>Tables</v>
          </cell>
          <cell r="E1082">
            <v>10820790.049999999</v>
          </cell>
          <cell r="F1082">
            <v>2</v>
          </cell>
        </row>
        <row r="1083">
          <cell r="A1083">
            <v>2019</v>
          </cell>
          <cell r="B1083" t="str">
            <v>Budget</v>
          </cell>
          <cell r="C1083" t="str">
            <v>Feb</v>
          </cell>
          <cell r="D1083" t="str">
            <v>Kitchen</v>
          </cell>
          <cell r="E1083">
            <v>1939100.1839999999</v>
          </cell>
          <cell r="F1083">
            <v>2</v>
          </cell>
        </row>
        <row r="1084">
          <cell r="A1084">
            <v>2018</v>
          </cell>
          <cell r="B1084" t="str">
            <v>Actual</v>
          </cell>
          <cell r="C1084" t="str">
            <v>Feb</v>
          </cell>
          <cell r="D1084" t="str">
            <v>Chairs</v>
          </cell>
          <cell r="E1084">
            <v>23390.464999999997</v>
          </cell>
          <cell r="F1084">
            <v>2</v>
          </cell>
        </row>
        <row r="1085">
          <cell r="A1085">
            <v>2019</v>
          </cell>
          <cell r="B1085" t="str">
            <v>Budget</v>
          </cell>
          <cell r="C1085" t="str">
            <v>Feb</v>
          </cell>
          <cell r="D1085" t="str">
            <v>Chairs</v>
          </cell>
          <cell r="E1085">
            <v>1643114.3049999999</v>
          </cell>
          <cell r="F1085">
            <v>2</v>
          </cell>
        </row>
        <row r="1086">
          <cell r="A1086">
            <v>2018</v>
          </cell>
          <cell r="B1086" t="str">
            <v>Actual</v>
          </cell>
          <cell r="C1086" t="str">
            <v>Feb</v>
          </cell>
          <cell r="D1086" t="str">
            <v>Tables</v>
          </cell>
          <cell r="E1086">
            <v>45445.063999999998</v>
          </cell>
          <cell r="F1086">
            <v>2</v>
          </cell>
        </row>
        <row r="1087">
          <cell r="A1087">
            <v>2018</v>
          </cell>
          <cell r="B1087" t="str">
            <v>Budget</v>
          </cell>
          <cell r="C1087" t="str">
            <v>Feb</v>
          </cell>
          <cell r="D1087" t="str">
            <v>Kitchen</v>
          </cell>
          <cell r="E1087">
            <v>70417073.971999988</v>
          </cell>
          <cell r="F1087">
            <v>2</v>
          </cell>
        </row>
        <row r="1088">
          <cell r="A1088">
            <v>2018</v>
          </cell>
          <cell r="B1088" t="str">
            <v>Actual</v>
          </cell>
          <cell r="C1088" t="str">
            <v>Feb</v>
          </cell>
          <cell r="D1088" t="str">
            <v>Chairs</v>
          </cell>
          <cell r="E1088">
            <v>205459.81400000001</v>
          </cell>
          <cell r="F1088">
            <v>2</v>
          </cell>
        </row>
        <row r="1089">
          <cell r="A1089">
            <v>2018</v>
          </cell>
          <cell r="B1089" t="str">
            <v>Budget</v>
          </cell>
          <cell r="C1089" t="str">
            <v>Feb</v>
          </cell>
          <cell r="D1089" t="str">
            <v>Chairs</v>
          </cell>
          <cell r="E1089">
            <v>140499.65299999999</v>
          </cell>
          <cell r="F1089">
            <v>2</v>
          </cell>
        </row>
        <row r="1090">
          <cell r="A1090">
            <v>2019</v>
          </cell>
          <cell r="B1090" t="str">
            <v>Actual</v>
          </cell>
          <cell r="C1090" t="str">
            <v>Feb</v>
          </cell>
          <cell r="D1090" t="str">
            <v>Tables</v>
          </cell>
          <cell r="E1090">
            <v>471921.58299999993</v>
          </cell>
          <cell r="F1090">
            <v>2</v>
          </cell>
        </row>
        <row r="1091">
          <cell r="A1091">
            <v>2018</v>
          </cell>
          <cell r="B1091" t="str">
            <v>Budget</v>
          </cell>
          <cell r="C1091" t="str">
            <v>Feb</v>
          </cell>
          <cell r="D1091" t="str">
            <v>Chairs</v>
          </cell>
          <cell r="E1091">
            <v>1895230.9949999999</v>
          </cell>
          <cell r="F1091">
            <v>2</v>
          </cell>
        </row>
        <row r="1092">
          <cell r="A1092">
            <v>2019</v>
          </cell>
          <cell r="B1092" t="str">
            <v>Actual</v>
          </cell>
          <cell r="C1092" t="str">
            <v>Feb</v>
          </cell>
          <cell r="D1092" t="str">
            <v>Tables</v>
          </cell>
          <cell r="E1092">
            <v>354649.07799999998</v>
          </cell>
          <cell r="F1092">
            <v>2</v>
          </cell>
        </row>
        <row r="1093">
          <cell r="A1093">
            <v>2018</v>
          </cell>
          <cell r="B1093" t="str">
            <v>Budget</v>
          </cell>
          <cell r="C1093" t="str">
            <v>Feb</v>
          </cell>
          <cell r="D1093" t="str">
            <v>Kitchen</v>
          </cell>
          <cell r="E1093">
            <v>14202.852999999999</v>
          </cell>
          <cell r="F1093">
            <v>2</v>
          </cell>
        </row>
        <row r="1094">
          <cell r="A1094">
            <v>2019</v>
          </cell>
          <cell r="B1094" t="str">
            <v>Actual</v>
          </cell>
          <cell r="C1094" t="str">
            <v>Feb</v>
          </cell>
          <cell r="D1094" t="str">
            <v>Accessories</v>
          </cell>
          <cell r="E1094">
            <v>370071.28200000001</v>
          </cell>
          <cell r="F1094">
            <v>2</v>
          </cell>
        </row>
        <row r="1095">
          <cell r="A1095">
            <v>2019</v>
          </cell>
          <cell r="B1095" t="str">
            <v>Budget</v>
          </cell>
          <cell r="C1095" t="str">
            <v>Feb</v>
          </cell>
          <cell r="D1095" t="str">
            <v>Chairs</v>
          </cell>
          <cell r="E1095">
            <v>6393.3590000000004</v>
          </cell>
          <cell r="F1095">
            <v>2</v>
          </cell>
        </row>
        <row r="1096">
          <cell r="A1096">
            <v>2018</v>
          </cell>
          <cell r="B1096" t="str">
            <v>Actual</v>
          </cell>
          <cell r="C1096" t="str">
            <v>Feb</v>
          </cell>
          <cell r="D1096" t="str">
            <v>Tables</v>
          </cell>
          <cell r="E1096">
            <v>70819.755999999994</v>
          </cell>
          <cell r="F1096">
            <v>2</v>
          </cell>
        </row>
        <row r="1097">
          <cell r="A1097">
            <v>2019</v>
          </cell>
          <cell r="B1097" t="str">
            <v>Budget</v>
          </cell>
          <cell r="C1097" t="str">
            <v>Feb</v>
          </cell>
          <cell r="D1097" t="str">
            <v>Kitchen</v>
          </cell>
          <cell r="E1097">
            <v>1108732.3729999999</v>
          </cell>
          <cell r="F1097">
            <v>2</v>
          </cell>
        </row>
        <row r="1098">
          <cell r="A1098">
            <v>2018</v>
          </cell>
          <cell r="B1098" t="str">
            <v>Actual</v>
          </cell>
          <cell r="C1098" t="str">
            <v>Feb</v>
          </cell>
          <cell r="D1098" t="str">
            <v>Accessories</v>
          </cell>
          <cell r="E1098">
            <v>481375.89499999996</v>
          </cell>
          <cell r="F1098">
            <v>2</v>
          </cell>
        </row>
        <row r="1099">
          <cell r="A1099">
            <v>2018</v>
          </cell>
          <cell r="B1099" t="str">
            <v>Budget</v>
          </cell>
          <cell r="C1099" t="str">
            <v>Feb</v>
          </cell>
          <cell r="D1099" t="str">
            <v>Chairs</v>
          </cell>
          <cell r="E1099">
            <v>377429.32499999995</v>
          </cell>
          <cell r="F1099">
            <v>2</v>
          </cell>
        </row>
        <row r="1100">
          <cell r="A1100">
            <v>2018</v>
          </cell>
          <cell r="B1100" t="str">
            <v>Actual</v>
          </cell>
          <cell r="C1100" t="str">
            <v>Feb</v>
          </cell>
          <cell r="D1100" t="str">
            <v>Tables</v>
          </cell>
          <cell r="E1100">
            <v>616512.13399999996</v>
          </cell>
          <cell r="F1100">
            <v>2</v>
          </cell>
        </row>
        <row r="1101">
          <cell r="A1101">
            <v>2019</v>
          </cell>
          <cell r="B1101" t="str">
            <v>Budget</v>
          </cell>
          <cell r="C1101" t="str">
            <v>Feb</v>
          </cell>
          <cell r="D1101" t="str">
            <v>Kitchen</v>
          </cell>
          <cell r="E1101">
            <v>332221.80599999998</v>
          </cell>
          <cell r="F1101">
            <v>2</v>
          </cell>
        </row>
        <row r="1102">
          <cell r="A1102">
            <v>2019</v>
          </cell>
          <cell r="B1102" t="str">
            <v>Actual</v>
          </cell>
          <cell r="C1102" t="str">
            <v>Feb</v>
          </cell>
          <cell r="D1102" t="str">
            <v>Accessories</v>
          </cell>
          <cell r="E1102">
            <v>3914835.6869999999</v>
          </cell>
          <cell r="F1102">
            <v>2</v>
          </cell>
        </row>
        <row r="1103">
          <cell r="A1103">
            <v>2019</v>
          </cell>
          <cell r="B1103" t="str">
            <v>Budget</v>
          </cell>
          <cell r="C1103" t="str">
            <v>Feb</v>
          </cell>
          <cell r="D1103" t="str">
            <v>Chairs</v>
          </cell>
          <cell r="E1103">
            <v>130787.636</v>
          </cell>
          <cell r="F1103">
            <v>2</v>
          </cell>
        </row>
        <row r="1104">
          <cell r="A1104">
            <v>2018</v>
          </cell>
          <cell r="B1104" t="str">
            <v>Actual</v>
          </cell>
          <cell r="C1104" t="str">
            <v>Feb</v>
          </cell>
          <cell r="D1104" t="str">
            <v>Tables</v>
          </cell>
          <cell r="E1104">
            <v>60927.75499999999</v>
          </cell>
          <cell r="F1104">
            <v>2</v>
          </cell>
        </row>
        <row r="1105">
          <cell r="A1105">
            <v>2019</v>
          </cell>
          <cell r="B1105" t="str">
            <v>Budget</v>
          </cell>
          <cell r="C1105" t="str">
            <v>Feb</v>
          </cell>
          <cell r="D1105" t="str">
            <v>Kitchen</v>
          </cell>
          <cell r="E1105">
            <v>310054.185</v>
          </cell>
          <cell r="F1105">
            <v>2</v>
          </cell>
        </row>
        <row r="1106">
          <cell r="A1106">
            <v>2018</v>
          </cell>
          <cell r="B1106" t="str">
            <v>Actual</v>
          </cell>
          <cell r="C1106" t="str">
            <v>Feb</v>
          </cell>
          <cell r="D1106" t="str">
            <v>Accessories</v>
          </cell>
          <cell r="E1106">
            <v>9719946.9359999988</v>
          </cell>
          <cell r="F1106">
            <v>2</v>
          </cell>
        </row>
        <row r="1107">
          <cell r="A1107">
            <v>2018</v>
          </cell>
          <cell r="B1107" t="str">
            <v>Budget</v>
          </cell>
          <cell r="C1107" t="str">
            <v>Feb</v>
          </cell>
          <cell r="D1107" t="str">
            <v>Chairs</v>
          </cell>
          <cell r="E1107">
            <v>1910584.179</v>
          </cell>
          <cell r="F1107">
            <v>2</v>
          </cell>
        </row>
        <row r="1108">
          <cell r="A1108">
            <v>2019</v>
          </cell>
          <cell r="B1108" t="str">
            <v>Actual</v>
          </cell>
          <cell r="C1108" t="str">
            <v>Feb</v>
          </cell>
          <cell r="D1108" t="str">
            <v>Chairs</v>
          </cell>
          <cell r="E1108">
            <v>162765.56099999999</v>
          </cell>
          <cell r="F1108">
            <v>2</v>
          </cell>
        </row>
        <row r="1109">
          <cell r="A1109">
            <v>2018</v>
          </cell>
          <cell r="B1109" t="str">
            <v>Budget</v>
          </cell>
          <cell r="C1109" t="str">
            <v>Feb</v>
          </cell>
          <cell r="D1109" t="str">
            <v>Tables</v>
          </cell>
          <cell r="E1109">
            <v>35933.856</v>
          </cell>
          <cell r="F1109">
            <v>2</v>
          </cell>
        </row>
        <row r="1110">
          <cell r="A1110">
            <v>2018</v>
          </cell>
          <cell r="B1110" t="str">
            <v>Actual</v>
          </cell>
          <cell r="C1110" t="str">
            <v>Feb</v>
          </cell>
          <cell r="D1110" t="str">
            <v>Kitchen</v>
          </cell>
          <cell r="E1110">
            <v>527433.06000000006</v>
          </cell>
          <cell r="F1110">
            <v>2</v>
          </cell>
        </row>
        <row r="1111">
          <cell r="A1111">
            <v>2018</v>
          </cell>
          <cell r="B1111" t="str">
            <v>Budget</v>
          </cell>
          <cell r="C1111" t="str">
            <v>Feb</v>
          </cell>
          <cell r="D1111" t="str">
            <v>Chairs</v>
          </cell>
          <cell r="E1111">
            <v>2212156.429</v>
          </cell>
          <cell r="F1111">
            <v>2</v>
          </cell>
        </row>
        <row r="1112">
          <cell r="A1112">
            <v>2019</v>
          </cell>
          <cell r="B1112" t="str">
            <v>Actual</v>
          </cell>
          <cell r="C1112" t="str">
            <v>Feb</v>
          </cell>
          <cell r="D1112" t="str">
            <v>Tables</v>
          </cell>
          <cell r="E1112">
            <v>8188149.7389999991</v>
          </cell>
          <cell r="F1112">
            <v>2</v>
          </cell>
        </row>
        <row r="1113">
          <cell r="A1113">
            <v>2018</v>
          </cell>
          <cell r="B1113" t="str">
            <v>Budget</v>
          </cell>
          <cell r="C1113" t="str">
            <v>Feb</v>
          </cell>
          <cell r="D1113" t="str">
            <v>Kitchen</v>
          </cell>
          <cell r="E1113">
            <v>1050781.8019999999</v>
          </cell>
          <cell r="F1113">
            <v>2</v>
          </cell>
        </row>
        <row r="1114">
          <cell r="A1114">
            <v>2018</v>
          </cell>
          <cell r="B1114" t="str">
            <v>Actual</v>
          </cell>
          <cell r="C1114" t="str">
            <v>Feb</v>
          </cell>
          <cell r="D1114" t="str">
            <v>Chairs</v>
          </cell>
          <cell r="E1114">
            <v>993744.18499999994</v>
          </cell>
          <cell r="F1114">
            <v>2</v>
          </cell>
        </row>
        <row r="1115">
          <cell r="A1115">
            <v>2019</v>
          </cell>
          <cell r="B1115" t="str">
            <v>Budget</v>
          </cell>
          <cell r="C1115" t="str">
            <v>Feb</v>
          </cell>
          <cell r="D1115" t="str">
            <v>Tables</v>
          </cell>
          <cell r="E1115">
            <v>1576601.6629999997</v>
          </cell>
          <cell r="F1115">
            <v>2</v>
          </cell>
        </row>
        <row r="1116">
          <cell r="A1116">
            <v>2019</v>
          </cell>
          <cell r="B1116" t="str">
            <v>Actual</v>
          </cell>
          <cell r="C1116" t="str">
            <v>Feb</v>
          </cell>
          <cell r="D1116" t="str">
            <v>Kitchen</v>
          </cell>
          <cell r="E1116">
            <v>3481036.202</v>
          </cell>
          <cell r="F1116">
            <v>2</v>
          </cell>
        </row>
        <row r="1117">
          <cell r="A1117">
            <v>2018</v>
          </cell>
          <cell r="B1117" t="str">
            <v>Budget</v>
          </cell>
          <cell r="C1117" t="str">
            <v>Feb</v>
          </cell>
          <cell r="D1117" t="str">
            <v>Chairs</v>
          </cell>
          <cell r="E1117">
            <v>6776.8679999999995</v>
          </cell>
          <cell r="F1117">
            <v>2</v>
          </cell>
        </row>
        <row r="1118">
          <cell r="A1118">
            <v>2018</v>
          </cell>
          <cell r="B1118" t="str">
            <v>Actual</v>
          </cell>
          <cell r="C1118" t="str">
            <v>Feb</v>
          </cell>
          <cell r="D1118" t="str">
            <v>Chairs</v>
          </cell>
          <cell r="E1118">
            <v>3635727.6340000001</v>
          </cell>
          <cell r="F1118">
            <v>2</v>
          </cell>
        </row>
        <row r="1119">
          <cell r="A1119">
            <v>2019</v>
          </cell>
          <cell r="B1119" t="str">
            <v>Budget</v>
          </cell>
          <cell r="C1119" t="str">
            <v>Feb</v>
          </cell>
          <cell r="D1119" t="str">
            <v>Chairs</v>
          </cell>
          <cell r="E1119">
            <v>2396716.5739999996</v>
          </cell>
          <cell r="F1119">
            <v>2</v>
          </cell>
        </row>
        <row r="1120">
          <cell r="A1120">
            <v>2018</v>
          </cell>
          <cell r="B1120" t="str">
            <v>Actual</v>
          </cell>
          <cell r="C1120" t="str">
            <v>Feb</v>
          </cell>
          <cell r="D1120" t="str">
            <v>Chairs</v>
          </cell>
          <cell r="E1120">
            <v>1291736.0819999999</v>
          </cell>
          <cell r="F1120">
            <v>2</v>
          </cell>
        </row>
        <row r="1121">
          <cell r="A1121">
            <v>2018</v>
          </cell>
          <cell r="B1121" t="str">
            <v>Budget</v>
          </cell>
          <cell r="C1121" t="str">
            <v>Feb</v>
          </cell>
          <cell r="D1121" t="str">
            <v>Chairs</v>
          </cell>
          <cell r="E1121">
            <v>2712044.2859999998</v>
          </cell>
          <cell r="F1121">
            <v>2</v>
          </cell>
        </row>
        <row r="1122">
          <cell r="A1122">
            <v>2019</v>
          </cell>
          <cell r="B1122" t="str">
            <v>Actual</v>
          </cell>
          <cell r="C1122" t="str">
            <v>Feb</v>
          </cell>
          <cell r="D1122" t="str">
            <v>Chairs</v>
          </cell>
          <cell r="E1122">
            <v>9850743.0979999993</v>
          </cell>
          <cell r="F1122">
            <v>2</v>
          </cell>
        </row>
        <row r="1123">
          <cell r="A1123">
            <v>2018</v>
          </cell>
          <cell r="B1123" t="str">
            <v>Budget</v>
          </cell>
          <cell r="C1123" t="str">
            <v>Feb</v>
          </cell>
          <cell r="D1123" t="str">
            <v>Chairs</v>
          </cell>
          <cell r="E1123">
            <v>2891191.9189999998</v>
          </cell>
          <cell r="F1123">
            <v>2</v>
          </cell>
        </row>
        <row r="1124">
          <cell r="A1124">
            <v>2019</v>
          </cell>
          <cell r="B1124" t="str">
            <v>Actual</v>
          </cell>
          <cell r="C1124" t="str">
            <v>Feb</v>
          </cell>
          <cell r="D1124" t="str">
            <v>Chairs</v>
          </cell>
          <cell r="E1124">
            <v>3311004.2629999998</v>
          </cell>
          <cell r="F1124">
            <v>2</v>
          </cell>
        </row>
        <row r="1125">
          <cell r="A1125">
            <v>2019</v>
          </cell>
          <cell r="B1125" t="str">
            <v>Budget</v>
          </cell>
          <cell r="C1125" t="str">
            <v>Feb</v>
          </cell>
          <cell r="D1125" t="str">
            <v>Chairs</v>
          </cell>
          <cell r="E1125">
            <v>1747191.2919999999</v>
          </cell>
          <cell r="F1125">
            <v>2</v>
          </cell>
        </row>
        <row r="1126">
          <cell r="A1126">
            <v>2018</v>
          </cell>
          <cell r="B1126" t="str">
            <v>Actual</v>
          </cell>
          <cell r="C1126" t="str">
            <v>Feb</v>
          </cell>
          <cell r="D1126" t="str">
            <v>Chairs</v>
          </cell>
          <cell r="E1126">
            <v>4585226.925999999</v>
          </cell>
          <cell r="F1126">
            <v>2</v>
          </cell>
        </row>
        <row r="1127">
          <cell r="A1127">
            <v>2018</v>
          </cell>
          <cell r="B1127" t="str">
            <v>Budget</v>
          </cell>
          <cell r="C1127" t="str">
            <v>Feb</v>
          </cell>
          <cell r="D1127" t="str">
            <v>Chairs</v>
          </cell>
          <cell r="E1127">
            <v>1298944.7379999999</v>
          </cell>
          <cell r="F1127">
            <v>2</v>
          </cell>
        </row>
        <row r="1128">
          <cell r="A1128">
            <v>2018</v>
          </cell>
          <cell r="B1128" t="str">
            <v>Actual</v>
          </cell>
          <cell r="C1128" t="str">
            <v>Feb</v>
          </cell>
          <cell r="D1128" t="str">
            <v>Chairs</v>
          </cell>
          <cell r="E1128">
            <v>1108284.996</v>
          </cell>
          <cell r="F1128">
            <v>2</v>
          </cell>
        </row>
        <row r="1129">
          <cell r="A1129">
            <v>2019</v>
          </cell>
          <cell r="B1129" t="str">
            <v>Budget</v>
          </cell>
          <cell r="C1129" t="str">
            <v>Feb</v>
          </cell>
          <cell r="D1129" t="str">
            <v>Chairs</v>
          </cell>
          <cell r="E1129">
            <v>128683.84199999999</v>
          </cell>
          <cell r="F1129">
            <v>2</v>
          </cell>
        </row>
        <row r="1130">
          <cell r="A1130">
            <v>2018</v>
          </cell>
          <cell r="B1130" t="str">
            <v>Actual</v>
          </cell>
          <cell r="C1130" t="str">
            <v>Feb</v>
          </cell>
          <cell r="D1130" t="str">
            <v>Chairs</v>
          </cell>
          <cell r="E1130">
            <v>171258.71699999998</v>
          </cell>
          <cell r="F1130">
            <v>2</v>
          </cell>
        </row>
        <row r="1131">
          <cell r="A1131">
            <v>2018</v>
          </cell>
          <cell r="B1131" t="str">
            <v>Budget</v>
          </cell>
          <cell r="C1131" t="str">
            <v>Feb</v>
          </cell>
          <cell r="D1131" t="str">
            <v>Chairs</v>
          </cell>
          <cell r="E1131">
            <v>131812.37299999999</v>
          </cell>
          <cell r="F1131">
            <v>2</v>
          </cell>
        </row>
        <row r="1132">
          <cell r="A1132">
            <v>2019</v>
          </cell>
          <cell r="B1132" t="str">
            <v>Actual</v>
          </cell>
          <cell r="C1132" t="str">
            <v>Feb</v>
          </cell>
          <cell r="D1132" t="str">
            <v>Chairs</v>
          </cell>
          <cell r="E1132">
            <v>431496.359</v>
          </cell>
          <cell r="F1132">
            <v>2</v>
          </cell>
        </row>
        <row r="1133">
          <cell r="A1133">
            <v>2019</v>
          </cell>
          <cell r="B1133" t="str">
            <v>Budget</v>
          </cell>
          <cell r="C1133" t="str">
            <v>Feb</v>
          </cell>
          <cell r="D1133" t="str">
            <v>Chairs</v>
          </cell>
          <cell r="E1133">
            <v>33134980.402999997</v>
          </cell>
          <cell r="F1133">
            <v>2</v>
          </cell>
        </row>
        <row r="1134">
          <cell r="A1134">
            <v>2019</v>
          </cell>
          <cell r="B1134" t="str">
            <v>Actual</v>
          </cell>
          <cell r="C1134" t="str">
            <v>Feb</v>
          </cell>
          <cell r="D1134" t="str">
            <v>Chairs</v>
          </cell>
          <cell r="E1134">
            <v>256893.35699999999</v>
          </cell>
          <cell r="F1134">
            <v>2</v>
          </cell>
        </row>
        <row r="1135">
          <cell r="A1135">
            <v>2019</v>
          </cell>
          <cell r="B1135" t="str">
            <v>Budget</v>
          </cell>
          <cell r="C1135" t="str">
            <v>Feb</v>
          </cell>
          <cell r="D1135" t="str">
            <v>Chairs</v>
          </cell>
          <cell r="E1135">
            <v>29438.170999999998</v>
          </cell>
          <cell r="F1135">
            <v>2</v>
          </cell>
        </row>
        <row r="1136">
          <cell r="A1136">
            <v>2018</v>
          </cell>
          <cell r="B1136" t="str">
            <v>Actual</v>
          </cell>
          <cell r="C1136" t="str">
            <v>Feb</v>
          </cell>
          <cell r="D1136" t="str">
            <v>Chairs</v>
          </cell>
          <cell r="E1136">
            <v>393822.67399999994</v>
          </cell>
          <cell r="F1136">
            <v>2</v>
          </cell>
        </row>
        <row r="1137">
          <cell r="A1137">
            <v>2019</v>
          </cell>
          <cell r="B1137" t="str">
            <v>Budget</v>
          </cell>
          <cell r="C1137" t="str">
            <v>Feb</v>
          </cell>
          <cell r="D1137" t="str">
            <v>Chairs</v>
          </cell>
          <cell r="E1137">
            <v>458387.13199999998</v>
          </cell>
          <cell r="F1137">
            <v>2</v>
          </cell>
        </row>
        <row r="1138">
          <cell r="A1138">
            <v>2018</v>
          </cell>
          <cell r="B1138" t="str">
            <v>Actual</v>
          </cell>
          <cell r="C1138" t="str">
            <v>Feb</v>
          </cell>
          <cell r="D1138" t="str">
            <v>Chairs</v>
          </cell>
          <cell r="E1138">
            <v>99816.633000000002</v>
          </cell>
          <cell r="F1138">
            <v>2</v>
          </cell>
        </row>
        <row r="1139">
          <cell r="A1139">
            <v>2019</v>
          </cell>
          <cell r="B1139" t="str">
            <v>Budget</v>
          </cell>
          <cell r="C1139" t="str">
            <v>Feb</v>
          </cell>
          <cell r="D1139" t="str">
            <v>Chairs</v>
          </cell>
          <cell r="E1139">
            <v>99793.028999999995</v>
          </cell>
          <cell r="F1139">
            <v>2</v>
          </cell>
        </row>
        <row r="1140">
          <cell r="A1140">
            <v>2019</v>
          </cell>
          <cell r="B1140" t="str">
            <v>Actual</v>
          </cell>
          <cell r="C1140" t="str">
            <v>Feb</v>
          </cell>
          <cell r="D1140" t="str">
            <v>Chairs</v>
          </cell>
          <cell r="E1140">
            <v>251511.24600000001</v>
          </cell>
          <cell r="F1140">
            <v>2</v>
          </cell>
        </row>
        <row r="1141">
          <cell r="A1141">
            <v>2019</v>
          </cell>
          <cell r="B1141" t="str">
            <v>Budget</v>
          </cell>
          <cell r="C1141" t="str">
            <v>Feb</v>
          </cell>
          <cell r="D1141" t="str">
            <v>Chairs</v>
          </cell>
          <cell r="E1141">
            <v>182039.361</v>
          </cell>
          <cell r="F1141">
            <v>2</v>
          </cell>
        </row>
        <row r="1142">
          <cell r="A1142">
            <v>2018</v>
          </cell>
          <cell r="B1142" t="str">
            <v>Actual</v>
          </cell>
          <cell r="C1142" t="str">
            <v>Feb</v>
          </cell>
          <cell r="D1142" t="str">
            <v>Chairs</v>
          </cell>
          <cell r="E1142">
            <v>812183.35799999989</v>
          </cell>
          <cell r="F1142">
            <v>2</v>
          </cell>
        </row>
        <row r="1143">
          <cell r="A1143">
            <v>2019</v>
          </cell>
          <cell r="B1143" t="str">
            <v>Budget</v>
          </cell>
          <cell r="C1143" t="str">
            <v>Feb</v>
          </cell>
          <cell r="D1143" t="str">
            <v>Tables</v>
          </cell>
          <cell r="E1143">
            <v>518410.99799999996</v>
          </cell>
          <cell r="F1143">
            <v>2</v>
          </cell>
        </row>
        <row r="1144">
          <cell r="A1144">
            <v>2018</v>
          </cell>
          <cell r="B1144" t="str">
            <v>Actual</v>
          </cell>
          <cell r="C1144" t="str">
            <v>Feb</v>
          </cell>
          <cell r="D1144" t="str">
            <v>Kitchen</v>
          </cell>
          <cell r="E1144">
            <v>284810.84099999996</v>
          </cell>
          <cell r="F1144">
            <v>2</v>
          </cell>
        </row>
        <row r="1145">
          <cell r="A1145">
            <v>2019</v>
          </cell>
          <cell r="B1145" t="str">
            <v>Budget</v>
          </cell>
          <cell r="C1145" t="str">
            <v>Feb</v>
          </cell>
          <cell r="D1145" t="str">
            <v>Chairs</v>
          </cell>
          <cell r="E1145">
            <v>7467.4599999999991</v>
          </cell>
          <cell r="F1145">
            <v>2</v>
          </cell>
        </row>
        <row r="1146">
          <cell r="A1146">
            <v>2019</v>
          </cell>
          <cell r="B1146" t="str">
            <v>Actual</v>
          </cell>
          <cell r="C1146" t="str">
            <v>Feb</v>
          </cell>
          <cell r="D1146" t="str">
            <v>Chairs</v>
          </cell>
          <cell r="E1146">
            <v>137538.14199999999</v>
          </cell>
          <cell r="F1146">
            <v>2</v>
          </cell>
        </row>
        <row r="1147">
          <cell r="A1147">
            <v>2019</v>
          </cell>
          <cell r="B1147" t="str">
            <v>Budget</v>
          </cell>
          <cell r="C1147" t="str">
            <v>Feb</v>
          </cell>
          <cell r="D1147" t="str">
            <v>Chairs</v>
          </cell>
          <cell r="E1147">
            <v>741794.71799999999</v>
          </cell>
          <cell r="F1147">
            <v>2</v>
          </cell>
        </row>
        <row r="1148">
          <cell r="A1148">
            <v>2018</v>
          </cell>
          <cell r="B1148" t="str">
            <v>Actual</v>
          </cell>
          <cell r="C1148" t="str">
            <v>Feb</v>
          </cell>
          <cell r="D1148" t="str">
            <v>Chairs</v>
          </cell>
          <cell r="E1148">
            <v>89464.087999999989</v>
          </cell>
          <cell r="F1148">
            <v>2</v>
          </cell>
        </row>
        <row r="1149">
          <cell r="A1149">
            <v>2018</v>
          </cell>
          <cell r="B1149" t="str">
            <v>Budget</v>
          </cell>
          <cell r="C1149" t="str">
            <v>Feb</v>
          </cell>
          <cell r="D1149" t="str">
            <v>Chairs</v>
          </cell>
          <cell r="E1149">
            <v>215298.223</v>
          </cell>
          <cell r="F1149">
            <v>2</v>
          </cell>
        </row>
        <row r="1150">
          <cell r="A1150">
            <v>2019</v>
          </cell>
          <cell r="B1150" t="str">
            <v>Actual</v>
          </cell>
          <cell r="C1150" t="str">
            <v>Feb</v>
          </cell>
          <cell r="D1150" t="str">
            <v>Tables</v>
          </cell>
          <cell r="E1150">
            <v>1086060.1709999999</v>
          </cell>
          <cell r="F1150">
            <v>2</v>
          </cell>
        </row>
        <row r="1151">
          <cell r="A1151">
            <v>2019</v>
          </cell>
          <cell r="B1151" t="str">
            <v>Budget</v>
          </cell>
          <cell r="C1151" t="str">
            <v>Feb</v>
          </cell>
          <cell r="D1151" t="str">
            <v>Kitchen</v>
          </cell>
          <cell r="E1151">
            <v>170221.60399999999</v>
          </cell>
          <cell r="F1151">
            <v>2</v>
          </cell>
        </row>
        <row r="1152">
          <cell r="A1152">
            <v>2019</v>
          </cell>
          <cell r="B1152" t="str">
            <v>Actual</v>
          </cell>
          <cell r="C1152" t="str">
            <v>Feb</v>
          </cell>
          <cell r="D1152" t="str">
            <v>Chairs</v>
          </cell>
          <cell r="E1152">
            <v>2471973.8329999996</v>
          </cell>
          <cell r="F1152">
            <v>2</v>
          </cell>
        </row>
        <row r="1153">
          <cell r="A1153">
            <v>2018</v>
          </cell>
          <cell r="B1153" t="str">
            <v>Budget</v>
          </cell>
          <cell r="C1153" t="str">
            <v>Feb</v>
          </cell>
          <cell r="D1153" t="str">
            <v>Chairs</v>
          </cell>
          <cell r="E1153">
            <v>1544447.4849999999</v>
          </cell>
          <cell r="F1153">
            <v>2</v>
          </cell>
        </row>
        <row r="1154">
          <cell r="A1154">
            <v>2019</v>
          </cell>
          <cell r="B1154" t="str">
            <v>Actual</v>
          </cell>
          <cell r="C1154" t="str">
            <v>Feb</v>
          </cell>
          <cell r="D1154" t="str">
            <v>Chairs</v>
          </cell>
          <cell r="E1154">
            <v>1700377.1469999999</v>
          </cell>
          <cell r="F1154">
            <v>2</v>
          </cell>
        </row>
        <row r="1155">
          <cell r="A1155">
            <v>2019</v>
          </cell>
          <cell r="B1155" t="str">
            <v>Budget</v>
          </cell>
          <cell r="C1155" t="str">
            <v>Feb</v>
          </cell>
          <cell r="D1155" t="str">
            <v>Tables</v>
          </cell>
          <cell r="E1155">
            <v>415601.81599999999</v>
          </cell>
          <cell r="F1155">
            <v>2</v>
          </cell>
        </row>
        <row r="1156">
          <cell r="A1156">
            <v>2019</v>
          </cell>
          <cell r="B1156" t="str">
            <v>Actual</v>
          </cell>
          <cell r="C1156" t="str">
            <v>Feb</v>
          </cell>
          <cell r="D1156" t="str">
            <v>Kitchen</v>
          </cell>
          <cell r="E1156">
            <v>405553.20399999997</v>
          </cell>
          <cell r="F1156">
            <v>2</v>
          </cell>
        </row>
        <row r="1157">
          <cell r="A1157">
            <v>2019</v>
          </cell>
          <cell r="B1157" t="str">
            <v>Budget</v>
          </cell>
          <cell r="C1157" t="str">
            <v>Feb</v>
          </cell>
          <cell r="D1157" t="str">
            <v>Chairs</v>
          </cell>
          <cell r="E1157">
            <v>643347.53</v>
          </cell>
          <cell r="F1157">
            <v>2</v>
          </cell>
        </row>
        <row r="1158">
          <cell r="A1158">
            <v>2018</v>
          </cell>
          <cell r="B1158" t="str">
            <v>Actual</v>
          </cell>
          <cell r="C1158" t="str">
            <v>Feb</v>
          </cell>
          <cell r="D1158" t="str">
            <v>Chairs</v>
          </cell>
          <cell r="E1158">
            <v>2075777.4169999999</v>
          </cell>
          <cell r="F1158">
            <v>2</v>
          </cell>
        </row>
        <row r="1159">
          <cell r="A1159">
            <v>2018</v>
          </cell>
          <cell r="B1159" t="str">
            <v>Budget</v>
          </cell>
          <cell r="C1159" t="str">
            <v>Feb</v>
          </cell>
          <cell r="D1159" t="str">
            <v>Tables</v>
          </cell>
          <cell r="E1159">
            <v>-98118.20199999999</v>
          </cell>
          <cell r="F1159">
            <v>2</v>
          </cell>
        </row>
        <row r="1160">
          <cell r="A1160">
            <v>2019</v>
          </cell>
          <cell r="B1160" t="str">
            <v>Actual</v>
          </cell>
          <cell r="C1160" t="str">
            <v>Feb</v>
          </cell>
          <cell r="D1160" t="str">
            <v>Kitchen</v>
          </cell>
          <cell r="E1160">
            <v>550538.32399999991</v>
          </cell>
          <cell r="F1160">
            <v>2</v>
          </cell>
        </row>
        <row r="1161">
          <cell r="A1161">
            <v>2019</v>
          </cell>
          <cell r="B1161" t="str">
            <v>Budget</v>
          </cell>
          <cell r="C1161" t="str">
            <v>Feb</v>
          </cell>
          <cell r="D1161" t="str">
            <v>Chairs</v>
          </cell>
          <cell r="E1161">
            <v>1700597.423</v>
          </cell>
          <cell r="F1161">
            <v>2</v>
          </cell>
        </row>
        <row r="1162">
          <cell r="A1162">
            <v>2019</v>
          </cell>
          <cell r="B1162" t="str">
            <v>Actual</v>
          </cell>
          <cell r="C1162" t="str">
            <v>Feb</v>
          </cell>
          <cell r="D1162" t="str">
            <v>Chairs</v>
          </cell>
          <cell r="E1162">
            <v>632938.54399999999</v>
          </cell>
          <cell r="F1162">
            <v>2</v>
          </cell>
        </row>
        <row r="1163">
          <cell r="A1163">
            <v>2019</v>
          </cell>
          <cell r="B1163" t="str">
            <v>Budget</v>
          </cell>
          <cell r="C1163" t="str">
            <v>Feb</v>
          </cell>
          <cell r="D1163" t="str">
            <v>Chairs</v>
          </cell>
          <cell r="E1163">
            <v>13395661.467999998</v>
          </cell>
          <cell r="F1163">
            <v>2</v>
          </cell>
        </row>
        <row r="1164">
          <cell r="A1164">
            <v>2018</v>
          </cell>
          <cell r="B1164" t="str">
            <v>Actual</v>
          </cell>
          <cell r="C1164" t="str">
            <v>Feb</v>
          </cell>
          <cell r="D1164" t="str">
            <v>Tables</v>
          </cell>
          <cell r="E1164">
            <v>1140933.6189999999</v>
          </cell>
          <cell r="F1164">
            <v>2</v>
          </cell>
        </row>
        <row r="1165">
          <cell r="A1165">
            <v>2019</v>
          </cell>
          <cell r="B1165" t="str">
            <v>Budget</v>
          </cell>
          <cell r="C1165" t="str">
            <v>Feb</v>
          </cell>
          <cell r="D1165" t="str">
            <v>Kitchen</v>
          </cell>
          <cell r="E1165">
            <v>4193356.3769999999</v>
          </cell>
          <cell r="F1165">
            <v>2</v>
          </cell>
        </row>
        <row r="1166">
          <cell r="A1166">
            <v>2019</v>
          </cell>
          <cell r="B1166" t="str">
            <v>Actual</v>
          </cell>
          <cell r="C1166" t="str">
            <v>Feb</v>
          </cell>
          <cell r="D1166" t="str">
            <v>Accessories</v>
          </cell>
          <cell r="E1166">
            <v>542622.94799999997</v>
          </cell>
          <cell r="F1166">
            <v>2</v>
          </cell>
        </row>
        <row r="1167">
          <cell r="A1167">
            <v>2018</v>
          </cell>
          <cell r="B1167" t="str">
            <v>Budget</v>
          </cell>
          <cell r="C1167" t="str">
            <v>Feb</v>
          </cell>
          <cell r="D1167" t="str">
            <v>Chairs</v>
          </cell>
          <cell r="E1167">
            <v>4772192.74</v>
          </cell>
          <cell r="F1167">
            <v>2</v>
          </cell>
        </row>
        <row r="1168">
          <cell r="A1168">
            <v>2019</v>
          </cell>
          <cell r="B1168" t="str">
            <v>Actual</v>
          </cell>
          <cell r="C1168" t="str">
            <v>Feb</v>
          </cell>
          <cell r="D1168" t="str">
            <v>Tables</v>
          </cell>
          <cell r="E1168">
            <v>11478270.824999999</v>
          </cell>
          <cell r="F1168">
            <v>2</v>
          </cell>
        </row>
        <row r="1169">
          <cell r="A1169">
            <v>2019</v>
          </cell>
          <cell r="B1169" t="str">
            <v>Budget</v>
          </cell>
          <cell r="C1169" t="str">
            <v>Feb</v>
          </cell>
          <cell r="D1169" t="str">
            <v>Kitchen</v>
          </cell>
          <cell r="E1169">
            <v>1039741.92</v>
          </cell>
          <cell r="F1169">
            <v>2</v>
          </cell>
        </row>
        <row r="1170">
          <cell r="A1170">
            <v>2019</v>
          </cell>
          <cell r="B1170" t="str">
            <v>Actual</v>
          </cell>
          <cell r="C1170" t="str">
            <v>Feb</v>
          </cell>
          <cell r="D1170" t="str">
            <v>Accessories</v>
          </cell>
          <cell r="E1170">
            <v>2061120.054</v>
          </cell>
          <cell r="F1170">
            <v>2</v>
          </cell>
        </row>
        <row r="1171">
          <cell r="A1171">
            <v>2019</v>
          </cell>
          <cell r="B1171" t="str">
            <v>Budget</v>
          </cell>
          <cell r="C1171" t="str">
            <v>Feb</v>
          </cell>
          <cell r="D1171" t="str">
            <v>Chairs</v>
          </cell>
          <cell r="E1171">
            <v>1462438.39</v>
          </cell>
          <cell r="F1171">
            <v>2</v>
          </cell>
        </row>
        <row r="1172">
          <cell r="A1172">
            <v>2018</v>
          </cell>
          <cell r="B1172" t="str">
            <v>Actual</v>
          </cell>
          <cell r="C1172" t="str">
            <v>Feb</v>
          </cell>
          <cell r="D1172" t="str">
            <v>Tables</v>
          </cell>
          <cell r="E1172">
            <v>4736350.0869999994</v>
          </cell>
          <cell r="F1172">
            <v>2</v>
          </cell>
        </row>
        <row r="1173">
          <cell r="A1173">
            <v>2018</v>
          </cell>
          <cell r="B1173" t="str">
            <v>Budget</v>
          </cell>
          <cell r="C1173" t="str">
            <v>Feb</v>
          </cell>
          <cell r="D1173" t="str">
            <v>Kitchen</v>
          </cell>
          <cell r="E1173">
            <v>33864.004999999997</v>
          </cell>
          <cell r="F1173">
            <v>2</v>
          </cell>
        </row>
        <row r="1174">
          <cell r="A1174">
            <v>2018</v>
          </cell>
          <cell r="B1174" t="str">
            <v>Actual</v>
          </cell>
          <cell r="C1174" t="str">
            <v>Feb</v>
          </cell>
          <cell r="D1174" t="str">
            <v>Accessories</v>
          </cell>
          <cell r="E1174">
            <v>634341.80599999998</v>
          </cell>
          <cell r="F1174">
            <v>2</v>
          </cell>
        </row>
        <row r="1175">
          <cell r="A1175">
            <v>2019</v>
          </cell>
          <cell r="B1175" t="str">
            <v>Budget</v>
          </cell>
          <cell r="C1175" t="str">
            <v>Feb</v>
          </cell>
          <cell r="D1175" t="str">
            <v>Chairs</v>
          </cell>
          <cell r="E1175">
            <v>304318.95899999997</v>
          </cell>
          <cell r="F1175">
            <v>2</v>
          </cell>
        </row>
        <row r="1176">
          <cell r="A1176">
            <v>2019</v>
          </cell>
          <cell r="B1176" t="str">
            <v>Actual</v>
          </cell>
          <cell r="C1176" t="str">
            <v>Feb</v>
          </cell>
          <cell r="D1176" t="str">
            <v>Tables</v>
          </cell>
          <cell r="E1176">
            <v>1209077.9679999999</v>
          </cell>
          <cell r="F1176">
            <v>2</v>
          </cell>
        </row>
        <row r="1177">
          <cell r="A1177">
            <v>2019</v>
          </cell>
          <cell r="B1177" t="str">
            <v>Budget</v>
          </cell>
          <cell r="C1177" t="str">
            <v>Feb</v>
          </cell>
          <cell r="D1177" t="str">
            <v>Kitchen</v>
          </cell>
          <cell r="E1177">
            <v>7642.1939999999995</v>
          </cell>
          <cell r="F1177">
            <v>2</v>
          </cell>
        </row>
        <row r="1178">
          <cell r="A1178">
            <v>2019</v>
          </cell>
          <cell r="B1178" t="str">
            <v>Actual</v>
          </cell>
          <cell r="C1178" t="str">
            <v>Feb</v>
          </cell>
          <cell r="D1178" t="str">
            <v>Accessories</v>
          </cell>
          <cell r="E1178">
            <v>1597520.561</v>
          </cell>
          <cell r="F1178">
            <v>2</v>
          </cell>
        </row>
        <row r="1179">
          <cell r="A1179">
            <v>2018</v>
          </cell>
          <cell r="B1179" t="str">
            <v>Budget</v>
          </cell>
          <cell r="C1179" t="str">
            <v>Feb</v>
          </cell>
          <cell r="D1179" t="str">
            <v>Chairs</v>
          </cell>
          <cell r="E1179">
            <v>39835.844999999994</v>
          </cell>
          <cell r="F1179">
            <v>2</v>
          </cell>
        </row>
        <row r="1180">
          <cell r="A1180">
            <v>2018</v>
          </cell>
          <cell r="B1180" t="str">
            <v>Actual</v>
          </cell>
          <cell r="C1180" t="str">
            <v>Feb</v>
          </cell>
          <cell r="D1180" t="str">
            <v>Chairs</v>
          </cell>
          <cell r="E1180">
            <v>419551.55899999995</v>
          </cell>
          <cell r="F1180">
            <v>2</v>
          </cell>
        </row>
        <row r="1181">
          <cell r="A1181">
            <v>2019</v>
          </cell>
          <cell r="B1181" t="str">
            <v>Budget</v>
          </cell>
          <cell r="C1181" t="str">
            <v>Feb</v>
          </cell>
          <cell r="D1181" t="str">
            <v>Tables</v>
          </cell>
          <cell r="E1181">
            <v>211970.33900000001</v>
          </cell>
          <cell r="F1181">
            <v>2</v>
          </cell>
        </row>
        <row r="1182">
          <cell r="A1182">
            <v>2018</v>
          </cell>
          <cell r="B1182" t="str">
            <v>Actual</v>
          </cell>
          <cell r="C1182" t="str">
            <v>Feb</v>
          </cell>
          <cell r="D1182" t="str">
            <v>Kitchen</v>
          </cell>
          <cell r="E1182">
            <v>220463.63499999998</v>
          </cell>
          <cell r="F1182">
            <v>2</v>
          </cell>
        </row>
        <row r="1183">
          <cell r="A1183">
            <v>2018</v>
          </cell>
          <cell r="B1183" t="str">
            <v>Budget</v>
          </cell>
          <cell r="C1183" t="str">
            <v>Feb</v>
          </cell>
          <cell r="D1183" t="str">
            <v>Chairs</v>
          </cell>
          <cell r="E1183">
            <v>493279.50699999998</v>
          </cell>
          <cell r="F1183">
            <v>2</v>
          </cell>
        </row>
        <row r="1184">
          <cell r="A1184">
            <v>2018</v>
          </cell>
          <cell r="B1184" t="str">
            <v>Actual</v>
          </cell>
          <cell r="C1184" t="str">
            <v>Feb</v>
          </cell>
          <cell r="D1184" t="str">
            <v>Tables</v>
          </cell>
          <cell r="E1184">
            <v>103512.73099999999</v>
          </cell>
          <cell r="F1184">
            <v>2</v>
          </cell>
        </row>
        <row r="1185">
          <cell r="A1185">
            <v>2019</v>
          </cell>
          <cell r="B1185" t="str">
            <v>Budget</v>
          </cell>
          <cell r="C1185" t="str">
            <v>Feb</v>
          </cell>
          <cell r="D1185" t="str">
            <v>Kitchen</v>
          </cell>
          <cell r="E1185">
            <v>1615891.1229999999</v>
          </cell>
          <cell r="F1185">
            <v>2</v>
          </cell>
        </row>
        <row r="1186">
          <cell r="A1186">
            <v>2019</v>
          </cell>
          <cell r="B1186" t="str">
            <v>Actual</v>
          </cell>
          <cell r="C1186" t="str">
            <v>Feb</v>
          </cell>
          <cell r="D1186" t="str">
            <v>Chairs</v>
          </cell>
          <cell r="E1186">
            <v>1102795.575</v>
          </cell>
          <cell r="F1186">
            <v>2</v>
          </cell>
        </row>
        <row r="1187">
          <cell r="A1187">
            <v>2019</v>
          </cell>
          <cell r="B1187" t="str">
            <v>Budget</v>
          </cell>
          <cell r="C1187" t="str">
            <v>Feb</v>
          </cell>
          <cell r="D1187" t="str">
            <v>Tables</v>
          </cell>
          <cell r="E1187">
            <v>128405.144</v>
          </cell>
          <cell r="F1187">
            <v>2</v>
          </cell>
        </row>
        <row r="1188">
          <cell r="A1188">
            <v>2019</v>
          </cell>
          <cell r="B1188" t="str">
            <v>Actual</v>
          </cell>
          <cell r="C1188" t="str">
            <v>Feb</v>
          </cell>
          <cell r="D1188" t="str">
            <v>Kitchen</v>
          </cell>
          <cell r="E1188">
            <v>1253389.186</v>
          </cell>
          <cell r="F1188">
            <v>2</v>
          </cell>
        </row>
        <row r="1189">
          <cell r="A1189">
            <v>2019</v>
          </cell>
          <cell r="B1189" t="str">
            <v>Budget</v>
          </cell>
          <cell r="C1189" t="str">
            <v>Feb</v>
          </cell>
          <cell r="D1189" t="str">
            <v>Chairs</v>
          </cell>
          <cell r="E1189">
            <v>1818017.18</v>
          </cell>
          <cell r="F1189">
            <v>2</v>
          </cell>
        </row>
        <row r="1190">
          <cell r="A1190">
            <v>2019</v>
          </cell>
          <cell r="B1190" t="str">
            <v>Actual</v>
          </cell>
          <cell r="C1190" t="str">
            <v>Feb</v>
          </cell>
          <cell r="D1190" t="str">
            <v>Chairs</v>
          </cell>
          <cell r="E1190">
            <v>4958446.2409999995</v>
          </cell>
          <cell r="F1190">
            <v>2</v>
          </cell>
        </row>
        <row r="1191">
          <cell r="A1191">
            <v>2018</v>
          </cell>
          <cell r="B1191" t="str">
            <v>Budget</v>
          </cell>
          <cell r="C1191" t="str">
            <v>Feb</v>
          </cell>
          <cell r="D1191" t="str">
            <v>Chairs</v>
          </cell>
          <cell r="E1191">
            <v>1300145.3429999999</v>
          </cell>
          <cell r="F1191">
            <v>2</v>
          </cell>
        </row>
        <row r="1192">
          <cell r="A1192">
            <v>2019</v>
          </cell>
          <cell r="B1192" t="str">
            <v>Actual</v>
          </cell>
          <cell r="C1192" t="str">
            <v>Feb</v>
          </cell>
          <cell r="D1192" t="str">
            <v>Chairs</v>
          </cell>
          <cell r="E1192">
            <v>2346726.9139999999</v>
          </cell>
          <cell r="F1192">
            <v>2</v>
          </cell>
        </row>
        <row r="1193">
          <cell r="A1193">
            <v>2019</v>
          </cell>
          <cell r="B1193" t="str">
            <v>Budget</v>
          </cell>
          <cell r="C1193" t="str">
            <v>Feb</v>
          </cell>
          <cell r="D1193" t="str">
            <v>Chairs</v>
          </cell>
          <cell r="E1193">
            <v>101506.43299999999</v>
          </cell>
          <cell r="F1193">
            <v>2</v>
          </cell>
        </row>
        <row r="1194">
          <cell r="A1194">
            <v>2019</v>
          </cell>
          <cell r="B1194" t="str">
            <v>Actual</v>
          </cell>
          <cell r="C1194" t="str">
            <v>Feb</v>
          </cell>
          <cell r="D1194" t="str">
            <v>Chairs</v>
          </cell>
          <cell r="E1194">
            <v>998759.97899999993</v>
          </cell>
          <cell r="F1194">
            <v>2</v>
          </cell>
        </row>
        <row r="1195">
          <cell r="A1195">
            <v>2018</v>
          </cell>
          <cell r="B1195" t="str">
            <v>Budget</v>
          </cell>
          <cell r="C1195" t="str">
            <v>Feb</v>
          </cell>
          <cell r="D1195" t="str">
            <v>Chairs</v>
          </cell>
          <cell r="E1195">
            <v>752772.18799999997</v>
          </cell>
          <cell r="F1195">
            <v>2</v>
          </cell>
        </row>
        <row r="1196">
          <cell r="A1196">
            <v>2018</v>
          </cell>
          <cell r="B1196" t="str">
            <v>Actual</v>
          </cell>
          <cell r="C1196" t="str">
            <v>Feb</v>
          </cell>
          <cell r="D1196" t="str">
            <v>Chairs</v>
          </cell>
          <cell r="E1196">
            <v>295341.45199999999</v>
          </cell>
          <cell r="F1196">
            <v>2</v>
          </cell>
        </row>
        <row r="1197">
          <cell r="A1197">
            <v>2019</v>
          </cell>
          <cell r="B1197" t="str">
            <v>Budget</v>
          </cell>
          <cell r="C1197" t="str">
            <v>Feb</v>
          </cell>
          <cell r="D1197" t="str">
            <v>Chairs</v>
          </cell>
          <cell r="E1197">
            <v>231706.04799999998</v>
          </cell>
          <cell r="F1197">
            <v>2</v>
          </cell>
        </row>
        <row r="1198">
          <cell r="A1198">
            <v>2018</v>
          </cell>
          <cell r="B1198" t="str">
            <v>Actual</v>
          </cell>
          <cell r="C1198" t="str">
            <v>Feb</v>
          </cell>
          <cell r="D1198" t="str">
            <v>Chairs</v>
          </cell>
          <cell r="E1198">
            <v>20402204.192999996</v>
          </cell>
          <cell r="F1198">
            <v>2</v>
          </cell>
        </row>
        <row r="1199">
          <cell r="A1199">
            <v>2019</v>
          </cell>
          <cell r="B1199" t="str">
            <v>Budget</v>
          </cell>
          <cell r="C1199" t="str">
            <v>Feb</v>
          </cell>
          <cell r="D1199" t="str">
            <v>Chairs</v>
          </cell>
          <cell r="E1199">
            <v>29621390.910999995</v>
          </cell>
          <cell r="F1199">
            <v>2</v>
          </cell>
        </row>
        <row r="1200">
          <cell r="A1200">
            <v>2018</v>
          </cell>
          <cell r="B1200" t="str">
            <v>Actual</v>
          </cell>
          <cell r="C1200" t="str">
            <v>Feb</v>
          </cell>
          <cell r="D1200" t="str">
            <v>Chairs</v>
          </cell>
          <cell r="E1200">
            <v>107676.94</v>
          </cell>
          <cell r="F1200">
            <v>2</v>
          </cell>
        </row>
        <row r="1201">
          <cell r="A1201">
            <v>2019</v>
          </cell>
          <cell r="B1201" t="str">
            <v>Budget</v>
          </cell>
          <cell r="C1201" t="str">
            <v>Feb</v>
          </cell>
          <cell r="D1201" t="str">
            <v>Chairs</v>
          </cell>
          <cell r="E1201">
            <v>142553.24299999999</v>
          </cell>
          <cell r="F1201">
            <v>2</v>
          </cell>
        </row>
        <row r="1202">
          <cell r="A1202">
            <v>2018</v>
          </cell>
          <cell r="B1202" t="str">
            <v>Actual</v>
          </cell>
          <cell r="C1202" t="str">
            <v>Feb</v>
          </cell>
          <cell r="D1202" t="str">
            <v>Chairs</v>
          </cell>
          <cell r="E1202">
            <v>437758.36999999994</v>
          </cell>
          <cell r="F1202">
            <v>2</v>
          </cell>
        </row>
        <row r="1203">
          <cell r="A1203">
            <v>2019</v>
          </cell>
          <cell r="B1203" t="str">
            <v>Budget</v>
          </cell>
          <cell r="C1203" t="str">
            <v>Feb</v>
          </cell>
          <cell r="D1203" t="str">
            <v>Chairs</v>
          </cell>
          <cell r="E1203">
            <v>35916.166999999994</v>
          </cell>
          <cell r="F1203">
            <v>2</v>
          </cell>
        </row>
        <row r="1204">
          <cell r="A1204">
            <v>2019</v>
          </cell>
          <cell r="B1204" t="str">
            <v>Actual</v>
          </cell>
          <cell r="C1204" t="str">
            <v>Feb</v>
          </cell>
          <cell r="D1204" t="str">
            <v>Chairs</v>
          </cell>
          <cell r="E1204">
            <v>213857.95899999997</v>
          </cell>
          <cell r="F1204">
            <v>2</v>
          </cell>
        </row>
        <row r="1205">
          <cell r="A1205">
            <v>2018</v>
          </cell>
          <cell r="B1205" t="str">
            <v>Budget</v>
          </cell>
          <cell r="C1205" t="str">
            <v>Feb</v>
          </cell>
          <cell r="D1205" t="str">
            <v>Chairs</v>
          </cell>
          <cell r="E1205">
            <v>204388.35199999998</v>
          </cell>
          <cell r="F1205">
            <v>2</v>
          </cell>
        </row>
        <row r="1206">
          <cell r="A1206">
            <v>2019</v>
          </cell>
          <cell r="B1206" t="str">
            <v>Actual</v>
          </cell>
          <cell r="C1206" t="str">
            <v>Feb</v>
          </cell>
          <cell r="D1206" t="str">
            <v>Chairs</v>
          </cell>
          <cell r="E1206">
            <v>375703.04099999997</v>
          </cell>
          <cell r="F1206">
            <v>2</v>
          </cell>
        </row>
        <row r="1207">
          <cell r="A1207">
            <v>2019</v>
          </cell>
          <cell r="B1207" t="str">
            <v>Budget</v>
          </cell>
          <cell r="C1207" t="str">
            <v>Feb</v>
          </cell>
          <cell r="D1207" t="str">
            <v>Chairs</v>
          </cell>
          <cell r="E1207">
            <v>490528.353</v>
          </cell>
          <cell r="F1207">
            <v>2</v>
          </cell>
        </row>
        <row r="1208">
          <cell r="A1208">
            <v>2018</v>
          </cell>
          <cell r="B1208" t="str">
            <v>Actual</v>
          </cell>
          <cell r="C1208" t="str">
            <v>Feb</v>
          </cell>
          <cell r="D1208" t="str">
            <v>Chairs</v>
          </cell>
          <cell r="E1208">
            <v>654255.93799999997</v>
          </cell>
          <cell r="F1208">
            <v>2</v>
          </cell>
        </row>
        <row r="1209">
          <cell r="A1209">
            <v>2018</v>
          </cell>
          <cell r="B1209" t="str">
            <v>Budget</v>
          </cell>
          <cell r="C1209" t="str">
            <v>Feb</v>
          </cell>
          <cell r="D1209" t="str">
            <v>Chairs</v>
          </cell>
          <cell r="E1209">
            <v>6182667.7429999998</v>
          </cell>
          <cell r="F1209">
            <v>2</v>
          </cell>
        </row>
        <row r="1210">
          <cell r="A1210">
            <v>2019</v>
          </cell>
          <cell r="B1210" t="str">
            <v>Actual</v>
          </cell>
          <cell r="C1210" t="str">
            <v>Feb</v>
          </cell>
          <cell r="D1210" t="str">
            <v>Chairs</v>
          </cell>
          <cell r="E1210">
            <v>1555819.7549999999</v>
          </cell>
          <cell r="F1210">
            <v>2</v>
          </cell>
        </row>
        <row r="1211">
          <cell r="A1211">
            <v>2019</v>
          </cell>
          <cell r="B1211" t="str">
            <v>Budget</v>
          </cell>
          <cell r="C1211" t="str">
            <v>Feb</v>
          </cell>
          <cell r="D1211" t="str">
            <v>Chairs</v>
          </cell>
          <cell r="E1211">
            <v>591691.68799999997</v>
          </cell>
          <cell r="F1211">
            <v>2</v>
          </cell>
        </row>
        <row r="1212">
          <cell r="A1212">
            <v>2018</v>
          </cell>
          <cell r="B1212" t="str">
            <v>Actual</v>
          </cell>
          <cell r="C1212" t="str">
            <v>Feb</v>
          </cell>
          <cell r="D1212" t="str">
            <v>Chairs</v>
          </cell>
          <cell r="E1212">
            <v>434581.40599999996</v>
          </cell>
          <cell r="F1212">
            <v>2</v>
          </cell>
        </row>
        <row r="1213">
          <cell r="A1213">
            <v>2019</v>
          </cell>
          <cell r="B1213" t="str">
            <v>Budget</v>
          </cell>
          <cell r="C1213" t="str">
            <v>Feb</v>
          </cell>
          <cell r="D1213" t="str">
            <v>Chairs</v>
          </cell>
          <cell r="E1213">
            <v>636622.29399999999</v>
          </cell>
          <cell r="F1213">
            <v>2</v>
          </cell>
        </row>
        <row r="1214">
          <cell r="A1214">
            <v>2018</v>
          </cell>
          <cell r="B1214" t="str">
            <v>Actual</v>
          </cell>
          <cell r="C1214" t="str">
            <v>Feb</v>
          </cell>
          <cell r="D1214" t="str">
            <v>Chairs</v>
          </cell>
          <cell r="E1214">
            <v>69600.509999999995</v>
          </cell>
          <cell r="F1214">
            <v>2</v>
          </cell>
        </row>
        <row r="1215">
          <cell r="A1215">
            <v>2019</v>
          </cell>
          <cell r="B1215" t="str">
            <v>Budget</v>
          </cell>
          <cell r="C1215" t="str">
            <v>Feb</v>
          </cell>
          <cell r="D1215" t="str">
            <v>Tables</v>
          </cell>
          <cell r="E1215">
            <v>43110183.696999997</v>
          </cell>
          <cell r="F1215">
            <v>2</v>
          </cell>
        </row>
        <row r="1216">
          <cell r="A1216">
            <v>2018</v>
          </cell>
          <cell r="B1216" t="str">
            <v>Actual</v>
          </cell>
          <cell r="C1216" t="str">
            <v>Feb</v>
          </cell>
          <cell r="D1216" t="str">
            <v>Kitchen</v>
          </cell>
          <cell r="E1216">
            <v>6080024.4470000006</v>
          </cell>
          <cell r="F1216">
            <v>2</v>
          </cell>
        </row>
        <row r="1217">
          <cell r="A1217">
            <v>2019</v>
          </cell>
          <cell r="B1217" t="str">
            <v>Budget</v>
          </cell>
          <cell r="C1217" t="str">
            <v>Feb</v>
          </cell>
          <cell r="D1217" t="str">
            <v>Chairs</v>
          </cell>
          <cell r="E1217">
            <v>999550.15999999992</v>
          </cell>
          <cell r="F1217">
            <v>2</v>
          </cell>
        </row>
        <row r="1218">
          <cell r="A1218">
            <v>2018</v>
          </cell>
          <cell r="B1218" t="str">
            <v>Actual</v>
          </cell>
          <cell r="C1218" t="str">
            <v>Feb</v>
          </cell>
          <cell r="D1218" t="str">
            <v>Chairs</v>
          </cell>
          <cell r="E1218">
            <v>1324.9739999999999</v>
          </cell>
          <cell r="F1218">
            <v>2</v>
          </cell>
        </row>
        <row r="1219">
          <cell r="A1219">
            <v>2018</v>
          </cell>
          <cell r="B1219" t="str">
            <v>Budget</v>
          </cell>
          <cell r="C1219" t="str">
            <v>Feb</v>
          </cell>
          <cell r="D1219" t="str">
            <v>Chairs</v>
          </cell>
          <cell r="E1219">
            <v>11928926.52</v>
          </cell>
          <cell r="F1219">
            <v>2</v>
          </cell>
        </row>
        <row r="1220">
          <cell r="A1220">
            <v>2019</v>
          </cell>
          <cell r="B1220" t="str">
            <v>Actual</v>
          </cell>
          <cell r="C1220" t="str">
            <v>Feb</v>
          </cell>
          <cell r="D1220" t="str">
            <v>Chairs</v>
          </cell>
          <cell r="E1220">
            <v>679182.35699999996</v>
          </cell>
          <cell r="F1220">
            <v>2</v>
          </cell>
        </row>
        <row r="1221">
          <cell r="A1221">
            <v>2019</v>
          </cell>
          <cell r="B1221" t="str">
            <v>Budget</v>
          </cell>
          <cell r="C1221" t="str">
            <v>Feb</v>
          </cell>
          <cell r="D1221" t="str">
            <v>Chairs</v>
          </cell>
          <cell r="E1221">
            <v>20381235.776999999</v>
          </cell>
          <cell r="F1221">
            <v>2</v>
          </cell>
        </row>
        <row r="1222">
          <cell r="A1222">
            <v>2019</v>
          </cell>
          <cell r="B1222" t="str">
            <v>Actual</v>
          </cell>
          <cell r="C1222" t="str">
            <v>Feb</v>
          </cell>
          <cell r="D1222" t="str">
            <v>Tables</v>
          </cell>
          <cell r="E1222">
            <v>590958.24899999995</v>
          </cell>
          <cell r="F1222">
            <v>2</v>
          </cell>
        </row>
        <row r="1223">
          <cell r="A1223">
            <v>2019</v>
          </cell>
          <cell r="B1223" t="str">
            <v>Budget</v>
          </cell>
          <cell r="C1223" t="str">
            <v>Feb</v>
          </cell>
          <cell r="D1223" t="str">
            <v>Kitchen</v>
          </cell>
          <cell r="E1223">
            <v>2256135.4689999996</v>
          </cell>
          <cell r="F1223">
            <v>2</v>
          </cell>
        </row>
        <row r="1224">
          <cell r="A1224">
            <v>2018</v>
          </cell>
          <cell r="B1224" t="str">
            <v>Actual</v>
          </cell>
          <cell r="C1224" t="str">
            <v>Feb</v>
          </cell>
          <cell r="D1224" t="str">
            <v>Chairs</v>
          </cell>
          <cell r="E1224">
            <v>4119.4369999999999</v>
          </cell>
          <cell r="F1224">
            <v>2</v>
          </cell>
        </row>
        <row r="1225">
          <cell r="A1225">
            <v>2018</v>
          </cell>
          <cell r="B1225" t="str">
            <v>Budget</v>
          </cell>
          <cell r="C1225" t="str">
            <v>Feb</v>
          </cell>
          <cell r="D1225" t="str">
            <v>Chairs</v>
          </cell>
          <cell r="E1225">
            <v>147567.098</v>
          </cell>
          <cell r="F1225">
            <v>2</v>
          </cell>
        </row>
        <row r="1226">
          <cell r="A1226">
            <v>2019</v>
          </cell>
          <cell r="B1226" t="str">
            <v>Actual</v>
          </cell>
          <cell r="C1226" t="str">
            <v>Feb</v>
          </cell>
          <cell r="D1226" t="str">
            <v>Chairs</v>
          </cell>
          <cell r="E1226">
            <v>1088056.7109999999</v>
          </cell>
          <cell r="F1226">
            <v>2</v>
          </cell>
        </row>
        <row r="1227">
          <cell r="A1227">
            <v>2018</v>
          </cell>
          <cell r="B1227" t="str">
            <v>Budget</v>
          </cell>
          <cell r="C1227" t="str">
            <v>Feb</v>
          </cell>
          <cell r="D1227" t="str">
            <v>Tables</v>
          </cell>
          <cell r="E1227">
            <v>473287.74499999994</v>
          </cell>
          <cell r="F1227">
            <v>2</v>
          </cell>
        </row>
        <row r="1228">
          <cell r="A1228">
            <v>2018</v>
          </cell>
          <cell r="B1228" t="str">
            <v>Actual</v>
          </cell>
          <cell r="C1228" t="str">
            <v>Feb</v>
          </cell>
          <cell r="D1228" t="str">
            <v>Kitchen</v>
          </cell>
          <cell r="E1228">
            <v>2124125.6680000001</v>
          </cell>
          <cell r="F1228">
            <v>2</v>
          </cell>
        </row>
        <row r="1229">
          <cell r="A1229">
            <v>2019</v>
          </cell>
          <cell r="B1229" t="str">
            <v>Budget</v>
          </cell>
          <cell r="C1229" t="str">
            <v>Feb</v>
          </cell>
          <cell r="D1229" t="str">
            <v>Chairs</v>
          </cell>
          <cell r="E1229">
            <v>2017928.892</v>
          </cell>
          <cell r="F1229">
            <v>2</v>
          </cell>
        </row>
        <row r="1230">
          <cell r="A1230">
            <v>2019</v>
          </cell>
          <cell r="B1230" t="str">
            <v>Actual</v>
          </cell>
          <cell r="C1230" t="str">
            <v>Feb</v>
          </cell>
          <cell r="D1230" t="str">
            <v>Chairs</v>
          </cell>
          <cell r="E1230">
            <v>1269935.156</v>
          </cell>
          <cell r="F1230">
            <v>2</v>
          </cell>
        </row>
        <row r="1231">
          <cell r="A1231">
            <v>2019</v>
          </cell>
          <cell r="B1231" t="str">
            <v>Budget</v>
          </cell>
          <cell r="C1231" t="str">
            <v>Feb</v>
          </cell>
          <cell r="D1231" t="str">
            <v>Tables</v>
          </cell>
          <cell r="E1231">
            <v>3635582.2579999999</v>
          </cell>
          <cell r="F1231">
            <v>2</v>
          </cell>
        </row>
        <row r="1232">
          <cell r="A1232">
            <v>2019</v>
          </cell>
          <cell r="B1232" t="str">
            <v>Actual</v>
          </cell>
          <cell r="C1232" t="str">
            <v>Feb</v>
          </cell>
          <cell r="D1232" t="str">
            <v>Kitchen</v>
          </cell>
          <cell r="E1232">
            <v>3214472.9189999998</v>
          </cell>
          <cell r="F1232">
            <v>2</v>
          </cell>
        </row>
        <row r="1233">
          <cell r="A1233">
            <v>2018</v>
          </cell>
          <cell r="B1233" t="str">
            <v>Budget</v>
          </cell>
          <cell r="C1233" t="str">
            <v>Feb</v>
          </cell>
          <cell r="D1233" t="str">
            <v>Chairs</v>
          </cell>
          <cell r="E1233">
            <v>1201842.5369999998</v>
          </cell>
          <cell r="F1233">
            <v>2</v>
          </cell>
        </row>
        <row r="1234">
          <cell r="A1234">
            <v>2019</v>
          </cell>
          <cell r="B1234" t="str">
            <v>Actual</v>
          </cell>
          <cell r="C1234" t="str">
            <v>Feb</v>
          </cell>
          <cell r="D1234" t="str">
            <v>Chairs</v>
          </cell>
          <cell r="E1234">
            <v>1166915.8409999998</v>
          </cell>
          <cell r="F1234">
            <v>2</v>
          </cell>
        </row>
        <row r="1235">
          <cell r="A1235">
            <v>2019</v>
          </cell>
          <cell r="B1235" t="str">
            <v>Budget</v>
          </cell>
          <cell r="C1235" t="str">
            <v>Feb</v>
          </cell>
          <cell r="D1235" t="str">
            <v>Chairs</v>
          </cell>
          <cell r="E1235">
            <v>12855.15</v>
          </cell>
          <cell r="F1235">
            <v>2</v>
          </cell>
        </row>
        <row r="1236">
          <cell r="A1236">
            <v>2018</v>
          </cell>
          <cell r="B1236" t="str">
            <v>Actual</v>
          </cell>
          <cell r="C1236" t="str">
            <v>Feb</v>
          </cell>
          <cell r="D1236" t="str">
            <v>Tables</v>
          </cell>
          <cell r="E1236">
            <v>414196.20899999997</v>
          </cell>
          <cell r="F1236">
            <v>2</v>
          </cell>
        </row>
        <row r="1237">
          <cell r="A1237">
            <v>2019</v>
          </cell>
          <cell r="B1237" t="str">
            <v>Budget</v>
          </cell>
          <cell r="C1237" t="str">
            <v>Feb</v>
          </cell>
          <cell r="D1237" t="str">
            <v>Kitchen</v>
          </cell>
          <cell r="E1237">
            <v>214346.916</v>
          </cell>
          <cell r="F1237">
            <v>2</v>
          </cell>
        </row>
        <row r="1238">
          <cell r="A1238">
            <v>2019</v>
          </cell>
          <cell r="B1238" t="str">
            <v>Actual</v>
          </cell>
          <cell r="C1238" t="str">
            <v>Feb</v>
          </cell>
          <cell r="D1238" t="str">
            <v>Accessories</v>
          </cell>
          <cell r="E1238">
            <v>-76229.524000000005</v>
          </cell>
          <cell r="F1238">
            <v>2</v>
          </cell>
        </row>
        <row r="1239">
          <cell r="A1239">
            <v>2019</v>
          </cell>
          <cell r="B1239" t="str">
            <v>Budget</v>
          </cell>
          <cell r="C1239" t="str">
            <v>Feb</v>
          </cell>
          <cell r="D1239" t="str">
            <v>Chairs</v>
          </cell>
          <cell r="E1239">
            <v>1040058.9219999999</v>
          </cell>
          <cell r="F1239">
            <v>2</v>
          </cell>
        </row>
        <row r="1240">
          <cell r="A1240">
            <v>2019</v>
          </cell>
          <cell r="B1240" t="str">
            <v>Actual</v>
          </cell>
          <cell r="C1240" t="str">
            <v>Feb</v>
          </cell>
          <cell r="D1240" t="str">
            <v>Tables</v>
          </cell>
          <cell r="E1240">
            <v>2868045.3689999999</v>
          </cell>
          <cell r="F1240">
            <v>2</v>
          </cell>
        </row>
        <row r="1241">
          <cell r="A1241">
            <v>2018</v>
          </cell>
          <cell r="B1241" t="str">
            <v>Budget</v>
          </cell>
          <cell r="C1241" t="str">
            <v>Feb</v>
          </cell>
          <cell r="D1241" t="str">
            <v>Kitchen</v>
          </cell>
          <cell r="E1241">
            <v>365002.75</v>
          </cell>
          <cell r="F1241">
            <v>2</v>
          </cell>
        </row>
        <row r="1242">
          <cell r="A1242">
            <v>2018</v>
          </cell>
          <cell r="B1242" t="str">
            <v>Actual</v>
          </cell>
          <cell r="C1242" t="str">
            <v>Feb</v>
          </cell>
          <cell r="D1242" t="str">
            <v>Accessories</v>
          </cell>
          <cell r="E1242">
            <v>995223.62799999991</v>
          </cell>
          <cell r="F1242">
            <v>2</v>
          </cell>
        </row>
        <row r="1243">
          <cell r="A1243">
            <v>2019</v>
          </cell>
          <cell r="B1243" t="str">
            <v>Budget</v>
          </cell>
          <cell r="C1243" t="str">
            <v>Feb</v>
          </cell>
          <cell r="D1243" t="str">
            <v>Chairs</v>
          </cell>
          <cell r="E1243">
            <v>1914110.6109999998</v>
          </cell>
          <cell r="F1243">
            <v>2</v>
          </cell>
        </row>
        <row r="1244">
          <cell r="A1244">
            <v>2019</v>
          </cell>
          <cell r="B1244" t="str">
            <v>Actual</v>
          </cell>
          <cell r="C1244" t="str">
            <v>Feb</v>
          </cell>
          <cell r="D1244" t="str">
            <v>Tables</v>
          </cell>
          <cell r="E1244">
            <v>346038.34299999999</v>
          </cell>
          <cell r="F1244">
            <v>2</v>
          </cell>
        </row>
        <row r="1245">
          <cell r="A1245">
            <v>2019</v>
          </cell>
          <cell r="B1245" t="str">
            <v>Budget</v>
          </cell>
          <cell r="C1245" t="str">
            <v>Feb</v>
          </cell>
          <cell r="D1245" t="str">
            <v>Kitchen</v>
          </cell>
          <cell r="E1245">
            <v>135483.166</v>
          </cell>
          <cell r="F1245">
            <v>2</v>
          </cell>
        </row>
        <row r="1246">
          <cell r="A1246">
            <v>2019</v>
          </cell>
          <cell r="B1246" t="str">
            <v>Actual</v>
          </cell>
          <cell r="C1246" t="str">
            <v>Feb</v>
          </cell>
          <cell r="D1246" t="str">
            <v>Accessories</v>
          </cell>
          <cell r="E1246">
            <v>-62449.366000000002</v>
          </cell>
          <cell r="F1246">
            <v>2</v>
          </cell>
        </row>
        <row r="1247">
          <cell r="A1247">
            <v>2018</v>
          </cell>
          <cell r="B1247" t="str">
            <v>Budget</v>
          </cell>
          <cell r="C1247" t="str">
            <v>Feb</v>
          </cell>
          <cell r="D1247" t="str">
            <v>Chairs</v>
          </cell>
          <cell r="E1247">
            <v>3579209.8859999999</v>
          </cell>
          <cell r="F1247">
            <v>2</v>
          </cell>
        </row>
        <row r="1248">
          <cell r="A1248">
            <v>2019</v>
          </cell>
          <cell r="B1248" t="str">
            <v>Actual</v>
          </cell>
          <cell r="C1248" t="str">
            <v>Feb</v>
          </cell>
          <cell r="D1248" t="str">
            <v>Tables</v>
          </cell>
          <cell r="E1248">
            <v>2312024.8760000002</v>
          </cell>
          <cell r="F1248">
            <v>2</v>
          </cell>
        </row>
        <row r="1249">
          <cell r="A1249">
            <v>2019</v>
          </cell>
          <cell r="B1249" t="str">
            <v>Budget</v>
          </cell>
          <cell r="C1249" t="str">
            <v>Feb</v>
          </cell>
          <cell r="D1249" t="str">
            <v>Kitchen</v>
          </cell>
          <cell r="E1249">
            <v>-66622.240999999995</v>
          </cell>
          <cell r="F1249">
            <v>2</v>
          </cell>
        </row>
        <row r="1250">
          <cell r="A1250">
            <v>2019</v>
          </cell>
          <cell r="B1250" t="str">
            <v>Actual</v>
          </cell>
          <cell r="C1250" t="str">
            <v>Feb</v>
          </cell>
          <cell r="D1250" t="str">
            <v>Accessories</v>
          </cell>
          <cell r="E1250">
            <v>212923.17899999997</v>
          </cell>
          <cell r="F1250">
            <v>2</v>
          </cell>
        </row>
        <row r="1251">
          <cell r="A1251">
            <v>2018</v>
          </cell>
          <cell r="B1251" t="str">
            <v>Budget</v>
          </cell>
          <cell r="C1251" t="str">
            <v>Feb</v>
          </cell>
          <cell r="D1251" t="str">
            <v>Chairs</v>
          </cell>
          <cell r="E1251">
            <v>2663819.5709999995</v>
          </cell>
          <cell r="F1251">
            <v>2</v>
          </cell>
        </row>
        <row r="1252">
          <cell r="A1252">
            <v>2019</v>
          </cell>
          <cell r="B1252" t="str">
            <v>Actual</v>
          </cell>
          <cell r="C1252" t="str">
            <v>Feb</v>
          </cell>
          <cell r="D1252" t="str">
            <v>Chairs</v>
          </cell>
          <cell r="E1252">
            <v>674530.90599999996</v>
          </cell>
          <cell r="F1252">
            <v>2</v>
          </cell>
        </row>
        <row r="1253">
          <cell r="A1253">
            <v>2019</v>
          </cell>
          <cell r="B1253" t="str">
            <v>Budget</v>
          </cell>
          <cell r="C1253" t="str">
            <v>Feb</v>
          </cell>
          <cell r="D1253" t="str">
            <v>Tables</v>
          </cell>
          <cell r="E1253">
            <v>515913.489</v>
          </cell>
          <cell r="F1253">
            <v>2</v>
          </cell>
        </row>
        <row r="1254">
          <cell r="A1254">
            <v>2018</v>
          </cell>
          <cell r="B1254" t="str">
            <v>Actual</v>
          </cell>
          <cell r="C1254" t="str">
            <v>Feb</v>
          </cell>
          <cell r="D1254" t="str">
            <v>Kitchen</v>
          </cell>
          <cell r="E1254">
            <v>3191324.64</v>
          </cell>
          <cell r="F1254">
            <v>2</v>
          </cell>
        </row>
        <row r="1255">
          <cell r="A1255">
            <v>2019</v>
          </cell>
          <cell r="B1255" t="str">
            <v>Budget</v>
          </cell>
          <cell r="C1255" t="str">
            <v>Feb</v>
          </cell>
          <cell r="D1255" t="str">
            <v>Chairs</v>
          </cell>
          <cell r="E1255">
            <v>235655.05599999998</v>
          </cell>
          <cell r="F1255">
            <v>2</v>
          </cell>
        </row>
        <row r="1256">
          <cell r="A1256">
            <v>2018</v>
          </cell>
          <cell r="B1256" t="str">
            <v>Actual</v>
          </cell>
          <cell r="C1256" t="str">
            <v>Feb</v>
          </cell>
          <cell r="D1256" t="str">
            <v>Tables</v>
          </cell>
          <cell r="E1256">
            <v>127069.719</v>
          </cell>
          <cell r="F1256">
            <v>2</v>
          </cell>
        </row>
        <row r="1257">
          <cell r="A1257">
            <v>2019</v>
          </cell>
          <cell r="B1257" t="str">
            <v>Budget</v>
          </cell>
          <cell r="C1257" t="str">
            <v>Feb</v>
          </cell>
          <cell r="D1257" t="str">
            <v>Kitchen</v>
          </cell>
          <cell r="E1257">
            <v>344530.85099999997</v>
          </cell>
          <cell r="F1257">
            <v>2</v>
          </cell>
        </row>
        <row r="1258">
          <cell r="A1258">
            <v>2018</v>
          </cell>
          <cell r="B1258" t="str">
            <v>Actual</v>
          </cell>
          <cell r="C1258" t="str">
            <v>Feb</v>
          </cell>
          <cell r="D1258" t="str">
            <v>Chairs</v>
          </cell>
          <cell r="E1258">
            <v>1134144.9979999999</v>
          </cell>
          <cell r="F1258">
            <v>2</v>
          </cell>
        </row>
        <row r="1259">
          <cell r="A1259">
            <v>2018</v>
          </cell>
          <cell r="B1259" t="str">
            <v>Budget</v>
          </cell>
          <cell r="C1259" t="str">
            <v>Feb</v>
          </cell>
          <cell r="D1259" t="str">
            <v>Tables</v>
          </cell>
          <cell r="E1259">
            <v>2325535.2189999996</v>
          </cell>
          <cell r="F1259">
            <v>2</v>
          </cell>
        </row>
        <row r="1260">
          <cell r="A1260">
            <v>2019</v>
          </cell>
          <cell r="B1260" t="str">
            <v>Actual</v>
          </cell>
          <cell r="C1260" t="str">
            <v>Feb</v>
          </cell>
          <cell r="D1260" t="str">
            <v>Kitchen</v>
          </cell>
          <cell r="E1260">
            <v>1575934.773</v>
          </cell>
          <cell r="F1260">
            <v>2</v>
          </cell>
        </row>
        <row r="1261">
          <cell r="A1261">
            <v>2018</v>
          </cell>
          <cell r="B1261" t="str">
            <v>Budget</v>
          </cell>
          <cell r="C1261" t="str">
            <v>Feb</v>
          </cell>
          <cell r="D1261" t="str">
            <v>Chairs</v>
          </cell>
          <cell r="E1261">
            <v>2228318.8479999998</v>
          </cell>
          <cell r="F1261">
            <v>2</v>
          </cell>
        </row>
        <row r="1262">
          <cell r="A1262">
            <v>2018</v>
          </cell>
          <cell r="B1262" t="str">
            <v>Actual</v>
          </cell>
          <cell r="C1262" t="str">
            <v>Feb</v>
          </cell>
          <cell r="D1262" t="str">
            <v>Chairs</v>
          </cell>
          <cell r="E1262">
            <v>89458.830999999991</v>
          </cell>
          <cell r="F1262">
            <v>2</v>
          </cell>
        </row>
        <row r="1263">
          <cell r="A1263">
            <v>2019</v>
          </cell>
          <cell r="B1263" t="str">
            <v>Budget</v>
          </cell>
          <cell r="C1263" t="str">
            <v>Feb</v>
          </cell>
          <cell r="D1263" t="str">
            <v>Chairs</v>
          </cell>
          <cell r="E1263">
            <v>510812.63099999994</v>
          </cell>
          <cell r="F1263">
            <v>2</v>
          </cell>
        </row>
        <row r="1264">
          <cell r="A1264">
            <v>2018</v>
          </cell>
          <cell r="B1264" t="str">
            <v>Actual</v>
          </cell>
          <cell r="C1264" t="str">
            <v>Feb</v>
          </cell>
          <cell r="D1264" t="str">
            <v>Chairs</v>
          </cell>
          <cell r="E1264">
            <v>4860352.4689999996</v>
          </cell>
          <cell r="F1264">
            <v>2</v>
          </cell>
        </row>
        <row r="1265">
          <cell r="A1265">
            <v>2019</v>
          </cell>
          <cell r="B1265" t="str">
            <v>Budget</v>
          </cell>
          <cell r="C1265" t="str">
            <v>Feb</v>
          </cell>
          <cell r="D1265" t="str">
            <v>Chairs</v>
          </cell>
          <cell r="E1265">
            <v>142836.62399999998</v>
          </cell>
          <cell r="F1265">
            <v>2</v>
          </cell>
        </row>
        <row r="1266">
          <cell r="A1266">
            <v>2019</v>
          </cell>
          <cell r="B1266" t="str">
            <v>Actual</v>
          </cell>
          <cell r="C1266" t="str">
            <v>Feb</v>
          </cell>
          <cell r="D1266" t="str">
            <v>Chairs</v>
          </cell>
          <cell r="E1266">
            <v>66331.957999999999</v>
          </cell>
          <cell r="F1266">
            <v>2</v>
          </cell>
        </row>
        <row r="1267">
          <cell r="A1267">
            <v>2019</v>
          </cell>
          <cell r="B1267" t="str">
            <v>Budget</v>
          </cell>
          <cell r="C1267" t="str">
            <v>Feb</v>
          </cell>
          <cell r="D1267" t="str">
            <v>Chairs</v>
          </cell>
          <cell r="E1267">
            <v>297317.82499999995</v>
          </cell>
          <cell r="F1267">
            <v>2</v>
          </cell>
        </row>
        <row r="1268">
          <cell r="A1268">
            <v>2019</v>
          </cell>
          <cell r="B1268" t="str">
            <v>Actual</v>
          </cell>
          <cell r="C1268" t="str">
            <v>Feb</v>
          </cell>
          <cell r="D1268" t="str">
            <v>Chairs</v>
          </cell>
          <cell r="E1268">
            <v>-31204.627999999997</v>
          </cell>
          <cell r="F1268">
            <v>2</v>
          </cell>
        </row>
        <row r="1269">
          <cell r="A1269">
            <v>2019</v>
          </cell>
          <cell r="B1269" t="str">
            <v>Budget</v>
          </cell>
          <cell r="C1269" t="str">
            <v>Feb</v>
          </cell>
          <cell r="D1269" t="str">
            <v>Chairs</v>
          </cell>
          <cell r="E1269">
            <v>866725.41899999988</v>
          </cell>
          <cell r="F1269">
            <v>2</v>
          </cell>
        </row>
        <row r="1270">
          <cell r="A1270">
            <v>2019</v>
          </cell>
          <cell r="B1270" t="str">
            <v>Actual</v>
          </cell>
          <cell r="C1270" t="str">
            <v>Feb</v>
          </cell>
          <cell r="D1270" t="str">
            <v>Chairs</v>
          </cell>
          <cell r="E1270">
            <v>4107728.59</v>
          </cell>
          <cell r="F1270">
            <v>2</v>
          </cell>
        </row>
        <row r="1271">
          <cell r="A1271">
            <v>2019</v>
          </cell>
          <cell r="B1271" t="str">
            <v>Budget</v>
          </cell>
          <cell r="C1271" t="str">
            <v>Feb</v>
          </cell>
          <cell r="D1271" t="str">
            <v>Chairs</v>
          </cell>
          <cell r="E1271">
            <v>2051185.206</v>
          </cell>
          <cell r="F1271">
            <v>2</v>
          </cell>
        </row>
        <row r="1272">
          <cell r="A1272">
            <v>2019</v>
          </cell>
          <cell r="B1272" t="str">
            <v>Actual</v>
          </cell>
          <cell r="C1272" t="str">
            <v>Feb</v>
          </cell>
          <cell r="D1272" t="str">
            <v>Chairs</v>
          </cell>
          <cell r="E1272">
            <v>1208754.827</v>
          </cell>
          <cell r="F1272">
            <v>2</v>
          </cell>
        </row>
        <row r="1273">
          <cell r="A1273">
            <v>2019</v>
          </cell>
          <cell r="B1273" t="str">
            <v>Budget</v>
          </cell>
          <cell r="C1273" t="str">
            <v>Feb</v>
          </cell>
          <cell r="D1273" t="str">
            <v>Chairs</v>
          </cell>
          <cell r="E1273">
            <v>1926703.6249999998</v>
          </cell>
          <cell r="F1273">
            <v>2</v>
          </cell>
        </row>
        <row r="1274">
          <cell r="A1274">
            <v>2018</v>
          </cell>
          <cell r="B1274" t="str">
            <v>Actual</v>
          </cell>
          <cell r="C1274" t="str">
            <v>Feb</v>
          </cell>
          <cell r="D1274" t="str">
            <v>Chairs</v>
          </cell>
          <cell r="E1274">
            <v>19714844.232999999</v>
          </cell>
          <cell r="F1274">
            <v>2</v>
          </cell>
        </row>
        <row r="1275">
          <cell r="A1275">
            <v>2018</v>
          </cell>
          <cell r="B1275" t="str">
            <v>Budget</v>
          </cell>
          <cell r="C1275" t="str">
            <v>Feb</v>
          </cell>
          <cell r="D1275" t="str">
            <v>Chairs</v>
          </cell>
          <cell r="E1275">
            <v>6490.6309999999994</v>
          </cell>
          <cell r="F1275">
            <v>2</v>
          </cell>
        </row>
        <row r="1276">
          <cell r="A1276">
            <v>2018</v>
          </cell>
          <cell r="B1276" t="str">
            <v>Actual</v>
          </cell>
          <cell r="C1276" t="str">
            <v>Feb</v>
          </cell>
          <cell r="D1276" t="str">
            <v>Chairs</v>
          </cell>
          <cell r="E1276">
            <v>90079.520999999993</v>
          </cell>
          <cell r="F1276">
            <v>2</v>
          </cell>
        </row>
        <row r="1277">
          <cell r="A1277">
            <v>2018</v>
          </cell>
          <cell r="B1277" t="str">
            <v>Budget</v>
          </cell>
          <cell r="C1277" t="str">
            <v>Feb</v>
          </cell>
          <cell r="D1277" t="str">
            <v>Chairs</v>
          </cell>
          <cell r="E1277">
            <v>40566088.072999999</v>
          </cell>
          <cell r="F1277">
            <v>2</v>
          </cell>
        </row>
        <row r="1278">
          <cell r="A1278">
            <v>2019</v>
          </cell>
          <cell r="B1278" t="str">
            <v>Actual</v>
          </cell>
          <cell r="C1278" t="str">
            <v>Feb</v>
          </cell>
          <cell r="D1278" t="str">
            <v>Chairs</v>
          </cell>
          <cell r="E1278">
            <v>1136322.7119999998</v>
          </cell>
          <cell r="F1278">
            <v>2</v>
          </cell>
        </row>
        <row r="1279">
          <cell r="A1279">
            <v>2019</v>
          </cell>
          <cell r="B1279" t="str">
            <v>Budget</v>
          </cell>
          <cell r="C1279" t="str">
            <v>Feb</v>
          </cell>
          <cell r="D1279" t="str">
            <v>Chairs</v>
          </cell>
          <cell r="E1279">
            <v>181395.23499999999</v>
          </cell>
          <cell r="F1279">
            <v>2</v>
          </cell>
        </row>
        <row r="1280">
          <cell r="A1280">
            <v>2018</v>
          </cell>
          <cell r="B1280" t="str">
            <v>Actual</v>
          </cell>
          <cell r="C1280" t="str">
            <v>Feb</v>
          </cell>
          <cell r="D1280" t="str">
            <v>Chairs</v>
          </cell>
          <cell r="E1280">
            <v>1931746.7609999999</v>
          </cell>
          <cell r="F1280">
            <v>2</v>
          </cell>
        </row>
        <row r="1281">
          <cell r="A1281">
            <v>2018</v>
          </cell>
          <cell r="B1281" t="str">
            <v>Budget</v>
          </cell>
          <cell r="C1281" t="str">
            <v>Feb</v>
          </cell>
          <cell r="D1281" t="str">
            <v>Chairs</v>
          </cell>
          <cell r="E1281">
            <v>987649.52299999981</v>
          </cell>
          <cell r="F1281">
            <v>2</v>
          </cell>
        </row>
        <row r="1282">
          <cell r="A1282">
            <v>2018</v>
          </cell>
          <cell r="B1282" t="str">
            <v>Actual</v>
          </cell>
          <cell r="C1282" t="str">
            <v>Feb</v>
          </cell>
          <cell r="D1282" t="str">
            <v>Chairs</v>
          </cell>
          <cell r="E1282">
            <v>54920.145000000004</v>
          </cell>
          <cell r="F1282">
            <v>2</v>
          </cell>
        </row>
        <row r="1283">
          <cell r="A1283">
            <v>2019</v>
          </cell>
          <cell r="B1283" t="str">
            <v>Budget</v>
          </cell>
          <cell r="C1283" t="str">
            <v>Feb</v>
          </cell>
          <cell r="D1283" t="str">
            <v>Chairs</v>
          </cell>
          <cell r="E1283">
            <v>484777.36999999994</v>
          </cell>
          <cell r="F1283">
            <v>2</v>
          </cell>
        </row>
        <row r="1284">
          <cell r="A1284">
            <v>2018</v>
          </cell>
          <cell r="B1284" t="str">
            <v>Actual</v>
          </cell>
          <cell r="C1284" t="str">
            <v>Feb</v>
          </cell>
          <cell r="D1284" t="str">
            <v>Chairs</v>
          </cell>
          <cell r="E1284">
            <v>230291.45999999996</v>
          </cell>
          <cell r="F1284">
            <v>2</v>
          </cell>
        </row>
        <row r="1285">
          <cell r="A1285">
            <v>2019</v>
          </cell>
          <cell r="B1285" t="str">
            <v>Budget</v>
          </cell>
          <cell r="C1285" t="str">
            <v>Feb</v>
          </cell>
          <cell r="D1285" t="str">
            <v>Chairs</v>
          </cell>
          <cell r="E1285">
            <v>92189.600999999995</v>
          </cell>
          <cell r="F1285">
            <v>2</v>
          </cell>
        </row>
        <row r="1286">
          <cell r="A1286">
            <v>2019</v>
          </cell>
          <cell r="B1286" t="str">
            <v>Actual</v>
          </cell>
          <cell r="C1286" t="str">
            <v>Feb</v>
          </cell>
          <cell r="D1286" t="str">
            <v>Chairs</v>
          </cell>
          <cell r="E1286">
            <v>533946.15399999998</v>
          </cell>
          <cell r="F1286">
            <v>2</v>
          </cell>
        </row>
        <row r="1287">
          <cell r="A1287">
            <v>2019</v>
          </cell>
          <cell r="B1287" t="str">
            <v>Budget</v>
          </cell>
          <cell r="C1287" t="str">
            <v>Feb</v>
          </cell>
          <cell r="D1287" t="str">
            <v>Tables</v>
          </cell>
          <cell r="E1287">
            <v>1508325.8049999999</v>
          </cell>
          <cell r="F1287">
            <v>2</v>
          </cell>
        </row>
        <row r="1288">
          <cell r="A1288">
            <v>2018</v>
          </cell>
          <cell r="B1288" t="str">
            <v>Actual</v>
          </cell>
          <cell r="C1288" t="str">
            <v>Feb</v>
          </cell>
          <cell r="D1288" t="str">
            <v>Kitchen</v>
          </cell>
          <cell r="E1288">
            <v>20877.927</v>
          </cell>
          <cell r="F1288">
            <v>2</v>
          </cell>
        </row>
        <row r="1289">
          <cell r="A1289">
            <v>2019</v>
          </cell>
          <cell r="B1289" t="str">
            <v>Budget</v>
          </cell>
          <cell r="C1289" t="str">
            <v>Feb</v>
          </cell>
          <cell r="D1289" t="str">
            <v>Chairs</v>
          </cell>
          <cell r="E1289">
            <v>69810.43299999999</v>
          </cell>
          <cell r="F1289">
            <v>2</v>
          </cell>
        </row>
        <row r="1290">
          <cell r="A1290">
            <v>2018</v>
          </cell>
          <cell r="B1290" t="str">
            <v>Actual</v>
          </cell>
          <cell r="C1290" t="str">
            <v>Feb</v>
          </cell>
          <cell r="D1290" t="str">
            <v>Chairs</v>
          </cell>
          <cell r="E1290">
            <v>863312.70200000005</v>
          </cell>
          <cell r="F1290">
            <v>2</v>
          </cell>
        </row>
        <row r="1291">
          <cell r="A1291">
            <v>2019</v>
          </cell>
          <cell r="B1291" t="str">
            <v>Budget</v>
          </cell>
          <cell r="C1291" t="str">
            <v>Feb</v>
          </cell>
          <cell r="D1291" t="str">
            <v>Chairs</v>
          </cell>
          <cell r="E1291">
            <v>53832.981999999996</v>
          </cell>
          <cell r="F1291">
            <v>2</v>
          </cell>
        </row>
        <row r="1292">
          <cell r="A1292">
            <v>2019</v>
          </cell>
          <cell r="B1292" t="str">
            <v>Actual</v>
          </cell>
          <cell r="C1292" t="str">
            <v>Feb</v>
          </cell>
          <cell r="D1292" t="str">
            <v>Chairs</v>
          </cell>
          <cell r="E1292">
            <v>79298.092999999993</v>
          </cell>
          <cell r="F1292">
            <v>2</v>
          </cell>
        </row>
        <row r="1293">
          <cell r="A1293">
            <v>2018</v>
          </cell>
          <cell r="B1293" t="str">
            <v>Budget</v>
          </cell>
          <cell r="C1293" t="str">
            <v>Feb</v>
          </cell>
          <cell r="D1293" t="str">
            <v>Chairs</v>
          </cell>
          <cell r="E1293">
            <v>47073.649000000005</v>
          </cell>
          <cell r="F1293">
            <v>2</v>
          </cell>
        </row>
        <row r="1294">
          <cell r="A1294">
            <v>2019</v>
          </cell>
          <cell r="B1294" t="str">
            <v>Actual</v>
          </cell>
          <cell r="C1294" t="str">
            <v>Feb</v>
          </cell>
          <cell r="D1294" t="str">
            <v>Tables</v>
          </cell>
          <cell r="E1294">
            <v>126878.416</v>
          </cell>
          <cell r="F1294">
            <v>2</v>
          </cell>
        </row>
        <row r="1295">
          <cell r="A1295">
            <v>2018</v>
          </cell>
          <cell r="B1295" t="str">
            <v>Budget</v>
          </cell>
          <cell r="C1295" t="str">
            <v>Feb</v>
          </cell>
          <cell r="D1295" t="str">
            <v>Kitchen</v>
          </cell>
          <cell r="E1295">
            <v>3957258.2629999998</v>
          </cell>
          <cell r="F1295">
            <v>2</v>
          </cell>
        </row>
        <row r="1296">
          <cell r="A1296">
            <v>2019</v>
          </cell>
          <cell r="B1296" t="str">
            <v>Actual</v>
          </cell>
          <cell r="C1296" t="str">
            <v>Feb</v>
          </cell>
          <cell r="D1296" t="str">
            <v>Chairs</v>
          </cell>
          <cell r="E1296">
            <v>501177.74699999992</v>
          </cell>
          <cell r="F1296">
            <v>2</v>
          </cell>
        </row>
        <row r="1297">
          <cell r="A1297">
            <v>2019</v>
          </cell>
          <cell r="B1297" t="str">
            <v>Budget</v>
          </cell>
          <cell r="C1297" t="str">
            <v>Feb</v>
          </cell>
          <cell r="D1297" t="str">
            <v>Chairs</v>
          </cell>
          <cell r="E1297">
            <v>124809.67099999999</v>
          </cell>
          <cell r="F1297">
            <v>2</v>
          </cell>
        </row>
        <row r="1298">
          <cell r="A1298">
            <v>2019</v>
          </cell>
          <cell r="B1298" t="str">
            <v>Actual</v>
          </cell>
          <cell r="C1298" t="str">
            <v>Feb</v>
          </cell>
          <cell r="D1298" t="str">
            <v>Chairs</v>
          </cell>
          <cell r="E1298">
            <v>81642.847999999998</v>
          </cell>
          <cell r="F1298">
            <v>2</v>
          </cell>
        </row>
        <row r="1299">
          <cell r="A1299">
            <v>2019</v>
          </cell>
          <cell r="B1299" t="str">
            <v>Budget</v>
          </cell>
          <cell r="C1299" t="str">
            <v>Feb</v>
          </cell>
          <cell r="D1299" t="str">
            <v>Tables</v>
          </cell>
          <cell r="E1299">
            <v>20769.594999999998</v>
          </cell>
          <cell r="F1299">
            <v>2</v>
          </cell>
        </row>
        <row r="1300">
          <cell r="A1300">
            <v>2019</v>
          </cell>
          <cell r="B1300" t="str">
            <v>Actual</v>
          </cell>
          <cell r="C1300" t="str">
            <v>Feb</v>
          </cell>
          <cell r="D1300" t="str">
            <v>Kitchen</v>
          </cell>
          <cell r="E1300">
            <v>159881.603</v>
          </cell>
          <cell r="F1300">
            <v>2</v>
          </cell>
        </row>
        <row r="1301">
          <cell r="A1301">
            <v>2019</v>
          </cell>
          <cell r="B1301" t="str">
            <v>Budget</v>
          </cell>
          <cell r="C1301" t="str">
            <v>Feb</v>
          </cell>
          <cell r="D1301" t="str">
            <v>Chairs</v>
          </cell>
          <cell r="E1301">
            <v>481039.55899999995</v>
          </cell>
          <cell r="F1301">
            <v>2</v>
          </cell>
        </row>
        <row r="1302">
          <cell r="A1302">
            <v>2019</v>
          </cell>
          <cell r="B1302" t="str">
            <v>Actual</v>
          </cell>
          <cell r="C1302" t="str">
            <v>Feb</v>
          </cell>
          <cell r="D1302" t="str">
            <v>Chairs</v>
          </cell>
          <cell r="E1302">
            <v>89695.521999999997</v>
          </cell>
          <cell r="F1302">
            <v>2</v>
          </cell>
        </row>
        <row r="1303">
          <cell r="A1303">
            <v>2019</v>
          </cell>
          <cell r="B1303" t="str">
            <v>Budget</v>
          </cell>
          <cell r="C1303" t="str">
            <v>Feb</v>
          </cell>
          <cell r="D1303" t="str">
            <v>Tables</v>
          </cell>
          <cell r="E1303">
            <v>63266.216999999997</v>
          </cell>
          <cell r="F1303">
            <v>2</v>
          </cell>
        </row>
        <row r="1304">
          <cell r="A1304">
            <v>2019</v>
          </cell>
          <cell r="B1304" t="str">
            <v>Actual</v>
          </cell>
          <cell r="C1304" t="str">
            <v>Feb</v>
          </cell>
          <cell r="D1304" t="str">
            <v>Kitchen</v>
          </cell>
          <cell r="E1304">
            <v>76422.779999999984</v>
          </cell>
          <cell r="F1304">
            <v>2</v>
          </cell>
        </row>
        <row r="1305">
          <cell r="A1305">
            <v>2019</v>
          </cell>
          <cell r="B1305" t="str">
            <v>Budget</v>
          </cell>
          <cell r="C1305" t="str">
            <v>Feb</v>
          </cell>
          <cell r="D1305" t="str">
            <v>Chairs</v>
          </cell>
          <cell r="E1305">
            <v>1418494.6159999999</v>
          </cell>
          <cell r="F1305">
            <v>2</v>
          </cell>
        </row>
        <row r="1306">
          <cell r="A1306">
            <v>2019</v>
          </cell>
          <cell r="B1306" t="str">
            <v>Actual</v>
          </cell>
          <cell r="C1306" t="str">
            <v>Feb</v>
          </cell>
          <cell r="D1306" t="str">
            <v>Chairs</v>
          </cell>
          <cell r="E1306">
            <v>120553.09</v>
          </cell>
          <cell r="F1306">
            <v>2</v>
          </cell>
        </row>
        <row r="1307">
          <cell r="A1307">
            <v>2019</v>
          </cell>
          <cell r="B1307" t="str">
            <v>Budget</v>
          </cell>
          <cell r="C1307" t="str">
            <v>Feb</v>
          </cell>
          <cell r="D1307" t="str">
            <v>Chairs</v>
          </cell>
          <cell r="E1307">
            <v>37586.800999999999</v>
          </cell>
          <cell r="F1307">
            <v>2</v>
          </cell>
        </row>
        <row r="1308">
          <cell r="A1308">
            <v>2018</v>
          </cell>
          <cell r="B1308" t="str">
            <v>Actual</v>
          </cell>
          <cell r="C1308" t="str">
            <v>Feb</v>
          </cell>
          <cell r="D1308" t="str">
            <v>Tables</v>
          </cell>
          <cell r="E1308">
            <v>45248.818999999996</v>
          </cell>
          <cell r="F1308">
            <v>2</v>
          </cell>
        </row>
        <row r="1309">
          <cell r="A1309">
            <v>2019</v>
          </cell>
          <cell r="B1309" t="str">
            <v>Budget</v>
          </cell>
          <cell r="C1309" t="str">
            <v>Feb</v>
          </cell>
          <cell r="D1309" t="str">
            <v>Kitchen</v>
          </cell>
          <cell r="E1309">
            <v>653292.42999999993</v>
          </cell>
          <cell r="F1309">
            <v>2</v>
          </cell>
        </row>
        <row r="1310">
          <cell r="A1310">
            <v>2019</v>
          </cell>
          <cell r="B1310" t="str">
            <v>Actual</v>
          </cell>
          <cell r="C1310" t="str">
            <v>Feb</v>
          </cell>
          <cell r="D1310" t="str">
            <v>Accessories</v>
          </cell>
          <cell r="E1310">
            <v>8566.3059999999987</v>
          </cell>
          <cell r="F1310">
            <v>2</v>
          </cell>
        </row>
        <row r="1311">
          <cell r="A1311">
            <v>2018</v>
          </cell>
          <cell r="B1311" t="str">
            <v>Budget</v>
          </cell>
          <cell r="C1311" t="str">
            <v>Feb</v>
          </cell>
          <cell r="D1311" t="str">
            <v>Chairs</v>
          </cell>
          <cell r="E1311">
            <v>178007.655</v>
          </cell>
          <cell r="F1311">
            <v>2</v>
          </cell>
        </row>
        <row r="1312">
          <cell r="A1312">
            <v>2019</v>
          </cell>
          <cell r="B1312" t="str">
            <v>Actual</v>
          </cell>
          <cell r="C1312" t="str">
            <v>Feb</v>
          </cell>
          <cell r="D1312" t="str">
            <v>Tables</v>
          </cell>
          <cell r="E1312">
            <v>187955.68399999998</v>
          </cell>
          <cell r="F1312">
            <v>2</v>
          </cell>
        </row>
        <row r="1313">
          <cell r="A1313">
            <v>2019</v>
          </cell>
          <cell r="B1313" t="str">
            <v>Budget</v>
          </cell>
          <cell r="C1313" t="str">
            <v>Feb</v>
          </cell>
          <cell r="D1313" t="str">
            <v>Kitchen</v>
          </cell>
          <cell r="E1313">
            <v>190821.54699999999</v>
          </cell>
          <cell r="F1313">
            <v>2</v>
          </cell>
        </row>
        <row r="1314">
          <cell r="A1314">
            <v>2019</v>
          </cell>
          <cell r="B1314" t="str">
            <v>Actual</v>
          </cell>
          <cell r="C1314" t="str">
            <v>Feb</v>
          </cell>
          <cell r="D1314" t="str">
            <v>Accessories</v>
          </cell>
          <cell r="E1314">
            <v>3925.74</v>
          </cell>
          <cell r="F1314">
            <v>2</v>
          </cell>
        </row>
        <row r="1315">
          <cell r="A1315">
            <v>2019</v>
          </cell>
          <cell r="B1315" t="str">
            <v>Budget</v>
          </cell>
          <cell r="C1315" t="str">
            <v>Feb</v>
          </cell>
          <cell r="D1315" t="str">
            <v>Chairs</v>
          </cell>
          <cell r="E1315">
            <v>44281.845999999998</v>
          </cell>
          <cell r="F1315">
            <v>2</v>
          </cell>
        </row>
        <row r="1316">
          <cell r="A1316">
            <v>2019</v>
          </cell>
          <cell r="B1316" t="str">
            <v>Actual</v>
          </cell>
          <cell r="C1316" t="str">
            <v>Feb</v>
          </cell>
          <cell r="D1316" t="str">
            <v>Tables</v>
          </cell>
          <cell r="E1316">
            <v>243149.739</v>
          </cell>
          <cell r="F1316">
            <v>2</v>
          </cell>
        </row>
        <row r="1317">
          <cell r="A1317">
            <v>2019</v>
          </cell>
          <cell r="B1317" t="str">
            <v>Budget</v>
          </cell>
          <cell r="C1317" t="str">
            <v>Feb</v>
          </cell>
          <cell r="D1317" t="str">
            <v>Kitchen</v>
          </cell>
          <cell r="E1317">
            <v>59975.852999999988</v>
          </cell>
          <cell r="F1317">
            <v>2</v>
          </cell>
        </row>
        <row r="1318">
          <cell r="A1318">
            <v>2019</v>
          </cell>
          <cell r="B1318" t="str">
            <v>Actual</v>
          </cell>
          <cell r="C1318" t="str">
            <v>Feb</v>
          </cell>
          <cell r="D1318" t="str">
            <v>Accessories</v>
          </cell>
          <cell r="E1318">
            <v>4157.2859999999991</v>
          </cell>
          <cell r="F1318">
            <v>2</v>
          </cell>
        </row>
        <row r="1319">
          <cell r="A1319">
            <v>2019</v>
          </cell>
          <cell r="B1319" t="str">
            <v>Budget</v>
          </cell>
          <cell r="C1319" t="str">
            <v>Feb</v>
          </cell>
          <cell r="D1319" t="str">
            <v>Chairs</v>
          </cell>
          <cell r="E1319">
            <v>45396.266999999993</v>
          </cell>
          <cell r="F1319">
            <v>2</v>
          </cell>
        </row>
        <row r="1320">
          <cell r="A1320">
            <v>2018</v>
          </cell>
          <cell r="B1320" t="str">
            <v>Actual</v>
          </cell>
          <cell r="C1320" t="str">
            <v>Feb</v>
          </cell>
          <cell r="D1320" t="str">
            <v>Tables</v>
          </cell>
          <cell r="E1320">
            <v>449631.02799999999</v>
          </cell>
          <cell r="F1320">
            <v>2</v>
          </cell>
        </row>
        <row r="1321">
          <cell r="A1321">
            <v>2018</v>
          </cell>
          <cell r="B1321" t="str">
            <v>Budget</v>
          </cell>
          <cell r="C1321" t="str">
            <v>Feb</v>
          </cell>
          <cell r="D1321" t="str">
            <v>Kitchen</v>
          </cell>
          <cell r="E1321">
            <v>783675.32599999988</v>
          </cell>
          <cell r="F1321">
            <v>2</v>
          </cell>
        </row>
        <row r="1322">
          <cell r="A1322">
            <v>2019</v>
          </cell>
          <cell r="B1322" t="str">
            <v>Actual</v>
          </cell>
          <cell r="C1322" t="str">
            <v>Feb</v>
          </cell>
          <cell r="D1322" t="str">
            <v>Accessories</v>
          </cell>
          <cell r="E1322">
            <v>113895.621</v>
          </cell>
          <cell r="F1322">
            <v>2</v>
          </cell>
        </row>
        <row r="1323">
          <cell r="A1323">
            <v>2018</v>
          </cell>
          <cell r="B1323" t="str">
            <v>Budget</v>
          </cell>
          <cell r="C1323" t="str">
            <v>Feb</v>
          </cell>
          <cell r="D1323" t="str">
            <v>Chairs</v>
          </cell>
          <cell r="E1323">
            <v>158316.424</v>
          </cell>
          <cell r="F1323">
            <v>2</v>
          </cell>
        </row>
        <row r="1324">
          <cell r="A1324">
            <v>2018</v>
          </cell>
          <cell r="B1324" t="str">
            <v>Actual</v>
          </cell>
          <cell r="C1324" t="str">
            <v>Feb</v>
          </cell>
          <cell r="D1324" t="str">
            <v>Chairs</v>
          </cell>
          <cell r="E1324">
            <v>173901.91699999999</v>
          </cell>
          <cell r="F1324">
            <v>2</v>
          </cell>
        </row>
        <row r="1325">
          <cell r="A1325">
            <v>2019</v>
          </cell>
          <cell r="B1325" t="str">
            <v>Budget</v>
          </cell>
          <cell r="C1325" t="str">
            <v>Feb</v>
          </cell>
          <cell r="D1325" t="str">
            <v>Tables</v>
          </cell>
          <cell r="E1325">
            <v>3278747.787</v>
          </cell>
          <cell r="F1325">
            <v>2</v>
          </cell>
        </row>
        <row r="1326">
          <cell r="A1326">
            <v>2019</v>
          </cell>
          <cell r="B1326" t="str">
            <v>Actual</v>
          </cell>
          <cell r="C1326" t="str">
            <v>Feb</v>
          </cell>
          <cell r="D1326" t="str">
            <v>Kitchen</v>
          </cell>
          <cell r="E1326">
            <v>244973.24600000001</v>
          </cell>
          <cell r="F1326">
            <v>2</v>
          </cell>
        </row>
        <row r="1327">
          <cell r="A1327">
            <v>2019</v>
          </cell>
          <cell r="B1327" t="str">
            <v>Budget</v>
          </cell>
          <cell r="C1327" t="str">
            <v>Feb</v>
          </cell>
          <cell r="D1327" t="str">
            <v>Chairs</v>
          </cell>
          <cell r="E1327">
            <v>550066.81799999997</v>
          </cell>
          <cell r="F1327">
            <v>2</v>
          </cell>
        </row>
        <row r="1328">
          <cell r="A1328">
            <v>2018</v>
          </cell>
          <cell r="B1328" t="str">
            <v>Actual</v>
          </cell>
          <cell r="C1328" t="str">
            <v>Feb</v>
          </cell>
          <cell r="D1328" t="str">
            <v>Tables</v>
          </cell>
          <cell r="E1328">
            <v>310459.27499999997</v>
          </cell>
          <cell r="F1328">
            <v>2</v>
          </cell>
        </row>
        <row r="1329">
          <cell r="A1329">
            <v>2018</v>
          </cell>
          <cell r="B1329" t="str">
            <v>Budget</v>
          </cell>
          <cell r="C1329" t="str">
            <v>Feb</v>
          </cell>
          <cell r="D1329" t="str">
            <v>Kitchen</v>
          </cell>
          <cell r="E1329">
            <v>74328.93299999999</v>
          </cell>
          <cell r="F1329">
            <v>2</v>
          </cell>
        </row>
        <row r="1330">
          <cell r="A1330">
            <v>2018</v>
          </cell>
          <cell r="B1330" t="str">
            <v>Actual</v>
          </cell>
          <cell r="C1330" t="str">
            <v>Feb</v>
          </cell>
          <cell r="D1330" t="str">
            <v>Chairs</v>
          </cell>
          <cell r="E1330">
            <v>9142.5669999999991</v>
          </cell>
          <cell r="F1330">
            <v>2</v>
          </cell>
        </row>
        <row r="1331">
          <cell r="A1331">
            <v>2019</v>
          </cell>
          <cell r="B1331" t="str">
            <v>Budget</v>
          </cell>
          <cell r="C1331" t="str">
            <v>Feb</v>
          </cell>
          <cell r="D1331" t="str">
            <v>Tables</v>
          </cell>
          <cell r="E1331">
            <v>10236.59</v>
          </cell>
          <cell r="F1331">
            <v>2</v>
          </cell>
        </row>
        <row r="1332">
          <cell r="A1332">
            <v>2019</v>
          </cell>
          <cell r="B1332" t="str">
            <v>Actual</v>
          </cell>
          <cell r="C1332" t="str">
            <v>Feb</v>
          </cell>
          <cell r="D1332" t="str">
            <v>Kitchen</v>
          </cell>
          <cell r="E1332">
            <v>61094.543999999994</v>
          </cell>
          <cell r="F1332">
            <v>2</v>
          </cell>
        </row>
        <row r="1333">
          <cell r="A1333">
            <v>2019</v>
          </cell>
          <cell r="B1333" t="str">
            <v>Budget</v>
          </cell>
          <cell r="C1333" t="str">
            <v>Feb</v>
          </cell>
          <cell r="D1333" t="str">
            <v>Chairs</v>
          </cell>
          <cell r="E1333">
            <v>102719.148</v>
          </cell>
          <cell r="F1333">
            <v>2</v>
          </cell>
        </row>
        <row r="1334">
          <cell r="A1334">
            <v>2018</v>
          </cell>
          <cell r="B1334" t="str">
            <v>Actual</v>
          </cell>
          <cell r="C1334" t="str">
            <v>Feb</v>
          </cell>
          <cell r="D1334" t="str">
            <v>Chairs</v>
          </cell>
          <cell r="E1334">
            <v>588896.6719999999</v>
          </cell>
          <cell r="F1334">
            <v>2</v>
          </cell>
        </row>
        <row r="1335">
          <cell r="A1335">
            <v>2019</v>
          </cell>
          <cell r="B1335" t="str">
            <v>Budget</v>
          </cell>
          <cell r="C1335" t="str">
            <v>Feb</v>
          </cell>
          <cell r="D1335" t="str">
            <v>Chairs</v>
          </cell>
          <cell r="E1335">
            <v>103604.78799999999</v>
          </cell>
          <cell r="F1335">
            <v>2</v>
          </cell>
        </row>
        <row r="1336">
          <cell r="A1336">
            <v>2019</v>
          </cell>
          <cell r="B1336" t="str">
            <v>Actual</v>
          </cell>
          <cell r="C1336" t="str">
            <v>Feb</v>
          </cell>
          <cell r="D1336" t="str">
            <v>Chairs</v>
          </cell>
          <cell r="E1336">
            <v>64744.47</v>
          </cell>
          <cell r="F1336">
            <v>2</v>
          </cell>
        </row>
        <row r="1337">
          <cell r="A1337">
            <v>2019</v>
          </cell>
          <cell r="B1337" t="str">
            <v>Budget</v>
          </cell>
          <cell r="C1337" t="str">
            <v>Feb</v>
          </cell>
          <cell r="D1337" t="str">
            <v>Chairs</v>
          </cell>
          <cell r="E1337">
            <v>15829.268</v>
          </cell>
          <cell r="F1337">
            <v>2</v>
          </cell>
        </row>
        <row r="1338">
          <cell r="A1338">
            <v>2018</v>
          </cell>
          <cell r="B1338" t="str">
            <v>Actual</v>
          </cell>
          <cell r="C1338" t="str">
            <v>Feb</v>
          </cell>
          <cell r="D1338" t="str">
            <v>Chairs</v>
          </cell>
          <cell r="E1338">
            <v>548694.59400000004</v>
          </cell>
          <cell r="F1338">
            <v>2</v>
          </cell>
        </row>
        <row r="1339">
          <cell r="A1339">
            <v>2018</v>
          </cell>
          <cell r="B1339" t="str">
            <v>Budget</v>
          </cell>
          <cell r="C1339" t="str">
            <v>Feb</v>
          </cell>
          <cell r="D1339" t="str">
            <v>Chairs</v>
          </cell>
          <cell r="E1339">
            <v>23441.340999999997</v>
          </cell>
          <cell r="F1339">
            <v>2</v>
          </cell>
        </row>
        <row r="1340">
          <cell r="A1340">
            <v>2019</v>
          </cell>
          <cell r="B1340" t="str">
            <v>Actual</v>
          </cell>
          <cell r="C1340" t="str">
            <v>Feb</v>
          </cell>
          <cell r="D1340" t="str">
            <v>Chairs</v>
          </cell>
          <cell r="E1340">
            <v>15860.263999999999</v>
          </cell>
          <cell r="F1340">
            <v>2</v>
          </cell>
        </row>
        <row r="1341">
          <cell r="A1341">
            <v>2019</v>
          </cell>
          <cell r="B1341" t="str">
            <v>Budget</v>
          </cell>
          <cell r="C1341" t="str">
            <v>Feb</v>
          </cell>
          <cell r="D1341" t="str">
            <v>Chairs</v>
          </cell>
          <cell r="E1341">
            <v>11140.030999999999</v>
          </cell>
          <cell r="F1341">
            <v>2</v>
          </cell>
        </row>
        <row r="1342">
          <cell r="A1342">
            <v>2018</v>
          </cell>
          <cell r="B1342" t="str">
            <v>Actual</v>
          </cell>
          <cell r="C1342" t="str">
            <v>Feb</v>
          </cell>
          <cell r="D1342" t="str">
            <v>Chairs</v>
          </cell>
          <cell r="E1342">
            <v>40725.432999999997</v>
          </cell>
          <cell r="F1342">
            <v>2</v>
          </cell>
        </row>
        <row r="1343">
          <cell r="A1343">
            <v>2018</v>
          </cell>
          <cell r="B1343" t="str">
            <v>Budget</v>
          </cell>
          <cell r="C1343" t="str">
            <v>Feb</v>
          </cell>
          <cell r="D1343" t="str">
            <v>Chairs</v>
          </cell>
          <cell r="E1343">
            <v>31922.218999999997</v>
          </cell>
          <cell r="F1343">
            <v>2</v>
          </cell>
        </row>
        <row r="1344">
          <cell r="A1344">
            <v>2018</v>
          </cell>
          <cell r="B1344" t="str">
            <v>Actual</v>
          </cell>
          <cell r="C1344" t="str">
            <v>Feb</v>
          </cell>
          <cell r="D1344" t="str">
            <v>Chairs</v>
          </cell>
          <cell r="E1344">
            <v>187471.87899999996</v>
          </cell>
          <cell r="F1344">
            <v>2</v>
          </cell>
        </row>
        <row r="1345">
          <cell r="A1345">
            <v>2019</v>
          </cell>
          <cell r="B1345" t="str">
            <v>Budget</v>
          </cell>
          <cell r="C1345" t="str">
            <v>Feb</v>
          </cell>
          <cell r="D1345" t="str">
            <v>Chairs</v>
          </cell>
          <cell r="E1345">
            <v>376305.41200000001</v>
          </cell>
          <cell r="F1345">
            <v>2</v>
          </cell>
        </row>
        <row r="1346">
          <cell r="A1346">
            <v>2019</v>
          </cell>
          <cell r="B1346" t="str">
            <v>Actual</v>
          </cell>
          <cell r="C1346" t="str">
            <v>Feb</v>
          </cell>
          <cell r="D1346" t="str">
            <v>Chairs</v>
          </cell>
          <cell r="E1346">
            <v>117502.62300000001</v>
          </cell>
          <cell r="F1346">
            <v>2</v>
          </cell>
        </row>
        <row r="1347">
          <cell r="A1347">
            <v>2019</v>
          </cell>
          <cell r="B1347" t="str">
            <v>Budget</v>
          </cell>
          <cell r="C1347" t="str">
            <v>Feb</v>
          </cell>
          <cell r="D1347" t="str">
            <v>Chairs</v>
          </cell>
          <cell r="E1347">
            <v>209837.43900000001</v>
          </cell>
          <cell r="F1347">
            <v>2</v>
          </cell>
        </row>
        <row r="1348">
          <cell r="A1348">
            <v>2019</v>
          </cell>
          <cell r="B1348" t="str">
            <v>Actual</v>
          </cell>
          <cell r="C1348" t="str">
            <v>Feb</v>
          </cell>
          <cell r="D1348" t="str">
            <v>Chairs</v>
          </cell>
          <cell r="E1348">
            <v>411879.54499999998</v>
          </cell>
          <cell r="F1348">
            <v>2</v>
          </cell>
        </row>
        <row r="1349">
          <cell r="A1349">
            <v>2019</v>
          </cell>
          <cell r="B1349" t="str">
            <v>Budget</v>
          </cell>
          <cell r="C1349" t="str">
            <v>Feb</v>
          </cell>
          <cell r="D1349" t="str">
            <v>Chairs</v>
          </cell>
          <cell r="E1349">
            <v>1475182.94</v>
          </cell>
          <cell r="F1349">
            <v>2</v>
          </cell>
        </row>
        <row r="1350">
          <cell r="A1350">
            <v>2018</v>
          </cell>
          <cell r="B1350" t="str">
            <v>Actual</v>
          </cell>
          <cell r="C1350" t="str">
            <v>Feb</v>
          </cell>
          <cell r="D1350" t="str">
            <v>Chairs</v>
          </cell>
          <cell r="E1350">
            <v>52040.421999999999</v>
          </cell>
          <cell r="F1350">
            <v>2</v>
          </cell>
        </row>
        <row r="1351">
          <cell r="A1351">
            <v>2018</v>
          </cell>
          <cell r="B1351" t="str">
            <v>Budget</v>
          </cell>
          <cell r="C1351" t="str">
            <v>Feb</v>
          </cell>
          <cell r="D1351" t="str">
            <v>Chairs</v>
          </cell>
          <cell r="E1351">
            <v>308990.14999999997</v>
          </cell>
          <cell r="F1351">
            <v>2</v>
          </cell>
        </row>
        <row r="1352">
          <cell r="A1352">
            <v>2019</v>
          </cell>
          <cell r="B1352" t="str">
            <v>Actual</v>
          </cell>
          <cell r="C1352" t="str">
            <v>Feb</v>
          </cell>
          <cell r="D1352" t="str">
            <v>Chairs</v>
          </cell>
          <cell r="E1352">
            <v>491426.712</v>
          </cell>
          <cell r="F1352">
            <v>2</v>
          </cell>
        </row>
        <row r="1353">
          <cell r="A1353">
            <v>2018</v>
          </cell>
          <cell r="B1353" t="str">
            <v>Budget</v>
          </cell>
          <cell r="C1353" t="str">
            <v>Feb</v>
          </cell>
          <cell r="D1353" t="str">
            <v>Chairs</v>
          </cell>
          <cell r="E1353">
            <v>568482.63500000001</v>
          </cell>
          <cell r="F1353">
            <v>2</v>
          </cell>
        </row>
        <row r="1354">
          <cell r="A1354">
            <v>2019</v>
          </cell>
          <cell r="B1354" t="str">
            <v>Actual</v>
          </cell>
          <cell r="C1354" t="str">
            <v>Feb</v>
          </cell>
          <cell r="D1354" t="str">
            <v>Chairs</v>
          </cell>
          <cell r="E1354">
            <v>988275.79200000002</v>
          </cell>
          <cell r="F1354">
            <v>2</v>
          </cell>
        </row>
        <row r="1355">
          <cell r="A1355">
            <v>2019</v>
          </cell>
          <cell r="B1355" t="str">
            <v>Budget</v>
          </cell>
          <cell r="C1355" t="str">
            <v>Feb</v>
          </cell>
          <cell r="D1355" t="str">
            <v>Chairs</v>
          </cell>
          <cell r="E1355">
            <v>4397726.3049999997</v>
          </cell>
          <cell r="F1355">
            <v>2</v>
          </cell>
        </row>
        <row r="1356">
          <cell r="A1356">
            <v>2019</v>
          </cell>
          <cell r="B1356" t="str">
            <v>Actual</v>
          </cell>
          <cell r="C1356" t="str">
            <v>Feb</v>
          </cell>
          <cell r="D1356" t="str">
            <v>Chairs</v>
          </cell>
          <cell r="E1356">
            <v>19554.947999999997</v>
          </cell>
          <cell r="F1356">
            <v>2</v>
          </cell>
        </row>
        <row r="1357">
          <cell r="A1357">
            <v>2019</v>
          </cell>
          <cell r="B1357" t="str">
            <v>Budget</v>
          </cell>
          <cell r="C1357" t="str">
            <v>Feb</v>
          </cell>
          <cell r="D1357" t="str">
            <v>Chairs</v>
          </cell>
          <cell r="E1357">
            <v>177076.05299999999</v>
          </cell>
          <cell r="F1357">
            <v>2</v>
          </cell>
        </row>
        <row r="1358">
          <cell r="A1358">
            <v>2019</v>
          </cell>
          <cell r="B1358" t="str">
            <v>Actual</v>
          </cell>
          <cell r="C1358" t="str">
            <v>Feb</v>
          </cell>
          <cell r="D1358" t="str">
            <v>Chairs</v>
          </cell>
          <cell r="E1358">
            <v>301196.42</v>
          </cell>
          <cell r="F1358">
            <v>2</v>
          </cell>
        </row>
        <row r="1359">
          <cell r="A1359">
            <v>2018</v>
          </cell>
          <cell r="B1359" t="str">
            <v>Budget</v>
          </cell>
          <cell r="C1359" t="str">
            <v>Feb</v>
          </cell>
          <cell r="D1359" t="str">
            <v>Tables</v>
          </cell>
          <cell r="E1359">
            <v>2449691.6569999997</v>
          </cell>
          <cell r="F1359">
            <v>2</v>
          </cell>
        </row>
        <row r="1360">
          <cell r="A1360">
            <v>2019</v>
          </cell>
          <cell r="B1360" t="str">
            <v>Actual</v>
          </cell>
          <cell r="C1360" t="str">
            <v>Feb</v>
          </cell>
          <cell r="D1360" t="str">
            <v>Kitchen</v>
          </cell>
          <cell r="E1360">
            <v>110736.43699999999</v>
          </cell>
          <cell r="F1360">
            <v>2</v>
          </cell>
        </row>
        <row r="1361">
          <cell r="A1361">
            <v>2019</v>
          </cell>
          <cell r="B1361" t="str">
            <v>Budget</v>
          </cell>
          <cell r="C1361" t="str">
            <v>Feb</v>
          </cell>
          <cell r="D1361" t="str">
            <v>Chairs</v>
          </cell>
          <cell r="E1361">
            <v>1081389.5189999999</v>
          </cell>
          <cell r="F1361">
            <v>2</v>
          </cell>
        </row>
        <row r="1362">
          <cell r="A1362">
            <v>2018</v>
          </cell>
          <cell r="B1362" t="str">
            <v>Actual</v>
          </cell>
          <cell r="C1362" t="str">
            <v>Feb</v>
          </cell>
          <cell r="D1362" t="str">
            <v>Chairs</v>
          </cell>
          <cell r="E1362">
            <v>284587.46399999998</v>
          </cell>
          <cell r="F1362">
            <v>2</v>
          </cell>
        </row>
        <row r="1363">
          <cell r="A1363">
            <v>2019</v>
          </cell>
          <cell r="B1363" t="str">
            <v>Budget</v>
          </cell>
          <cell r="C1363" t="str">
            <v>Feb</v>
          </cell>
          <cell r="D1363" t="str">
            <v>Chairs</v>
          </cell>
          <cell r="E1363">
            <v>281813.42</v>
          </cell>
          <cell r="F1363">
            <v>2</v>
          </cell>
        </row>
        <row r="1364">
          <cell r="A1364">
            <v>2019</v>
          </cell>
          <cell r="B1364" t="str">
            <v>Actual</v>
          </cell>
          <cell r="C1364" t="str">
            <v>Feb</v>
          </cell>
          <cell r="D1364" t="str">
            <v>Chairs</v>
          </cell>
          <cell r="E1364">
            <v>17240.670999999998</v>
          </cell>
          <cell r="F1364">
            <v>2</v>
          </cell>
        </row>
        <row r="1365">
          <cell r="A1365">
            <v>2018</v>
          </cell>
          <cell r="B1365" t="str">
            <v>Budget</v>
          </cell>
          <cell r="C1365" t="str">
            <v>Feb</v>
          </cell>
          <cell r="D1365" t="str">
            <v>Chairs</v>
          </cell>
          <cell r="E1365">
            <v>140975.954</v>
          </cell>
          <cell r="F1365">
            <v>2</v>
          </cell>
        </row>
        <row r="1366">
          <cell r="A1366">
            <v>2019</v>
          </cell>
          <cell r="B1366" t="str">
            <v>Actual</v>
          </cell>
          <cell r="C1366" t="str">
            <v>Feb</v>
          </cell>
          <cell r="D1366" t="str">
            <v>Tables</v>
          </cell>
          <cell r="E1366">
            <v>3338.1950000000002</v>
          </cell>
          <cell r="F1366">
            <v>2</v>
          </cell>
        </row>
        <row r="1367">
          <cell r="A1367">
            <v>2019</v>
          </cell>
          <cell r="B1367" t="str">
            <v>Budget</v>
          </cell>
          <cell r="C1367" t="str">
            <v>Feb</v>
          </cell>
          <cell r="D1367" t="str">
            <v>Kitchen</v>
          </cell>
          <cell r="E1367">
            <v>403359.98499999999</v>
          </cell>
          <cell r="F1367">
            <v>2</v>
          </cell>
        </row>
        <row r="1368">
          <cell r="A1368">
            <v>2018</v>
          </cell>
          <cell r="B1368" t="str">
            <v>Actual</v>
          </cell>
          <cell r="C1368" t="str">
            <v>Feb</v>
          </cell>
          <cell r="D1368" t="str">
            <v>Chairs</v>
          </cell>
          <cell r="E1368">
            <v>192490.72499999998</v>
          </cell>
          <cell r="F1368">
            <v>2</v>
          </cell>
        </row>
        <row r="1369">
          <cell r="A1369">
            <v>2018</v>
          </cell>
          <cell r="B1369" t="str">
            <v>Budget</v>
          </cell>
          <cell r="C1369" t="str">
            <v>Feb</v>
          </cell>
          <cell r="D1369" t="str">
            <v>Chairs</v>
          </cell>
          <cell r="E1369">
            <v>95208.057000000001</v>
          </cell>
          <cell r="F1369">
            <v>2</v>
          </cell>
        </row>
        <row r="1370">
          <cell r="A1370">
            <v>2019</v>
          </cell>
          <cell r="B1370" t="str">
            <v>Actual</v>
          </cell>
          <cell r="C1370" t="str">
            <v>Feb</v>
          </cell>
          <cell r="D1370" t="str">
            <v>Chairs</v>
          </cell>
          <cell r="E1370">
            <v>176463.86799999999</v>
          </cell>
          <cell r="F1370">
            <v>2</v>
          </cell>
        </row>
        <row r="1371">
          <cell r="A1371">
            <v>2019</v>
          </cell>
          <cell r="B1371" t="str">
            <v>Budget</v>
          </cell>
          <cell r="C1371" t="str">
            <v>Feb</v>
          </cell>
          <cell r="D1371" t="str">
            <v>Tables</v>
          </cell>
          <cell r="E1371">
            <v>171012.27499999999</v>
          </cell>
          <cell r="F1371">
            <v>2</v>
          </cell>
        </row>
        <row r="1372">
          <cell r="A1372">
            <v>2019</v>
          </cell>
          <cell r="B1372" t="str">
            <v>Actual</v>
          </cell>
          <cell r="C1372" t="str">
            <v>Feb</v>
          </cell>
          <cell r="D1372" t="str">
            <v>Kitchen</v>
          </cell>
          <cell r="E1372">
            <v>-42371.455000000002</v>
          </cell>
          <cell r="F1372">
            <v>2</v>
          </cell>
        </row>
        <row r="1373">
          <cell r="A1373">
            <v>2019</v>
          </cell>
          <cell r="B1373" t="str">
            <v>Budget</v>
          </cell>
          <cell r="C1373" t="str">
            <v>Feb</v>
          </cell>
          <cell r="D1373" t="str">
            <v>Chairs</v>
          </cell>
          <cell r="E1373">
            <v>242453.95299999998</v>
          </cell>
          <cell r="F1373">
            <v>2</v>
          </cell>
        </row>
        <row r="1374">
          <cell r="A1374">
            <v>2019</v>
          </cell>
          <cell r="B1374" t="str">
            <v>Actual</v>
          </cell>
          <cell r="C1374" t="str">
            <v>Feb</v>
          </cell>
          <cell r="D1374" t="str">
            <v>Chairs</v>
          </cell>
          <cell r="E1374">
            <v>146560.288</v>
          </cell>
          <cell r="F1374">
            <v>2</v>
          </cell>
        </row>
        <row r="1375">
          <cell r="A1375">
            <v>2019</v>
          </cell>
          <cell r="B1375" t="str">
            <v>Budget</v>
          </cell>
          <cell r="C1375" t="str">
            <v>Feb</v>
          </cell>
          <cell r="D1375" t="str">
            <v>Tables</v>
          </cell>
          <cell r="E1375">
            <v>240361.12100000001</v>
          </cell>
          <cell r="F1375">
            <v>2</v>
          </cell>
        </row>
        <row r="1376">
          <cell r="A1376">
            <v>2018</v>
          </cell>
          <cell r="B1376" t="str">
            <v>Actual</v>
          </cell>
          <cell r="C1376" t="str">
            <v>Feb</v>
          </cell>
          <cell r="D1376" t="str">
            <v>Kitchen</v>
          </cell>
          <cell r="E1376">
            <v>96961.934999999983</v>
          </cell>
          <cell r="F1376">
            <v>2</v>
          </cell>
        </row>
        <row r="1377">
          <cell r="A1377">
            <v>2018</v>
          </cell>
          <cell r="B1377" t="str">
            <v>Budget</v>
          </cell>
          <cell r="C1377" t="str">
            <v>Feb</v>
          </cell>
          <cell r="D1377" t="str">
            <v>Chairs</v>
          </cell>
          <cell r="E1377">
            <v>212992.61899999998</v>
          </cell>
          <cell r="F1377">
            <v>2</v>
          </cell>
        </row>
        <row r="1378">
          <cell r="A1378">
            <v>2019</v>
          </cell>
          <cell r="B1378" t="str">
            <v>Actual</v>
          </cell>
          <cell r="C1378" t="str">
            <v>Feb</v>
          </cell>
          <cell r="D1378" t="str">
            <v>Chairs</v>
          </cell>
          <cell r="E1378">
            <v>180411.41999999998</v>
          </cell>
          <cell r="F1378">
            <v>2</v>
          </cell>
        </row>
        <row r="1379">
          <cell r="A1379">
            <v>2018</v>
          </cell>
          <cell r="B1379" t="str">
            <v>Budget</v>
          </cell>
          <cell r="C1379" t="str">
            <v>Feb</v>
          </cell>
          <cell r="D1379" t="str">
            <v>Chairs</v>
          </cell>
          <cell r="E1379">
            <v>77994.384999999995</v>
          </cell>
          <cell r="F1379">
            <v>2</v>
          </cell>
        </row>
        <row r="1380">
          <cell r="A1380">
            <v>2018</v>
          </cell>
          <cell r="B1380" t="str">
            <v>Actual</v>
          </cell>
          <cell r="C1380" t="str">
            <v>Feb</v>
          </cell>
          <cell r="D1380" t="str">
            <v>Tables</v>
          </cell>
          <cell r="E1380">
            <v>6124.9579999999996</v>
          </cell>
          <cell r="F1380">
            <v>2</v>
          </cell>
        </row>
        <row r="1381">
          <cell r="A1381">
            <v>2019</v>
          </cell>
          <cell r="B1381" t="str">
            <v>Budget</v>
          </cell>
          <cell r="C1381" t="str">
            <v>Feb</v>
          </cell>
          <cell r="D1381" t="str">
            <v>Kitchen</v>
          </cell>
          <cell r="E1381">
            <v>10553.48</v>
          </cell>
          <cell r="F1381">
            <v>2</v>
          </cell>
        </row>
        <row r="1382">
          <cell r="A1382">
            <v>2019</v>
          </cell>
          <cell r="B1382" t="str">
            <v>Actual</v>
          </cell>
          <cell r="C1382" t="str">
            <v>Feb</v>
          </cell>
          <cell r="D1382" t="str">
            <v>Accessories</v>
          </cell>
          <cell r="E1382">
            <v>101282.895</v>
          </cell>
          <cell r="F1382">
            <v>2</v>
          </cell>
        </row>
        <row r="1383">
          <cell r="A1383">
            <v>2019</v>
          </cell>
          <cell r="B1383" t="str">
            <v>Budget</v>
          </cell>
          <cell r="C1383" t="str">
            <v>Feb</v>
          </cell>
          <cell r="D1383" t="str">
            <v>Chairs</v>
          </cell>
          <cell r="E1383">
            <v>354305.76999999996</v>
          </cell>
          <cell r="F1383">
            <v>2</v>
          </cell>
        </row>
        <row r="1384">
          <cell r="A1384">
            <v>2018</v>
          </cell>
          <cell r="B1384" t="str">
            <v>Actual</v>
          </cell>
          <cell r="C1384" t="str">
            <v>Feb</v>
          </cell>
          <cell r="D1384" t="str">
            <v>Tables</v>
          </cell>
          <cell r="E1384">
            <v>15069.557999999997</v>
          </cell>
          <cell r="F1384">
            <v>2</v>
          </cell>
        </row>
        <row r="1385">
          <cell r="A1385">
            <v>2019</v>
          </cell>
          <cell r="B1385" t="str">
            <v>Budget</v>
          </cell>
          <cell r="C1385" t="str">
            <v>Feb</v>
          </cell>
          <cell r="D1385" t="str">
            <v>Kitchen</v>
          </cell>
          <cell r="E1385">
            <v>158006.51999999999</v>
          </cell>
          <cell r="F1385">
            <v>2</v>
          </cell>
        </row>
        <row r="1386">
          <cell r="A1386">
            <v>2019</v>
          </cell>
          <cell r="B1386" t="str">
            <v>Actual</v>
          </cell>
          <cell r="C1386" t="str">
            <v>Feb</v>
          </cell>
          <cell r="D1386" t="str">
            <v>Accessories</v>
          </cell>
          <cell r="E1386">
            <v>50197.097999999998</v>
          </cell>
          <cell r="F1386">
            <v>2</v>
          </cell>
        </row>
        <row r="1387">
          <cell r="A1387">
            <v>2019</v>
          </cell>
          <cell r="B1387" t="str">
            <v>Budget</v>
          </cell>
          <cell r="C1387" t="str">
            <v>Feb</v>
          </cell>
          <cell r="D1387" t="str">
            <v>Chairs</v>
          </cell>
          <cell r="E1387">
            <v>244690.13099999999</v>
          </cell>
          <cell r="F1387">
            <v>2</v>
          </cell>
        </row>
        <row r="1388">
          <cell r="A1388">
            <v>2019</v>
          </cell>
          <cell r="B1388" t="str">
            <v>Actual</v>
          </cell>
          <cell r="C1388" t="str">
            <v>Feb</v>
          </cell>
          <cell r="D1388" t="str">
            <v>Tables</v>
          </cell>
          <cell r="E1388">
            <v>9483.2919999999995</v>
          </cell>
          <cell r="F1388">
            <v>2</v>
          </cell>
        </row>
        <row r="1389">
          <cell r="A1389">
            <v>2018</v>
          </cell>
          <cell r="B1389" t="str">
            <v>Budget</v>
          </cell>
          <cell r="C1389" t="str">
            <v>Feb</v>
          </cell>
          <cell r="D1389" t="str">
            <v>Kitchen</v>
          </cell>
          <cell r="E1389">
            <v>-171169.02599999998</v>
          </cell>
          <cell r="F1389">
            <v>2</v>
          </cell>
        </row>
        <row r="1390">
          <cell r="A1390">
            <v>2019</v>
          </cell>
          <cell r="B1390" t="str">
            <v>Actual</v>
          </cell>
          <cell r="C1390" t="str">
            <v>Feb</v>
          </cell>
          <cell r="D1390" t="str">
            <v>Accessories</v>
          </cell>
          <cell r="E1390">
            <v>-3821.2299999999996</v>
          </cell>
          <cell r="F1390">
            <v>2</v>
          </cell>
        </row>
        <row r="1391">
          <cell r="A1391">
            <v>2018</v>
          </cell>
          <cell r="B1391" t="str">
            <v>Budget</v>
          </cell>
          <cell r="C1391" t="str">
            <v>Feb</v>
          </cell>
          <cell r="D1391" t="str">
            <v>Chairs</v>
          </cell>
          <cell r="E1391">
            <v>67221.027999999991</v>
          </cell>
          <cell r="F1391">
            <v>2</v>
          </cell>
        </row>
        <row r="1392">
          <cell r="A1392">
            <v>2019</v>
          </cell>
          <cell r="B1392" t="str">
            <v>Actual</v>
          </cell>
          <cell r="C1392" t="str">
            <v>Feb</v>
          </cell>
          <cell r="D1392" t="str">
            <v>Tables</v>
          </cell>
          <cell r="E1392">
            <v>630946.81999999995</v>
          </cell>
          <cell r="F1392">
            <v>2</v>
          </cell>
        </row>
        <row r="1393">
          <cell r="A1393">
            <v>2018</v>
          </cell>
          <cell r="B1393" t="str">
            <v>Budget</v>
          </cell>
          <cell r="C1393" t="str">
            <v>Feb</v>
          </cell>
          <cell r="D1393" t="str">
            <v>Kitchen</v>
          </cell>
          <cell r="E1393">
            <v>106731.961</v>
          </cell>
          <cell r="F1393">
            <v>2</v>
          </cell>
        </row>
        <row r="1394">
          <cell r="A1394">
            <v>2018</v>
          </cell>
          <cell r="B1394" t="str">
            <v>Actual</v>
          </cell>
          <cell r="C1394" t="str">
            <v>Feb</v>
          </cell>
          <cell r="D1394" t="str">
            <v>Accessories</v>
          </cell>
          <cell r="E1394">
            <v>82328.652000000002</v>
          </cell>
          <cell r="F1394">
            <v>2</v>
          </cell>
        </row>
        <row r="1395">
          <cell r="A1395">
            <v>2019</v>
          </cell>
          <cell r="B1395" t="str">
            <v>Budget</v>
          </cell>
          <cell r="C1395" t="str">
            <v>Feb</v>
          </cell>
          <cell r="D1395" t="str">
            <v>Chairs</v>
          </cell>
          <cell r="E1395">
            <v>516426.98099999991</v>
          </cell>
          <cell r="F1395">
            <v>2</v>
          </cell>
        </row>
        <row r="1396">
          <cell r="A1396">
            <v>2019</v>
          </cell>
          <cell r="B1396" t="str">
            <v>Actual</v>
          </cell>
          <cell r="C1396" t="str">
            <v>Feb</v>
          </cell>
          <cell r="D1396" t="str">
            <v>Chairs</v>
          </cell>
          <cell r="E1396">
            <v>510010.97699999996</v>
          </cell>
          <cell r="F1396">
            <v>2</v>
          </cell>
        </row>
        <row r="1397">
          <cell r="A1397">
            <v>2019</v>
          </cell>
          <cell r="B1397" t="str">
            <v>Budget</v>
          </cell>
          <cell r="C1397" t="str">
            <v>Feb</v>
          </cell>
          <cell r="D1397" t="str">
            <v>Tables</v>
          </cell>
          <cell r="E1397">
            <v>2176978.4890000001</v>
          </cell>
          <cell r="F1397">
            <v>2</v>
          </cell>
        </row>
        <row r="1398">
          <cell r="A1398">
            <v>2018</v>
          </cell>
          <cell r="B1398" t="str">
            <v>Actual</v>
          </cell>
          <cell r="C1398" t="str">
            <v>Feb</v>
          </cell>
          <cell r="D1398" t="str">
            <v>Kitchen</v>
          </cell>
          <cell r="E1398">
            <v>427348.73299999995</v>
          </cell>
          <cell r="F1398">
            <v>2</v>
          </cell>
        </row>
        <row r="1399">
          <cell r="A1399">
            <v>2018</v>
          </cell>
          <cell r="B1399" t="str">
            <v>Budget</v>
          </cell>
          <cell r="C1399" t="str">
            <v>Feb</v>
          </cell>
          <cell r="D1399" t="str">
            <v>Chairs</v>
          </cell>
          <cell r="E1399">
            <v>407801.85599999997</v>
          </cell>
          <cell r="F1399">
            <v>2</v>
          </cell>
        </row>
        <row r="1400">
          <cell r="A1400">
            <v>2018</v>
          </cell>
          <cell r="B1400" t="str">
            <v>Actual</v>
          </cell>
          <cell r="C1400" t="str">
            <v>Feb</v>
          </cell>
          <cell r="D1400" t="str">
            <v>Tables</v>
          </cell>
          <cell r="E1400">
            <v>499131.73099999991</v>
          </cell>
          <cell r="F1400">
            <v>2</v>
          </cell>
        </row>
        <row r="1401">
          <cell r="A1401">
            <v>2018</v>
          </cell>
          <cell r="B1401" t="str">
            <v>Budget</v>
          </cell>
          <cell r="C1401" t="str">
            <v>Feb</v>
          </cell>
          <cell r="D1401" t="str">
            <v>Kitchen</v>
          </cell>
          <cell r="E1401">
            <v>315669.81599999999</v>
          </cell>
          <cell r="F1401">
            <v>2</v>
          </cell>
        </row>
        <row r="1402">
          <cell r="A1402">
            <v>2019</v>
          </cell>
          <cell r="B1402" t="str">
            <v>Actual</v>
          </cell>
          <cell r="C1402" t="str">
            <v>Feb</v>
          </cell>
          <cell r="D1402" t="str">
            <v>Chairs</v>
          </cell>
          <cell r="E1402">
            <v>361148.473</v>
          </cell>
          <cell r="F1402">
            <v>2</v>
          </cell>
        </row>
        <row r="1403">
          <cell r="A1403">
            <v>2018</v>
          </cell>
          <cell r="B1403" t="str">
            <v>Budget</v>
          </cell>
          <cell r="C1403" t="str">
            <v>Feb</v>
          </cell>
          <cell r="D1403" t="str">
            <v>Tables</v>
          </cell>
          <cell r="E1403">
            <v>300174.72799999994</v>
          </cell>
          <cell r="F1403">
            <v>2</v>
          </cell>
        </row>
        <row r="1404">
          <cell r="A1404">
            <v>2019</v>
          </cell>
          <cell r="B1404" t="str">
            <v>Actual</v>
          </cell>
          <cell r="C1404" t="str">
            <v>Feb</v>
          </cell>
          <cell r="D1404" t="str">
            <v>Kitchen</v>
          </cell>
          <cell r="E1404">
            <v>216888.231</v>
          </cell>
          <cell r="F1404">
            <v>2</v>
          </cell>
        </row>
        <row r="1405">
          <cell r="A1405">
            <v>2018</v>
          </cell>
          <cell r="B1405" t="str">
            <v>Budget</v>
          </cell>
          <cell r="C1405" t="str">
            <v>Feb</v>
          </cell>
          <cell r="D1405" t="str">
            <v>Chairs</v>
          </cell>
          <cell r="E1405">
            <v>195864.89299999998</v>
          </cell>
          <cell r="F1405">
            <v>2</v>
          </cell>
        </row>
        <row r="1406">
          <cell r="A1406">
            <v>2019</v>
          </cell>
          <cell r="B1406" t="str">
            <v>Actual</v>
          </cell>
          <cell r="C1406" t="str">
            <v>Feb</v>
          </cell>
          <cell r="D1406" t="str">
            <v>Chairs</v>
          </cell>
          <cell r="E1406">
            <v>246879.91999999995</v>
          </cell>
          <cell r="F1406">
            <v>2</v>
          </cell>
        </row>
        <row r="1407">
          <cell r="A1407">
            <v>2019</v>
          </cell>
          <cell r="B1407" t="str">
            <v>Budget</v>
          </cell>
          <cell r="C1407" t="str">
            <v>Feb</v>
          </cell>
          <cell r="D1407" t="str">
            <v>Chairs</v>
          </cell>
          <cell r="E1407">
            <v>458830.47699999996</v>
          </cell>
          <cell r="F1407">
            <v>2</v>
          </cell>
        </row>
        <row r="1408">
          <cell r="A1408">
            <v>2018</v>
          </cell>
          <cell r="B1408" t="str">
            <v>Actual</v>
          </cell>
          <cell r="C1408" t="str">
            <v>Feb</v>
          </cell>
          <cell r="D1408" t="str">
            <v>Chairs</v>
          </cell>
          <cell r="E1408">
            <v>175953.19</v>
          </cell>
          <cell r="F1408">
            <v>2</v>
          </cell>
        </row>
        <row r="1409">
          <cell r="A1409">
            <v>2018</v>
          </cell>
          <cell r="B1409" t="str">
            <v>Budget</v>
          </cell>
          <cell r="C1409" t="str">
            <v>Feb</v>
          </cell>
          <cell r="D1409" t="str">
            <v>Chairs</v>
          </cell>
          <cell r="E1409">
            <v>61534.606</v>
          </cell>
          <cell r="F1409">
            <v>2</v>
          </cell>
        </row>
        <row r="1410">
          <cell r="A1410">
            <v>2018</v>
          </cell>
          <cell r="B1410" t="str">
            <v>Actual</v>
          </cell>
          <cell r="C1410" t="str">
            <v>Feb</v>
          </cell>
          <cell r="D1410" t="str">
            <v>Chairs</v>
          </cell>
          <cell r="E1410">
            <v>439904.44400000002</v>
          </cell>
          <cell r="F1410">
            <v>2</v>
          </cell>
        </row>
        <row r="1411">
          <cell r="A1411">
            <v>2018</v>
          </cell>
          <cell r="B1411" t="str">
            <v>Budget</v>
          </cell>
          <cell r="C1411" t="str">
            <v>Feb</v>
          </cell>
          <cell r="D1411" t="str">
            <v>Chairs</v>
          </cell>
          <cell r="E1411">
            <v>322391.94399999996</v>
          </cell>
          <cell r="F1411">
            <v>2</v>
          </cell>
        </row>
        <row r="1412">
          <cell r="A1412">
            <v>2019</v>
          </cell>
          <cell r="B1412" t="str">
            <v>Actual</v>
          </cell>
          <cell r="C1412" t="str">
            <v>Feb</v>
          </cell>
          <cell r="D1412" t="str">
            <v>Chairs</v>
          </cell>
          <cell r="E1412">
            <v>262349.62599999999</v>
          </cell>
          <cell r="F1412">
            <v>2</v>
          </cell>
        </row>
        <row r="1413">
          <cell r="A1413">
            <v>2019</v>
          </cell>
          <cell r="B1413" t="str">
            <v>Budget</v>
          </cell>
          <cell r="C1413" t="str">
            <v>Feb</v>
          </cell>
          <cell r="D1413" t="str">
            <v>Chairs</v>
          </cell>
          <cell r="E1413">
            <v>97475.321999999986</v>
          </cell>
          <cell r="F1413">
            <v>2</v>
          </cell>
        </row>
        <row r="1414">
          <cell r="A1414">
            <v>2018</v>
          </cell>
          <cell r="B1414" t="str">
            <v>Actual</v>
          </cell>
          <cell r="C1414" t="str">
            <v>Feb</v>
          </cell>
          <cell r="D1414" t="str">
            <v>Chairs</v>
          </cell>
          <cell r="E1414">
            <v>135390.72399999999</v>
          </cell>
          <cell r="F1414">
            <v>2</v>
          </cell>
        </row>
        <row r="1415">
          <cell r="A1415">
            <v>2018</v>
          </cell>
          <cell r="B1415" t="str">
            <v>Budget</v>
          </cell>
          <cell r="C1415" t="str">
            <v>Feb</v>
          </cell>
          <cell r="D1415" t="str">
            <v>Chairs</v>
          </cell>
          <cell r="E1415">
            <v>469848.05699999997</v>
          </cell>
          <cell r="F1415">
            <v>2</v>
          </cell>
        </row>
        <row r="1416">
          <cell r="A1416">
            <v>2019</v>
          </cell>
          <cell r="B1416" t="str">
            <v>Actual</v>
          </cell>
          <cell r="C1416" t="str">
            <v>Feb</v>
          </cell>
          <cell r="D1416" t="str">
            <v>Chairs</v>
          </cell>
          <cell r="E1416">
            <v>414949.37399999995</v>
          </cell>
          <cell r="F1416">
            <v>2</v>
          </cell>
        </row>
        <row r="1417">
          <cell r="A1417">
            <v>2019</v>
          </cell>
          <cell r="B1417" t="str">
            <v>Budget</v>
          </cell>
          <cell r="C1417" t="str">
            <v>Feb</v>
          </cell>
          <cell r="D1417" t="str">
            <v>Chairs</v>
          </cell>
          <cell r="E1417">
            <v>48705.075999999994</v>
          </cell>
          <cell r="F1417">
            <v>2</v>
          </cell>
        </row>
        <row r="1418">
          <cell r="A1418">
            <v>2018</v>
          </cell>
          <cell r="B1418" t="str">
            <v>Actual</v>
          </cell>
          <cell r="C1418" t="str">
            <v>Feb</v>
          </cell>
          <cell r="D1418" t="str">
            <v>Chairs</v>
          </cell>
          <cell r="E1418">
            <v>2871165.01</v>
          </cell>
          <cell r="F1418">
            <v>2</v>
          </cell>
        </row>
        <row r="1419">
          <cell r="A1419">
            <v>2018</v>
          </cell>
          <cell r="B1419" t="str">
            <v>Budget</v>
          </cell>
          <cell r="C1419" t="str">
            <v>Feb</v>
          </cell>
          <cell r="D1419" t="str">
            <v>Chairs</v>
          </cell>
          <cell r="E1419">
            <v>733585.56599999999</v>
          </cell>
          <cell r="F1419">
            <v>2</v>
          </cell>
        </row>
        <row r="1420">
          <cell r="A1420">
            <v>2019</v>
          </cell>
          <cell r="B1420" t="str">
            <v>Actual</v>
          </cell>
          <cell r="C1420" t="str">
            <v>Feb</v>
          </cell>
          <cell r="D1420" t="str">
            <v>Chairs</v>
          </cell>
          <cell r="E1420">
            <v>1711186.6659999997</v>
          </cell>
          <cell r="F1420">
            <v>2</v>
          </cell>
        </row>
        <row r="1421">
          <cell r="A1421">
            <v>2018</v>
          </cell>
          <cell r="B1421" t="str">
            <v>Budget</v>
          </cell>
          <cell r="C1421" t="str">
            <v>Mar</v>
          </cell>
          <cell r="D1421" t="str">
            <v>Chairs</v>
          </cell>
          <cell r="E1421">
            <v>164879.64499999999</v>
          </cell>
          <cell r="F1421">
            <v>3</v>
          </cell>
        </row>
        <row r="1422">
          <cell r="A1422">
            <v>2018</v>
          </cell>
          <cell r="B1422" t="str">
            <v>Actual</v>
          </cell>
          <cell r="C1422" t="str">
            <v>Mar</v>
          </cell>
          <cell r="D1422" t="str">
            <v>Chairs</v>
          </cell>
          <cell r="E1422">
            <v>333168.73800000001</v>
          </cell>
          <cell r="F1422">
            <v>3</v>
          </cell>
        </row>
        <row r="1423">
          <cell r="A1423">
            <v>2019</v>
          </cell>
          <cell r="B1423" t="str">
            <v>Budget</v>
          </cell>
          <cell r="C1423" t="str">
            <v>Mar</v>
          </cell>
          <cell r="D1423" t="str">
            <v>Chairs</v>
          </cell>
          <cell r="E1423">
            <v>11391.085999999999</v>
          </cell>
          <cell r="F1423">
            <v>3</v>
          </cell>
        </row>
        <row r="1424">
          <cell r="A1424">
            <v>2018</v>
          </cell>
          <cell r="B1424" t="str">
            <v>Actual</v>
          </cell>
          <cell r="C1424" t="str">
            <v>Mar</v>
          </cell>
          <cell r="D1424" t="str">
            <v>Chairs</v>
          </cell>
          <cell r="E1424">
            <v>14959.755999999999</v>
          </cell>
          <cell r="F1424">
            <v>3</v>
          </cell>
        </row>
        <row r="1425">
          <cell r="A1425">
            <v>2018</v>
          </cell>
          <cell r="B1425" t="str">
            <v>Budget</v>
          </cell>
          <cell r="C1425" t="str">
            <v>Mar</v>
          </cell>
          <cell r="D1425" t="str">
            <v>Chairs</v>
          </cell>
          <cell r="E1425">
            <v>6075.1319999999996</v>
          </cell>
          <cell r="F1425">
            <v>3</v>
          </cell>
        </row>
        <row r="1426">
          <cell r="A1426">
            <v>2019</v>
          </cell>
          <cell r="B1426" t="str">
            <v>Actual</v>
          </cell>
          <cell r="C1426" t="str">
            <v>Mar</v>
          </cell>
          <cell r="D1426" t="str">
            <v>Chairs</v>
          </cell>
          <cell r="E1426">
            <v>231310.21199999997</v>
          </cell>
          <cell r="F1426">
            <v>3</v>
          </cell>
        </row>
        <row r="1427">
          <cell r="A1427">
            <v>2019</v>
          </cell>
          <cell r="B1427" t="str">
            <v>Budget</v>
          </cell>
          <cell r="C1427" t="str">
            <v>Mar</v>
          </cell>
          <cell r="D1427" t="str">
            <v>Chairs</v>
          </cell>
          <cell r="E1427">
            <v>457195.01099999994</v>
          </cell>
          <cell r="F1427">
            <v>3</v>
          </cell>
        </row>
        <row r="1428">
          <cell r="A1428">
            <v>2019</v>
          </cell>
          <cell r="B1428" t="str">
            <v>Actual</v>
          </cell>
          <cell r="C1428" t="str">
            <v>Mar</v>
          </cell>
          <cell r="D1428" t="str">
            <v>Chairs</v>
          </cell>
          <cell r="E1428">
            <v>792556.30999999994</v>
          </cell>
          <cell r="F1428">
            <v>3</v>
          </cell>
        </row>
        <row r="1429">
          <cell r="A1429">
            <v>2018</v>
          </cell>
          <cell r="B1429" t="str">
            <v>Budget</v>
          </cell>
          <cell r="C1429" t="str">
            <v>Mar</v>
          </cell>
          <cell r="D1429" t="str">
            <v>Chairs</v>
          </cell>
          <cell r="E1429">
            <v>427942.85100000002</v>
          </cell>
          <cell r="F1429">
            <v>3</v>
          </cell>
        </row>
        <row r="1430">
          <cell r="A1430">
            <v>2018</v>
          </cell>
          <cell r="B1430" t="str">
            <v>Actual</v>
          </cell>
          <cell r="C1430" t="str">
            <v>Mar</v>
          </cell>
          <cell r="D1430" t="str">
            <v>Chairs</v>
          </cell>
          <cell r="E1430">
            <v>39814.32</v>
          </cell>
          <cell r="F1430">
            <v>3</v>
          </cell>
        </row>
        <row r="1431">
          <cell r="A1431">
            <v>2019</v>
          </cell>
          <cell r="B1431" t="str">
            <v>Budget</v>
          </cell>
          <cell r="C1431" t="str">
            <v>Mar</v>
          </cell>
          <cell r="D1431" t="str">
            <v>Tables</v>
          </cell>
          <cell r="E1431">
            <v>16220.644999999999</v>
          </cell>
          <cell r="F1431">
            <v>3</v>
          </cell>
        </row>
        <row r="1432">
          <cell r="A1432">
            <v>2018</v>
          </cell>
          <cell r="B1432" t="str">
            <v>Actual</v>
          </cell>
          <cell r="C1432" t="str">
            <v>Mar</v>
          </cell>
          <cell r="D1432" t="str">
            <v>Kitchen</v>
          </cell>
          <cell r="E1432">
            <v>335539.70799999998</v>
          </cell>
          <cell r="F1432">
            <v>3</v>
          </cell>
        </row>
        <row r="1433">
          <cell r="A1433">
            <v>2019</v>
          </cell>
          <cell r="B1433" t="str">
            <v>Budget</v>
          </cell>
          <cell r="C1433" t="str">
            <v>Mar</v>
          </cell>
          <cell r="D1433" t="str">
            <v>Chairs</v>
          </cell>
          <cell r="E1433">
            <v>84979.447</v>
          </cell>
          <cell r="F1433">
            <v>3</v>
          </cell>
        </row>
        <row r="1434">
          <cell r="A1434">
            <v>2018</v>
          </cell>
          <cell r="B1434" t="str">
            <v>Actual</v>
          </cell>
          <cell r="C1434" t="str">
            <v>Mar</v>
          </cell>
          <cell r="D1434" t="str">
            <v>Chairs</v>
          </cell>
          <cell r="E1434">
            <v>857069.05200000003</v>
          </cell>
          <cell r="F1434">
            <v>3</v>
          </cell>
        </row>
        <row r="1435">
          <cell r="A1435">
            <v>2019</v>
          </cell>
          <cell r="B1435" t="str">
            <v>Budget</v>
          </cell>
          <cell r="C1435" t="str">
            <v>Mar</v>
          </cell>
          <cell r="D1435" t="str">
            <v>Chairs</v>
          </cell>
          <cell r="E1435">
            <v>23032.540999999997</v>
          </cell>
          <cell r="F1435">
            <v>3</v>
          </cell>
        </row>
        <row r="1436">
          <cell r="A1436">
            <v>2018</v>
          </cell>
          <cell r="B1436" t="str">
            <v>Actual</v>
          </cell>
          <cell r="C1436" t="str">
            <v>Mar</v>
          </cell>
          <cell r="D1436" t="str">
            <v>Chairs</v>
          </cell>
          <cell r="E1436">
            <v>36859.311999999998</v>
          </cell>
          <cell r="F1436">
            <v>3</v>
          </cell>
        </row>
        <row r="1437">
          <cell r="A1437">
            <v>2019</v>
          </cell>
          <cell r="B1437" t="str">
            <v>Budget</v>
          </cell>
          <cell r="C1437" t="str">
            <v>Mar</v>
          </cell>
          <cell r="D1437" t="str">
            <v>Chairs</v>
          </cell>
          <cell r="E1437">
            <v>36937.368999999999</v>
          </cell>
          <cell r="F1437">
            <v>3</v>
          </cell>
        </row>
        <row r="1438">
          <cell r="A1438">
            <v>2018</v>
          </cell>
          <cell r="B1438" t="str">
            <v>Actual</v>
          </cell>
          <cell r="C1438" t="str">
            <v>Mar</v>
          </cell>
          <cell r="D1438" t="str">
            <v>Tables</v>
          </cell>
          <cell r="E1438">
            <v>119555.849</v>
          </cell>
          <cell r="F1438">
            <v>3</v>
          </cell>
        </row>
        <row r="1439">
          <cell r="A1439">
            <v>2018</v>
          </cell>
          <cell r="B1439" t="str">
            <v>Budget</v>
          </cell>
          <cell r="C1439" t="str">
            <v>Mar</v>
          </cell>
          <cell r="D1439" t="str">
            <v>Kitchen</v>
          </cell>
          <cell r="E1439">
            <v>377428.02299999999</v>
          </cell>
          <cell r="F1439">
            <v>3</v>
          </cell>
        </row>
        <row r="1440">
          <cell r="A1440">
            <v>2018</v>
          </cell>
          <cell r="B1440" t="str">
            <v>Actual</v>
          </cell>
          <cell r="C1440" t="str">
            <v>Mar</v>
          </cell>
          <cell r="D1440" t="str">
            <v>Chairs</v>
          </cell>
          <cell r="E1440">
            <v>38465.496999999996</v>
          </cell>
          <cell r="F1440">
            <v>3</v>
          </cell>
        </row>
        <row r="1441">
          <cell r="A1441">
            <v>2018</v>
          </cell>
          <cell r="B1441" t="str">
            <v>Budget</v>
          </cell>
          <cell r="C1441" t="str">
            <v>Mar</v>
          </cell>
          <cell r="D1441" t="str">
            <v>Chairs</v>
          </cell>
          <cell r="E1441">
            <v>79885.89</v>
          </cell>
          <cell r="F1441">
            <v>3</v>
          </cell>
        </row>
        <row r="1442">
          <cell r="A1442">
            <v>2018</v>
          </cell>
          <cell r="B1442" t="str">
            <v>Actual</v>
          </cell>
          <cell r="C1442" t="str">
            <v>Mar</v>
          </cell>
          <cell r="D1442" t="str">
            <v>Chairs</v>
          </cell>
          <cell r="E1442">
            <v>247098.34099999999</v>
          </cell>
          <cell r="F1442">
            <v>3</v>
          </cell>
        </row>
        <row r="1443">
          <cell r="A1443">
            <v>2018</v>
          </cell>
          <cell r="B1443" t="str">
            <v>Budget</v>
          </cell>
          <cell r="C1443" t="str">
            <v>Mar</v>
          </cell>
          <cell r="D1443" t="str">
            <v>Tables</v>
          </cell>
          <cell r="E1443">
            <v>7923.3280000000004</v>
          </cell>
          <cell r="F1443">
            <v>3</v>
          </cell>
        </row>
        <row r="1444">
          <cell r="A1444">
            <v>2018</v>
          </cell>
          <cell r="B1444" t="str">
            <v>Actual</v>
          </cell>
          <cell r="C1444" t="str">
            <v>Mar</v>
          </cell>
          <cell r="D1444" t="str">
            <v>Kitchen</v>
          </cell>
          <cell r="E1444">
            <v>47101.368999999999</v>
          </cell>
          <cell r="F1444">
            <v>3</v>
          </cell>
        </row>
        <row r="1445">
          <cell r="A1445">
            <v>2019</v>
          </cell>
          <cell r="B1445" t="str">
            <v>Budget</v>
          </cell>
          <cell r="C1445" t="str">
            <v>Mar</v>
          </cell>
          <cell r="D1445" t="str">
            <v>Chairs</v>
          </cell>
          <cell r="E1445">
            <v>69417.116999999998</v>
          </cell>
          <cell r="F1445">
            <v>3</v>
          </cell>
        </row>
        <row r="1446">
          <cell r="A1446">
            <v>2018</v>
          </cell>
          <cell r="B1446" t="str">
            <v>Actual</v>
          </cell>
          <cell r="C1446" t="str">
            <v>Mar</v>
          </cell>
          <cell r="D1446" t="str">
            <v>Chairs</v>
          </cell>
          <cell r="E1446">
            <v>223900.06799999997</v>
          </cell>
          <cell r="F1446">
            <v>3</v>
          </cell>
        </row>
        <row r="1447">
          <cell r="A1447">
            <v>2019</v>
          </cell>
          <cell r="B1447" t="str">
            <v>Budget</v>
          </cell>
          <cell r="C1447" t="str">
            <v>Mar</v>
          </cell>
          <cell r="D1447" t="str">
            <v>Tables</v>
          </cell>
          <cell r="E1447">
            <v>101955.12599999999</v>
          </cell>
          <cell r="F1447">
            <v>3</v>
          </cell>
        </row>
        <row r="1448">
          <cell r="A1448">
            <v>2019</v>
          </cell>
          <cell r="B1448" t="str">
            <v>Actual</v>
          </cell>
          <cell r="C1448" t="str">
            <v>Mar</v>
          </cell>
          <cell r="D1448" t="str">
            <v>Kitchen</v>
          </cell>
          <cell r="E1448">
            <v>80148.383000000002</v>
          </cell>
          <cell r="F1448">
            <v>3</v>
          </cell>
        </row>
        <row r="1449">
          <cell r="A1449">
            <v>2019</v>
          </cell>
          <cell r="B1449" t="str">
            <v>Budget</v>
          </cell>
          <cell r="C1449" t="str">
            <v>Mar</v>
          </cell>
          <cell r="D1449" t="str">
            <v>Chairs</v>
          </cell>
          <cell r="E1449">
            <v>23637.914999999997</v>
          </cell>
          <cell r="F1449">
            <v>3</v>
          </cell>
        </row>
        <row r="1450">
          <cell r="A1450">
            <v>2019</v>
          </cell>
          <cell r="B1450" t="str">
            <v>Actual</v>
          </cell>
          <cell r="C1450" t="str">
            <v>Mar</v>
          </cell>
          <cell r="D1450" t="str">
            <v>Chairs</v>
          </cell>
          <cell r="E1450">
            <v>13471.576999999999</v>
          </cell>
          <cell r="F1450">
            <v>3</v>
          </cell>
        </row>
        <row r="1451">
          <cell r="A1451">
            <v>2019</v>
          </cell>
          <cell r="B1451" t="str">
            <v>Budget</v>
          </cell>
          <cell r="C1451" t="str">
            <v>Mar</v>
          </cell>
          <cell r="D1451" t="str">
            <v>Chairs</v>
          </cell>
          <cell r="E1451">
            <v>114381.442</v>
          </cell>
          <cell r="F1451">
            <v>3</v>
          </cell>
        </row>
        <row r="1452">
          <cell r="A1452">
            <v>2018</v>
          </cell>
          <cell r="B1452" t="str">
            <v>Actual</v>
          </cell>
          <cell r="C1452" t="str">
            <v>Mar</v>
          </cell>
          <cell r="D1452" t="str">
            <v>Tables</v>
          </cell>
          <cell r="E1452">
            <v>1563467.703</v>
          </cell>
          <cell r="F1452">
            <v>3</v>
          </cell>
        </row>
        <row r="1453">
          <cell r="A1453">
            <v>2018</v>
          </cell>
          <cell r="B1453" t="str">
            <v>Budget</v>
          </cell>
          <cell r="C1453" t="str">
            <v>Mar</v>
          </cell>
          <cell r="D1453" t="str">
            <v>Kitchen</v>
          </cell>
          <cell r="E1453">
            <v>35910.398999999998</v>
          </cell>
          <cell r="F1453">
            <v>3</v>
          </cell>
        </row>
        <row r="1454">
          <cell r="A1454">
            <v>2019</v>
          </cell>
          <cell r="B1454" t="str">
            <v>Actual</v>
          </cell>
          <cell r="C1454" t="str">
            <v>Mar</v>
          </cell>
          <cell r="D1454" t="str">
            <v>Accessories</v>
          </cell>
          <cell r="E1454">
            <v>57642.62</v>
          </cell>
          <cell r="F1454">
            <v>3</v>
          </cell>
        </row>
        <row r="1455">
          <cell r="A1455">
            <v>2019</v>
          </cell>
          <cell r="B1455" t="str">
            <v>Budget</v>
          </cell>
          <cell r="C1455" t="str">
            <v>Mar</v>
          </cell>
          <cell r="D1455" t="str">
            <v>Chairs</v>
          </cell>
          <cell r="E1455">
            <v>189622.524</v>
          </cell>
          <cell r="F1455">
            <v>3</v>
          </cell>
        </row>
        <row r="1456">
          <cell r="A1456">
            <v>2018</v>
          </cell>
          <cell r="B1456" t="str">
            <v>Actual</v>
          </cell>
          <cell r="C1456" t="str">
            <v>Mar</v>
          </cell>
          <cell r="D1456" t="str">
            <v>Tables</v>
          </cell>
          <cell r="E1456">
            <v>244600.90199999997</v>
          </cell>
          <cell r="F1456">
            <v>3</v>
          </cell>
        </row>
        <row r="1457">
          <cell r="A1457">
            <v>2018</v>
          </cell>
          <cell r="B1457" t="str">
            <v>Budget</v>
          </cell>
          <cell r="C1457" t="str">
            <v>Mar</v>
          </cell>
          <cell r="D1457" t="str">
            <v>Kitchen</v>
          </cell>
          <cell r="E1457">
            <v>49119.504000000001</v>
          </cell>
          <cell r="F1457">
            <v>3</v>
          </cell>
        </row>
        <row r="1458">
          <cell r="A1458">
            <v>2018</v>
          </cell>
          <cell r="B1458" t="str">
            <v>Actual</v>
          </cell>
          <cell r="C1458" t="str">
            <v>Mar</v>
          </cell>
          <cell r="D1458" t="str">
            <v>Accessories</v>
          </cell>
          <cell r="E1458">
            <v>12294.156000000001</v>
          </cell>
          <cell r="F1458">
            <v>3</v>
          </cell>
        </row>
        <row r="1459">
          <cell r="A1459">
            <v>2018</v>
          </cell>
          <cell r="B1459" t="str">
            <v>Budget</v>
          </cell>
          <cell r="C1459" t="str">
            <v>Mar</v>
          </cell>
          <cell r="D1459" t="str">
            <v>Chairs</v>
          </cell>
          <cell r="E1459">
            <v>49932.274000000005</v>
          </cell>
          <cell r="F1459">
            <v>3</v>
          </cell>
        </row>
        <row r="1460">
          <cell r="A1460">
            <v>2018</v>
          </cell>
          <cell r="B1460" t="str">
            <v>Actual</v>
          </cell>
          <cell r="C1460" t="str">
            <v>Mar</v>
          </cell>
          <cell r="D1460" t="str">
            <v>Tables</v>
          </cell>
          <cell r="E1460">
            <v>112725.753</v>
          </cell>
          <cell r="F1460">
            <v>3</v>
          </cell>
        </row>
        <row r="1461">
          <cell r="A1461">
            <v>2019</v>
          </cell>
          <cell r="B1461" t="str">
            <v>Budget</v>
          </cell>
          <cell r="C1461" t="str">
            <v>Mar</v>
          </cell>
          <cell r="D1461" t="str">
            <v>Kitchen</v>
          </cell>
          <cell r="E1461">
            <v>27521.724999999999</v>
          </cell>
          <cell r="F1461">
            <v>3</v>
          </cell>
        </row>
        <row r="1462">
          <cell r="A1462">
            <v>2019</v>
          </cell>
          <cell r="B1462" t="str">
            <v>Actual</v>
          </cell>
          <cell r="C1462" t="str">
            <v>Mar</v>
          </cell>
          <cell r="D1462" t="str">
            <v>Accessories</v>
          </cell>
          <cell r="E1462">
            <v>42986.461000000003</v>
          </cell>
          <cell r="F1462">
            <v>3</v>
          </cell>
        </row>
        <row r="1463">
          <cell r="A1463">
            <v>2019</v>
          </cell>
          <cell r="B1463" t="str">
            <v>Budget</v>
          </cell>
          <cell r="C1463" t="str">
            <v>Mar</v>
          </cell>
          <cell r="D1463" t="str">
            <v>Chairs</v>
          </cell>
          <cell r="E1463">
            <v>17999.470999999998</v>
          </cell>
          <cell r="F1463">
            <v>3</v>
          </cell>
        </row>
        <row r="1464">
          <cell r="A1464">
            <v>2019</v>
          </cell>
          <cell r="B1464" t="str">
            <v>Actual</v>
          </cell>
          <cell r="C1464" t="str">
            <v>Mar</v>
          </cell>
          <cell r="D1464" t="str">
            <v>Tables</v>
          </cell>
          <cell r="E1464">
            <v>3200.6799999999994</v>
          </cell>
          <cell r="F1464">
            <v>3</v>
          </cell>
        </row>
        <row r="1465">
          <cell r="A1465">
            <v>2018</v>
          </cell>
          <cell r="B1465" t="str">
            <v>Budget</v>
          </cell>
          <cell r="C1465" t="str">
            <v>Mar</v>
          </cell>
          <cell r="D1465" t="str">
            <v>Kitchen</v>
          </cell>
          <cell r="E1465">
            <v>45166.534</v>
          </cell>
          <cell r="F1465">
            <v>3</v>
          </cell>
        </row>
        <row r="1466">
          <cell r="A1466">
            <v>2018</v>
          </cell>
          <cell r="B1466" t="str">
            <v>Actual</v>
          </cell>
          <cell r="C1466" t="str">
            <v>Mar</v>
          </cell>
          <cell r="D1466" t="str">
            <v>Accessories</v>
          </cell>
          <cell r="E1466">
            <v>149084.42499999999</v>
          </cell>
          <cell r="F1466">
            <v>3</v>
          </cell>
        </row>
        <row r="1467">
          <cell r="A1467">
            <v>2019</v>
          </cell>
          <cell r="B1467" t="str">
            <v>Budget</v>
          </cell>
          <cell r="C1467" t="str">
            <v>Mar</v>
          </cell>
          <cell r="D1467" t="str">
            <v>Chairs</v>
          </cell>
          <cell r="E1467">
            <v>51403.827999999994</v>
          </cell>
          <cell r="F1467">
            <v>3</v>
          </cell>
        </row>
        <row r="1468">
          <cell r="A1468">
            <v>2018</v>
          </cell>
          <cell r="B1468" t="str">
            <v>Actual</v>
          </cell>
          <cell r="C1468" t="str">
            <v>Mar</v>
          </cell>
          <cell r="D1468" t="str">
            <v>Chairs</v>
          </cell>
          <cell r="E1468">
            <v>57461.634999999995</v>
          </cell>
          <cell r="F1468">
            <v>3</v>
          </cell>
        </row>
        <row r="1469">
          <cell r="A1469">
            <v>2018</v>
          </cell>
          <cell r="B1469" t="str">
            <v>Budget</v>
          </cell>
          <cell r="C1469" t="str">
            <v>Mar</v>
          </cell>
          <cell r="D1469" t="str">
            <v>Tables</v>
          </cell>
          <cell r="E1469">
            <v>50390.241999999998</v>
          </cell>
          <cell r="F1469">
            <v>3</v>
          </cell>
        </row>
        <row r="1470">
          <cell r="A1470">
            <v>2019</v>
          </cell>
          <cell r="B1470" t="str">
            <v>Actual</v>
          </cell>
          <cell r="C1470" t="str">
            <v>Mar</v>
          </cell>
          <cell r="D1470" t="str">
            <v>Kitchen</v>
          </cell>
          <cell r="E1470">
            <v>94002.65</v>
          </cell>
          <cell r="F1470">
            <v>3</v>
          </cell>
        </row>
        <row r="1471">
          <cell r="A1471">
            <v>2019</v>
          </cell>
          <cell r="B1471" t="str">
            <v>Budget</v>
          </cell>
          <cell r="C1471" t="str">
            <v>Mar</v>
          </cell>
          <cell r="D1471" t="str">
            <v>Chairs</v>
          </cell>
          <cell r="E1471">
            <v>751806.38400000008</v>
          </cell>
          <cell r="F1471">
            <v>3</v>
          </cell>
        </row>
        <row r="1472">
          <cell r="A1472">
            <v>2018</v>
          </cell>
          <cell r="B1472" t="str">
            <v>Actual</v>
          </cell>
          <cell r="C1472" t="str">
            <v>Mar</v>
          </cell>
          <cell r="D1472" t="str">
            <v>Tables</v>
          </cell>
          <cell r="E1472">
            <v>36323.125999999997</v>
          </cell>
          <cell r="F1472">
            <v>3</v>
          </cell>
        </row>
        <row r="1473">
          <cell r="A1473">
            <v>2019</v>
          </cell>
          <cell r="B1473" t="str">
            <v>Budget</v>
          </cell>
          <cell r="C1473" t="str">
            <v>Mar</v>
          </cell>
          <cell r="D1473" t="str">
            <v>Kitchen</v>
          </cell>
          <cell r="E1473">
            <v>29405.172999999999</v>
          </cell>
          <cell r="F1473">
            <v>3</v>
          </cell>
        </row>
        <row r="1474">
          <cell r="A1474">
            <v>2018</v>
          </cell>
          <cell r="B1474" t="str">
            <v>Actual</v>
          </cell>
          <cell r="C1474" t="str">
            <v>Mar</v>
          </cell>
          <cell r="D1474" t="str">
            <v>Chairs</v>
          </cell>
          <cell r="E1474">
            <v>238833.16799999998</v>
          </cell>
          <cell r="F1474">
            <v>3</v>
          </cell>
        </row>
        <row r="1475">
          <cell r="A1475">
            <v>2018</v>
          </cell>
          <cell r="B1475" t="str">
            <v>Budget</v>
          </cell>
          <cell r="C1475" t="str">
            <v>Mar</v>
          </cell>
          <cell r="D1475" t="str">
            <v>Tables</v>
          </cell>
          <cell r="E1475">
            <v>170733.05199999997</v>
          </cell>
          <cell r="F1475">
            <v>3</v>
          </cell>
        </row>
        <row r="1476">
          <cell r="A1476">
            <v>2018</v>
          </cell>
          <cell r="B1476" t="str">
            <v>Actual</v>
          </cell>
          <cell r="C1476" t="str">
            <v>Mar</v>
          </cell>
          <cell r="D1476" t="str">
            <v>Kitchen</v>
          </cell>
          <cell r="E1476">
            <v>228980.21300000002</v>
          </cell>
          <cell r="F1476">
            <v>3</v>
          </cell>
        </row>
        <row r="1477">
          <cell r="A1477">
            <v>2019</v>
          </cell>
          <cell r="B1477" t="str">
            <v>Budget</v>
          </cell>
          <cell r="C1477" t="str">
            <v>Mar</v>
          </cell>
          <cell r="D1477" t="str">
            <v>Chairs</v>
          </cell>
          <cell r="E1477">
            <v>59308.34</v>
          </cell>
          <cell r="F1477">
            <v>3</v>
          </cell>
        </row>
        <row r="1478">
          <cell r="A1478">
            <v>2019</v>
          </cell>
          <cell r="B1478" t="str">
            <v>Actual</v>
          </cell>
          <cell r="C1478" t="str">
            <v>Mar</v>
          </cell>
          <cell r="D1478" t="str">
            <v>Chairs</v>
          </cell>
          <cell r="E1478">
            <v>3943931.5509999995</v>
          </cell>
          <cell r="F1478">
            <v>3</v>
          </cell>
        </row>
        <row r="1479">
          <cell r="A1479">
            <v>2018</v>
          </cell>
          <cell r="B1479" t="str">
            <v>Budget</v>
          </cell>
          <cell r="C1479" t="str">
            <v>Mar</v>
          </cell>
          <cell r="D1479" t="str">
            <v>Chairs</v>
          </cell>
          <cell r="E1479">
            <v>90103.797000000006</v>
          </cell>
          <cell r="F1479">
            <v>3</v>
          </cell>
        </row>
        <row r="1480">
          <cell r="A1480">
            <v>2019</v>
          </cell>
          <cell r="B1480" t="str">
            <v>Actual</v>
          </cell>
          <cell r="C1480" t="str">
            <v>Mar</v>
          </cell>
          <cell r="D1480" t="str">
            <v>Chairs</v>
          </cell>
          <cell r="E1480">
            <v>69476.063999999998</v>
          </cell>
          <cell r="F1480">
            <v>3</v>
          </cell>
        </row>
        <row r="1481">
          <cell r="A1481">
            <v>2018</v>
          </cell>
          <cell r="B1481" t="str">
            <v>Budget</v>
          </cell>
          <cell r="C1481" t="str">
            <v>Mar</v>
          </cell>
          <cell r="D1481" t="str">
            <v>Chairs</v>
          </cell>
          <cell r="E1481">
            <v>125729.898</v>
          </cell>
          <cell r="F1481">
            <v>3</v>
          </cell>
        </row>
        <row r="1482">
          <cell r="A1482">
            <v>2019</v>
          </cell>
          <cell r="B1482" t="str">
            <v>Actual</v>
          </cell>
          <cell r="C1482" t="str">
            <v>Mar</v>
          </cell>
          <cell r="D1482" t="str">
            <v>Chairs</v>
          </cell>
          <cell r="E1482">
            <v>1750874.433</v>
          </cell>
          <cell r="F1482">
            <v>3</v>
          </cell>
        </row>
        <row r="1483">
          <cell r="A1483">
            <v>2019</v>
          </cell>
          <cell r="B1483" t="str">
            <v>Budget</v>
          </cell>
          <cell r="C1483" t="str">
            <v>Mar</v>
          </cell>
          <cell r="D1483" t="str">
            <v>Chairs</v>
          </cell>
          <cell r="E1483">
            <v>611880.31099999999</v>
          </cell>
          <cell r="F1483">
            <v>3</v>
          </cell>
        </row>
        <row r="1484">
          <cell r="A1484">
            <v>2018</v>
          </cell>
          <cell r="B1484" t="str">
            <v>Actual</v>
          </cell>
          <cell r="C1484" t="str">
            <v>Mar</v>
          </cell>
          <cell r="D1484" t="str">
            <v>Chairs</v>
          </cell>
          <cell r="E1484">
            <v>2544475.7169999997</v>
          </cell>
          <cell r="F1484">
            <v>3</v>
          </cell>
        </row>
        <row r="1485">
          <cell r="A1485">
            <v>2019</v>
          </cell>
          <cell r="B1485" t="str">
            <v>Budget</v>
          </cell>
          <cell r="C1485" t="str">
            <v>Mar</v>
          </cell>
          <cell r="D1485" t="str">
            <v>Chairs</v>
          </cell>
          <cell r="E1485">
            <v>41489.637000000002</v>
          </cell>
          <cell r="F1485">
            <v>3</v>
          </cell>
        </row>
        <row r="1486">
          <cell r="A1486">
            <v>2018</v>
          </cell>
          <cell r="B1486" t="str">
            <v>Actual</v>
          </cell>
          <cell r="C1486" t="str">
            <v>Mar</v>
          </cell>
          <cell r="D1486" t="str">
            <v>Chairs</v>
          </cell>
          <cell r="E1486">
            <v>40726.727999999996</v>
          </cell>
          <cell r="F1486">
            <v>3</v>
          </cell>
        </row>
        <row r="1487">
          <cell r="A1487">
            <v>2019</v>
          </cell>
          <cell r="B1487" t="str">
            <v>Budget</v>
          </cell>
          <cell r="C1487" t="str">
            <v>Mar</v>
          </cell>
          <cell r="D1487" t="str">
            <v>Chairs</v>
          </cell>
          <cell r="E1487">
            <v>54599.845999999998</v>
          </cell>
          <cell r="F1487">
            <v>3</v>
          </cell>
        </row>
        <row r="1488">
          <cell r="A1488">
            <v>2018</v>
          </cell>
          <cell r="B1488" t="str">
            <v>Actual</v>
          </cell>
          <cell r="C1488" t="str">
            <v>Mar</v>
          </cell>
          <cell r="D1488" t="str">
            <v>Chairs</v>
          </cell>
          <cell r="E1488">
            <v>22098.810999999998</v>
          </cell>
          <cell r="F1488">
            <v>3</v>
          </cell>
        </row>
        <row r="1489">
          <cell r="A1489">
            <v>2019</v>
          </cell>
          <cell r="B1489" t="str">
            <v>Budget</v>
          </cell>
          <cell r="C1489" t="str">
            <v>Mar</v>
          </cell>
          <cell r="D1489" t="str">
            <v>Chairs</v>
          </cell>
          <cell r="E1489">
            <v>15908.325999999999</v>
          </cell>
          <cell r="F1489">
            <v>3</v>
          </cell>
        </row>
        <row r="1490">
          <cell r="A1490">
            <v>2019</v>
          </cell>
          <cell r="B1490" t="str">
            <v>Actual</v>
          </cell>
          <cell r="C1490" t="str">
            <v>Mar</v>
          </cell>
          <cell r="D1490" t="str">
            <v>Chairs</v>
          </cell>
          <cell r="E1490">
            <v>7140.5249999999996</v>
          </cell>
          <cell r="F1490">
            <v>3</v>
          </cell>
        </row>
        <row r="1491">
          <cell r="A1491">
            <v>2019</v>
          </cell>
          <cell r="B1491" t="str">
            <v>Budget</v>
          </cell>
          <cell r="C1491" t="str">
            <v>Mar</v>
          </cell>
          <cell r="D1491" t="str">
            <v>Chairs</v>
          </cell>
          <cell r="E1491">
            <v>39094.209000000003</v>
          </cell>
          <cell r="F1491">
            <v>3</v>
          </cell>
        </row>
        <row r="1492">
          <cell r="A1492">
            <v>2018</v>
          </cell>
          <cell r="B1492" t="str">
            <v>Actual</v>
          </cell>
          <cell r="C1492" t="str">
            <v>Mar</v>
          </cell>
          <cell r="D1492" t="str">
            <v>Chairs</v>
          </cell>
          <cell r="E1492">
            <v>41331.451000000001</v>
          </cell>
          <cell r="F1492">
            <v>3</v>
          </cell>
        </row>
        <row r="1493">
          <cell r="A1493">
            <v>2018</v>
          </cell>
          <cell r="B1493" t="str">
            <v>Budget</v>
          </cell>
          <cell r="C1493" t="str">
            <v>Mar</v>
          </cell>
          <cell r="D1493" t="str">
            <v>Chairs</v>
          </cell>
          <cell r="E1493">
            <v>191217.22200000001</v>
          </cell>
          <cell r="F1493">
            <v>3</v>
          </cell>
        </row>
        <row r="1494">
          <cell r="A1494">
            <v>2019</v>
          </cell>
          <cell r="B1494" t="str">
            <v>Actual</v>
          </cell>
          <cell r="C1494" t="str">
            <v>Mar</v>
          </cell>
          <cell r="D1494" t="str">
            <v>Chairs</v>
          </cell>
          <cell r="E1494">
            <v>106008.882</v>
          </cell>
          <cell r="F1494">
            <v>3</v>
          </cell>
        </row>
        <row r="1495">
          <cell r="A1495">
            <v>2018</v>
          </cell>
          <cell r="B1495" t="str">
            <v>Budget</v>
          </cell>
          <cell r="C1495" t="str">
            <v>Mar</v>
          </cell>
          <cell r="D1495" t="str">
            <v>Chairs</v>
          </cell>
          <cell r="E1495">
            <v>146792.198</v>
          </cell>
          <cell r="F1495">
            <v>3</v>
          </cell>
        </row>
        <row r="1496">
          <cell r="A1496">
            <v>2018</v>
          </cell>
          <cell r="B1496" t="str">
            <v>Actual</v>
          </cell>
          <cell r="C1496" t="str">
            <v>Mar</v>
          </cell>
          <cell r="D1496" t="str">
            <v>Chairs</v>
          </cell>
          <cell r="E1496">
            <v>102369.30199999998</v>
          </cell>
          <cell r="F1496">
            <v>3</v>
          </cell>
        </row>
        <row r="1497">
          <cell r="A1497">
            <v>2018</v>
          </cell>
          <cell r="B1497" t="str">
            <v>Budget</v>
          </cell>
          <cell r="C1497" t="str">
            <v>Mar</v>
          </cell>
          <cell r="D1497" t="str">
            <v>Chairs</v>
          </cell>
          <cell r="E1497">
            <v>259726.41099999996</v>
          </cell>
          <cell r="F1497">
            <v>3</v>
          </cell>
        </row>
        <row r="1498">
          <cell r="A1498">
            <v>2019</v>
          </cell>
          <cell r="B1498" t="str">
            <v>Actual</v>
          </cell>
          <cell r="C1498" t="str">
            <v>Mar</v>
          </cell>
          <cell r="D1498" t="str">
            <v>Chairs</v>
          </cell>
          <cell r="E1498">
            <v>265090.61599999998</v>
          </cell>
          <cell r="F1498">
            <v>3</v>
          </cell>
        </row>
        <row r="1499">
          <cell r="A1499">
            <v>2018</v>
          </cell>
          <cell r="B1499" t="str">
            <v>Budget</v>
          </cell>
          <cell r="C1499" t="str">
            <v>Mar</v>
          </cell>
          <cell r="D1499" t="str">
            <v>Chairs</v>
          </cell>
          <cell r="E1499">
            <v>38750.159</v>
          </cell>
          <cell r="F1499">
            <v>3</v>
          </cell>
        </row>
        <row r="1500">
          <cell r="A1500">
            <v>2018</v>
          </cell>
          <cell r="B1500" t="str">
            <v>Actual</v>
          </cell>
          <cell r="C1500" t="str">
            <v>Mar</v>
          </cell>
          <cell r="D1500" t="str">
            <v>Chairs</v>
          </cell>
          <cell r="E1500">
            <v>13465.199999999999</v>
          </cell>
          <cell r="F1500">
            <v>3</v>
          </cell>
        </row>
        <row r="1501">
          <cell r="A1501">
            <v>2018</v>
          </cell>
          <cell r="B1501" t="str">
            <v>Budget</v>
          </cell>
          <cell r="C1501" t="str">
            <v>Mar</v>
          </cell>
          <cell r="D1501" t="str">
            <v>Chairs</v>
          </cell>
          <cell r="E1501">
            <v>5437.5369999999994</v>
          </cell>
          <cell r="F1501">
            <v>3</v>
          </cell>
        </row>
        <row r="1502">
          <cell r="A1502">
            <v>2019</v>
          </cell>
          <cell r="B1502" t="str">
            <v>Actual</v>
          </cell>
          <cell r="C1502" t="str">
            <v>Mar</v>
          </cell>
          <cell r="D1502" t="str">
            <v>Chairs</v>
          </cell>
          <cell r="E1502">
            <v>235525.31099999996</v>
          </cell>
          <cell r="F1502">
            <v>3</v>
          </cell>
        </row>
        <row r="1503">
          <cell r="A1503">
            <v>2019</v>
          </cell>
          <cell r="B1503" t="str">
            <v>Budget</v>
          </cell>
          <cell r="C1503" t="str">
            <v>Mar</v>
          </cell>
          <cell r="D1503" t="str">
            <v>Tables</v>
          </cell>
          <cell r="E1503">
            <v>977298.728</v>
          </cell>
          <cell r="F1503">
            <v>3</v>
          </cell>
        </row>
        <row r="1504">
          <cell r="A1504">
            <v>2018</v>
          </cell>
          <cell r="B1504" t="str">
            <v>Actual</v>
          </cell>
          <cell r="C1504" t="str">
            <v>Mar</v>
          </cell>
          <cell r="D1504" t="str">
            <v>Kitchen</v>
          </cell>
          <cell r="E1504">
            <v>13185.06</v>
          </cell>
          <cell r="F1504">
            <v>3</v>
          </cell>
        </row>
        <row r="1505">
          <cell r="A1505">
            <v>2018</v>
          </cell>
          <cell r="B1505" t="str">
            <v>Budget</v>
          </cell>
          <cell r="C1505" t="str">
            <v>Mar</v>
          </cell>
          <cell r="D1505" t="str">
            <v>Chairs</v>
          </cell>
          <cell r="E1505">
            <v>558109.51</v>
          </cell>
          <cell r="F1505">
            <v>3</v>
          </cell>
        </row>
        <row r="1506">
          <cell r="A1506">
            <v>2019</v>
          </cell>
          <cell r="B1506" t="str">
            <v>Actual</v>
          </cell>
          <cell r="C1506" t="str">
            <v>Mar</v>
          </cell>
          <cell r="D1506" t="str">
            <v>Chairs</v>
          </cell>
          <cell r="E1506">
            <v>637381.64699999988</v>
          </cell>
          <cell r="F1506">
            <v>3</v>
          </cell>
        </row>
        <row r="1507">
          <cell r="A1507">
            <v>2018</v>
          </cell>
          <cell r="B1507" t="str">
            <v>Budget</v>
          </cell>
          <cell r="C1507" t="str">
            <v>Mar</v>
          </cell>
          <cell r="D1507" t="str">
            <v>Chairs</v>
          </cell>
          <cell r="E1507">
            <v>410897.10199999996</v>
          </cell>
          <cell r="F1507">
            <v>3</v>
          </cell>
        </row>
        <row r="1508">
          <cell r="A1508">
            <v>2019</v>
          </cell>
          <cell r="B1508" t="str">
            <v>Actual</v>
          </cell>
          <cell r="C1508" t="str">
            <v>Mar</v>
          </cell>
          <cell r="D1508" t="str">
            <v>Chairs</v>
          </cell>
          <cell r="E1508">
            <v>452161.51399999997</v>
          </cell>
          <cell r="F1508">
            <v>3</v>
          </cell>
        </row>
        <row r="1509">
          <cell r="A1509">
            <v>2018</v>
          </cell>
          <cell r="B1509" t="str">
            <v>Budget</v>
          </cell>
          <cell r="C1509" t="str">
            <v>Mar</v>
          </cell>
          <cell r="D1509" t="str">
            <v>Chairs</v>
          </cell>
          <cell r="E1509">
            <v>1758418.7879999997</v>
          </cell>
          <cell r="F1509">
            <v>3</v>
          </cell>
        </row>
        <row r="1510">
          <cell r="A1510">
            <v>2018</v>
          </cell>
          <cell r="B1510" t="str">
            <v>Actual</v>
          </cell>
          <cell r="C1510" t="str">
            <v>Mar</v>
          </cell>
          <cell r="D1510" t="str">
            <v>Tables</v>
          </cell>
          <cell r="E1510">
            <v>22643.964</v>
          </cell>
          <cell r="F1510">
            <v>3</v>
          </cell>
        </row>
        <row r="1511">
          <cell r="A1511">
            <v>2019</v>
          </cell>
          <cell r="B1511" t="str">
            <v>Budget</v>
          </cell>
          <cell r="C1511" t="str">
            <v>Mar</v>
          </cell>
          <cell r="D1511" t="str">
            <v>Kitchen</v>
          </cell>
          <cell r="E1511">
            <v>253544.59899999999</v>
          </cell>
          <cell r="F1511">
            <v>3</v>
          </cell>
        </row>
        <row r="1512">
          <cell r="A1512">
            <v>2018</v>
          </cell>
          <cell r="B1512" t="str">
            <v>Actual</v>
          </cell>
          <cell r="C1512" t="str">
            <v>Mar</v>
          </cell>
          <cell r="D1512" t="str">
            <v>Chairs</v>
          </cell>
          <cell r="E1512">
            <v>176370.50199999998</v>
          </cell>
          <cell r="F1512">
            <v>3</v>
          </cell>
        </row>
        <row r="1513">
          <cell r="A1513">
            <v>2018</v>
          </cell>
          <cell r="B1513" t="str">
            <v>Budget</v>
          </cell>
          <cell r="C1513" t="str">
            <v>Mar</v>
          </cell>
          <cell r="D1513" t="str">
            <v>Chairs</v>
          </cell>
          <cell r="E1513">
            <v>460447.14799999999</v>
          </cell>
          <cell r="F1513">
            <v>3</v>
          </cell>
        </row>
        <row r="1514">
          <cell r="A1514">
            <v>2019</v>
          </cell>
          <cell r="B1514" t="str">
            <v>Actual</v>
          </cell>
          <cell r="C1514" t="str">
            <v>Mar</v>
          </cell>
          <cell r="D1514" t="str">
            <v>Chairs</v>
          </cell>
          <cell r="E1514">
            <v>730954.02799999993</v>
          </cell>
          <cell r="F1514">
            <v>3</v>
          </cell>
        </row>
        <row r="1515">
          <cell r="A1515">
            <v>2019</v>
          </cell>
          <cell r="B1515" t="str">
            <v>Budget</v>
          </cell>
          <cell r="C1515" t="str">
            <v>Mar</v>
          </cell>
          <cell r="D1515" t="str">
            <v>Tables</v>
          </cell>
          <cell r="E1515">
            <v>2978.8779999999997</v>
          </cell>
          <cell r="F1515">
            <v>3</v>
          </cell>
        </row>
        <row r="1516">
          <cell r="A1516">
            <v>2018</v>
          </cell>
          <cell r="B1516" t="str">
            <v>Actual</v>
          </cell>
          <cell r="C1516" t="str">
            <v>Mar</v>
          </cell>
          <cell r="D1516" t="str">
            <v>Kitchen</v>
          </cell>
          <cell r="E1516">
            <v>476153.62899999996</v>
          </cell>
          <cell r="F1516">
            <v>3</v>
          </cell>
        </row>
        <row r="1517">
          <cell r="A1517">
            <v>2019</v>
          </cell>
          <cell r="B1517" t="str">
            <v>Budget</v>
          </cell>
          <cell r="C1517" t="str">
            <v>Mar</v>
          </cell>
          <cell r="D1517" t="str">
            <v>Chairs</v>
          </cell>
          <cell r="E1517">
            <v>-88848.41</v>
          </cell>
          <cell r="F1517">
            <v>3</v>
          </cell>
        </row>
        <row r="1518">
          <cell r="A1518">
            <v>2019</v>
          </cell>
          <cell r="B1518" t="str">
            <v>Actual</v>
          </cell>
          <cell r="C1518" t="str">
            <v>Mar</v>
          </cell>
          <cell r="D1518" t="str">
            <v>Chairs</v>
          </cell>
          <cell r="E1518">
            <v>219986.61999999997</v>
          </cell>
          <cell r="F1518">
            <v>3</v>
          </cell>
        </row>
        <row r="1519">
          <cell r="A1519">
            <v>2019</v>
          </cell>
          <cell r="B1519" t="str">
            <v>Budget</v>
          </cell>
          <cell r="C1519" t="str">
            <v>Mar</v>
          </cell>
          <cell r="D1519" t="str">
            <v>Tables</v>
          </cell>
          <cell r="E1519">
            <v>13934.431</v>
          </cell>
          <cell r="F1519">
            <v>3</v>
          </cell>
        </row>
        <row r="1520">
          <cell r="A1520">
            <v>2018</v>
          </cell>
          <cell r="B1520" t="str">
            <v>Actual</v>
          </cell>
          <cell r="C1520" t="str">
            <v>Mar</v>
          </cell>
          <cell r="D1520" t="str">
            <v>Kitchen</v>
          </cell>
          <cell r="E1520">
            <v>314834.00199999998</v>
          </cell>
          <cell r="F1520">
            <v>3</v>
          </cell>
        </row>
        <row r="1521">
          <cell r="A1521">
            <v>2018</v>
          </cell>
          <cell r="B1521" t="str">
            <v>Budget</v>
          </cell>
          <cell r="C1521" t="str">
            <v>Mar</v>
          </cell>
          <cell r="D1521" t="str">
            <v>Chairs</v>
          </cell>
          <cell r="E1521">
            <v>62233.149999999994</v>
          </cell>
          <cell r="F1521">
            <v>3</v>
          </cell>
        </row>
        <row r="1522">
          <cell r="A1522">
            <v>2018</v>
          </cell>
          <cell r="B1522" t="str">
            <v>Actual</v>
          </cell>
          <cell r="C1522" t="str">
            <v>Mar</v>
          </cell>
          <cell r="D1522" t="str">
            <v>Chairs</v>
          </cell>
          <cell r="E1522">
            <v>207309.774</v>
          </cell>
          <cell r="F1522">
            <v>3</v>
          </cell>
        </row>
        <row r="1523">
          <cell r="A1523">
            <v>2019</v>
          </cell>
          <cell r="B1523" t="str">
            <v>Budget</v>
          </cell>
          <cell r="C1523" t="str">
            <v>Mar</v>
          </cell>
          <cell r="D1523" t="str">
            <v>Chairs</v>
          </cell>
          <cell r="E1523">
            <v>27715.477999999999</v>
          </cell>
          <cell r="F1523">
            <v>3</v>
          </cell>
        </row>
        <row r="1524">
          <cell r="A1524">
            <v>2018</v>
          </cell>
          <cell r="B1524" t="str">
            <v>Actual</v>
          </cell>
          <cell r="C1524" t="str">
            <v>Mar</v>
          </cell>
          <cell r="D1524" t="str">
            <v>Tables</v>
          </cell>
          <cell r="E1524">
            <v>100738.337</v>
          </cell>
          <cell r="F1524">
            <v>3</v>
          </cell>
        </row>
        <row r="1525">
          <cell r="A1525">
            <v>2018</v>
          </cell>
          <cell r="B1525" t="str">
            <v>Budget</v>
          </cell>
          <cell r="C1525" t="str">
            <v>Mar</v>
          </cell>
          <cell r="D1525" t="str">
            <v>Kitchen</v>
          </cell>
          <cell r="E1525">
            <v>1267270.4659999998</v>
          </cell>
          <cell r="F1525">
            <v>3</v>
          </cell>
        </row>
        <row r="1526">
          <cell r="A1526">
            <v>2018</v>
          </cell>
          <cell r="B1526" t="str">
            <v>Actual</v>
          </cell>
          <cell r="C1526" t="str">
            <v>Mar</v>
          </cell>
          <cell r="D1526" t="str">
            <v>Accessories</v>
          </cell>
          <cell r="E1526">
            <v>142085.00599999999</v>
          </cell>
          <cell r="F1526">
            <v>3</v>
          </cell>
        </row>
        <row r="1527">
          <cell r="A1527">
            <v>2018</v>
          </cell>
          <cell r="B1527" t="str">
            <v>Budget</v>
          </cell>
          <cell r="C1527" t="str">
            <v>Mar</v>
          </cell>
          <cell r="D1527" t="str">
            <v>Chairs</v>
          </cell>
          <cell r="E1527">
            <v>284321.10699999996</v>
          </cell>
          <cell r="F1527">
            <v>3</v>
          </cell>
        </row>
        <row r="1528">
          <cell r="A1528">
            <v>2018</v>
          </cell>
          <cell r="B1528" t="str">
            <v>Actual</v>
          </cell>
          <cell r="C1528" t="str">
            <v>Mar</v>
          </cell>
          <cell r="D1528" t="str">
            <v>Tables</v>
          </cell>
          <cell r="E1528">
            <v>32078.773999999998</v>
          </cell>
          <cell r="F1528">
            <v>3</v>
          </cell>
        </row>
        <row r="1529">
          <cell r="A1529">
            <v>2019</v>
          </cell>
          <cell r="B1529" t="str">
            <v>Budget</v>
          </cell>
          <cell r="C1529" t="str">
            <v>Mar</v>
          </cell>
          <cell r="D1529" t="str">
            <v>Kitchen</v>
          </cell>
          <cell r="E1529">
            <v>159604.788</v>
          </cell>
          <cell r="F1529">
            <v>3</v>
          </cell>
        </row>
        <row r="1530">
          <cell r="A1530">
            <v>2018</v>
          </cell>
          <cell r="B1530" t="str">
            <v>Actual</v>
          </cell>
          <cell r="C1530" t="str">
            <v>Mar</v>
          </cell>
          <cell r="D1530" t="str">
            <v>Accessories</v>
          </cell>
          <cell r="E1530">
            <v>191322.34099999999</v>
          </cell>
          <cell r="F1530">
            <v>3</v>
          </cell>
        </row>
        <row r="1531">
          <cell r="A1531">
            <v>2018</v>
          </cell>
          <cell r="B1531" t="str">
            <v>Budget</v>
          </cell>
          <cell r="C1531" t="str">
            <v>Mar</v>
          </cell>
          <cell r="D1531" t="str">
            <v>Chairs</v>
          </cell>
          <cell r="E1531">
            <v>152126.75099999999</v>
          </cell>
          <cell r="F1531">
            <v>3</v>
          </cell>
        </row>
        <row r="1532">
          <cell r="A1532">
            <v>2019</v>
          </cell>
          <cell r="B1532" t="str">
            <v>Actual</v>
          </cell>
          <cell r="C1532" t="str">
            <v>Mar</v>
          </cell>
          <cell r="D1532" t="str">
            <v>Tables</v>
          </cell>
          <cell r="E1532">
            <v>36251.067999999999</v>
          </cell>
          <cell r="F1532">
            <v>3</v>
          </cell>
        </row>
        <row r="1533">
          <cell r="A1533">
            <v>2018</v>
          </cell>
          <cell r="B1533" t="str">
            <v>Budget</v>
          </cell>
          <cell r="C1533" t="str">
            <v>Mar</v>
          </cell>
          <cell r="D1533" t="str">
            <v>Kitchen</v>
          </cell>
          <cell r="E1533">
            <v>33392.610999999997</v>
          </cell>
          <cell r="F1533">
            <v>3</v>
          </cell>
        </row>
        <row r="1534">
          <cell r="A1534">
            <v>2019</v>
          </cell>
          <cell r="B1534" t="str">
            <v>Actual</v>
          </cell>
          <cell r="C1534" t="str">
            <v>Mar</v>
          </cell>
          <cell r="D1534" t="str">
            <v>Accessories</v>
          </cell>
          <cell r="E1534">
            <v>20566.328999999998</v>
          </cell>
          <cell r="F1534">
            <v>3</v>
          </cell>
        </row>
        <row r="1535">
          <cell r="A1535">
            <v>2019</v>
          </cell>
          <cell r="B1535" t="str">
            <v>Budget</v>
          </cell>
          <cell r="C1535" t="str">
            <v>Mar</v>
          </cell>
          <cell r="D1535" t="str">
            <v>Chairs</v>
          </cell>
          <cell r="E1535">
            <v>29975.581999999999</v>
          </cell>
          <cell r="F1535">
            <v>3</v>
          </cell>
        </row>
        <row r="1536">
          <cell r="A1536">
            <v>2019</v>
          </cell>
          <cell r="B1536" t="str">
            <v>Actual</v>
          </cell>
          <cell r="C1536" t="str">
            <v>Mar</v>
          </cell>
          <cell r="D1536" t="str">
            <v>Tables</v>
          </cell>
          <cell r="E1536">
            <v>21430.513999999999</v>
          </cell>
          <cell r="F1536">
            <v>3</v>
          </cell>
        </row>
        <row r="1537">
          <cell r="A1537">
            <v>2018</v>
          </cell>
          <cell r="B1537" t="str">
            <v>Budget</v>
          </cell>
          <cell r="C1537" t="str">
            <v>Mar</v>
          </cell>
          <cell r="D1537" t="str">
            <v>Kitchen</v>
          </cell>
          <cell r="E1537">
            <v>52844.077999999994</v>
          </cell>
          <cell r="F1537">
            <v>3</v>
          </cell>
        </row>
        <row r="1538">
          <cell r="A1538">
            <v>2018</v>
          </cell>
          <cell r="B1538" t="str">
            <v>Actual</v>
          </cell>
          <cell r="C1538" t="str">
            <v>Mar</v>
          </cell>
          <cell r="D1538" t="str">
            <v>Accessories</v>
          </cell>
          <cell r="E1538">
            <v>10401.902</v>
          </cell>
          <cell r="F1538">
            <v>3</v>
          </cell>
        </row>
        <row r="1539">
          <cell r="A1539">
            <v>2018</v>
          </cell>
          <cell r="B1539" t="str">
            <v>Budget</v>
          </cell>
          <cell r="C1539" t="str">
            <v>Mar</v>
          </cell>
          <cell r="D1539" t="str">
            <v>Chairs</v>
          </cell>
          <cell r="E1539">
            <v>243433.59599999999</v>
          </cell>
          <cell r="F1539">
            <v>3</v>
          </cell>
        </row>
        <row r="1540">
          <cell r="A1540">
            <v>2019</v>
          </cell>
          <cell r="B1540" t="str">
            <v>Actual</v>
          </cell>
          <cell r="C1540" t="str">
            <v>Mar</v>
          </cell>
          <cell r="D1540" t="str">
            <v>Chairs</v>
          </cell>
          <cell r="E1540">
            <v>263194.93900000001</v>
          </cell>
          <cell r="F1540">
            <v>3</v>
          </cell>
        </row>
        <row r="1541">
          <cell r="A1541">
            <v>2019</v>
          </cell>
          <cell r="B1541" t="str">
            <v>Budget</v>
          </cell>
          <cell r="C1541" t="str">
            <v>Mar</v>
          </cell>
          <cell r="D1541" t="str">
            <v>Tables</v>
          </cell>
          <cell r="E1541">
            <v>41140.68</v>
          </cell>
          <cell r="F1541">
            <v>3</v>
          </cell>
        </row>
        <row r="1542">
          <cell r="A1542">
            <v>2019</v>
          </cell>
          <cell r="B1542" t="str">
            <v>Actual</v>
          </cell>
          <cell r="C1542" t="str">
            <v>Mar</v>
          </cell>
          <cell r="D1542" t="str">
            <v>Kitchen</v>
          </cell>
          <cell r="E1542">
            <v>43133.152999999998</v>
          </cell>
          <cell r="F1542">
            <v>3</v>
          </cell>
        </row>
        <row r="1543">
          <cell r="A1543">
            <v>2019</v>
          </cell>
          <cell r="B1543" t="str">
            <v>Budget</v>
          </cell>
          <cell r="C1543" t="str">
            <v>Mar</v>
          </cell>
          <cell r="D1543" t="str">
            <v>Chairs</v>
          </cell>
          <cell r="E1543">
            <v>83986.188999999998</v>
          </cell>
          <cell r="F1543">
            <v>3</v>
          </cell>
        </row>
        <row r="1544">
          <cell r="A1544">
            <v>2019</v>
          </cell>
          <cell r="B1544" t="str">
            <v>Actual</v>
          </cell>
          <cell r="C1544" t="str">
            <v>Mar</v>
          </cell>
          <cell r="D1544" t="str">
            <v>Tables</v>
          </cell>
          <cell r="E1544">
            <v>14893.592000000001</v>
          </cell>
          <cell r="F1544">
            <v>3</v>
          </cell>
        </row>
        <row r="1545">
          <cell r="A1545">
            <v>2018</v>
          </cell>
          <cell r="B1545" t="str">
            <v>Budget</v>
          </cell>
          <cell r="C1545" t="str">
            <v>Mar</v>
          </cell>
          <cell r="D1545" t="str">
            <v>Kitchen</v>
          </cell>
          <cell r="E1545">
            <v>10018.385999999999</v>
          </cell>
          <cell r="F1545">
            <v>3</v>
          </cell>
        </row>
        <row r="1546">
          <cell r="A1546">
            <v>2019</v>
          </cell>
          <cell r="B1546" t="str">
            <v>Actual</v>
          </cell>
          <cell r="C1546" t="str">
            <v>Mar</v>
          </cell>
          <cell r="D1546" t="str">
            <v>Chairs</v>
          </cell>
          <cell r="E1546">
            <v>53664.155999999995</v>
          </cell>
          <cell r="F1546">
            <v>3</v>
          </cell>
        </row>
        <row r="1547">
          <cell r="A1547">
            <v>2019</v>
          </cell>
          <cell r="B1547" t="str">
            <v>Budget</v>
          </cell>
          <cell r="C1547" t="str">
            <v>Mar</v>
          </cell>
          <cell r="D1547" t="str">
            <v>Tables</v>
          </cell>
          <cell r="E1547">
            <v>137669.16799999998</v>
          </cell>
          <cell r="F1547">
            <v>3</v>
          </cell>
        </row>
        <row r="1548">
          <cell r="A1548">
            <v>2018</v>
          </cell>
          <cell r="B1548" t="str">
            <v>Actual</v>
          </cell>
          <cell r="C1548" t="str">
            <v>Mar</v>
          </cell>
          <cell r="D1548" t="str">
            <v>Kitchen</v>
          </cell>
          <cell r="E1548">
            <v>176605.07199999999</v>
          </cell>
          <cell r="F1548">
            <v>3</v>
          </cell>
        </row>
        <row r="1549">
          <cell r="A1549">
            <v>2018</v>
          </cell>
          <cell r="B1549" t="str">
            <v>Budget</v>
          </cell>
          <cell r="C1549" t="str">
            <v>Mar</v>
          </cell>
          <cell r="D1549" t="str">
            <v>Chairs</v>
          </cell>
          <cell r="E1549">
            <v>31131.540999999997</v>
          </cell>
          <cell r="F1549">
            <v>3</v>
          </cell>
        </row>
        <row r="1550">
          <cell r="A1550">
            <v>2018</v>
          </cell>
          <cell r="B1550" t="str">
            <v>Actual</v>
          </cell>
          <cell r="C1550" t="str">
            <v>Mar</v>
          </cell>
          <cell r="D1550" t="str">
            <v>Chairs</v>
          </cell>
          <cell r="E1550">
            <v>245987.74199999997</v>
          </cell>
          <cell r="F1550">
            <v>3</v>
          </cell>
        </row>
        <row r="1551">
          <cell r="A1551">
            <v>2018</v>
          </cell>
          <cell r="B1551" t="str">
            <v>Budget</v>
          </cell>
          <cell r="C1551" t="str">
            <v>Mar</v>
          </cell>
          <cell r="D1551" t="str">
            <v>Chairs</v>
          </cell>
          <cell r="E1551">
            <v>3071709.2349999999</v>
          </cell>
          <cell r="F1551">
            <v>3</v>
          </cell>
        </row>
        <row r="1552">
          <cell r="A1552">
            <v>2018</v>
          </cell>
          <cell r="B1552" t="str">
            <v>Actual</v>
          </cell>
          <cell r="C1552" t="str">
            <v>Mar</v>
          </cell>
          <cell r="D1552" t="str">
            <v>Chairs</v>
          </cell>
          <cell r="E1552">
            <v>33914.453999999998</v>
          </cell>
          <cell r="F1552">
            <v>3</v>
          </cell>
        </row>
        <row r="1553">
          <cell r="A1553">
            <v>2018</v>
          </cell>
          <cell r="B1553" t="str">
            <v>Budget</v>
          </cell>
          <cell r="C1553" t="str">
            <v>Mar</v>
          </cell>
          <cell r="D1553" t="str">
            <v>Chairs</v>
          </cell>
          <cell r="E1553">
            <v>81294.92</v>
          </cell>
          <cell r="F1553">
            <v>3</v>
          </cell>
        </row>
        <row r="1554">
          <cell r="A1554">
            <v>2018</v>
          </cell>
          <cell r="B1554" t="str">
            <v>Actual</v>
          </cell>
          <cell r="C1554" t="str">
            <v>Mar</v>
          </cell>
          <cell r="D1554" t="str">
            <v>Chairs</v>
          </cell>
          <cell r="E1554">
            <v>985530.93099999998</v>
          </cell>
          <cell r="F1554">
            <v>3</v>
          </cell>
        </row>
        <row r="1555">
          <cell r="A1555">
            <v>2018</v>
          </cell>
          <cell r="B1555" t="str">
            <v>Budget</v>
          </cell>
          <cell r="C1555" t="str">
            <v>Mar</v>
          </cell>
          <cell r="D1555" t="str">
            <v>Chairs</v>
          </cell>
          <cell r="E1555">
            <v>3116415.568</v>
          </cell>
          <cell r="F1555">
            <v>3</v>
          </cell>
        </row>
        <row r="1556">
          <cell r="A1556">
            <v>2018</v>
          </cell>
          <cell r="B1556" t="str">
            <v>Actual</v>
          </cell>
          <cell r="C1556" t="str">
            <v>Mar</v>
          </cell>
          <cell r="D1556" t="str">
            <v>Chairs</v>
          </cell>
          <cell r="E1556">
            <v>1786395.2680000002</v>
          </cell>
          <cell r="F1556">
            <v>3</v>
          </cell>
        </row>
        <row r="1557">
          <cell r="A1557">
            <v>2019</v>
          </cell>
          <cell r="B1557" t="str">
            <v>Budget</v>
          </cell>
          <cell r="C1557" t="str">
            <v>Mar</v>
          </cell>
          <cell r="D1557" t="str">
            <v>Chairs</v>
          </cell>
          <cell r="E1557">
            <v>92629.585999999996</v>
          </cell>
          <cell r="F1557">
            <v>3</v>
          </cell>
        </row>
        <row r="1558">
          <cell r="A1558">
            <v>2018</v>
          </cell>
          <cell r="B1558" t="str">
            <v>Actual</v>
          </cell>
          <cell r="C1558" t="str">
            <v>Mar</v>
          </cell>
          <cell r="D1558" t="str">
            <v>Chairs</v>
          </cell>
          <cell r="E1558">
            <v>25692.960999999999</v>
          </cell>
          <cell r="F1558">
            <v>3</v>
          </cell>
        </row>
        <row r="1559">
          <cell r="A1559">
            <v>2018</v>
          </cell>
          <cell r="B1559" t="str">
            <v>Budget</v>
          </cell>
          <cell r="C1559" t="str">
            <v>Mar</v>
          </cell>
          <cell r="D1559" t="str">
            <v>Chairs</v>
          </cell>
          <cell r="E1559">
            <v>2807.7279999999996</v>
          </cell>
          <cell r="F1559">
            <v>3</v>
          </cell>
        </row>
        <row r="1560">
          <cell r="A1560">
            <v>2019</v>
          </cell>
          <cell r="B1560" t="str">
            <v>Actual</v>
          </cell>
          <cell r="C1560" t="str">
            <v>Mar</v>
          </cell>
          <cell r="D1560" t="str">
            <v>Chairs</v>
          </cell>
          <cell r="E1560">
            <v>33202.721999999994</v>
          </cell>
          <cell r="F1560">
            <v>3</v>
          </cell>
        </row>
        <row r="1561">
          <cell r="A1561">
            <v>2019</v>
          </cell>
          <cell r="B1561" t="str">
            <v>Budget</v>
          </cell>
          <cell r="C1561" t="str">
            <v>Mar</v>
          </cell>
          <cell r="D1561" t="str">
            <v>Chairs</v>
          </cell>
          <cell r="E1561">
            <v>85657.341</v>
          </cell>
          <cell r="F1561">
            <v>3</v>
          </cell>
        </row>
        <row r="1562">
          <cell r="A1562">
            <v>2019</v>
          </cell>
          <cell r="B1562" t="str">
            <v>Actual</v>
          </cell>
          <cell r="C1562" t="str">
            <v>Mar</v>
          </cell>
          <cell r="D1562" t="str">
            <v>Chairs</v>
          </cell>
          <cell r="E1562">
            <v>17941.468999999997</v>
          </cell>
          <cell r="F1562">
            <v>3</v>
          </cell>
        </row>
        <row r="1563">
          <cell r="A1563">
            <v>2019</v>
          </cell>
          <cell r="B1563" t="str">
            <v>Budget</v>
          </cell>
          <cell r="C1563" t="str">
            <v>Mar</v>
          </cell>
          <cell r="D1563" t="str">
            <v>Chairs</v>
          </cell>
          <cell r="E1563">
            <v>8420.9650000000001</v>
          </cell>
          <cell r="F1563">
            <v>3</v>
          </cell>
        </row>
        <row r="1564">
          <cell r="A1564">
            <v>2019</v>
          </cell>
          <cell r="B1564" t="str">
            <v>Actual</v>
          </cell>
          <cell r="C1564" t="str">
            <v>Mar</v>
          </cell>
          <cell r="D1564" t="str">
            <v>Chairs</v>
          </cell>
          <cell r="E1564">
            <v>171141.69099999999</v>
          </cell>
          <cell r="F1564">
            <v>3</v>
          </cell>
        </row>
        <row r="1565">
          <cell r="A1565">
            <v>2018</v>
          </cell>
          <cell r="B1565" t="str">
            <v>Budget</v>
          </cell>
          <cell r="C1565" t="str">
            <v>Mar</v>
          </cell>
          <cell r="D1565" t="str">
            <v>Chairs</v>
          </cell>
          <cell r="E1565">
            <v>106432.82999999999</v>
          </cell>
          <cell r="F1565">
            <v>3</v>
          </cell>
        </row>
        <row r="1566">
          <cell r="A1566">
            <v>2018</v>
          </cell>
          <cell r="B1566" t="str">
            <v>Actual</v>
          </cell>
          <cell r="C1566" t="str">
            <v>Mar</v>
          </cell>
          <cell r="D1566" t="str">
            <v>Chairs</v>
          </cell>
          <cell r="E1566">
            <v>643254.01</v>
          </cell>
          <cell r="F1566">
            <v>3</v>
          </cell>
        </row>
        <row r="1567">
          <cell r="A1567">
            <v>2018</v>
          </cell>
          <cell r="B1567" t="str">
            <v>Budget</v>
          </cell>
          <cell r="C1567" t="str">
            <v>Mar</v>
          </cell>
          <cell r="D1567" t="str">
            <v>Chairs</v>
          </cell>
          <cell r="E1567">
            <v>289566.65499999997</v>
          </cell>
          <cell r="F1567">
            <v>3</v>
          </cell>
        </row>
        <row r="1568">
          <cell r="A1568">
            <v>2019</v>
          </cell>
          <cell r="B1568" t="str">
            <v>Actual</v>
          </cell>
          <cell r="C1568" t="str">
            <v>Mar</v>
          </cell>
          <cell r="D1568" t="str">
            <v>Chairs</v>
          </cell>
          <cell r="E1568">
            <v>22315.733999999997</v>
          </cell>
          <cell r="F1568">
            <v>3</v>
          </cell>
        </row>
        <row r="1569">
          <cell r="A1569">
            <v>2019</v>
          </cell>
          <cell r="B1569" t="str">
            <v>Budget</v>
          </cell>
          <cell r="C1569" t="str">
            <v>Mar</v>
          </cell>
          <cell r="D1569" t="str">
            <v>Chairs</v>
          </cell>
          <cell r="E1569">
            <v>270654.50299999997</v>
          </cell>
          <cell r="F1569">
            <v>3</v>
          </cell>
        </row>
        <row r="1570">
          <cell r="A1570">
            <v>2018</v>
          </cell>
          <cell r="B1570" t="str">
            <v>Actual</v>
          </cell>
          <cell r="C1570" t="str">
            <v>Mar</v>
          </cell>
          <cell r="D1570" t="str">
            <v>Chairs</v>
          </cell>
          <cell r="E1570">
            <v>4811036.0689999992</v>
          </cell>
          <cell r="F1570">
            <v>3</v>
          </cell>
        </row>
        <row r="1571">
          <cell r="A1571">
            <v>2019</v>
          </cell>
          <cell r="B1571" t="str">
            <v>Budget</v>
          </cell>
          <cell r="C1571" t="str">
            <v>Mar</v>
          </cell>
          <cell r="D1571" t="str">
            <v>Chairs</v>
          </cell>
          <cell r="E1571">
            <v>673324.30900000001</v>
          </cell>
          <cell r="F1571">
            <v>3</v>
          </cell>
        </row>
        <row r="1572">
          <cell r="A1572">
            <v>2018</v>
          </cell>
          <cell r="B1572" t="str">
            <v>Actual</v>
          </cell>
          <cell r="C1572" t="str">
            <v>Mar</v>
          </cell>
          <cell r="D1572" t="str">
            <v>Chairs</v>
          </cell>
          <cell r="E1572">
            <v>196173.63499999998</v>
          </cell>
          <cell r="F1572">
            <v>3</v>
          </cell>
        </row>
        <row r="1573">
          <cell r="A1573">
            <v>2019</v>
          </cell>
          <cell r="B1573" t="str">
            <v>Budget</v>
          </cell>
          <cell r="C1573" t="str">
            <v>Mar</v>
          </cell>
          <cell r="D1573" t="str">
            <v>Chairs</v>
          </cell>
          <cell r="E1573">
            <v>1644992.7339999999</v>
          </cell>
          <cell r="F1573">
            <v>3</v>
          </cell>
        </row>
        <row r="1574">
          <cell r="A1574">
            <v>2018</v>
          </cell>
          <cell r="B1574" t="str">
            <v>Actual</v>
          </cell>
          <cell r="C1574" t="str">
            <v>Mar</v>
          </cell>
          <cell r="D1574" t="str">
            <v>Chairs</v>
          </cell>
          <cell r="E1574">
            <v>2343570.2709999997</v>
          </cell>
          <cell r="F1574">
            <v>3</v>
          </cell>
        </row>
        <row r="1575">
          <cell r="A1575">
            <v>2018</v>
          </cell>
          <cell r="B1575" t="str">
            <v>Budget</v>
          </cell>
          <cell r="C1575" t="str">
            <v>Mar</v>
          </cell>
          <cell r="D1575" t="str">
            <v>Tables</v>
          </cell>
          <cell r="E1575">
            <v>1265245.2119999998</v>
          </cell>
          <cell r="F1575">
            <v>3</v>
          </cell>
        </row>
        <row r="1576">
          <cell r="A1576">
            <v>2018</v>
          </cell>
          <cell r="B1576" t="str">
            <v>Actual</v>
          </cell>
          <cell r="C1576" t="str">
            <v>Mar</v>
          </cell>
          <cell r="D1576" t="str">
            <v>Kitchen</v>
          </cell>
          <cell r="E1576">
            <v>2006939.34</v>
          </cell>
          <cell r="F1576">
            <v>3</v>
          </cell>
        </row>
        <row r="1577">
          <cell r="A1577">
            <v>2019</v>
          </cell>
          <cell r="B1577" t="str">
            <v>Budget</v>
          </cell>
          <cell r="C1577" t="str">
            <v>Mar</v>
          </cell>
          <cell r="D1577" t="str">
            <v>Chairs</v>
          </cell>
          <cell r="E1577">
            <v>1413486.9</v>
          </cell>
          <cell r="F1577">
            <v>3</v>
          </cell>
        </row>
        <row r="1578">
          <cell r="A1578">
            <v>2019</v>
          </cell>
          <cell r="B1578" t="str">
            <v>Actual</v>
          </cell>
          <cell r="C1578" t="str">
            <v>Mar</v>
          </cell>
          <cell r="D1578" t="str">
            <v>Chairs</v>
          </cell>
          <cell r="E1578">
            <v>3735394.4039999996</v>
          </cell>
          <cell r="F1578">
            <v>3</v>
          </cell>
        </row>
        <row r="1579">
          <cell r="A1579">
            <v>2018</v>
          </cell>
          <cell r="B1579" t="str">
            <v>Budget</v>
          </cell>
          <cell r="C1579" t="str">
            <v>Mar</v>
          </cell>
          <cell r="D1579" t="str">
            <v>Chairs</v>
          </cell>
          <cell r="E1579">
            <v>336796.37599999999</v>
          </cell>
          <cell r="F1579">
            <v>3</v>
          </cell>
        </row>
        <row r="1580">
          <cell r="A1580">
            <v>2019</v>
          </cell>
          <cell r="B1580" t="str">
            <v>Actual</v>
          </cell>
          <cell r="C1580" t="str">
            <v>Mar</v>
          </cell>
          <cell r="D1580" t="str">
            <v>Chairs</v>
          </cell>
          <cell r="E1580">
            <v>1711560.879</v>
          </cell>
          <cell r="F1580">
            <v>3</v>
          </cell>
        </row>
        <row r="1581">
          <cell r="A1581">
            <v>2019</v>
          </cell>
          <cell r="B1581" t="str">
            <v>Budget</v>
          </cell>
          <cell r="C1581" t="str">
            <v>Mar</v>
          </cell>
          <cell r="D1581" t="str">
            <v>Chairs</v>
          </cell>
          <cell r="E1581">
            <v>24466.112999999998</v>
          </cell>
          <cell r="F1581">
            <v>3</v>
          </cell>
        </row>
        <row r="1582">
          <cell r="A1582">
            <v>2018</v>
          </cell>
          <cell r="B1582" t="str">
            <v>Actual</v>
          </cell>
          <cell r="C1582" t="str">
            <v>Mar</v>
          </cell>
          <cell r="D1582" t="str">
            <v>Tables</v>
          </cell>
          <cell r="E1582">
            <v>767967.34699999995</v>
          </cell>
          <cell r="F1582">
            <v>3</v>
          </cell>
        </row>
        <row r="1583">
          <cell r="A1583">
            <v>2018</v>
          </cell>
          <cell r="B1583" t="str">
            <v>Budget</v>
          </cell>
          <cell r="C1583" t="str">
            <v>Mar</v>
          </cell>
          <cell r="D1583" t="str">
            <v>Kitchen</v>
          </cell>
          <cell r="E1583">
            <v>318626.88899999997</v>
          </cell>
          <cell r="F1583">
            <v>3</v>
          </cell>
        </row>
        <row r="1584">
          <cell r="A1584">
            <v>2018</v>
          </cell>
          <cell r="B1584" t="str">
            <v>Actual</v>
          </cell>
          <cell r="C1584" t="str">
            <v>Mar</v>
          </cell>
          <cell r="D1584" t="str">
            <v>Chairs</v>
          </cell>
          <cell r="E1584">
            <v>308075.20799999998</v>
          </cell>
          <cell r="F1584">
            <v>3</v>
          </cell>
        </row>
        <row r="1585">
          <cell r="A1585">
            <v>2018</v>
          </cell>
          <cell r="B1585" t="str">
            <v>Budget</v>
          </cell>
          <cell r="C1585" t="str">
            <v>Mar</v>
          </cell>
          <cell r="D1585" t="str">
            <v>Chairs</v>
          </cell>
          <cell r="E1585">
            <v>1299403.2379999999</v>
          </cell>
          <cell r="F1585">
            <v>3</v>
          </cell>
        </row>
        <row r="1586">
          <cell r="A1586">
            <v>2019</v>
          </cell>
          <cell r="B1586" t="str">
            <v>Actual</v>
          </cell>
          <cell r="C1586" t="str">
            <v>Mar</v>
          </cell>
          <cell r="D1586" t="str">
            <v>Chairs</v>
          </cell>
          <cell r="E1586">
            <v>561229.44499999995</v>
          </cell>
          <cell r="F1586">
            <v>3</v>
          </cell>
        </row>
        <row r="1587">
          <cell r="A1587">
            <v>2019</v>
          </cell>
          <cell r="B1587" t="str">
            <v>Budget</v>
          </cell>
          <cell r="C1587" t="str">
            <v>Mar</v>
          </cell>
          <cell r="D1587" t="str">
            <v>Tables</v>
          </cell>
          <cell r="E1587">
            <v>148289.008</v>
          </cell>
          <cell r="F1587">
            <v>3</v>
          </cell>
        </row>
        <row r="1588">
          <cell r="A1588">
            <v>2018</v>
          </cell>
          <cell r="B1588" t="str">
            <v>Actual</v>
          </cell>
          <cell r="C1588" t="str">
            <v>Mar</v>
          </cell>
          <cell r="D1588" t="str">
            <v>Kitchen</v>
          </cell>
          <cell r="E1588">
            <v>534663.73099999991</v>
          </cell>
          <cell r="F1588">
            <v>3</v>
          </cell>
        </row>
        <row r="1589">
          <cell r="A1589">
            <v>2019</v>
          </cell>
          <cell r="B1589" t="str">
            <v>Budget</v>
          </cell>
          <cell r="C1589" t="str">
            <v>Mar</v>
          </cell>
          <cell r="D1589" t="str">
            <v>Chairs</v>
          </cell>
          <cell r="E1589">
            <v>389355.55399999995</v>
          </cell>
          <cell r="F1589">
            <v>3</v>
          </cell>
        </row>
        <row r="1590">
          <cell r="A1590">
            <v>2018</v>
          </cell>
          <cell r="B1590" t="str">
            <v>Actual</v>
          </cell>
          <cell r="C1590" t="str">
            <v>Mar</v>
          </cell>
          <cell r="D1590" t="str">
            <v>Chairs</v>
          </cell>
          <cell r="E1590">
            <v>1187137.595</v>
          </cell>
          <cell r="F1590">
            <v>3</v>
          </cell>
        </row>
        <row r="1591">
          <cell r="A1591">
            <v>2019</v>
          </cell>
          <cell r="B1591" t="str">
            <v>Budget</v>
          </cell>
          <cell r="C1591" t="str">
            <v>Mar</v>
          </cell>
          <cell r="D1591" t="str">
            <v>Tables</v>
          </cell>
          <cell r="E1591">
            <v>331354.87699999998</v>
          </cell>
          <cell r="F1591">
            <v>3</v>
          </cell>
        </row>
        <row r="1592">
          <cell r="A1592">
            <v>2018</v>
          </cell>
          <cell r="B1592" t="str">
            <v>Actual</v>
          </cell>
          <cell r="C1592" t="str">
            <v>Mar</v>
          </cell>
          <cell r="D1592" t="str">
            <v>Kitchen</v>
          </cell>
          <cell r="E1592">
            <v>161195.03399999999</v>
          </cell>
          <cell r="F1592">
            <v>3</v>
          </cell>
        </row>
        <row r="1593">
          <cell r="A1593">
            <v>2018</v>
          </cell>
          <cell r="B1593" t="str">
            <v>Budget</v>
          </cell>
          <cell r="C1593" t="str">
            <v>Mar</v>
          </cell>
          <cell r="D1593" t="str">
            <v>Chairs</v>
          </cell>
          <cell r="E1593">
            <v>7533.9669999999987</v>
          </cell>
          <cell r="F1593">
            <v>3</v>
          </cell>
        </row>
        <row r="1594">
          <cell r="A1594">
            <v>2019</v>
          </cell>
          <cell r="B1594" t="str">
            <v>Actual</v>
          </cell>
          <cell r="C1594" t="str">
            <v>Mar</v>
          </cell>
          <cell r="D1594" t="str">
            <v>Chairs</v>
          </cell>
          <cell r="E1594">
            <v>127159.58499999998</v>
          </cell>
          <cell r="F1594">
            <v>3</v>
          </cell>
        </row>
        <row r="1595">
          <cell r="A1595">
            <v>2019</v>
          </cell>
          <cell r="B1595" t="str">
            <v>Budget</v>
          </cell>
          <cell r="C1595" t="str">
            <v>Mar</v>
          </cell>
          <cell r="D1595" t="str">
            <v>Chairs</v>
          </cell>
          <cell r="E1595">
            <v>211856.08499999999</v>
          </cell>
          <cell r="F1595">
            <v>3</v>
          </cell>
        </row>
        <row r="1596">
          <cell r="A1596">
            <v>2019</v>
          </cell>
          <cell r="B1596" t="str">
            <v>Actual</v>
          </cell>
          <cell r="C1596" t="str">
            <v>Mar</v>
          </cell>
          <cell r="D1596" t="str">
            <v>Tables</v>
          </cell>
          <cell r="E1596">
            <v>65655.652999999991</v>
          </cell>
          <cell r="F1596">
            <v>3</v>
          </cell>
        </row>
        <row r="1597">
          <cell r="A1597">
            <v>2019</v>
          </cell>
          <cell r="B1597" t="str">
            <v>Budget</v>
          </cell>
          <cell r="C1597" t="str">
            <v>Mar</v>
          </cell>
          <cell r="D1597" t="str">
            <v>Kitchen</v>
          </cell>
          <cell r="E1597">
            <v>820687.8189999999</v>
          </cell>
          <cell r="F1597">
            <v>3</v>
          </cell>
        </row>
        <row r="1598">
          <cell r="A1598">
            <v>2019</v>
          </cell>
          <cell r="B1598" t="str">
            <v>Actual</v>
          </cell>
          <cell r="C1598" t="str">
            <v>Mar</v>
          </cell>
          <cell r="D1598" t="str">
            <v>Accessories</v>
          </cell>
          <cell r="E1598">
            <v>384204.96099999995</v>
          </cell>
          <cell r="F1598">
            <v>3</v>
          </cell>
        </row>
        <row r="1599">
          <cell r="A1599">
            <v>2018</v>
          </cell>
          <cell r="B1599" t="str">
            <v>Budget</v>
          </cell>
          <cell r="C1599" t="str">
            <v>Mar</v>
          </cell>
          <cell r="D1599" t="str">
            <v>Chairs</v>
          </cell>
          <cell r="E1599">
            <v>64067.324999999997</v>
          </cell>
          <cell r="F1599">
            <v>3</v>
          </cell>
        </row>
        <row r="1600">
          <cell r="A1600">
            <v>2018</v>
          </cell>
          <cell r="B1600" t="str">
            <v>Actual</v>
          </cell>
          <cell r="C1600" t="str">
            <v>Mar</v>
          </cell>
          <cell r="D1600" t="str">
            <v>Tables</v>
          </cell>
          <cell r="E1600">
            <v>204275.19</v>
          </cell>
          <cell r="F1600">
            <v>3</v>
          </cell>
        </row>
        <row r="1601">
          <cell r="A1601">
            <v>2019</v>
          </cell>
          <cell r="B1601" t="str">
            <v>Budget</v>
          </cell>
          <cell r="C1601" t="str">
            <v>Mar</v>
          </cell>
          <cell r="D1601" t="str">
            <v>Kitchen</v>
          </cell>
          <cell r="E1601">
            <v>518257.85199999996</v>
          </cell>
          <cell r="F1601">
            <v>3</v>
          </cell>
        </row>
        <row r="1602">
          <cell r="A1602">
            <v>2019</v>
          </cell>
          <cell r="B1602" t="str">
            <v>Actual</v>
          </cell>
          <cell r="C1602" t="str">
            <v>Mar</v>
          </cell>
          <cell r="D1602" t="str">
            <v>Accessories</v>
          </cell>
          <cell r="E1602">
            <v>104207.04699999999</v>
          </cell>
          <cell r="F1602">
            <v>3</v>
          </cell>
        </row>
        <row r="1603">
          <cell r="A1603">
            <v>2019</v>
          </cell>
          <cell r="B1603" t="str">
            <v>Budget</v>
          </cell>
          <cell r="C1603" t="str">
            <v>Mar</v>
          </cell>
          <cell r="D1603" t="str">
            <v>Chairs</v>
          </cell>
          <cell r="E1603">
            <v>415933.35</v>
          </cell>
          <cell r="F1603">
            <v>3</v>
          </cell>
        </row>
        <row r="1604">
          <cell r="A1604">
            <v>2018</v>
          </cell>
          <cell r="B1604" t="str">
            <v>Actual</v>
          </cell>
          <cell r="C1604" t="str">
            <v>Mar</v>
          </cell>
          <cell r="D1604" t="str">
            <v>Tables</v>
          </cell>
          <cell r="E1604">
            <v>411882.22600000002</v>
          </cell>
          <cell r="F1604">
            <v>3</v>
          </cell>
        </row>
        <row r="1605">
          <cell r="A1605">
            <v>2019</v>
          </cell>
          <cell r="B1605" t="str">
            <v>Budget</v>
          </cell>
          <cell r="C1605" t="str">
            <v>Mar</v>
          </cell>
          <cell r="D1605" t="str">
            <v>Kitchen</v>
          </cell>
          <cell r="E1605">
            <v>274369.79499999998</v>
          </cell>
          <cell r="F1605">
            <v>3</v>
          </cell>
        </row>
        <row r="1606">
          <cell r="A1606">
            <v>2019</v>
          </cell>
          <cell r="B1606" t="str">
            <v>Actual</v>
          </cell>
          <cell r="C1606" t="str">
            <v>Mar</v>
          </cell>
          <cell r="D1606" t="str">
            <v>Accessories</v>
          </cell>
          <cell r="E1606">
            <v>205436.41999999998</v>
          </cell>
          <cell r="F1606">
            <v>3</v>
          </cell>
        </row>
        <row r="1607">
          <cell r="A1607">
            <v>2019</v>
          </cell>
          <cell r="B1607" t="str">
            <v>Budget</v>
          </cell>
          <cell r="C1607" t="str">
            <v>Mar</v>
          </cell>
          <cell r="D1607" t="str">
            <v>Chairs</v>
          </cell>
          <cell r="E1607">
            <v>240798.15899999999</v>
          </cell>
          <cell r="F1607">
            <v>3</v>
          </cell>
        </row>
        <row r="1608">
          <cell r="A1608">
            <v>2019</v>
          </cell>
          <cell r="B1608" t="str">
            <v>Actual</v>
          </cell>
          <cell r="C1608" t="str">
            <v>Mar</v>
          </cell>
          <cell r="D1608" t="str">
            <v>Tables</v>
          </cell>
          <cell r="E1608">
            <v>562414.34899999993</v>
          </cell>
          <cell r="F1608">
            <v>3</v>
          </cell>
        </row>
        <row r="1609">
          <cell r="A1609">
            <v>2019</v>
          </cell>
          <cell r="B1609" t="str">
            <v>Budget</v>
          </cell>
          <cell r="C1609" t="str">
            <v>Mar</v>
          </cell>
          <cell r="D1609" t="str">
            <v>Kitchen</v>
          </cell>
          <cell r="E1609">
            <v>39203.597999999998</v>
          </cell>
          <cell r="F1609">
            <v>3</v>
          </cell>
        </row>
        <row r="1610">
          <cell r="A1610">
            <v>2018</v>
          </cell>
          <cell r="B1610" t="str">
            <v>Actual</v>
          </cell>
          <cell r="C1610" t="str">
            <v>Mar</v>
          </cell>
          <cell r="D1610" t="str">
            <v>Accessories</v>
          </cell>
          <cell r="E1610">
            <v>106827.007</v>
          </cell>
          <cell r="F1610">
            <v>3</v>
          </cell>
        </row>
        <row r="1611">
          <cell r="A1611">
            <v>2019</v>
          </cell>
          <cell r="B1611" t="str">
            <v>Budget</v>
          </cell>
          <cell r="C1611" t="str">
            <v>Mar</v>
          </cell>
          <cell r="D1611" t="str">
            <v>Chairs</v>
          </cell>
          <cell r="E1611">
            <v>403142.71899999998</v>
          </cell>
          <cell r="F1611">
            <v>3</v>
          </cell>
        </row>
        <row r="1612">
          <cell r="A1612">
            <v>2018</v>
          </cell>
          <cell r="B1612" t="str">
            <v>Actual</v>
          </cell>
          <cell r="C1612" t="str">
            <v>Mar</v>
          </cell>
          <cell r="D1612" t="str">
            <v>Chairs</v>
          </cell>
          <cell r="E1612">
            <v>236430.74</v>
          </cell>
          <cell r="F1612">
            <v>3</v>
          </cell>
        </row>
        <row r="1613">
          <cell r="A1613">
            <v>2018</v>
          </cell>
          <cell r="B1613" t="str">
            <v>Budget</v>
          </cell>
          <cell r="C1613" t="str">
            <v>Mar</v>
          </cell>
          <cell r="D1613" t="str">
            <v>Tables</v>
          </cell>
          <cell r="E1613">
            <v>39522.993999999999</v>
          </cell>
          <cell r="F1613">
            <v>3</v>
          </cell>
        </row>
        <row r="1614">
          <cell r="A1614">
            <v>2018</v>
          </cell>
          <cell r="B1614" t="str">
            <v>Actual</v>
          </cell>
          <cell r="C1614" t="str">
            <v>Mar</v>
          </cell>
          <cell r="D1614" t="str">
            <v>Kitchen</v>
          </cell>
          <cell r="E1614">
            <v>140615.22999999998</v>
          </cell>
          <cell r="F1614">
            <v>3</v>
          </cell>
        </row>
        <row r="1615">
          <cell r="A1615">
            <v>2018</v>
          </cell>
          <cell r="B1615" t="str">
            <v>Budget</v>
          </cell>
          <cell r="C1615" t="str">
            <v>Mar</v>
          </cell>
          <cell r="D1615" t="str">
            <v>Chairs</v>
          </cell>
          <cell r="E1615">
            <v>152991.804</v>
          </cell>
          <cell r="F1615">
            <v>3</v>
          </cell>
        </row>
        <row r="1616">
          <cell r="A1616">
            <v>2018</v>
          </cell>
          <cell r="B1616" t="str">
            <v>Actual</v>
          </cell>
          <cell r="C1616" t="str">
            <v>Mar</v>
          </cell>
          <cell r="D1616" t="str">
            <v>Tables</v>
          </cell>
          <cell r="E1616">
            <v>25425.253000000001</v>
          </cell>
          <cell r="F1616">
            <v>3</v>
          </cell>
        </row>
        <row r="1617">
          <cell r="A1617">
            <v>2019</v>
          </cell>
          <cell r="B1617" t="str">
            <v>Budget</v>
          </cell>
          <cell r="C1617" t="str">
            <v>Mar</v>
          </cell>
          <cell r="D1617" t="str">
            <v>Kitchen</v>
          </cell>
          <cell r="E1617">
            <v>57437.918999999994</v>
          </cell>
          <cell r="F1617">
            <v>3</v>
          </cell>
        </row>
        <row r="1618">
          <cell r="A1618">
            <v>2018</v>
          </cell>
          <cell r="B1618" t="str">
            <v>Actual</v>
          </cell>
          <cell r="C1618" t="str">
            <v>Mar</v>
          </cell>
          <cell r="D1618" t="str">
            <v>Chairs</v>
          </cell>
          <cell r="E1618">
            <v>409038.65100000001</v>
          </cell>
          <cell r="F1618">
            <v>3</v>
          </cell>
        </row>
        <row r="1619">
          <cell r="A1619">
            <v>2019</v>
          </cell>
          <cell r="B1619" t="str">
            <v>Budget</v>
          </cell>
          <cell r="C1619" t="str">
            <v>Mar</v>
          </cell>
          <cell r="D1619" t="str">
            <v>Tables</v>
          </cell>
          <cell r="E1619">
            <v>748132.32899999991</v>
          </cell>
          <cell r="F1619">
            <v>3</v>
          </cell>
        </row>
        <row r="1620">
          <cell r="A1620">
            <v>2018</v>
          </cell>
          <cell r="B1620" t="str">
            <v>Actual</v>
          </cell>
          <cell r="C1620" t="str">
            <v>Mar</v>
          </cell>
          <cell r="D1620" t="str">
            <v>Kitchen</v>
          </cell>
          <cell r="E1620">
            <v>2127516.0409999997</v>
          </cell>
          <cell r="F1620">
            <v>3</v>
          </cell>
        </row>
        <row r="1621">
          <cell r="A1621">
            <v>2018</v>
          </cell>
          <cell r="B1621" t="str">
            <v>Budget</v>
          </cell>
          <cell r="C1621" t="str">
            <v>Mar</v>
          </cell>
          <cell r="D1621" t="str">
            <v>Chairs</v>
          </cell>
          <cell r="E1621">
            <v>33030.752999999997</v>
          </cell>
          <cell r="F1621">
            <v>3</v>
          </cell>
        </row>
        <row r="1622">
          <cell r="A1622">
            <v>2018</v>
          </cell>
          <cell r="B1622" t="str">
            <v>Actual</v>
          </cell>
          <cell r="C1622" t="str">
            <v>Mar</v>
          </cell>
          <cell r="D1622" t="str">
            <v>Chairs</v>
          </cell>
          <cell r="E1622">
            <v>158570.19500000001</v>
          </cell>
          <cell r="F1622">
            <v>3</v>
          </cell>
        </row>
        <row r="1623">
          <cell r="A1623">
            <v>2019</v>
          </cell>
          <cell r="B1623" t="str">
            <v>Budget</v>
          </cell>
          <cell r="C1623" t="str">
            <v>Mar</v>
          </cell>
          <cell r="D1623" t="str">
            <v>Chairs</v>
          </cell>
          <cell r="E1623">
            <v>92575.244999999995</v>
          </cell>
          <cell r="F1623">
            <v>3</v>
          </cell>
        </row>
        <row r="1624">
          <cell r="A1624">
            <v>2019</v>
          </cell>
          <cell r="B1624" t="str">
            <v>Actual</v>
          </cell>
          <cell r="C1624" t="str">
            <v>Mar</v>
          </cell>
          <cell r="D1624" t="str">
            <v>Chairs</v>
          </cell>
          <cell r="E1624">
            <v>3802657.3969999999</v>
          </cell>
          <cell r="F1624">
            <v>3</v>
          </cell>
        </row>
        <row r="1625">
          <cell r="A1625">
            <v>2019</v>
          </cell>
          <cell r="B1625" t="str">
            <v>Budget</v>
          </cell>
          <cell r="C1625" t="str">
            <v>Mar</v>
          </cell>
          <cell r="D1625" t="str">
            <v>Chairs</v>
          </cell>
          <cell r="E1625">
            <v>60942.062999999995</v>
          </cell>
          <cell r="F1625">
            <v>3</v>
          </cell>
        </row>
        <row r="1626">
          <cell r="A1626">
            <v>2019</v>
          </cell>
          <cell r="B1626" t="str">
            <v>Actual</v>
          </cell>
          <cell r="C1626" t="str">
            <v>Mar</v>
          </cell>
          <cell r="D1626" t="str">
            <v>Chairs</v>
          </cell>
          <cell r="E1626">
            <v>463384.19400000002</v>
          </cell>
          <cell r="F1626">
            <v>3</v>
          </cell>
        </row>
        <row r="1627">
          <cell r="A1627">
            <v>2019</v>
          </cell>
          <cell r="B1627" t="str">
            <v>Budget</v>
          </cell>
          <cell r="C1627" t="str">
            <v>Mar</v>
          </cell>
          <cell r="D1627" t="str">
            <v>Chairs</v>
          </cell>
          <cell r="E1627">
            <v>122772.825</v>
          </cell>
          <cell r="F1627">
            <v>3</v>
          </cell>
        </row>
        <row r="1628">
          <cell r="A1628">
            <v>2019</v>
          </cell>
          <cell r="B1628" t="str">
            <v>Actual</v>
          </cell>
          <cell r="C1628" t="str">
            <v>Mar</v>
          </cell>
          <cell r="D1628" t="str">
            <v>Chairs</v>
          </cell>
          <cell r="E1628">
            <v>5504.45</v>
          </cell>
          <cell r="F1628">
            <v>3</v>
          </cell>
        </row>
        <row r="1629">
          <cell r="A1629">
            <v>2018</v>
          </cell>
          <cell r="B1629" t="str">
            <v>Budget</v>
          </cell>
          <cell r="C1629" t="str">
            <v>Mar</v>
          </cell>
          <cell r="D1629" t="str">
            <v>Chairs</v>
          </cell>
          <cell r="E1629">
            <v>227582.64199999999</v>
          </cell>
          <cell r="F1629">
            <v>3</v>
          </cell>
        </row>
        <row r="1630">
          <cell r="A1630">
            <v>2018</v>
          </cell>
          <cell r="B1630" t="str">
            <v>Actual</v>
          </cell>
          <cell r="C1630" t="str">
            <v>Mar</v>
          </cell>
          <cell r="D1630" t="str">
            <v>Chairs</v>
          </cell>
          <cell r="E1630">
            <v>218010.26099999997</v>
          </cell>
          <cell r="F1630">
            <v>3</v>
          </cell>
        </row>
        <row r="1631">
          <cell r="A1631">
            <v>2018</v>
          </cell>
          <cell r="B1631" t="str">
            <v>Budget</v>
          </cell>
          <cell r="C1631" t="str">
            <v>Mar</v>
          </cell>
          <cell r="D1631" t="str">
            <v>Chairs</v>
          </cell>
          <cell r="E1631">
            <v>926561.24399999983</v>
          </cell>
          <cell r="F1631">
            <v>3</v>
          </cell>
        </row>
        <row r="1632">
          <cell r="A1632">
            <v>2018</v>
          </cell>
          <cell r="B1632" t="str">
            <v>Actual</v>
          </cell>
          <cell r="C1632" t="str">
            <v>Mar</v>
          </cell>
          <cell r="D1632" t="str">
            <v>Chairs</v>
          </cell>
          <cell r="E1632">
            <v>2082410.2459999998</v>
          </cell>
          <cell r="F1632">
            <v>3</v>
          </cell>
        </row>
        <row r="1633">
          <cell r="A1633">
            <v>2019</v>
          </cell>
          <cell r="B1633" t="str">
            <v>Budget</v>
          </cell>
          <cell r="C1633" t="str">
            <v>Mar</v>
          </cell>
          <cell r="D1633" t="str">
            <v>Chairs</v>
          </cell>
          <cell r="E1633">
            <v>1897808.5489999996</v>
          </cell>
          <cell r="F1633">
            <v>3</v>
          </cell>
        </row>
        <row r="1634">
          <cell r="A1634">
            <v>2018</v>
          </cell>
          <cell r="B1634" t="str">
            <v>Actual</v>
          </cell>
          <cell r="C1634" t="str">
            <v>Mar</v>
          </cell>
          <cell r="D1634" t="str">
            <v>Chairs</v>
          </cell>
          <cell r="E1634">
            <v>2287257.3289999999</v>
          </cell>
          <cell r="F1634">
            <v>3</v>
          </cell>
        </row>
        <row r="1635">
          <cell r="A1635">
            <v>2018</v>
          </cell>
          <cell r="B1635" t="str">
            <v>Budget</v>
          </cell>
          <cell r="C1635" t="str">
            <v>Mar</v>
          </cell>
          <cell r="D1635" t="str">
            <v>Chairs</v>
          </cell>
          <cell r="E1635">
            <v>25055.107</v>
          </cell>
          <cell r="F1635">
            <v>3</v>
          </cell>
        </row>
        <row r="1636">
          <cell r="A1636">
            <v>2018</v>
          </cell>
          <cell r="B1636" t="str">
            <v>Actual</v>
          </cell>
          <cell r="C1636" t="str">
            <v>Mar</v>
          </cell>
          <cell r="D1636" t="str">
            <v>Chairs</v>
          </cell>
          <cell r="E1636">
            <v>1570230.2489999998</v>
          </cell>
          <cell r="F1636">
            <v>3</v>
          </cell>
        </row>
        <row r="1637">
          <cell r="A1637">
            <v>2019</v>
          </cell>
          <cell r="B1637" t="str">
            <v>Budget</v>
          </cell>
          <cell r="C1637" t="str">
            <v>Mar</v>
          </cell>
          <cell r="D1637" t="str">
            <v>Chairs</v>
          </cell>
          <cell r="E1637">
            <v>3588179.0839999998</v>
          </cell>
          <cell r="F1637">
            <v>3</v>
          </cell>
        </row>
        <row r="1638">
          <cell r="A1638">
            <v>2019</v>
          </cell>
          <cell r="B1638" t="str">
            <v>Actual</v>
          </cell>
          <cell r="C1638" t="str">
            <v>Mar</v>
          </cell>
          <cell r="D1638" t="str">
            <v>Chairs</v>
          </cell>
          <cell r="E1638">
            <v>90942.487999999998</v>
          </cell>
          <cell r="F1638">
            <v>3</v>
          </cell>
        </row>
        <row r="1639">
          <cell r="A1639">
            <v>2018</v>
          </cell>
          <cell r="B1639" t="str">
            <v>Budget</v>
          </cell>
          <cell r="C1639" t="str">
            <v>Mar</v>
          </cell>
          <cell r="D1639" t="str">
            <v>Chairs</v>
          </cell>
          <cell r="E1639">
            <v>387259.86599999998</v>
          </cell>
          <cell r="F1639">
            <v>3</v>
          </cell>
        </row>
        <row r="1640">
          <cell r="A1640">
            <v>2018</v>
          </cell>
          <cell r="B1640" t="str">
            <v>Actual</v>
          </cell>
          <cell r="C1640" t="str">
            <v>Mar</v>
          </cell>
          <cell r="D1640" t="str">
            <v>Chairs</v>
          </cell>
          <cell r="E1640">
            <v>625619.86899999995</v>
          </cell>
          <cell r="F1640">
            <v>3</v>
          </cell>
        </row>
        <row r="1641">
          <cell r="A1641">
            <v>2019</v>
          </cell>
          <cell r="B1641" t="str">
            <v>Budget</v>
          </cell>
          <cell r="C1641" t="str">
            <v>Mar</v>
          </cell>
          <cell r="D1641" t="str">
            <v>Chairs</v>
          </cell>
          <cell r="E1641">
            <v>708654.15599999996</v>
          </cell>
          <cell r="F1641">
            <v>3</v>
          </cell>
        </row>
        <row r="1642">
          <cell r="A1642">
            <v>2018</v>
          </cell>
          <cell r="B1642" t="str">
            <v>Actual</v>
          </cell>
          <cell r="C1642" t="str">
            <v>Mar</v>
          </cell>
          <cell r="D1642" t="str">
            <v>Chairs</v>
          </cell>
          <cell r="E1642">
            <v>83076.615999999995</v>
          </cell>
          <cell r="F1642">
            <v>3</v>
          </cell>
        </row>
        <row r="1643">
          <cell r="A1643">
            <v>2019</v>
          </cell>
          <cell r="B1643" t="str">
            <v>Budget</v>
          </cell>
          <cell r="C1643" t="str">
            <v>Mar</v>
          </cell>
          <cell r="D1643" t="str">
            <v>Chairs</v>
          </cell>
          <cell r="E1643">
            <v>72436.832999999999</v>
          </cell>
          <cell r="F1643">
            <v>3</v>
          </cell>
        </row>
        <row r="1644">
          <cell r="A1644">
            <v>2018</v>
          </cell>
          <cell r="B1644" t="str">
            <v>Actual</v>
          </cell>
          <cell r="C1644" t="str">
            <v>Mar</v>
          </cell>
          <cell r="D1644" t="str">
            <v>Chairs</v>
          </cell>
          <cell r="E1644">
            <v>27744.737999999998</v>
          </cell>
          <cell r="F1644">
            <v>3</v>
          </cell>
        </row>
        <row r="1645">
          <cell r="A1645">
            <v>2019</v>
          </cell>
          <cell r="B1645" t="str">
            <v>Budget</v>
          </cell>
          <cell r="C1645" t="str">
            <v>Mar</v>
          </cell>
          <cell r="D1645" t="str">
            <v>Chairs</v>
          </cell>
          <cell r="E1645">
            <v>4138759.037</v>
          </cell>
          <cell r="F1645">
            <v>3</v>
          </cell>
        </row>
        <row r="1646">
          <cell r="A1646">
            <v>2018</v>
          </cell>
          <cell r="B1646" t="str">
            <v>Actual</v>
          </cell>
          <cell r="C1646" t="str">
            <v>Mar</v>
          </cell>
          <cell r="D1646" t="str">
            <v>Chairs</v>
          </cell>
          <cell r="E1646">
            <v>90552.293999999994</v>
          </cell>
          <cell r="F1646">
            <v>3</v>
          </cell>
        </row>
        <row r="1647">
          <cell r="A1647">
            <v>2018</v>
          </cell>
          <cell r="B1647" t="str">
            <v>Budget</v>
          </cell>
          <cell r="C1647" t="str">
            <v>Mar</v>
          </cell>
          <cell r="D1647" t="str">
            <v>Tables</v>
          </cell>
          <cell r="E1647">
            <v>282191.61599999998</v>
          </cell>
          <cell r="F1647">
            <v>3</v>
          </cell>
        </row>
        <row r="1648">
          <cell r="A1648">
            <v>2019</v>
          </cell>
          <cell r="B1648" t="str">
            <v>Actual</v>
          </cell>
          <cell r="C1648" t="str">
            <v>Mar</v>
          </cell>
          <cell r="D1648" t="str">
            <v>Kitchen</v>
          </cell>
          <cell r="E1648">
            <v>1547272.3699999999</v>
          </cell>
          <cell r="F1648">
            <v>3</v>
          </cell>
        </row>
        <row r="1649">
          <cell r="A1649">
            <v>2019</v>
          </cell>
          <cell r="B1649" t="str">
            <v>Budget</v>
          </cell>
          <cell r="C1649" t="str">
            <v>Mar</v>
          </cell>
          <cell r="D1649" t="str">
            <v>Chairs</v>
          </cell>
          <cell r="E1649">
            <v>4102200.3469999996</v>
          </cell>
          <cell r="F1649">
            <v>3</v>
          </cell>
        </row>
        <row r="1650">
          <cell r="A1650">
            <v>2018</v>
          </cell>
          <cell r="B1650" t="str">
            <v>Actual</v>
          </cell>
          <cell r="C1650" t="str">
            <v>Mar</v>
          </cell>
          <cell r="D1650" t="str">
            <v>Chairs</v>
          </cell>
          <cell r="E1650">
            <v>528044.45399999991</v>
          </cell>
          <cell r="F1650">
            <v>3</v>
          </cell>
        </row>
        <row r="1651">
          <cell r="A1651">
            <v>2019</v>
          </cell>
          <cell r="B1651" t="str">
            <v>Budget</v>
          </cell>
          <cell r="C1651" t="str">
            <v>Mar</v>
          </cell>
          <cell r="D1651" t="str">
            <v>Chairs</v>
          </cell>
          <cell r="E1651">
            <v>248722.698</v>
          </cell>
          <cell r="F1651">
            <v>3</v>
          </cell>
        </row>
        <row r="1652">
          <cell r="A1652">
            <v>2018</v>
          </cell>
          <cell r="B1652" t="str">
            <v>Actual</v>
          </cell>
          <cell r="C1652" t="str">
            <v>Mar</v>
          </cell>
          <cell r="D1652" t="str">
            <v>Chairs</v>
          </cell>
          <cell r="E1652">
            <v>112518.77</v>
          </cell>
          <cell r="F1652">
            <v>3</v>
          </cell>
        </row>
        <row r="1653">
          <cell r="A1653">
            <v>2018</v>
          </cell>
          <cell r="B1653" t="str">
            <v>Budget</v>
          </cell>
          <cell r="C1653" t="str">
            <v>Mar</v>
          </cell>
          <cell r="D1653" t="str">
            <v>Chairs</v>
          </cell>
          <cell r="E1653">
            <v>107461.02499999999</v>
          </cell>
          <cell r="F1653">
            <v>3</v>
          </cell>
        </row>
        <row r="1654">
          <cell r="A1654">
            <v>2019</v>
          </cell>
          <cell r="B1654" t="str">
            <v>Actual</v>
          </cell>
          <cell r="C1654" t="str">
            <v>Mar</v>
          </cell>
          <cell r="D1654" t="str">
            <v>Tables</v>
          </cell>
          <cell r="E1654">
            <v>17093.125</v>
          </cell>
          <cell r="F1654">
            <v>3</v>
          </cell>
        </row>
        <row r="1655">
          <cell r="A1655">
            <v>2019</v>
          </cell>
          <cell r="B1655" t="str">
            <v>Budget</v>
          </cell>
          <cell r="C1655" t="str">
            <v>Mar</v>
          </cell>
          <cell r="D1655" t="str">
            <v>Kitchen</v>
          </cell>
          <cell r="E1655">
            <v>241550.67299999998</v>
          </cell>
          <cell r="F1655">
            <v>3</v>
          </cell>
        </row>
        <row r="1656">
          <cell r="A1656">
            <v>2019</v>
          </cell>
          <cell r="B1656" t="str">
            <v>Actual</v>
          </cell>
          <cell r="C1656" t="str">
            <v>Mar</v>
          </cell>
          <cell r="D1656" t="str">
            <v>Chairs</v>
          </cell>
          <cell r="E1656">
            <v>582210.59400000004</v>
          </cell>
          <cell r="F1656">
            <v>3</v>
          </cell>
        </row>
        <row r="1657">
          <cell r="A1657">
            <v>2018</v>
          </cell>
          <cell r="B1657" t="str">
            <v>Budget</v>
          </cell>
          <cell r="C1657" t="str">
            <v>Mar</v>
          </cell>
          <cell r="D1657" t="str">
            <v>Chairs</v>
          </cell>
          <cell r="E1657">
            <v>191737.71400000001</v>
          </cell>
          <cell r="F1657">
            <v>3</v>
          </cell>
        </row>
        <row r="1658">
          <cell r="A1658">
            <v>2018</v>
          </cell>
          <cell r="B1658" t="str">
            <v>Actual</v>
          </cell>
          <cell r="C1658" t="str">
            <v>Mar</v>
          </cell>
          <cell r="D1658" t="str">
            <v>Chairs</v>
          </cell>
          <cell r="E1658">
            <v>572319.40500000003</v>
          </cell>
          <cell r="F1658">
            <v>3</v>
          </cell>
        </row>
        <row r="1659">
          <cell r="A1659">
            <v>2018</v>
          </cell>
          <cell r="B1659" t="str">
            <v>Budget</v>
          </cell>
          <cell r="C1659" t="str">
            <v>Mar</v>
          </cell>
          <cell r="D1659" t="str">
            <v>Tables</v>
          </cell>
          <cell r="E1659">
            <v>307360.22100000002</v>
          </cell>
          <cell r="F1659">
            <v>3</v>
          </cell>
        </row>
        <row r="1660">
          <cell r="A1660">
            <v>2018</v>
          </cell>
          <cell r="B1660" t="str">
            <v>Actual</v>
          </cell>
          <cell r="C1660" t="str">
            <v>Mar</v>
          </cell>
          <cell r="D1660" t="str">
            <v>Kitchen</v>
          </cell>
          <cell r="E1660">
            <v>506299.54200000002</v>
          </cell>
          <cell r="F1660">
            <v>3</v>
          </cell>
        </row>
        <row r="1661">
          <cell r="A1661">
            <v>2019</v>
          </cell>
          <cell r="B1661" t="str">
            <v>Budget</v>
          </cell>
          <cell r="C1661" t="str">
            <v>Mar</v>
          </cell>
          <cell r="D1661" t="str">
            <v>Chairs</v>
          </cell>
          <cell r="E1661">
            <v>1095602.382</v>
          </cell>
          <cell r="F1661">
            <v>3</v>
          </cell>
        </row>
        <row r="1662">
          <cell r="A1662">
            <v>2018</v>
          </cell>
          <cell r="B1662" t="str">
            <v>Actual</v>
          </cell>
          <cell r="C1662" t="str">
            <v>Mar</v>
          </cell>
          <cell r="D1662" t="str">
            <v>Chairs</v>
          </cell>
          <cell r="E1662">
            <v>543253.28399999999</v>
          </cell>
          <cell r="F1662">
            <v>3</v>
          </cell>
        </row>
        <row r="1663">
          <cell r="A1663">
            <v>2018</v>
          </cell>
          <cell r="B1663" t="str">
            <v>Budget</v>
          </cell>
          <cell r="C1663" t="str">
            <v>Mar</v>
          </cell>
          <cell r="D1663" t="str">
            <v>Tables</v>
          </cell>
          <cell r="E1663">
            <v>46510.995999999999</v>
          </cell>
          <cell r="F1663">
            <v>3</v>
          </cell>
        </row>
        <row r="1664">
          <cell r="A1664">
            <v>2019</v>
          </cell>
          <cell r="B1664" t="str">
            <v>Actual</v>
          </cell>
          <cell r="C1664" t="str">
            <v>Mar</v>
          </cell>
          <cell r="D1664" t="str">
            <v>Kitchen</v>
          </cell>
          <cell r="E1664">
            <v>292247.01099999994</v>
          </cell>
          <cell r="F1664">
            <v>3</v>
          </cell>
        </row>
        <row r="1665">
          <cell r="A1665">
            <v>2019</v>
          </cell>
          <cell r="B1665" t="str">
            <v>Budget</v>
          </cell>
          <cell r="C1665" t="str">
            <v>Mar</v>
          </cell>
          <cell r="D1665" t="str">
            <v>Chairs</v>
          </cell>
          <cell r="E1665">
            <v>2050962.1369999999</v>
          </cell>
          <cell r="F1665">
            <v>3</v>
          </cell>
        </row>
        <row r="1666">
          <cell r="A1666">
            <v>2018</v>
          </cell>
          <cell r="B1666" t="str">
            <v>Actual</v>
          </cell>
          <cell r="C1666" t="str">
            <v>Mar</v>
          </cell>
          <cell r="D1666" t="str">
            <v>Chairs</v>
          </cell>
          <cell r="E1666">
            <v>600061.02799999993</v>
          </cell>
          <cell r="F1666">
            <v>3</v>
          </cell>
        </row>
        <row r="1667">
          <cell r="A1667">
            <v>2019</v>
          </cell>
          <cell r="B1667" t="str">
            <v>Budget</v>
          </cell>
          <cell r="C1667" t="str">
            <v>Mar</v>
          </cell>
          <cell r="D1667" t="str">
            <v>Chairs</v>
          </cell>
          <cell r="E1667">
            <v>222992.12599999999</v>
          </cell>
          <cell r="F1667">
            <v>3</v>
          </cell>
        </row>
        <row r="1668">
          <cell r="A1668">
            <v>2019</v>
          </cell>
          <cell r="B1668" t="str">
            <v>Actual</v>
          </cell>
          <cell r="C1668" t="str">
            <v>Mar</v>
          </cell>
          <cell r="D1668" t="str">
            <v>Tables</v>
          </cell>
          <cell r="E1668">
            <v>165462.55599999998</v>
          </cell>
          <cell r="F1668">
            <v>3</v>
          </cell>
        </row>
        <row r="1669">
          <cell r="A1669">
            <v>2018</v>
          </cell>
          <cell r="B1669" t="str">
            <v>Budget</v>
          </cell>
          <cell r="C1669" t="str">
            <v>Mar</v>
          </cell>
          <cell r="D1669" t="str">
            <v>Kitchen</v>
          </cell>
          <cell r="E1669">
            <v>251144.38999999998</v>
          </cell>
          <cell r="F1669">
            <v>3</v>
          </cell>
        </row>
        <row r="1670">
          <cell r="A1670">
            <v>2019</v>
          </cell>
          <cell r="B1670" t="str">
            <v>Actual</v>
          </cell>
          <cell r="C1670" t="str">
            <v>Mar</v>
          </cell>
          <cell r="D1670" t="str">
            <v>Accessories</v>
          </cell>
          <cell r="E1670">
            <v>119206.598</v>
          </cell>
          <cell r="F1670">
            <v>3</v>
          </cell>
        </row>
        <row r="1671">
          <cell r="A1671">
            <v>2019</v>
          </cell>
          <cell r="B1671" t="str">
            <v>Budget</v>
          </cell>
          <cell r="C1671" t="str">
            <v>Mar</v>
          </cell>
          <cell r="D1671" t="str">
            <v>Chairs</v>
          </cell>
          <cell r="E1671">
            <v>129184.965</v>
          </cell>
          <cell r="F1671">
            <v>3</v>
          </cell>
        </row>
        <row r="1672">
          <cell r="A1672">
            <v>2019</v>
          </cell>
          <cell r="B1672" t="str">
            <v>Actual</v>
          </cell>
          <cell r="C1672" t="str">
            <v>Mar</v>
          </cell>
          <cell r="D1672" t="str">
            <v>Tables</v>
          </cell>
          <cell r="E1672">
            <v>483207.84399999998</v>
          </cell>
          <cell r="F1672">
            <v>3</v>
          </cell>
        </row>
        <row r="1673">
          <cell r="A1673">
            <v>2018</v>
          </cell>
          <cell r="B1673" t="str">
            <v>Budget</v>
          </cell>
          <cell r="C1673" t="str">
            <v>Mar</v>
          </cell>
          <cell r="D1673" t="str">
            <v>Kitchen</v>
          </cell>
          <cell r="E1673">
            <v>112649.63499999998</v>
          </cell>
          <cell r="F1673">
            <v>3</v>
          </cell>
        </row>
        <row r="1674">
          <cell r="A1674">
            <v>2019</v>
          </cell>
          <cell r="B1674" t="str">
            <v>Actual</v>
          </cell>
          <cell r="C1674" t="str">
            <v>Mar</v>
          </cell>
          <cell r="D1674" t="str">
            <v>Accessories</v>
          </cell>
          <cell r="E1674">
            <v>272836.87199999997</v>
          </cell>
          <cell r="F1674">
            <v>3</v>
          </cell>
        </row>
        <row r="1675">
          <cell r="A1675">
            <v>2018</v>
          </cell>
          <cell r="B1675" t="str">
            <v>Budget</v>
          </cell>
          <cell r="C1675" t="str">
            <v>Mar</v>
          </cell>
          <cell r="D1675" t="str">
            <v>Chairs</v>
          </cell>
          <cell r="E1675">
            <v>2643050.8930000002</v>
          </cell>
          <cell r="F1675">
            <v>3</v>
          </cell>
        </row>
        <row r="1676">
          <cell r="A1676">
            <v>2019</v>
          </cell>
          <cell r="B1676" t="str">
            <v>Actual</v>
          </cell>
          <cell r="C1676" t="str">
            <v>Mar</v>
          </cell>
          <cell r="D1676" t="str">
            <v>Tables</v>
          </cell>
          <cell r="E1676">
            <v>1160250.21</v>
          </cell>
          <cell r="F1676">
            <v>3</v>
          </cell>
        </row>
        <row r="1677">
          <cell r="A1677">
            <v>2018</v>
          </cell>
          <cell r="B1677" t="str">
            <v>Budget</v>
          </cell>
          <cell r="C1677" t="str">
            <v>Mar</v>
          </cell>
          <cell r="D1677" t="str">
            <v>Kitchen</v>
          </cell>
          <cell r="E1677">
            <v>11073777.399999999</v>
          </cell>
          <cell r="F1677">
            <v>3</v>
          </cell>
        </row>
        <row r="1678">
          <cell r="A1678">
            <v>2018</v>
          </cell>
          <cell r="B1678" t="str">
            <v>Actual</v>
          </cell>
          <cell r="C1678" t="str">
            <v>Mar</v>
          </cell>
          <cell r="D1678" t="str">
            <v>Accessories</v>
          </cell>
          <cell r="E1678">
            <v>782551.77</v>
          </cell>
          <cell r="F1678">
            <v>3</v>
          </cell>
        </row>
        <row r="1679">
          <cell r="A1679">
            <v>2019</v>
          </cell>
          <cell r="B1679" t="str">
            <v>Budget</v>
          </cell>
          <cell r="C1679" t="str">
            <v>Mar</v>
          </cell>
          <cell r="D1679" t="str">
            <v>Chairs</v>
          </cell>
          <cell r="E1679">
            <v>205192.23199999999</v>
          </cell>
          <cell r="F1679">
            <v>3</v>
          </cell>
        </row>
        <row r="1680">
          <cell r="A1680">
            <v>2018</v>
          </cell>
          <cell r="B1680" t="str">
            <v>Actual</v>
          </cell>
          <cell r="C1680" t="str">
            <v>Mar</v>
          </cell>
          <cell r="D1680" t="str">
            <v>Tables</v>
          </cell>
          <cell r="E1680">
            <v>440756.86200000002</v>
          </cell>
          <cell r="F1680">
            <v>3</v>
          </cell>
        </row>
        <row r="1681">
          <cell r="A1681">
            <v>2019</v>
          </cell>
          <cell r="B1681" t="str">
            <v>Budget</v>
          </cell>
          <cell r="C1681" t="str">
            <v>Mar</v>
          </cell>
          <cell r="D1681" t="str">
            <v>Kitchen</v>
          </cell>
          <cell r="E1681">
            <v>41253.274999999994</v>
          </cell>
          <cell r="F1681">
            <v>3</v>
          </cell>
        </row>
        <row r="1682">
          <cell r="A1682">
            <v>2018</v>
          </cell>
          <cell r="B1682" t="str">
            <v>Actual</v>
          </cell>
          <cell r="C1682" t="str">
            <v>Mar</v>
          </cell>
          <cell r="D1682" t="str">
            <v>Accessories</v>
          </cell>
          <cell r="E1682">
            <v>1061.088</v>
          </cell>
          <cell r="F1682">
            <v>3</v>
          </cell>
        </row>
        <row r="1683">
          <cell r="A1683">
            <v>2018</v>
          </cell>
          <cell r="B1683" t="str">
            <v>Budget</v>
          </cell>
          <cell r="C1683" t="str">
            <v>Mar</v>
          </cell>
          <cell r="D1683" t="str">
            <v>Chairs</v>
          </cell>
          <cell r="E1683">
            <v>28725.129999999997</v>
          </cell>
          <cell r="F1683">
            <v>3</v>
          </cell>
        </row>
        <row r="1684">
          <cell r="A1684">
            <v>2019</v>
          </cell>
          <cell r="B1684" t="str">
            <v>Actual</v>
          </cell>
          <cell r="C1684" t="str">
            <v>Mar</v>
          </cell>
          <cell r="D1684" t="str">
            <v>Chairs</v>
          </cell>
          <cell r="E1684">
            <v>18953.234999999997</v>
          </cell>
          <cell r="F1684">
            <v>3</v>
          </cell>
        </row>
        <row r="1685">
          <cell r="A1685">
            <v>2018</v>
          </cell>
          <cell r="B1685" t="str">
            <v>Budget</v>
          </cell>
          <cell r="C1685" t="str">
            <v>Mar</v>
          </cell>
          <cell r="D1685" t="str">
            <v>Tables</v>
          </cell>
          <cell r="E1685">
            <v>172379.01799999998</v>
          </cell>
          <cell r="F1685">
            <v>3</v>
          </cell>
        </row>
        <row r="1686">
          <cell r="A1686">
            <v>2019</v>
          </cell>
          <cell r="B1686" t="str">
            <v>Actual</v>
          </cell>
          <cell r="C1686" t="str">
            <v>Mar</v>
          </cell>
          <cell r="D1686" t="str">
            <v>Kitchen</v>
          </cell>
          <cell r="E1686">
            <v>189669.48699999996</v>
          </cell>
          <cell r="F1686">
            <v>3</v>
          </cell>
        </row>
        <row r="1687">
          <cell r="A1687">
            <v>2019</v>
          </cell>
          <cell r="B1687" t="str">
            <v>Budget</v>
          </cell>
          <cell r="C1687" t="str">
            <v>Mar</v>
          </cell>
          <cell r="D1687" t="str">
            <v>Chairs</v>
          </cell>
          <cell r="E1687">
            <v>53667.578999999998</v>
          </cell>
          <cell r="F1687">
            <v>3</v>
          </cell>
        </row>
        <row r="1688">
          <cell r="A1688">
            <v>2018</v>
          </cell>
          <cell r="B1688" t="str">
            <v>Actual</v>
          </cell>
          <cell r="C1688" t="str">
            <v>Mar</v>
          </cell>
          <cell r="D1688" t="str">
            <v>Tables</v>
          </cell>
          <cell r="E1688">
            <v>39886.945</v>
          </cell>
          <cell r="F1688">
            <v>3</v>
          </cell>
        </row>
        <row r="1689">
          <cell r="A1689">
            <v>2018</v>
          </cell>
          <cell r="B1689" t="str">
            <v>Budget</v>
          </cell>
          <cell r="C1689" t="str">
            <v>Mar</v>
          </cell>
          <cell r="D1689" t="str">
            <v>Kitchen</v>
          </cell>
          <cell r="E1689">
            <v>249124.92499999999</v>
          </cell>
          <cell r="F1689">
            <v>3</v>
          </cell>
        </row>
        <row r="1690">
          <cell r="A1690">
            <v>2018</v>
          </cell>
          <cell r="B1690" t="str">
            <v>Actual</v>
          </cell>
          <cell r="C1690" t="str">
            <v>Mar</v>
          </cell>
          <cell r="D1690" t="str">
            <v>Chairs</v>
          </cell>
          <cell r="E1690">
            <v>81322.387999999992</v>
          </cell>
          <cell r="F1690">
            <v>3</v>
          </cell>
        </row>
        <row r="1691">
          <cell r="A1691">
            <v>2019</v>
          </cell>
          <cell r="B1691" t="str">
            <v>Budget</v>
          </cell>
          <cell r="C1691" t="str">
            <v>Mar</v>
          </cell>
          <cell r="D1691" t="str">
            <v>Tables</v>
          </cell>
          <cell r="E1691">
            <v>307764.891</v>
          </cell>
          <cell r="F1691">
            <v>3</v>
          </cell>
        </row>
        <row r="1692">
          <cell r="A1692">
            <v>2019</v>
          </cell>
          <cell r="B1692" t="str">
            <v>Actual</v>
          </cell>
          <cell r="C1692" t="str">
            <v>Mar</v>
          </cell>
          <cell r="D1692" t="str">
            <v>Kitchen</v>
          </cell>
          <cell r="E1692">
            <v>218305.5</v>
          </cell>
          <cell r="F1692">
            <v>3</v>
          </cell>
        </row>
        <row r="1693">
          <cell r="A1693">
            <v>2018</v>
          </cell>
          <cell r="B1693" t="str">
            <v>Budget</v>
          </cell>
          <cell r="C1693" t="str">
            <v>Mar</v>
          </cell>
          <cell r="D1693" t="str">
            <v>Chairs</v>
          </cell>
          <cell r="E1693">
            <v>33817.035000000003</v>
          </cell>
          <cell r="F1693">
            <v>3</v>
          </cell>
        </row>
        <row r="1694">
          <cell r="A1694">
            <v>2019</v>
          </cell>
          <cell r="B1694" t="str">
            <v>Actual</v>
          </cell>
          <cell r="C1694" t="str">
            <v>Mar</v>
          </cell>
          <cell r="D1694" t="str">
            <v>Chairs</v>
          </cell>
          <cell r="E1694">
            <v>441782.23599999998</v>
          </cell>
          <cell r="F1694">
            <v>3</v>
          </cell>
        </row>
        <row r="1695">
          <cell r="A1695">
            <v>2018</v>
          </cell>
          <cell r="B1695" t="str">
            <v>Budget</v>
          </cell>
          <cell r="C1695" t="str">
            <v>Mar</v>
          </cell>
          <cell r="D1695" t="str">
            <v>Chairs</v>
          </cell>
          <cell r="E1695">
            <v>10952.535999999998</v>
          </cell>
          <cell r="F1695">
            <v>3</v>
          </cell>
        </row>
        <row r="1696">
          <cell r="A1696">
            <v>2019</v>
          </cell>
          <cell r="B1696" t="str">
            <v>Actual</v>
          </cell>
          <cell r="C1696" t="str">
            <v>Mar</v>
          </cell>
          <cell r="D1696" t="str">
            <v>Chairs</v>
          </cell>
          <cell r="E1696">
            <v>61244.833999999995</v>
          </cell>
          <cell r="F1696">
            <v>3</v>
          </cell>
        </row>
        <row r="1697">
          <cell r="A1697">
            <v>2018</v>
          </cell>
          <cell r="B1697" t="str">
            <v>Budget</v>
          </cell>
          <cell r="C1697" t="str">
            <v>Mar</v>
          </cell>
          <cell r="D1697" t="str">
            <v>Chairs</v>
          </cell>
          <cell r="E1697">
            <v>1505685.0129999998</v>
          </cell>
          <cell r="F1697">
            <v>3</v>
          </cell>
        </row>
        <row r="1698">
          <cell r="A1698">
            <v>2018</v>
          </cell>
          <cell r="B1698" t="str">
            <v>Actual</v>
          </cell>
          <cell r="C1698" t="str">
            <v>Mar</v>
          </cell>
          <cell r="D1698" t="str">
            <v>Chairs</v>
          </cell>
          <cell r="E1698">
            <v>7981382.1849999996</v>
          </cell>
          <cell r="F1698">
            <v>3</v>
          </cell>
        </row>
        <row r="1699">
          <cell r="A1699">
            <v>2019</v>
          </cell>
          <cell r="B1699" t="str">
            <v>Budget</v>
          </cell>
          <cell r="C1699" t="str">
            <v>Mar</v>
          </cell>
          <cell r="D1699" t="str">
            <v>Chairs</v>
          </cell>
          <cell r="E1699">
            <v>1591971.9269999999</v>
          </cell>
          <cell r="F1699">
            <v>3</v>
          </cell>
        </row>
        <row r="1700">
          <cell r="A1700">
            <v>2018</v>
          </cell>
          <cell r="B1700" t="str">
            <v>Actual</v>
          </cell>
          <cell r="C1700" t="str">
            <v>Mar</v>
          </cell>
          <cell r="D1700" t="str">
            <v>Chairs</v>
          </cell>
          <cell r="E1700">
            <v>187498.696</v>
          </cell>
          <cell r="F1700">
            <v>3</v>
          </cell>
        </row>
        <row r="1701">
          <cell r="A1701">
            <v>2019</v>
          </cell>
          <cell r="B1701" t="str">
            <v>Budget</v>
          </cell>
          <cell r="C1701" t="str">
            <v>Mar</v>
          </cell>
          <cell r="D1701" t="str">
            <v>Chairs</v>
          </cell>
          <cell r="E1701">
            <v>680741.46</v>
          </cell>
          <cell r="F1701">
            <v>3</v>
          </cell>
        </row>
        <row r="1702">
          <cell r="A1702">
            <v>2019</v>
          </cell>
          <cell r="B1702" t="str">
            <v>Actual</v>
          </cell>
          <cell r="C1702" t="str">
            <v>Mar</v>
          </cell>
          <cell r="D1702" t="str">
            <v>Chairs</v>
          </cell>
          <cell r="E1702">
            <v>422017.53299999994</v>
          </cell>
          <cell r="F1702">
            <v>3</v>
          </cell>
        </row>
        <row r="1703">
          <cell r="A1703">
            <v>2019</v>
          </cell>
          <cell r="B1703" t="str">
            <v>Budget</v>
          </cell>
          <cell r="C1703" t="str">
            <v>Mar</v>
          </cell>
          <cell r="D1703" t="str">
            <v>Chairs</v>
          </cell>
          <cell r="E1703">
            <v>781170.13800000004</v>
          </cell>
          <cell r="F1703">
            <v>3</v>
          </cell>
        </row>
        <row r="1704">
          <cell r="A1704">
            <v>2019</v>
          </cell>
          <cell r="B1704" t="str">
            <v>Actual</v>
          </cell>
          <cell r="C1704" t="str">
            <v>Mar</v>
          </cell>
          <cell r="D1704" t="str">
            <v>Chairs</v>
          </cell>
          <cell r="E1704">
            <v>143021.03899999999</v>
          </cell>
          <cell r="F1704">
            <v>3</v>
          </cell>
        </row>
        <row r="1705">
          <cell r="A1705">
            <v>2018</v>
          </cell>
          <cell r="B1705" t="str">
            <v>Budget</v>
          </cell>
          <cell r="C1705" t="str">
            <v>Mar</v>
          </cell>
          <cell r="D1705" t="str">
            <v>Chairs</v>
          </cell>
          <cell r="E1705">
            <v>60350.947999999997</v>
          </cell>
          <cell r="F1705">
            <v>3</v>
          </cell>
        </row>
        <row r="1706">
          <cell r="A1706">
            <v>2018</v>
          </cell>
          <cell r="B1706" t="str">
            <v>Actual</v>
          </cell>
          <cell r="C1706" t="str">
            <v>Mar</v>
          </cell>
          <cell r="D1706" t="str">
            <v>Chairs</v>
          </cell>
          <cell r="E1706">
            <v>1490182.54</v>
          </cell>
          <cell r="F1706">
            <v>3</v>
          </cell>
        </row>
        <row r="1707">
          <cell r="A1707">
            <v>2019</v>
          </cell>
          <cell r="B1707" t="str">
            <v>Budget</v>
          </cell>
          <cell r="C1707" t="str">
            <v>Mar</v>
          </cell>
          <cell r="D1707" t="str">
            <v>Chairs</v>
          </cell>
          <cell r="E1707">
            <v>293907.27799999999</v>
          </cell>
          <cell r="F1707">
            <v>3</v>
          </cell>
        </row>
        <row r="1708">
          <cell r="A1708">
            <v>2019</v>
          </cell>
          <cell r="B1708" t="str">
            <v>Actual</v>
          </cell>
          <cell r="C1708" t="str">
            <v>Mar</v>
          </cell>
          <cell r="D1708" t="str">
            <v>Chairs</v>
          </cell>
          <cell r="E1708">
            <v>430444.33599999995</v>
          </cell>
          <cell r="F1708">
            <v>3</v>
          </cell>
        </row>
        <row r="1709">
          <cell r="A1709">
            <v>2019</v>
          </cell>
          <cell r="B1709" t="str">
            <v>Budget</v>
          </cell>
          <cell r="C1709" t="str">
            <v>Mar</v>
          </cell>
          <cell r="D1709" t="str">
            <v>Chairs</v>
          </cell>
          <cell r="E1709">
            <v>856336.61399999994</v>
          </cell>
          <cell r="F1709">
            <v>3</v>
          </cell>
        </row>
        <row r="1710">
          <cell r="A1710">
            <v>2019</v>
          </cell>
          <cell r="B1710" t="str">
            <v>Actual</v>
          </cell>
          <cell r="C1710" t="str">
            <v>Mar</v>
          </cell>
          <cell r="D1710" t="str">
            <v>Chairs</v>
          </cell>
          <cell r="E1710">
            <v>1334106.1229999999</v>
          </cell>
          <cell r="F1710">
            <v>3</v>
          </cell>
        </row>
        <row r="1711">
          <cell r="A1711">
            <v>2019</v>
          </cell>
          <cell r="B1711" t="str">
            <v>Budget</v>
          </cell>
          <cell r="C1711" t="str">
            <v>Mar</v>
          </cell>
          <cell r="D1711" t="str">
            <v>Chairs</v>
          </cell>
          <cell r="E1711">
            <v>134967.83299999998</v>
          </cell>
          <cell r="F1711">
            <v>3</v>
          </cell>
        </row>
        <row r="1712">
          <cell r="A1712">
            <v>2018</v>
          </cell>
          <cell r="B1712" t="str">
            <v>Actual</v>
          </cell>
          <cell r="C1712" t="str">
            <v>Mar</v>
          </cell>
          <cell r="D1712" t="str">
            <v>Chairs</v>
          </cell>
          <cell r="E1712">
            <v>1818888.0919999999</v>
          </cell>
          <cell r="F1712">
            <v>3</v>
          </cell>
        </row>
        <row r="1713">
          <cell r="A1713">
            <v>2019</v>
          </cell>
          <cell r="B1713" t="str">
            <v>Budget</v>
          </cell>
          <cell r="C1713" t="str">
            <v>Mar</v>
          </cell>
          <cell r="D1713" t="str">
            <v>Chairs</v>
          </cell>
          <cell r="E1713">
            <v>1951054.7</v>
          </cell>
          <cell r="F1713">
            <v>3</v>
          </cell>
        </row>
        <row r="1714">
          <cell r="A1714">
            <v>2018</v>
          </cell>
          <cell r="B1714" t="str">
            <v>Actual</v>
          </cell>
          <cell r="C1714" t="str">
            <v>Mar</v>
          </cell>
          <cell r="D1714" t="str">
            <v>Chairs</v>
          </cell>
          <cell r="E1714">
            <v>1787784.915</v>
          </cell>
          <cell r="F1714">
            <v>3</v>
          </cell>
        </row>
        <row r="1715">
          <cell r="A1715">
            <v>2018</v>
          </cell>
          <cell r="B1715" t="str">
            <v>Budget</v>
          </cell>
          <cell r="C1715" t="str">
            <v>Mar</v>
          </cell>
          <cell r="D1715" t="str">
            <v>Chairs</v>
          </cell>
          <cell r="E1715">
            <v>524607.60799999989</v>
          </cell>
          <cell r="F1715">
            <v>3</v>
          </cell>
        </row>
        <row r="1716">
          <cell r="A1716">
            <v>2018</v>
          </cell>
          <cell r="B1716" t="str">
            <v>Actual</v>
          </cell>
          <cell r="C1716" t="str">
            <v>Mar</v>
          </cell>
          <cell r="D1716" t="str">
            <v>Chairs</v>
          </cell>
          <cell r="E1716">
            <v>522339.11099999998</v>
          </cell>
          <cell r="F1716">
            <v>3</v>
          </cell>
        </row>
        <row r="1717">
          <cell r="A1717">
            <v>2019</v>
          </cell>
          <cell r="B1717" t="str">
            <v>Budget</v>
          </cell>
          <cell r="C1717" t="str">
            <v>Mar</v>
          </cell>
          <cell r="D1717" t="str">
            <v>Chairs</v>
          </cell>
          <cell r="E1717">
            <v>952739.93499999994</v>
          </cell>
          <cell r="F1717">
            <v>3</v>
          </cell>
        </row>
        <row r="1718">
          <cell r="A1718">
            <v>2018</v>
          </cell>
          <cell r="B1718" t="str">
            <v>Actual</v>
          </cell>
          <cell r="C1718" t="str">
            <v>Mar</v>
          </cell>
          <cell r="D1718" t="str">
            <v>Chairs</v>
          </cell>
          <cell r="E1718">
            <v>33693.176999999996</v>
          </cell>
          <cell r="F1718">
            <v>3</v>
          </cell>
        </row>
        <row r="1719">
          <cell r="A1719">
            <v>2019</v>
          </cell>
          <cell r="B1719" t="str">
            <v>Budget</v>
          </cell>
          <cell r="C1719" t="str">
            <v>Mar</v>
          </cell>
          <cell r="D1719" t="str">
            <v>Tables</v>
          </cell>
          <cell r="E1719">
            <v>1677900.5599999998</v>
          </cell>
          <cell r="F1719">
            <v>3</v>
          </cell>
        </row>
        <row r="1720">
          <cell r="A1720">
            <v>2019</v>
          </cell>
          <cell r="B1720" t="str">
            <v>Actual</v>
          </cell>
          <cell r="C1720" t="str">
            <v>Mar</v>
          </cell>
          <cell r="D1720" t="str">
            <v>Kitchen</v>
          </cell>
          <cell r="E1720">
            <v>1291239.453</v>
          </cell>
          <cell r="F1720">
            <v>3</v>
          </cell>
        </row>
        <row r="1721">
          <cell r="A1721">
            <v>2019</v>
          </cell>
          <cell r="B1721" t="str">
            <v>Budget</v>
          </cell>
          <cell r="C1721" t="str">
            <v>Mar</v>
          </cell>
          <cell r="D1721" t="str">
            <v>Chairs</v>
          </cell>
          <cell r="E1721">
            <v>886423.45399999991</v>
          </cell>
          <cell r="F1721">
            <v>3</v>
          </cell>
        </row>
        <row r="1722">
          <cell r="A1722">
            <v>2019</v>
          </cell>
          <cell r="B1722" t="str">
            <v>Actual</v>
          </cell>
          <cell r="C1722" t="str">
            <v>Mar</v>
          </cell>
          <cell r="D1722" t="str">
            <v>Chairs</v>
          </cell>
          <cell r="E1722">
            <v>202699.13999999998</v>
          </cell>
          <cell r="F1722">
            <v>3</v>
          </cell>
        </row>
        <row r="1723">
          <cell r="A1723">
            <v>2018</v>
          </cell>
          <cell r="B1723" t="str">
            <v>Budget</v>
          </cell>
          <cell r="C1723" t="str">
            <v>Mar</v>
          </cell>
          <cell r="D1723" t="str">
            <v>Chairs</v>
          </cell>
          <cell r="E1723">
            <v>4284794.3389999997</v>
          </cell>
          <cell r="F1723">
            <v>3</v>
          </cell>
        </row>
        <row r="1724">
          <cell r="A1724">
            <v>2018</v>
          </cell>
          <cell r="B1724" t="str">
            <v>Actual</v>
          </cell>
          <cell r="C1724" t="str">
            <v>Mar</v>
          </cell>
          <cell r="D1724" t="str">
            <v>Chairs</v>
          </cell>
          <cell r="E1724">
            <v>1736736.267</v>
          </cell>
          <cell r="F1724">
            <v>3</v>
          </cell>
        </row>
        <row r="1725">
          <cell r="A1725">
            <v>2019</v>
          </cell>
          <cell r="B1725" t="str">
            <v>Budget</v>
          </cell>
          <cell r="C1725" t="str">
            <v>Mar</v>
          </cell>
          <cell r="D1725" t="str">
            <v>Chairs</v>
          </cell>
          <cell r="E1725">
            <v>2624665.3439999996</v>
          </cell>
          <cell r="F1725">
            <v>3</v>
          </cell>
        </row>
        <row r="1726">
          <cell r="A1726">
            <v>2019</v>
          </cell>
          <cell r="B1726" t="str">
            <v>Actual</v>
          </cell>
          <cell r="C1726" t="str">
            <v>Mar</v>
          </cell>
          <cell r="D1726" t="str">
            <v>Tables</v>
          </cell>
          <cell r="E1726">
            <v>143622.65399999998</v>
          </cell>
          <cell r="F1726">
            <v>3</v>
          </cell>
        </row>
        <row r="1727">
          <cell r="A1727">
            <v>2019</v>
          </cell>
          <cell r="B1727" t="str">
            <v>Budget</v>
          </cell>
          <cell r="C1727" t="str">
            <v>Mar</v>
          </cell>
          <cell r="D1727" t="str">
            <v>Kitchen</v>
          </cell>
          <cell r="E1727">
            <v>201677.182</v>
          </cell>
          <cell r="F1727">
            <v>3</v>
          </cell>
        </row>
        <row r="1728">
          <cell r="A1728">
            <v>2019</v>
          </cell>
          <cell r="B1728" t="str">
            <v>Actual</v>
          </cell>
          <cell r="C1728" t="str">
            <v>Mar</v>
          </cell>
          <cell r="D1728" t="str">
            <v>Chairs</v>
          </cell>
          <cell r="E1728">
            <v>616707.41299999994</v>
          </cell>
          <cell r="F1728">
            <v>3</v>
          </cell>
        </row>
        <row r="1729">
          <cell r="A1729">
            <v>2019</v>
          </cell>
          <cell r="B1729" t="str">
            <v>Budget</v>
          </cell>
          <cell r="C1729" t="str">
            <v>Mar</v>
          </cell>
          <cell r="D1729" t="str">
            <v>Chairs</v>
          </cell>
          <cell r="E1729">
            <v>153620.432</v>
          </cell>
          <cell r="F1729">
            <v>3</v>
          </cell>
        </row>
        <row r="1730">
          <cell r="A1730">
            <v>2018</v>
          </cell>
          <cell r="B1730" t="str">
            <v>Actual</v>
          </cell>
          <cell r="C1730" t="str">
            <v>Mar</v>
          </cell>
          <cell r="D1730" t="str">
            <v>Chairs</v>
          </cell>
          <cell r="E1730">
            <v>1288720.4889999998</v>
          </cell>
          <cell r="F1730">
            <v>3</v>
          </cell>
        </row>
        <row r="1731">
          <cell r="A1731">
            <v>2018</v>
          </cell>
          <cell r="B1731" t="str">
            <v>Budget</v>
          </cell>
          <cell r="C1731" t="str">
            <v>Mar</v>
          </cell>
          <cell r="D1731" t="str">
            <v>Tables</v>
          </cell>
          <cell r="E1731">
            <v>255352.19499999998</v>
          </cell>
          <cell r="F1731">
            <v>3</v>
          </cell>
        </row>
        <row r="1732">
          <cell r="A1732">
            <v>2019</v>
          </cell>
          <cell r="B1732" t="str">
            <v>Actual</v>
          </cell>
          <cell r="C1732" t="str">
            <v>Mar</v>
          </cell>
          <cell r="D1732" t="str">
            <v>Kitchen</v>
          </cell>
          <cell r="E1732">
            <v>824767.72700000007</v>
          </cell>
          <cell r="F1732">
            <v>3</v>
          </cell>
        </row>
        <row r="1733">
          <cell r="A1733">
            <v>2019</v>
          </cell>
          <cell r="B1733" t="str">
            <v>Budget</v>
          </cell>
          <cell r="C1733" t="str">
            <v>Mar</v>
          </cell>
          <cell r="D1733" t="str">
            <v>Chairs</v>
          </cell>
          <cell r="E1733">
            <v>1100574.9369999999</v>
          </cell>
          <cell r="F1733">
            <v>3</v>
          </cell>
        </row>
        <row r="1734">
          <cell r="A1734">
            <v>2019</v>
          </cell>
          <cell r="B1734" t="str">
            <v>Actual</v>
          </cell>
          <cell r="C1734" t="str">
            <v>Mar</v>
          </cell>
          <cell r="D1734" t="str">
            <v>Chairs</v>
          </cell>
          <cell r="E1734">
            <v>1238977.551</v>
          </cell>
          <cell r="F1734">
            <v>3</v>
          </cell>
        </row>
        <row r="1735">
          <cell r="A1735">
            <v>2018</v>
          </cell>
          <cell r="B1735" t="str">
            <v>Budget</v>
          </cell>
          <cell r="C1735" t="str">
            <v>Mar</v>
          </cell>
          <cell r="D1735" t="str">
            <v>Tables</v>
          </cell>
          <cell r="E1735">
            <v>876639.91799999995</v>
          </cell>
          <cell r="F1735">
            <v>3</v>
          </cell>
        </row>
        <row r="1736">
          <cell r="A1736">
            <v>2018</v>
          </cell>
          <cell r="B1736" t="str">
            <v>Actual</v>
          </cell>
          <cell r="C1736" t="str">
            <v>Mar</v>
          </cell>
          <cell r="D1736" t="str">
            <v>Kitchen</v>
          </cell>
          <cell r="E1736">
            <v>-75390.811999999991</v>
          </cell>
          <cell r="F1736">
            <v>3</v>
          </cell>
        </row>
        <row r="1737">
          <cell r="A1737">
            <v>2019</v>
          </cell>
          <cell r="B1737" t="str">
            <v>Budget</v>
          </cell>
          <cell r="C1737" t="str">
            <v>Mar</v>
          </cell>
          <cell r="D1737" t="str">
            <v>Chairs</v>
          </cell>
          <cell r="E1737">
            <v>12484666.151999999</v>
          </cell>
          <cell r="F1737">
            <v>3</v>
          </cell>
        </row>
        <row r="1738">
          <cell r="A1738">
            <v>2019</v>
          </cell>
          <cell r="B1738" t="str">
            <v>Actual</v>
          </cell>
          <cell r="C1738" t="str">
            <v>Mar</v>
          </cell>
          <cell r="D1738" t="str">
            <v>Chairs</v>
          </cell>
          <cell r="E1738">
            <v>1342958.2179999999</v>
          </cell>
          <cell r="F1738">
            <v>3</v>
          </cell>
        </row>
        <row r="1739">
          <cell r="A1739">
            <v>2018</v>
          </cell>
          <cell r="B1739" t="str">
            <v>Budget</v>
          </cell>
          <cell r="C1739" t="str">
            <v>Mar</v>
          </cell>
          <cell r="D1739" t="str">
            <v>Chairs</v>
          </cell>
          <cell r="E1739">
            <v>1044972.5299999999</v>
          </cell>
          <cell r="F1739">
            <v>3</v>
          </cell>
        </row>
        <row r="1740">
          <cell r="A1740">
            <v>2019</v>
          </cell>
          <cell r="B1740" t="str">
            <v>Actual</v>
          </cell>
          <cell r="C1740" t="str">
            <v>Mar</v>
          </cell>
          <cell r="D1740" t="str">
            <v>Tables</v>
          </cell>
          <cell r="E1740">
            <v>3464091.8199999994</v>
          </cell>
          <cell r="F1740">
            <v>3</v>
          </cell>
        </row>
        <row r="1741">
          <cell r="A1741">
            <v>2019</v>
          </cell>
          <cell r="B1741" t="str">
            <v>Budget</v>
          </cell>
          <cell r="C1741" t="str">
            <v>Mar</v>
          </cell>
          <cell r="D1741" t="str">
            <v>Kitchen</v>
          </cell>
          <cell r="E1741">
            <v>5080530.0769999996</v>
          </cell>
          <cell r="F1741">
            <v>3</v>
          </cell>
        </row>
        <row r="1742">
          <cell r="A1742">
            <v>2019</v>
          </cell>
          <cell r="B1742" t="str">
            <v>Actual</v>
          </cell>
          <cell r="C1742" t="str">
            <v>Mar</v>
          </cell>
          <cell r="D1742" t="str">
            <v>Accessories</v>
          </cell>
          <cell r="E1742">
            <v>253347.038</v>
          </cell>
          <cell r="F1742">
            <v>3</v>
          </cell>
        </row>
        <row r="1743">
          <cell r="A1743">
            <v>2019</v>
          </cell>
          <cell r="B1743" t="str">
            <v>Budget</v>
          </cell>
          <cell r="C1743" t="str">
            <v>Mar</v>
          </cell>
          <cell r="D1743" t="str">
            <v>Chairs</v>
          </cell>
          <cell r="E1743">
            <v>65462.256999999991</v>
          </cell>
          <cell r="F1743">
            <v>3</v>
          </cell>
        </row>
        <row r="1744">
          <cell r="A1744">
            <v>2018</v>
          </cell>
          <cell r="B1744" t="str">
            <v>Actual</v>
          </cell>
          <cell r="C1744" t="str">
            <v>Mar</v>
          </cell>
          <cell r="D1744" t="str">
            <v>Tables</v>
          </cell>
          <cell r="E1744">
            <v>55742.245999999999</v>
          </cell>
          <cell r="F1744">
            <v>3</v>
          </cell>
        </row>
        <row r="1745">
          <cell r="A1745">
            <v>2019</v>
          </cell>
          <cell r="B1745" t="str">
            <v>Budget</v>
          </cell>
          <cell r="C1745" t="str">
            <v>Mar</v>
          </cell>
          <cell r="D1745" t="str">
            <v>Kitchen</v>
          </cell>
          <cell r="E1745">
            <v>142012.47899999999</v>
          </cell>
          <cell r="F1745">
            <v>3</v>
          </cell>
        </row>
        <row r="1746">
          <cell r="A1746">
            <v>2018</v>
          </cell>
          <cell r="B1746" t="str">
            <v>Actual</v>
          </cell>
          <cell r="C1746" t="str">
            <v>Mar</v>
          </cell>
          <cell r="D1746" t="str">
            <v>Accessories</v>
          </cell>
          <cell r="E1746">
            <v>271068.7</v>
          </cell>
          <cell r="F1746">
            <v>3</v>
          </cell>
        </row>
        <row r="1747">
          <cell r="A1747">
            <v>2019</v>
          </cell>
          <cell r="B1747" t="str">
            <v>Budget</v>
          </cell>
          <cell r="C1747" t="str">
            <v>Mar</v>
          </cell>
          <cell r="D1747" t="str">
            <v>Chairs</v>
          </cell>
          <cell r="E1747">
            <v>362934.01199999999</v>
          </cell>
          <cell r="F1747">
            <v>3</v>
          </cell>
        </row>
        <row r="1748">
          <cell r="A1748">
            <v>2019</v>
          </cell>
          <cell r="B1748" t="str">
            <v>Actual</v>
          </cell>
          <cell r="C1748" t="str">
            <v>Mar</v>
          </cell>
          <cell r="D1748" t="str">
            <v>Tables</v>
          </cell>
          <cell r="E1748">
            <v>3087992.6979999994</v>
          </cell>
          <cell r="F1748">
            <v>3</v>
          </cell>
        </row>
        <row r="1749">
          <cell r="A1749">
            <v>2018</v>
          </cell>
          <cell r="B1749" t="str">
            <v>Budget</v>
          </cell>
          <cell r="C1749" t="str">
            <v>Mar</v>
          </cell>
          <cell r="D1749" t="str">
            <v>Kitchen</v>
          </cell>
          <cell r="E1749">
            <v>714406.66499999992</v>
          </cell>
          <cell r="F1749">
            <v>3</v>
          </cell>
        </row>
        <row r="1750">
          <cell r="A1750">
            <v>2018</v>
          </cell>
          <cell r="B1750" t="str">
            <v>Actual</v>
          </cell>
          <cell r="C1750" t="str">
            <v>Mar</v>
          </cell>
          <cell r="D1750" t="str">
            <v>Accessories</v>
          </cell>
          <cell r="E1750">
            <v>1664674.0599999998</v>
          </cell>
          <cell r="F1750">
            <v>3</v>
          </cell>
        </row>
        <row r="1751">
          <cell r="A1751">
            <v>2019</v>
          </cell>
          <cell r="B1751" t="str">
            <v>Budget</v>
          </cell>
          <cell r="C1751" t="str">
            <v>Mar</v>
          </cell>
          <cell r="D1751" t="str">
            <v>Chairs</v>
          </cell>
          <cell r="E1751">
            <v>-42544.921999999999</v>
          </cell>
          <cell r="F1751">
            <v>3</v>
          </cell>
        </row>
        <row r="1752">
          <cell r="A1752">
            <v>2018</v>
          </cell>
          <cell r="B1752" t="str">
            <v>Actual</v>
          </cell>
          <cell r="C1752" t="str">
            <v>Mar</v>
          </cell>
          <cell r="D1752" t="str">
            <v>Tables</v>
          </cell>
          <cell r="E1752">
            <v>1883552.5939999998</v>
          </cell>
          <cell r="F1752">
            <v>3</v>
          </cell>
        </row>
        <row r="1753">
          <cell r="A1753">
            <v>2018</v>
          </cell>
          <cell r="B1753" t="str">
            <v>Budget</v>
          </cell>
          <cell r="C1753" t="str">
            <v>Mar</v>
          </cell>
          <cell r="D1753" t="str">
            <v>Kitchen</v>
          </cell>
          <cell r="E1753">
            <v>346548.96499999997</v>
          </cell>
          <cell r="F1753">
            <v>3</v>
          </cell>
        </row>
        <row r="1754">
          <cell r="A1754">
            <v>2018</v>
          </cell>
          <cell r="B1754" t="str">
            <v>Actual</v>
          </cell>
          <cell r="C1754" t="str">
            <v>Mar</v>
          </cell>
          <cell r="D1754" t="str">
            <v>Accessories</v>
          </cell>
          <cell r="E1754">
            <v>397383.95899999997</v>
          </cell>
          <cell r="F1754">
            <v>3</v>
          </cell>
        </row>
        <row r="1755">
          <cell r="A1755">
            <v>2019</v>
          </cell>
          <cell r="B1755" t="str">
            <v>Budget</v>
          </cell>
          <cell r="C1755" t="str">
            <v>Mar</v>
          </cell>
          <cell r="D1755" t="str">
            <v>Chairs</v>
          </cell>
          <cell r="E1755">
            <v>464865.63199999998</v>
          </cell>
          <cell r="F1755">
            <v>3</v>
          </cell>
        </row>
        <row r="1756">
          <cell r="A1756">
            <v>2018</v>
          </cell>
          <cell r="B1756" t="str">
            <v>Actual</v>
          </cell>
          <cell r="C1756" t="str">
            <v>Mar</v>
          </cell>
          <cell r="D1756" t="str">
            <v>Chairs</v>
          </cell>
          <cell r="E1756">
            <v>150101.53200000001</v>
          </cell>
          <cell r="F1756">
            <v>3</v>
          </cell>
        </row>
        <row r="1757">
          <cell r="A1757">
            <v>2019</v>
          </cell>
          <cell r="B1757" t="str">
            <v>Budget</v>
          </cell>
          <cell r="C1757" t="str">
            <v>Mar</v>
          </cell>
          <cell r="D1757" t="str">
            <v>Tables</v>
          </cell>
          <cell r="E1757">
            <v>1838200.5599999998</v>
          </cell>
          <cell r="F1757">
            <v>3</v>
          </cell>
        </row>
        <row r="1758">
          <cell r="A1758">
            <v>2019</v>
          </cell>
          <cell r="B1758" t="str">
            <v>Actual</v>
          </cell>
          <cell r="C1758" t="str">
            <v>Mar</v>
          </cell>
          <cell r="D1758" t="str">
            <v>Kitchen</v>
          </cell>
          <cell r="E1758">
            <v>101348.079</v>
          </cell>
          <cell r="F1758">
            <v>3</v>
          </cell>
        </row>
        <row r="1759">
          <cell r="A1759">
            <v>2019</v>
          </cell>
          <cell r="B1759" t="str">
            <v>Budget</v>
          </cell>
          <cell r="C1759" t="str">
            <v>Mar</v>
          </cell>
          <cell r="D1759" t="str">
            <v>Chairs</v>
          </cell>
          <cell r="E1759">
            <v>583045.1129999999</v>
          </cell>
          <cell r="F1759">
            <v>3</v>
          </cell>
        </row>
        <row r="1760">
          <cell r="A1760">
            <v>2019</v>
          </cell>
          <cell r="B1760" t="str">
            <v>Actual</v>
          </cell>
          <cell r="C1760" t="str">
            <v>Mar</v>
          </cell>
          <cell r="D1760" t="str">
            <v>Tables</v>
          </cell>
          <cell r="E1760">
            <v>330235.35299999994</v>
          </cell>
          <cell r="F1760">
            <v>3</v>
          </cell>
        </row>
        <row r="1761">
          <cell r="A1761">
            <v>2019</v>
          </cell>
          <cell r="B1761" t="str">
            <v>Budget</v>
          </cell>
          <cell r="C1761" t="str">
            <v>Mar</v>
          </cell>
          <cell r="D1761" t="str">
            <v>Kitchen</v>
          </cell>
          <cell r="E1761">
            <v>4388361.1869999999</v>
          </cell>
          <cell r="F1761">
            <v>3</v>
          </cell>
        </row>
        <row r="1762">
          <cell r="A1762">
            <v>2018</v>
          </cell>
          <cell r="B1762" t="str">
            <v>Actual</v>
          </cell>
          <cell r="C1762" t="str">
            <v>Mar</v>
          </cell>
          <cell r="D1762" t="str">
            <v>Chairs</v>
          </cell>
          <cell r="E1762">
            <v>37003.701000000001</v>
          </cell>
          <cell r="F1762">
            <v>3</v>
          </cell>
        </row>
        <row r="1763">
          <cell r="A1763">
            <v>2019</v>
          </cell>
          <cell r="B1763" t="str">
            <v>Budget</v>
          </cell>
          <cell r="C1763" t="str">
            <v>Mar</v>
          </cell>
          <cell r="D1763" t="str">
            <v>Tables</v>
          </cell>
          <cell r="E1763">
            <v>139026.223</v>
          </cell>
          <cell r="F1763">
            <v>3</v>
          </cell>
        </row>
        <row r="1764">
          <cell r="A1764">
            <v>2018</v>
          </cell>
          <cell r="B1764" t="str">
            <v>Actual</v>
          </cell>
          <cell r="C1764" t="str">
            <v>Mar</v>
          </cell>
          <cell r="D1764" t="str">
            <v>Kitchen</v>
          </cell>
          <cell r="E1764">
            <v>249088.64399999997</v>
          </cell>
          <cell r="F1764">
            <v>3</v>
          </cell>
        </row>
        <row r="1765">
          <cell r="A1765">
            <v>2019</v>
          </cell>
          <cell r="B1765" t="str">
            <v>Budget</v>
          </cell>
          <cell r="C1765" t="str">
            <v>Mar</v>
          </cell>
          <cell r="D1765" t="str">
            <v>Chairs</v>
          </cell>
          <cell r="E1765">
            <v>88177.137999999992</v>
          </cell>
          <cell r="F1765">
            <v>3</v>
          </cell>
        </row>
        <row r="1766">
          <cell r="A1766">
            <v>2019</v>
          </cell>
          <cell r="B1766" t="str">
            <v>Actual</v>
          </cell>
          <cell r="C1766" t="str">
            <v>Mar</v>
          </cell>
          <cell r="D1766" t="str">
            <v>Chairs</v>
          </cell>
          <cell r="E1766">
            <v>2698176.4109999998</v>
          </cell>
          <cell r="F1766">
            <v>3</v>
          </cell>
        </row>
        <row r="1767">
          <cell r="A1767">
            <v>2019</v>
          </cell>
          <cell r="B1767" t="str">
            <v>Budget</v>
          </cell>
          <cell r="C1767" t="str">
            <v>Mar</v>
          </cell>
          <cell r="D1767" t="str">
            <v>Chairs</v>
          </cell>
          <cell r="E1767">
            <v>6241378.4859999996</v>
          </cell>
          <cell r="F1767">
            <v>3</v>
          </cell>
        </row>
        <row r="1768">
          <cell r="A1768">
            <v>2018</v>
          </cell>
          <cell r="B1768" t="str">
            <v>Actual</v>
          </cell>
          <cell r="C1768" t="str">
            <v>Mar</v>
          </cell>
          <cell r="D1768" t="str">
            <v>Chairs</v>
          </cell>
          <cell r="E1768">
            <v>302650.74</v>
          </cell>
          <cell r="F1768">
            <v>3</v>
          </cell>
        </row>
        <row r="1769">
          <cell r="A1769">
            <v>2018</v>
          </cell>
          <cell r="B1769" t="str">
            <v>Budget</v>
          </cell>
          <cell r="C1769" t="str">
            <v>Mar</v>
          </cell>
          <cell r="D1769" t="str">
            <v>Chairs</v>
          </cell>
          <cell r="E1769">
            <v>274733.13699999999</v>
          </cell>
          <cell r="F1769">
            <v>3</v>
          </cell>
        </row>
        <row r="1770">
          <cell r="A1770">
            <v>2019</v>
          </cell>
          <cell r="B1770" t="str">
            <v>Actual</v>
          </cell>
          <cell r="C1770" t="str">
            <v>Mar</v>
          </cell>
          <cell r="D1770" t="str">
            <v>Chairs</v>
          </cell>
          <cell r="E1770">
            <v>57842.266999999993</v>
          </cell>
          <cell r="F1770">
            <v>3</v>
          </cell>
        </row>
        <row r="1771">
          <cell r="A1771">
            <v>2018</v>
          </cell>
          <cell r="B1771" t="str">
            <v>Budget</v>
          </cell>
          <cell r="C1771" t="str">
            <v>Mar</v>
          </cell>
          <cell r="D1771" t="str">
            <v>Chairs</v>
          </cell>
          <cell r="E1771">
            <v>78257.185999999987</v>
          </cell>
          <cell r="F1771">
            <v>3</v>
          </cell>
        </row>
        <row r="1772">
          <cell r="A1772">
            <v>2018</v>
          </cell>
          <cell r="B1772" t="str">
            <v>Actual</v>
          </cell>
          <cell r="C1772" t="str">
            <v>Mar</v>
          </cell>
          <cell r="D1772" t="str">
            <v>Chairs</v>
          </cell>
          <cell r="E1772">
            <v>37427.347999999998</v>
          </cell>
          <cell r="F1772">
            <v>3</v>
          </cell>
        </row>
        <row r="1773">
          <cell r="A1773">
            <v>2019</v>
          </cell>
          <cell r="B1773" t="str">
            <v>Budget</v>
          </cell>
          <cell r="C1773" t="str">
            <v>Mar</v>
          </cell>
          <cell r="D1773" t="str">
            <v>Chairs</v>
          </cell>
          <cell r="E1773">
            <v>114909.20699999999</v>
          </cell>
          <cell r="F1773">
            <v>3</v>
          </cell>
        </row>
        <row r="1774">
          <cell r="A1774">
            <v>2019</v>
          </cell>
          <cell r="B1774" t="str">
            <v>Actual</v>
          </cell>
          <cell r="C1774" t="str">
            <v>Mar</v>
          </cell>
          <cell r="D1774" t="str">
            <v>Chairs</v>
          </cell>
          <cell r="E1774">
            <v>854159.59299999999</v>
          </cell>
          <cell r="F1774">
            <v>3</v>
          </cell>
        </row>
        <row r="1775">
          <cell r="A1775">
            <v>2018</v>
          </cell>
          <cell r="B1775" t="str">
            <v>Budget</v>
          </cell>
          <cell r="C1775" t="str">
            <v>Mar</v>
          </cell>
          <cell r="D1775" t="str">
            <v>Chairs</v>
          </cell>
          <cell r="E1775">
            <v>4163913.2709999997</v>
          </cell>
          <cell r="F1775">
            <v>3</v>
          </cell>
        </row>
        <row r="1776">
          <cell r="A1776">
            <v>2019</v>
          </cell>
          <cell r="B1776" t="str">
            <v>Actual</v>
          </cell>
          <cell r="C1776" t="str">
            <v>Mar</v>
          </cell>
          <cell r="D1776" t="str">
            <v>Chairs</v>
          </cell>
          <cell r="E1776">
            <v>1191653.7219999998</v>
          </cell>
          <cell r="F1776">
            <v>3</v>
          </cell>
        </row>
        <row r="1777">
          <cell r="A1777">
            <v>2019</v>
          </cell>
          <cell r="B1777" t="str">
            <v>Budget</v>
          </cell>
          <cell r="C1777" t="str">
            <v>Mar</v>
          </cell>
          <cell r="D1777" t="str">
            <v>Chairs</v>
          </cell>
          <cell r="E1777">
            <v>290264.81400000001</v>
          </cell>
          <cell r="F1777">
            <v>3</v>
          </cell>
        </row>
        <row r="1778">
          <cell r="A1778">
            <v>2018</v>
          </cell>
          <cell r="B1778" t="str">
            <v>Actual</v>
          </cell>
          <cell r="C1778" t="str">
            <v>Mar</v>
          </cell>
          <cell r="D1778" t="str">
            <v>Chairs</v>
          </cell>
          <cell r="E1778">
            <v>3260674.5009999997</v>
          </cell>
          <cell r="F1778">
            <v>3</v>
          </cell>
        </row>
        <row r="1779">
          <cell r="A1779">
            <v>2018</v>
          </cell>
          <cell r="B1779" t="str">
            <v>Budget</v>
          </cell>
          <cell r="C1779" t="str">
            <v>Mar</v>
          </cell>
          <cell r="D1779" t="str">
            <v>Chairs</v>
          </cell>
          <cell r="E1779">
            <v>992359.80900000001</v>
          </cell>
          <cell r="F1779">
            <v>3</v>
          </cell>
        </row>
        <row r="1780">
          <cell r="A1780">
            <v>2019</v>
          </cell>
          <cell r="B1780" t="str">
            <v>Actual</v>
          </cell>
          <cell r="C1780" t="str">
            <v>Mar</v>
          </cell>
          <cell r="D1780" t="str">
            <v>Chairs</v>
          </cell>
          <cell r="E1780">
            <v>4722463.97</v>
          </cell>
          <cell r="F1780">
            <v>3</v>
          </cell>
        </row>
        <row r="1781">
          <cell r="A1781">
            <v>2019</v>
          </cell>
          <cell r="B1781" t="str">
            <v>Budget</v>
          </cell>
          <cell r="C1781" t="str">
            <v>Mar</v>
          </cell>
          <cell r="D1781" t="str">
            <v>Chairs</v>
          </cell>
          <cell r="E1781">
            <v>483491.24599999998</v>
          </cell>
          <cell r="F1781">
            <v>3</v>
          </cell>
        </row>
        <row r="1782">
          <cell r="A1782">
            <v>2018</v>
          </cell>
          <cell r="B1782" t="str">
            <v>Actual</v>
          </cell>
          <cell r="C1782" t="str">
            <v>Mar</v>
          </cell>
          <cell r="D1782" t="str">
            <v>Chairs</v>
          </cell>
          <cell r="E1782">
            <v>-82562.906999999992</v>
          </cell>
          <cell r="F1782">
            <v>3</v>
          </cell>
        </row>
        <row r="1783">
          <cell r="A1783">
            <v>2019</v>
          </cell>
          <cell r="B1783" t="str">
            <v>Budget</v>
          </cell>
          <cell r="C1783" t="str">
            <v>Mar</v>
          </cell>
          <cell r="D1783" t="str">
            <v>Chairs</v>
          </cell>
          <cell r="E1783">
            <v>-16405.34</v>
          </cell>
          <cell r="F1783">
            <v>3</v>
          </cell>
        </row>
        <row r="1784">
          <cell r="A1784">
            <v>2019</v>
          </cell>
          <cell r="B1784" t="str">
            <v>Actual</v>
          </cell>
          <cell r="C1784" t="str">
            <v>Mar</v>
          </cell>
          <cell r="D1784" t="str">
            <v>Chairs</v>
          </cell>
          <cell r="E1784">
            <v>142133.62099999998</v>
          </cell>
          <cell r="F1784">
            <v>3</v>
          </cell>
        </row>
        <row r="1785">
          <cell r="A1785">
            <v>2018</v>
          </cell>
          <cell r="B1785" t="str">
            <v>Budget</v>
          </cell>
          <cell r="C1785" t="str">
            <v>Mar</v>
          </cell>
          <cell r="D1785" t="str">
            <v>Chairs</v>
          </cell>
          <cell r="E1785">
            <v>621870.01099999994</v>
          </cell>
          <cell r="F1785">
            <v>3</v>
          </cell>
        </row>
        <row r="1786">
          <cell r="A1786">
            <v>2018</v>
          </cell>
          <cell r="B1786" t="str">
            <v>Actual</v>
          </cell>
          <cell r="C1786" t="str">
            <v>Mar</v>
          </cell>
          <cell r="D1786" t="str">
            <v>Chairs</v>
          </cell>
          <cell r="E1786">
            <v>2743872.2429999998</v>
          </cell>
          <cell r="F1786">
            <v>3</v>
          </cell>
        </row>
        <row r="1787">
          <cell r="A1787">
            <v>2018</v>
          </cell>
          <cell r="B1787" t="str">
            <v>Budget</v>
          </cell>
          <cell r="C1787" t="str">
            <v>Mar</v>
          </cell>
          <cell r="D1787" t="str">
            <v>Chairs</v>
          </cell>
          <cell r="E1787">
            <v>52431.512000000002</v>
          </cell>
          <cell r="F1787">
            <v>3</v>
          </cell>
        </row>
        <row r="1788">
          <cell r="A1788">
            <v>2019</v>
          </cell>
          <cell r="B1788" t="str">
            <v>Actual</v>
          </cell>
          <cell r="C1788" t="str">
            <v>Mar</v>
          </cell>
          <cell r="D1788" t="str">
            <v>Chairs</v>
          </cell>
          <cell r="E1788">
            <v>10890.403999999999</v>
          </cell>
          <cell r="F1788">
            <v>3</v>
          </cell>
        </row>
        <row r="1789">
          <cell r="A1789">
            <v>2019</v>
          </cell>
          <cell r="B1789" t="str">
            <v>Budget</v>
          </cell>
          <cell r="C1789" t="str">
            <v>Mar</v>
          </cell>
          <cell r="D1789" t="str">
            <v>Chairs</v>
          </cell>
          <cell r="E1789">
            <v>75333.726999999999</v>
          </cell>
          <cell r="F1789">
            <v>3</v>
          </cell>
        </row>
        <row r="1790">
          <cell r="A1790">
            <v>2019</v>
          </cell>
          <cell r="B1790" t="str">
            <v>Actual</v>
          </cell>
          <cell r="C1790" t="str">
            <v>Mar</v>
          </cell>
          <cell r="D1790" t="str">
            <v>Chairs</v>
          </cell>
          <cell r="E1790">
            <v>34885.619999999995</v>
          </cell>
          <cell r="F1790">
            <v>3</v>
          </cell>
        </row>
        <row r="1791">
          <cell r="A1791">
            <v>2018</v>
          </cell>
          <cell r="B1791" t="str">
            <v>Budget</v>
          </cell>
          <cell r="C1791" t="str">
            <v>Mar</v>
          </cell>
          <cell r="D1791" t="str">
            <v>Tables</v>
          </cell>
          <cell r="E1791">
            <v>211745.23299999998</v>
          </cell>
          <cell r="F1791">
            <v>3</v>
          </cell>
        </row>
        <row r="1792">
          <cell r="A1792">
            <v>2019</v>
          </cell>
          <cell r="B1792" t="str">
            <v>Actual</v>
          </cell>
          <cell r="C1792" t="str">
            <v>Mar</v>
          </cell>
          <cell r="D1792" t="str">
            <v>Kitchen</v>
          </cell>
          <cell r="E1792">
            <v>39102.524999999994</v>
          </cell>
          <cell r="F1792">
            <v>3</v>
          </cell>
        </row>
        <row r="1793">
          <cell r="A1793">
            <v>2018</v>
          </cell>
          <cell r="B1793" t="str">
            <v>Budget</v>
          </cell>
          <cell r="C1793" t="str">
            <v>Mar</v>
          </cell>
          <cell r="D1793" t="str">
            <v>Chairs</v>
          </cell>
          <cell r="E1793">
            <v>291902.91899999999</v>
          </cell>
          <cell r="F1793">
            <v>3</v>
          </cell>
        </row>
        <row r="1794">
          <cell r="A1794">
            <v>2019</v>
          </cell>
          <cell r="B1794" t="str">
            <v>Actual</v>
          </cell>
          <cell r="C1794" t="str">
            <v>Mar</v>
          </cell>
          <cell r="D1794" t="str">
            <v>Chairs</v>
          </cell>
          <cell r="E1794">
            <v>19440.168999999998</v>
          </cell>
          <cell r="F1794">
            <v>3</v>
          </cell>
        </row>
        <row r="1795">
          <cell r="A1795">
            <v>2019</v>
          </cell>
          <cell r="B1795" t="str">
            <v>Budget</v>
          </cell>
          <cell r="C1795" t="str">
            <v>Mar</v>
          </cell>
          <cell r="D1795" t="str">
            <v>Chairs</v>
          </cell>
          <cell r="E1795">
            <v>275225.93</v>
          </cell>
          <cell r="F1795">
            <v>3</v>
          </cell>
        </row>
        <row r="1796">
          <cell r="A1796">
            <v>2018</v>
          </cell>
          <cell r="B1796" t="str">
            <v>Actual</v>
          </cell>
          <cell r="C1796" t="str">
            <v>Mar</v>
          </cell>
          <cell r="D1796" t="str">
            <v>Chairs</v>
          </cell>
          <cell r="E1796">
            <v>59979.122000000003</v>
          </cell>
          <cell r="F1796">
            <v>3</v>
          </cell>
        </row>
        <row r="1797">
          <cell r="A1797">
            <v>2018</v>
          </cell>
          <cell r="B1797" t="str">
            <v>Budget</v>
          </cell>
          <cell r="C1797" t="str">
            <v>Mar</v>
          </cell>
          <cell r="D1797" t="str">
            <v>Chairs</v>
          </cell>
          <cell r="E1797">
            <v>47631.870999999999</v>
          </cell>
          <cell r="F1797">
            <v>3</v>
          </cell>
        </row>
        <row r="1798">
          <cell r="A1798">
            <v>2019</v>
          </cell>
          <cell r="B1798" t="str">
            <v>Actual</v>
          </cell>
          <cell r="C1798" t="str">
            <v>Mar</v>
          </cell>
          <cell r="D1798" t="str">
            <v>Tables</v>
          </cell>
          <cell r="E1798">
            <v>78130.758999999991</v>
          </cell>
          <cell r="F1798">
            <v>3</v>
          </cell>
        </row>
        <row r="1799">
          <cell r="A1799">
            <v>2018</v>
          </cell>
          <cell r="B1799" t="str">
            <v>Budget</v>
          </cell>
          <cell r="C1799" t="str">
            <v>Mar</v>
          </cell>
          <cell r="D1799" t="str">
            <v>Kitchen</v>
          </cell>
          <cell r="E1799">
            <v>82062.077999999994</v>
          </cell>
          <cell r="F1799">
            <v>3</v>
          </cell>
        </row>
        <row r="1800">
          <cell r="A1800">
            <v>2018</v>
          </cell>
          <cell r="B1800" t="str">
            <v>Actual</v>
          </cell>
          <cell r="C1800" t="str">
            <v>Mar</v>
          </cell>
          <cell r="D1800" t="str">
            <v>Chairs</v>
          </cell>
          <cell r="E1800">
            <v>80252.697</v>
          </cell>
          <cell r="F1800">
            <v>3</v>
          </cell>
        </row>
        <row r="1801">
          <cell r="A1801">
            <v>2019</v>
          </cell>
          <cell r="B1801" t="str">
            <v>Budget</v>
          </cell>
          <cell r="C1801" t="str">
            <v>Mar</v>
          </cell>
          <cell r="D1801" t="str">
            <v>Chairs</v>
          </cell>
          <cell r="E1801">
            <v>22071.706999999999</v>
          </cell>
          <cell r="F1801">
            <v>3</v>
          </cell>
        </row>
        <row r="1802">
          <cell r="A1802">
            <v>2019</v>
          </cell>
          <cell r="B1802" t="str">
            <v>Actual</v>
          </cell>
          <cell r="C1802" t="str">
            <v>Mar</v>
          </cell>
          <cell r="D1802" t="str">
            <v>Chairs</v>
          </cell>
          <cell r="E1802">
            <v>175496.03399999999</v>
          </cell>
          <cell r="F1802">
            <v>3</v>
          </cell>
        </row>
        <row r="1803">
          <cell r="A1803">
            <v>2019</v>
          </cell>
          <cell r="B1803" t="str">
            <v>Budget</v>
          </cell>
          <cell r="C1803" t="str">
            <v>Mar</v>
          </cell>
          <cell r="D1803" t="str">
            <v>Tables</v>
          </cell>
          <cell r="E1803">
            <v>206598.34999999998</v>
          </cell>
          <cell r="F1803">
            <v>3</v>
          </cell>
        </row>
        <row r="1804">
          <cell r="A1804">
            <v>2019</v>
          </cell>
          <cell r="B1804" t="str">
            <v>Actual</v>
          </cell>
          <cell r="C1804" t="str">
            <v>Mar</v>
          </cell>
          <cell r="D1804" t="str">
            <v>Kitchen</v>
          </cell>
          <cell r="E1804">
            <v>184983.69399999999</v>
          </cell>
          <cell r="F1804">
            <v>3</v>
          </cell>
        </row>
        <row r="1805">
          <cell r="A1805">
            <v>2019</v>
          </cell>
          <cell r="B1805" t="str">
            <v>Budget</v>
          </cell>
          <cell r="C1805" t="str">
            <v>Mar</v>
          </cell>
          <cell r="D1805" t="str">
            <v>Chairs</v>
          </cell>
          <cell r="E1805">
            <v>116997.35599999999</v>
          </cell>
          <cell r="F1805">
            <v>3</v>
          </cell>
        </row>
        <row r="1806">
          <cell r="A1806">
            <v>2018</v>
          </cell>
          <cell r="B1806" t="str">
            <v>Actual</v>
          </cell>
          <cell r="C1806" t="str">
            <v>Mar</v>
          </cell>
          <cell r="D1806" t="str">
            <v>Chairs</v>
          </cell>
          <cell r="E1806">
            <v>185910.03899999999</v>
          </cell>
          <cell r="F1806">
            <v>3</v>
          </cell>
        </row>
        <row r="1807">
          <cell r="A1807">
            <v>2019</v>
          </cell>
          <cell r="B1807" t="str">
            <v>Budget</v>
          </cell>
          <cell r="C1807" t="str">
            <v>Mar</v>
          </cell>
          <cell r="D1807" t="str">
            <v>Tables</v>
          </cell>
          <cell r="E1807">
            <v>73075.156000000003</v>
          </cell>
          <cell r="F1807">
            <v>3</v>
          </cell>
        </row>
        <row r="1808">
          <cell r="A1808">
            <v>2019</v>
          </cell>
          <cell r="B1808" t="str">
            <v>Actual</v>
          </cell>
          <cell r="C1808" t="str">
            <v>Mar</v>
          </cell>
          <cell r="D1808" t="str">
            <v>Kitchen</v>
          </cell>
          <cell r="E1808">
            <v>42806.028999999995</v>
          </cell>
          <cell r="F1808">
            <v>3</v>
          </cell>
        </row>
        <row r="1809">
          <cell r="A1809">
            <v>2018</v>
          </cell>
          <cell r="B1809" t="str">
            <v>Budget</v>
          </cell>
          <cell r="C1809" t="str">
            <v>Mar</v>
          </cell>
          <cell r="D1809" t="str">
            <v>Chairs</v>
          </cell>
          <cell r="E1809">
            <v>38046.112999999998</v>
          </cell>
          <cell r="F1809">
            <v>3</v>
          </cell>
        </row>
        <row r="1810">
          <cell r="A1810">
            <v>2018</v>
          </cell>
          <cell r="B1810" t="str">
            <v>Actual</v>
          </cell>
          <cell r="C1810" t="str">
            <v>Mar</v>
          </cell>
          <cell r="D1810" t="str">
            <v>Chairs</v>
          </cell>
          <cell r="E1810">
            <v>129163.041</v>
          </cell>
          <cell r="F1810">
            <v>3</v>
          </cell>
        </row>
        <row r="1811">
          <cell r="A1811">
            <v>2018</v>
          </cell>
          <cell r="B1811" t="str">
            <v>Budget</v>
          </cell>
          <cell r="C1811" t="str">
            <v>Mar</v>
          </cell>
          <cell r="D1811" t="str">
            <v>Chairs</v>
          </cell>
          <cell r="E1811">
            <v>65391.325999999994</v>
          </cell>
          <cell r="F1811">
            <v>3</v>
          </cell>
        </row>
        <row r="1812">
          <cell r="A1812">
            <v>2019</v>
          </cell>
          <cell r="B1812" t="str">
            <v>Actual</v>
          </cell>
          <cell r="C1812" t="str">
            <v>Mar</v>
          </cell>
          <cell r="D1812" t="str">
            <v>Tables</v>
          </cell>
          <cell r="E1812">
            <v>50943.045999999995</v>
          </cell>
          <cell r="F1812">
            <v>3</v>
          </cell>
        </row>
        <row r="1813">
          <cell r="A1813">
            <v>2019</v>
          </cell>
          <cell r="B1813" t="str">
            <v>Budget</v>
          </cell>
          <cell r="C1813" t="str">
            <v>Mar</v>
          </cell>
          <cell r="D1813" t="str">
            <v>Kitchen</v>
          </cell>
          <cell r="E1813">
            <v>5231.9749999999995</v>
          </cell>
          <cell r="F1813">
            <v>3</v>
          </cell>
        </row>
        <row r="1814">
          <cell r="A1814">
            <v>2019</v>
          </cell>
          <cell r="B1814" t="str">
            <v>Actual</v>
          </cell>
          <cell r="C1814" t="str">
            <v>Mar</v>
          </cell>
          <cell r="D1814" t="str">
            <v>Accessories</v>
          </cell>
          <cell r="E1814">
            <v>73110.149000000005</v>
          </cell>
          <cell r="F1814">
            <v>3</v>
          </cell>
        </row>
        <row r="1815">
          <cell r="A1815">
            <v>2019</v>
          </cell>
          <cell r="B1815" t="str">
            <v>Budget</v>
          </cell>
          <cell r="C1815" t="str">
            <v>Mar</v>
          </cell>
          <cell r="D1815" t="str">
            <v>Chairs</v>
          </cell>
          <cell r="E1815">
            <v>60922.343999999997</v>
          </cell>
          <cell r="F1815">
            <v>3</v>
          </cell>
        </row>
        <row r="1816">
          <cell r="A1816">
            <v>2019</v>
          </cell>
          <cell r="B1816" t="str">
            <v>Actual</v>
          </cell>
          <cell r="C1816" t="str">
            <v>Mar</v>
          </cell>
          <cell r="D1816" t="str">
            <v>Tables</v>
          </cell>
          <cell r="E1816">
            <v>262656.58999999997</v>
          </cell>
          <cell r="F1816">
            <v>3</v>
          </cell>
        </row>
        <row r="1817">
          <cell r="A1817">
            <v>2018</v>
          </cell>
          <cell r="B1817" t="str">
            <v>Budget</v>
          </cell>
          <cell r="C1817" t="str">
            <v>Mar</v>
          </cell>
          <cell r="D1817" t="str">
            <v>Kitchen</v>
          </cell>
          <cell r="E1817">
            <v>85368.555999999997</v>
          </cell>
          <cell r="F1817">
            <v>3</v>
          </cell>
        </row>
        <row r="1818">
          <cell r="A1818">
            <v>2018</v>
          </cell>
          <cell r="B1818" t="str">
            <v>Actual</v>
          </cell>
          <cell r="C1818" t="str">
            <v>Mar</v>
          </cell>
          <cell r="D1818" t="str">
            <v>Accessories</v>
          </cell>
          <cell r="E1818">
            <v>158382.69299999997</v>
          </cell>
          <cell r="F1818">
            <v>3</v>
          </cell>
        </row>
        <row r="1819">
          <cell r="A1819">
            <v>2018</v>
          </cell>
          <cell r="B1819" t="str">
            <v>Budget</v>
          </cell>
          <cell r="C1819" t="str">
            <v>Mar</v>
          </cell>
          <cell r="D1819" t="str">
            <v>Chairs</v>
          </cell>
          <cell r="E1819">
            <v>193965.18399999998</v>
          </cell>
          <cell r="F1819">
            <v>3</v>
          </cell>
        </row>
        <row r="1820">
          <cell r="A1820">
            <v>2018</v>
          </cell>
          <cell r="B1820" t="str">
            <v>Actual</v>
          </cell>
          <cell r="C1820" t="str">
            <v>Mar</v>
          </cell>
          <cell r="D1820" t="str">
            <v>Tables</v>
          </cell>
          <cell r="E1820">
            <v>106378.874</v>
          </cell>
          <cell r="F1820">
            <v>3</v>
          </cell>
        </row>
        <row r="1821">
          <cell r="A1821">
            <v>2019</v>
          </cell>
          <cell r="B1821" t="str">
            <v>Budget</v>
          </cell>
          <cell r="C1821" t="str">
            <v>Mar</v>
          </cell>
          <cell r="D1821" t="str">
            <v>Kitchen</v>
          </cell>
          <cell r="E1821">
            <v>329395.47200000001</v>
          </cell>
          <cell r="F1821">
            <v>3</v>
          </cell>
        </row>
        <row r="1822">
          <cell r="A1822">
            <v>2019</v>
          </cell>
          <cell r="B1822" t="str">
            <v>Actual</v>
          </cell>
          <cell r="C1822" t="str">
            <v>Mar</v>
          </cell>
          <cell r="D1822" t="str">
            <v>Accessories</v>
          </cell>
          <cell r="E1822">
            <v>382030.43900000001</v>
          </cell>
          <cell r="F1822">
            <v>3</v>
          </cell>
        </row>
        <row r="1823">
          <cell r="A1823">
            <v>2019</v>
          </cell>
          <cell r="B1823" t="str">
            <v>Budget</v>
          </cell>
          <cell r="C1823" t="str">
            <v>Mar</v>
          </cell>
          <cell r="D1823" t="str">
            <v>Chairs</v>
          </cell>
          <cell r="E1823">
            <v>50343.845999999998</v>
          </cell>
          <cell r="F1823">
            <v>3</v>
          </cell>
        </row>
        <row r="1824">
          <cell r="A1824">
            <v>2019</v>
          </cell>
          <cell r="B1824" t="str">
            <v>Actual</v>
          </cell>
          <cell r="C1824" t="str">
            <v>Mar</v>
          </cell>
          <cell r="D1824" t="str">
            <v>Tables</v>
          </cell>
          <cell r="E1824">
            <v>23179.960999999999</v>
          </cell>
          <cell r="F1824">
            <v>3</v>
          </cell>
        </row>
        <row r="1825">
          <cell r="A1825">
            <v>2018</v>
          </cell>
          <cell r="B1825" t="str">
            <v>Budget</v>
          </cell>
          <cell r="C1825" t="str">
            <v>Mar</v>
          </cell>
          <cell r="D1825" t="str">
            <v>Kitchen</v>
          </cell>
          <cell r="E1825">
            <v>520069.38199999998</v>
          </cell>
          <cell r="F1825">
            <v>3</v>
          </cell>
        </row>
        <row r="1826">
          <cell r="A1826">
            <v>2019</v>
          </cell>
          <cell r="B1826" t="str">
            <v>Actual</v>
          </cell>
          <cell r="C1826" t="str">
            <v>Mar</v>
          </cell>
          <cell r="D1826" t="str">
            <v>Accessories</v>
          </cell>
          <cell r="E1826">
            <v>1330734.4819999998</v>
          </cell>
          <cell r="F1826">
            <v>3</v>
          </cell>
        </row>
        <row r="1827">
          <cell r="A1827">
            <v>2019</v>
          </cell>
          <cell r="B1827" t="str">
            <v>Budget</v>
          </cell>
          <cell r="C1827" t="str">
            <v>Mar</v>
          </cell>
          <cell r="D1827" t="str">
            <v>Chairs</v>
          </cell>
          <cell r="E1827">
            <v>28659.162</v>
          </cell>
          <cell r="F1827">
            <v>3</v>
          </cell>
        </row>
        <row r="1828">
          <cell r="A1828">
            <v>2018</v>
          </cell>
          <cell r="B1828" t="str">
            <v>Actual</v>
          </cell>
          <cell r="C1828" t="str">
            <v>Mar</v>
          </cell>
          <cell r="D1828" t="str">
            <v>Chairs</v>
          </cell>
          <cell r="E1828">
            <v>1881.8169999999998</v>
          </cell>
          <cell r="F1828">
            <v>3</v>
          </cell>
        </row>
        <row r="1829">
          <cell r="A1829">
            <v>2018</v>
          </cell>
          <cell r="B1829" t="str">
            <v>Budget</v>
          </cell>
          <cell r="C1829" t="str">
            <v>Mar</v>
          </cell>
          <cell r="D1829" t="str">
            <v>Tables</v>
          </cell>
          <cell r="E1829">
            <v>75642.762999999992</v>
          </cell>
          <cell r="F1829">
            <v>3</v>
          </cell>
        </row>
        <row r="1830">
          <cell r="A1830">
            <v>2018</v>
          </cell>
          <cell r="B1830" t="str">
            <v>Actual</v>
          </cell>
          <cell r="C1830" t="str">
            <v>Mar</v>
          </cell>
          <cell r="D1830" t="str">
            <v>Kitchen</v>
          </cell>
          <cell r="E1830">
            <v>166540.948</v>
          </cell>
          <cell r="F1830">
            <v>3</v>
          </cell>
        </row>
        <row r="1831">
          <cell r="A1831">
            <v>2018</v>
          </cell>
          <cell r="B1831" t="str">
            <v>Budget</v>
          </cell>
          <cell r="C1831" t="str">
            <v>Mar</v>
          </cell>
          <cell r="D1831" t="str">
            <v>Chairs</v>
          </cell>
          <cell r="E1831">
            <v>16066.994999999997</v>
          </cell>
          <cell r="F1831">
            <v>3</v>
          </cell>
        </row>
        <row r="1832">
          <cell r="A1832">
            <v>2018</v>
          </cell>
          <cell r="B1832" t="str">
            <v>Actual</v>
          </cell>
          <cell r="C1832" t="str">
            <v>Mar</v>
          </cell>
          <cell r="D1832" t="str">
            <v>Tables</v>
          </cell>
          <cell r="E1832">
            <v>25514.152999999998</v>
          </cell>
          <cell r="F1832">
            <v>3</v>
          </cell>
        </row>
        <row r="1833">
          <cell r="A1833">
            <v>2018</v>
          </cell>
          <cell r="B1833" t="str">
            <v>Budget</v>
          </cell>
          <cell r="C1833" t="str">
            <v>Mar</v>
          </cell>
          <cell r="D1833" t="str">
            <v>Kitchen</v>
          </cell>
          <cell r="E1833">
            <v>120292.22099999999</v>
          </cell>
          <cell r="F1833">
            <v>3</v>
          </cell>
        </row>
        <row r="1834">
          <cell r="A1834">
            <v>2019</v>
          </cell>
          <cell r="B1834" t="str">
            <v>Actual</v>
          </cell>
          <cell r="C1834" t="str">
            <v>Mar</v>
          </cell>
          <cell r="D1834" t="str">
            <v>Chairs</v>
          </cell>
          <cell r="E1834">
            <v>894374.83100000001</v>
          </cell>
          <cell r="F1834">
            <v>3</v>
          </cell>
        </row>
        <row r="1835">
          <cell r="A1835">
            <v>2018</v>
          </cell>
          <cell r="B1835" t="str">
            <v>Budget</v>
          </cell>
          <cell r="C1835" t="str">
            <v>Mar</v>
          </cell>
          <cell r="D1835" t="str">
            <v>Tables</v>
          </cell>
          <cell r="E1835">
            <v>250762.19699999999</v>
          </cell>
          <cell r="F1835">
            <v>3</v>
          </cell>
        </row>
        <row r="1836">
          <cell r="A1836">
            <v>2018</v>
          </cell>
          <cell r="B1836" t="str">
            <v>Actual</v>
          </cell>
          <cell r="C1836" t="str">
            <v>Mar</v>
          </cell>
          <cell r="D1836" t="str">
            <v>Kitchen</v>
          </cell>
          <cell r="E1836">
            <v>3274.9079999999994</v>
          </cell>
          <cell r="F1836">
            <v>3</v>
          </cell>
        </row>
        <row r="1837">
          <cell r="A1837">
            <v>2018</v>
          </cell>
          <cell r="B1837" t="str">
            <v>Budget</v>
          </cell>
          <cell r="C1837" t="str">
            <v>Mar</v>
          </cell>
          <cell r="D1837" t="str">
            <v>Chairs</v>
          </cell>
          <cell r="E1837">
            <v>124308.91899999999</v>
          </cell>
          <cell r="F1837">
            <v>3</v>
          </cell>
        </row>
        <row r="1838">
          <cell r="A1838">
            <v>2019</v>
          </cell>
          <cell r="B1838" t="str">
            <v>Actual</v>
          </cell>
          <cell r="C1838" t="str">
            <v>Mar</v>
          </cell>
          <cell r="D1838" t="str">
            <v>Chairs</v>
          </cell>
          <cell r="E1838">
            <v>19441.534</v>
          </cell>
          <cell r="F1838">
            <v>3</v>
          </cell>
        </row>
        <row r="1839">
          <cell r="A1839">
            <v>2018</v>
          </cell>
          <cell r="B1839" t="str">
            <v>Budget</v>
          </cell>
          <cell r="C1839" t="str">
            <v>Mar</v>
          </cell>
          <cell r="D1839" t="str">
            <v>Chairs</v>
          </cell>
          <cell r="E1839">
            <v>104084.75</v>
          </cell>
          <cell r="F1839">
            <v>3</v>
          </cell>
        </row>
        <row r="1840">
          <cell r="A1840">
            <v>2018</v>
          </cell>
          <cell r="B1840" t="str">
            <v>Actual</v>
          </cell>
          <cell r="C1840" t="str">
            <v>Mar</v>
          </cell>
          <cell r="D1840" t="str">
            <v>Chairs</v>
          </cell>
          <cell r="E1840">
            <v>919056.38299999991</v>
          </cell>
          <cell r="F1840">
            <v>3</v>
          </cell>
        </row>
        <row r="1841">
          <cell r="A1841">
            <v>2019</v>
          </cell>
          <cell r="B1841" t="str">
            <v>Budget</v>
          </cell>
          <cell r="C1841" t="str">
            <v>Mar</v>
          </cell>
          <cell r="D1841" t="str">
            <v>Chairs</v>
          </cell>
          <cell r="E1841">
            <v>456570.68099999992</v>
          </cell>
          <cell r="F1841">
            <v>3</v>
          </cell>
        </row>
        <row r="1842">
          <cell r="A1842">
            <v>2019</v>
          </cell>
          <cell r="B1842" t="str">
            <v>Actual</v>
          </cell>
          <cell r="C1842" t="str">
            <v>Mar</v>
          </cell>
          <cell r="D1842" t="str">
            <v>Chairs</v>
          </cell>
          <cell r="E1842">
            <v>447734.18900000001</v>
          </cell>
          <cell r="F1842">
            <v>3</v>
          </cell>
        </row>
        <row r="1843">
          <cell r="A1843">
            <v>2019</v>
          </cell>
          <cell r="B1843" t="str">
            <v>Budget</v>
          </cell>
          <cell r="C1843" t="str">
            <v>Mar</v>
          </cell>
          <cell r="D1843" t="str">
            <v>Chairs</v>
          </cell>
          <cell r="E1843">
            <v>438123.99400000001</v>
          </cell>
          <cell r="F1843">
            <v>3</v>
          </cell>
        </row>
        <row r="1844">
          <cell r="A1844">
            <v>2018</v>
          </cell>
          <cell r="B1844" t="str">
            <v>Actual</v>
          </cell>
          <cell r="C1844" t="str">
            <v>Mar</v>
          </cell>
          <cell r="D1844" t="str">
            <v>Chairs</v>
          </cell>
          <cell r="E1844">
            <v>1041030.5149999999</v>
          </cell>
          <cell r="F1844">
            <v>3</v>
          </cell>
        </row>
        <row r="1845">
          <cell r="A1845">
            <v>2019</v>
          </cell>
          <cell r="B1845" t="str">
            <v>Budget</v>
          </cell>
          <cell r="C1845" t="str">
            <v>Mar</v>
          </cell>
          <cell r="D1845" t="str">
            <v>Chairs</v>
          </cell>
          <cell r="E1845">
            <v>464888.76</v>
          </cell>
          <cell r="F1845">
            <v>3</v>
          </cell>
        </row>
        <row r="1846">
          <cell r="A1846">
            <v>2019</v>
          </cell>
          <cell r="B1846" t="str">
            <v>Actual</v>
          </cell>
          <cell r="C1846" t="str">
            <v>Mar</v>
          </cell>
          <cell r="D1846" t="str">
            <v>Chairs</v>
          </cell>
          <cell r="E1846">
            <v>307800.48599999998</v>
          </cell>
          <cell r="F1846">
            <v>3</v>
          </cell>
        </row>
        <row r="1847">
          <cell r="A1847">
            <v>2019</v>
          </cell>
          <cell r="B1847" t="str">
            <v>Budget</v>
          </cell>
          <cell r="C1847" t="str">
            <v>Mar</v>
          </cell>
          <cell r="D1847" t="str">
            <v>Chairs</v>
          </cell>
          <cell r="E1847">
            <v>173823.44699999999</v>
          </cell>
          <cell r="F1847">
            <v>3</v>
          </cell>
        </row>
        <row r="1848">
          <cell r="A1848">
            <v>2018</v>
          </cell>
          <cell r="B1848" t="str">
            <v>Actual</v>
          </cell>
          <cell r="C1848" t="str">
            <v>Mar</v>
          </cell>
          <cell r="D1848" t="str">
            <v>Chairs</v>
          </cell>
          <cell r="E1848">
            <v>512995.96599999996</v>
          </cell>
          <cell r="F1848">
            <v>3</v>
          </cell>
        </row>
        <row r="1849">
          <cell r="A1849">
            <v>2019</v>
          </cell>
          <cell r="B1849" t="str">
            <v>Budget</v>
          </cell>
          <cell r="C1849" t="str">
            <v>Mar</v>
          </cell>
          <cell r="D1849" t="str">
            <v>Chairs</v>
          </cell>
          <cell r="E1849">
            <v>79269.000999999989</v>
          </cell>
          <cell r="F1849">
            <v>3</v>
          </cell>
        </row>
        <row r="1850">
          <cell r="A1850">
            <v>2019</v>
          </cell>
          <cell r="B1850" t="str">
            <v>Actual</v>
          </cell>
          <cell r="C1850" t="str">
            <v>Mar</v>
          </cell>
          <cell r="D1850" t="str">
            <v>Chairs</v>
          </cell>
          <cell r="E1850">
            <v>165747.96</v>
          </cell>
          <cell r="F1850">
            <v>3</v>
          </cell>
        </row>
        <row r="1851">
          <cell r="A1851">
            <v>2019</v>
          </cell>
          <cell r="B1851" t="str">
            <v>Budget</v>
          </cell>
          <cell r="C1851" t="str">
            <v>Mar</v>
          </cell>
          <cell r="D1851" t="str">
            <v>Chairs</v>
          </cell>
          <cell r="E1851">
            <v>56319.423999999999</v>
          </cell>
          <cell r="F1851">
            <v>3</v>
          </cell>
        </row>
        <row r="1852">
          <cell r="A1852">
            <v>2019</v>
          </cell>
          <cell r="B1852" t="str">
            <v>Actual</v>
          </cell>
          <cell r="C1852" t="str">
            <v>Mar</v>
          </cell>
          <cell r="D1852" t="str">
            <v>Chairs</v>
          </cell>
          <cell r="E1852">
            <v>29605.442999999996</v>
          </cell>
          <cell r="F1852">
            <v>3</v>
          </cell>
        </row>
        <row r="1853">
          <cell r="A1853">
            <v>2019</v>
          </cell>
          <cell r="B1853" t="str">
            <v>Budget</v>
          </cell>
          <cell r="C1853" t="str">
            <v>Mar</v>
          </cell>
          <cell r="D1853" t="str">
            <v>Chairs</v>
          </cell>
          <cell r="E1853">
            <v>1200267.6909999999</v>
          </cell>
          <cell r="F1853">
            <v>3</v>
          </cell>
        </row>
        <row r="1854">
          <cell r="A1854">
            <v>2019</v>
          </cell>
          <cell r="B1854" t="str">
            <v>Actual</v>
          </cell>
          <cell r="C1854" t="str">
            <v>Mar</v>
          </cell>
          <cell r="D1854" t="str">
            <v>Chairs</v>
          </cell>
          <cell r="E1854">
            <v>583314.29799999995</v>
          </cell>
          <cell r="F1854">
            <v>3</v>
          </cell>
        </row>
        <row r="1855">
          <cell r="A1855">
            <v>2019</v>
          </cell>
          <cell r="B1855" t="str">
            <v>Budget</v>
          </cell>
          <cell r="C1855" t="str">
            <v>Mar</v>
          </cell>
          <cell r="D1855" t="str">
            <v>Chairs</v>
          </cell>
          <cell r="E1855">
            <v>3272286.1359999999</v>
          </cell>
          <cell r="F1855">
            <v>3</v>
          </cell>
        </row>
        <row r="1856">
          <cell r="A1856">
            <v>2019</v>
          </cell>
          <cell r="B1856" t="str">
            <v>Actual</v>
          </cell>
          <cell r="C1856" t="str">
            <v>Mar</v>
          </cell>
          <cell r="D1856" t="str">
            <v>Chairs</v>
          </cell>
          <cell r="E1856">
            <v>138920.908</v>
          </cell>
          <cell r="F1856">
            <v>3</v>
          </cell>
        </row>
        <row r="1857">
          <cell r="A1857">
            <v>2018</v>
          </cell>
          <cell r="B1857" t="str">
            <v>Budget</v>
          </cell>
          <cell r="C1857" t="str">
            <v>Mar</v>
          </cell>
          <cell r="D1857" t="str">
            <v>Chairs</v>
          </cell>
          <cell r="E1857">
            <v>230219.10099999997</v>
          </cell>
          <cell r="F1857">
            <v>3</v>
          </cell>
        </row>
        <row r="1858">
          <cell r="A1858">
            <v>2018</v>
          </cell>
          <cell r="B1858" t="str">
            <v>Actual</v>
          </cell>
          <cell r="C1858" t="str">
            <v>Mar</v>
          </cell>
          <cell r="D1858" t="str">
            <v>Chairs</v>
          </cell>
          <cell r="E1858">
            <v>32963.237999999998</v>
          </cell>
          <cell r="F1858">
            <v>3</v>
          </cell>
        </row>
        <row r="1859">
          <cell r="A1859">
            <v>2019</v>
          </cell>
          <cell r="B1859" t="str">
            <v>Budget</v>
          </cell>
          <cell r="C1859" t="str">
            <v>Mar</v>
          </cell>
          <cell r="D1859" t="str">
            <v>Chairs</v>
          </cell>
          <cell r="E1859">
            <v>175960.21100000001</v>
          </cell>
          <cell r="F1859">
            <v>3</v>
          </cell>
        </row>
        <row r="1860">
          <cell r="A1860">
            <v>2018</v>
          </cell>
          <cell r="B1860" t="str">
            <v>Actual</v>
          </cell>
          <cell r="C1860" t="str">
            <v>Mar</v>
          </cell>
          <cell r="D1860" t="str">
            <v>Chairs</v>
          </cell>
          <cell r="E1860">
            <v>12610.674999999999</v>
          </cell>
          <cell r="F1860">
            <v>3</v>
          </cell>
        </row>
        <row r="1861">
          <cell r="A1861">
            <v>2018</v>
          </cell>
          <cell r="B1861" t="str">
            <v>Budget</v>
          </cell>
          <cell r="C1861" t="str">
            <v>Mar</v>
          </cell>
          <cell r="D1861" t="str">
            <v>Chairs</v>
          </cell>
          <cell r="E1861">
            <v>412063.68</v>
          </cell>
          <cell r="F1861">
            <v>3</v>
          </cell>
        </row>
        <row r="1862">
          <cell r="A1862">
            <v>2018</v>
          </cell>
          <cell r="B1862" t="str">
            <v>Actual</v>
          </cell>
          <cell r="C1862" t="str">
            <v>Mar</v>
          </cell>
          <cell r="D1862" t="str">
            <v>Chairs</v>
          </cell>
          <cell r="E1862">
            <v>618147.06799999997</v>
          </cell>
          <cell r="F1862">
            <v>3</v>
          </cell>
        </row>
        <row r="1863">
          <cell r="A1863">
            <v>2018</v>
          </cell>
          <cell r="B1863" t="str">
            <v>Budget</v>
          </cell>
          <cell r="C1863" t="str">
            <v>Mar</v>
          </cell>
          <cell r="D1863" t="str">
            <v>Tables</v>
          </cell>
          <cell r="E1863">
            <v>209758.21300000002</v>
          </cell>
          <cell r="F1863">
            <v>3</v>
          </cell>
        </row>
        <row r="1864">
          <cell r="A1864">
            <v>2019</v>
          </cell>
          <cell r="B1864" t="str">
            <v>Actual</v>
          </cell>
          <cell r="C1864" t="str">
            <v>Mar</v>
          </cell>
          <cell r="D1864" t="str">
            <v>Kitchen</v>
          </cell>
          <cell r="E1864">
            <v>2407682.1439999999</v>
          </cell>
          <cell r="F1864">
            <v>3</v>
          </cell>
        </row>
        <row r="1865">
          <cell r="A1865">
            <v>2018</v>
          </cell>
          <cell r="B1865" t="str">
            <v>Budget</v>
          </cell>
          <cell r="C1865" t="str">
            <v>Mar</v>
          </cell>
          <cell r="D1865" t="str">
            <v>Chairs</v>
          </cell>
          <cell r="E1865">
            <v>22504828.079999998</v>
          </cell>
          <cell r="F1865">
            <v>3</v>
          </cell>
        </row>
        <row r="1866">
          <cell r="A1866">
            <v>2018</v>
          </cell>
          <cell r="B1866" t="str">
            <v>Actual</v>
          </cell>
          <cell r="C1866" t="str">
            <v>Mar</v>
          </cell>
          <cell r="D1866" t="str">
            <v>Chairs</v>
          </cell>
          <cell r="E1866">
            <v>65907.87</v>
          </cell>
          <cell r="F1866">
            <v>3</v>
          </cell>
        </row>
        <row r="1867">
          <cell r="A1867">
            <v>2019</v>
          </cell>
          <cell r="B1867" t="str">
            <v>Budget</v>
          </cell>
          <cell r="C1867" t="str">
            <v>Mar</v>
          </cell>
          <cell r="D1867" t="str">
            <v>Chairs</v>
          </cell>
          <cell r="E1867">
            <v>24520.572999999997</v>
          </cell>
          <cell r="F1867">
            <v>3</v>
          </cell>
        </row>
        <row r="1868">
          <cell r="A1868">
            <v>2018</v>
          </cell>
          <cell r="B1868" t="str">
            <v>Actual</v>
          </cell>
          <cell r="C1868" t="str">
            <v>Mar</v>
          </cell>
          <cell r="D1868" t="str">
            <v>Chairs</v>
          </cell>
          <cell r="E1868">
            <v>157307.72399999999</v>
          </cell>
          <cell r="F1868">
            <v>3</v>
          </cell>
        </row>
        <row r="1869">
          <cell r="A1869">
            <v>2019</v>
          </cell>
          <cell r="B1869" t="str">
            <v>Budget</v>
          </cell>
          <cell r="C1869" t="str">
            <v>Mar</v>
          </cell>
          <cell r="D1869" t="str">
            <v>Chairs</v>
          </cell>
          <cell r="E1869">
            <v>117452.68499999998</v>
          </cell>
          <cell r="F1869">
            <v>3</v>
          </cell>
        </row>
        <row r="1870">
          <cell r="A1870">
            <v>2019</v>
          </cell>
          <cell r="B1870" t="str">
            <v>Actual</v>
          </cell>
          <cell r="C1870" t="str">
            <v>Mar</v>
          </cell>
          <cell r="D1870" t="str">
            <v>Tables</v>
          </cell>
          <cell r="E1870">
            <v>16422.363999999998</v>
          </cell>
          <cell r="F1870">
            <v>3</v>
          </cell>
        </row>
        <row r="1871">
          <cell r="A1871">
            <v>2018</v>
          </cell>
          <cell r="B1871" t="str">
            <v>Budget</v>
          </cell>
          <cell r="C1871" t="str">
            <v>Mar</v>
          </cell>
          <cell r="D1871" t="str">
            <v>Kitchen</v>
          </cell>
          <cell r="E1871">
            <v>373766.69400000002</v>
          </cell>
          <cell r="F1871">
            <v>3</v>
          </cell>
        </row>
        <row r="1872">
          <cell r="A1872">
            <v>2018</v>
          </cell>
          <cell r="B1872" t="str">
            <v>Actual</v>
          </cell>
          <cell r="C1872" t="str">
            <v>Mar</v>
          </cell>
          <cell r="D1872" t="str">
            <v>Chairs</v>
          </cell>
          <cell r="E1872">
            <v>604844.07199999993</v>
          </cell>
          <cell r="F1872">
            <v>3</v>
          </cell>
        </row>
        <row r="1873">
          <cell r="A1873">
            <v>2019</v>
          </cell>
          <cell r="B1873" t="str">
            <v>Budget</v>
          </cell>
          <cell r="C1873" t="str">
            <v>Mar</v>
          </cell>
          <cell r="D1873" t="str">
            <v>Chairs</v>
          </cell>
          <cell r="E1873">
            <v>12201.091</v>
          </cell>
          <cell r="F1873">
            <v>3</v>
          </cell>
        </row>
        <row r="1874">
          <cell r="A1874">
            <v>2018</v>
          </cell>
          <cell r="B1874" t="str">
            <v>Actual</v>
          </cell>
          <cell r="C1874" t="str">
            <v>Mar</v>
          </cell>
          <cell r="D1874" t="str">
            <v>Chairs</v>
          </cell>
          <cell r="E1874">
            <v>131778.38799999998</v>
          </cell>
          <cell r="F1874">
            <v>3</v>
          </cell>
        </row>
        <row r="1875">
          <cell r="A1875">
            <v>2018</v>
          </cell>
          <cell r="B1875" t="str">
            <v>Budget</v>
          </cell>
          <cell r="C1875" t="str">
            <v>Mar</v>
          </cell>
          <cell r="D1875" t="str">
            <v>Tables</v>
          </cell>
          <cell r="E1875">
            <v>244218.39399999997</v>
          </cell>
          <cell r="F1875">
            <v>3</v>
          </cell>
        </row>
        <row r="1876">
          <cell r="A1876">
            <v>2019</v>
          </cell>
          <cell r="B1876" t="str">
            <v>Actual</v>
          </cell>
          <cell r="C1876" t="str">
            <v>Mar</v>
          </cell>
          <cell r="D1876" t="str">
            <v>Kitchen</v>
          </cell>
          <cell r="E1876">
            <v>62077.441999999995</v>
          </cell>
          <cell r="F1876">
            <v>3</v>
          </cell>
        </row>
        <row r="1877">
          <cell r="A1877">
            <v>2019</v>
          </cell>
          <cell r="B1877" t="str">
            <v>Budget</v>
          </cell>
          <cell r="C1877" t="str">
            <v>Mar</v>
          </cell>
          <cell r="D1877" t="str">
            <v>Chairs</v>
          </cell>
          <cell r="E1877">
            <v>189128.772</v>
          </cell>
          <cell r="F1877">
            <v>3</v>
          </cell>
        </row>
        <row r="1878">
          <cell r="A1878">
            <v>2018</v>
          </cell>
          <cell r="B1878" t="str">
            <v>Actual</v>
          </cell>
          <cell r="C1878" t="str">
            <v>Mar</v>
          </cell>
          <cell r="D1878" t="str">
            <v>Chairs</v>
          </cell>
          <cell r="E1878">
            <v>660748.62699999998</v>
          </cell>
          <cell r="F1878">
            <v>3</v>
          </cell>
        </row>
        <row r="1879">
          <cell r="A1879">
            <v>2018</v>
          </cell>
          <cell r="B1879" t="str">
            <v>Budget</v>
          </cell>
          <cell r="C1879" t="str">
            <v>Mar</v>
          </cell>
          <cell r="D1879" t="str">
            <v>Tables</v>
          </cell>
          <cell r="E1879">
            <v>2800115.3739999998</v>
          </cell>
          <cell r="F1879">
            <v>3</v>
          </cell>
        </row>
        <row r="1880">
          <cell r="A1880">
            <v>2019</v>
          </cell>
          <cell r="B1880" t="str">
            <v>Actual</v>
          </cell>
          <cell r="C1880" t="str">
            <v>Mar</v>
          </cell>
          <cell r="D1880" t="str">
            <v>Kitchen</v>
          </cell>
          <cell r="E1880">
            <v>5384828.7009999994</v>
          </cell>
          <cell r="F1880">
            <v>3</v>
          </cell>
        </row>
        <row r="1881">
          <cell r="A1881">
            <v>2018</v>
          </cell>
          <cell r="B1881" t="str">
            <v>Budget</v>
          </cell>
          <cell r="C1881" t="str">
            <v>Mar</v>
          </cell>
          <cell r="D1881" t="str">
            <v>Chairs</v>
          </cell>
          <cell r="E1881">
            <v>632359.13299999991</v>
          </cell>
          <cell r="F1881">
            <v>3</v>
          </cell>
        </row>
        <row r="1882">
          <cell r="A1882">
            <v>2018</v>
          </cell>
          <cell r="B1882" t="str">
            <v>Actual</v>
          </cell>
          <cell r="C1882" t="str">
            <v>Mar</v>
          </cell>
          <cell r="D1882" t="str">
            <v>Chairs</v>
          </cell>
          <cell r="E1882">
            <v>418120.93399999995</v>
          </cell>
          <cell r="F1882">
            <v>3</v>
          </cell>
        </row>
        <row r="1883">
          <cell r="A1883">
            <v>2019</v>
          </cell>
          <cell r="B1883" t="str">
            <v>Budget</v>
          </cell>
          <cell r="C1883" t="str">
            <v>Mar</v>
          </cell>
          <cell r="D1883" t="str">
            <v>Chairs</v>
          </cell>
          <cell r="E1883">
            <v>2471357.105</v>
          </cell>
          <cell r="F1883">
            <v>3</v>
          </cell>
        </row>
        <row r="1884">
          <cell r="A1884">
            <v>2019</v>
          </cell>
          <cell r="B1884" t="str">
            <v>Actual</v>
          </cell>
          <cell r="C1884" t="str">
            <v>Mar</v>
          </cell>
          <cell r="D1884" t="str">
            <v>Tables</v>
          </cell>
          <cell r="E1884">
            <v>264100.84399999998</v>
          </cell>
          <cell r="F1884">
            <v>3</v>
          </cell>
        </row>
        <row r="1885">
          <cell r="A1885">
            <v>2018</v>
          </cell>
          <cell r="B1885" t="str">
            <v>Budget</v>
          </cell>
          <cell r="C1885" t="str">
            <v>Mar</v>
          </cell>
          <cell r="D1885" t="str">
            <v>Kitchen</v>
          </cell>
          <cell r="E1885">
            <v>1536116.1269999999</v>
          </cell>
          <cell r="F1885">
            <v>3</v>
          </cell>
        </row>
        <row r="1886">
          <cell r="A1886">
            <v>2018</v>
          </cell>
          <cell r="B1886" t="str">
            <v>Actual</v>
          </cell>
          <cell r="C1886" t="str">
            <v>Mar</v>
          </cell>
          <cell r="D1886" t="str">
            <v>Accessories</v>
          </cell>
          <cell r="E1886">
            <v>18640.446999999996</v>
          </cell>
          <cell r="F1886">
            <v>3</v>
          </cell>
        </row>
        <row r="1887">
          <cell r="A1887">
            <v>2018</v>
          </cell>
          <cell r="B1887" t="str">
            <v>Budget</v>
          </cell>
          <cell r="C1887" t="str">
            <v>Mar</v>
          </cell>
          <cell r="D1887" t="str">
            <v>Chairs</v>
          </cell>
          <cell r="E1887">
            <v>68945.883999999991</v>
          </cell>
          <cell r="F1887">
            <v>3</v>
          </cell>
        </row>
        <row r="1888">
          <cell r="A1888">
            <v>2018</v>
          </cell>
          <cell r="B1888" t="str">
            <v>Actual</v>
          </cell>
          <cell r="C1888" t="str">
            <v>Mar</v>
          </cell>
          <cell r="D1888" t="str">
            <v>Tables</v>
          </cell>
          <cell r="E1888">
            <v>1835478.8549999997</v>
          </cell>
          <cell r="F1888">
            <v>3</v>
          </cell>
        </row>
        <row r="1889">
          <cell r="A1889">
            <v>2019</v>
          </cell>
          <cell r="B1889" t="str">
            <v>Budget</v>
          </cell>
          <cell r="C1889" t="str">
            <v>Mar</v>
          </cell>
          <cell r="D1889" t="str">
            <v>Kitchen</v>
          </cell>
          <cell r="E1889">
            <v>2656268.4609999997</v>
          </cell>
          <cell r="F1889">
            <v>3</v>
          </cell>
        </row>
        <row r="1890">
          <cell r="A1890">
            <v>2018</v>
          </cell>
          <cell r="B1890" t="str">
            <v>Actual</v>
          </cell>
          <cell r="C1890" t="str">
            <v>Mar</v>
          </cell>
          <cell r="D1890" t="str">
            <v>Accessories</v>
          </cell>
          <cell r="E1890">
            <v>1069276.236</v>
          </cell>
          <cell r="F1890">
            <v>3</v>
          </cell>
        </row>
        <row r="1891">
          <cell r="A1891">
            <v>2019</v>
          </cell>
          <cell r="B1891" t="str">
            <v>Budget</v>
          </cell>
          <cell r="C1891" t="str">
            <v>Mar</v>
          </cell>
          <cell r="D1891" t="str">
            <v>Chairs</v>
          </cell>
          <cell r="E1891">
            <v>1025522.652</v>
          </cell>
          <cell r="F1891">
            <v>3</v>
          </cell>
        </row>
        <row r="1892">
          <cell r="A1892">
            <v>2018</v>
          </cell>
          <cell r="B1892" t="str">
            <v>Actual</v>
          </cell>
          <cell r="C1892" t="str">
            <v>Mar</v>
          </cell>
          <cell r="D1892" t="str">
            <v>Tables</v>
          </cell>
          <cell r="E1892">
            <v>9495852.5759999994</v>
          </cell>
          <cell r="F1892">
            <v>3</v>
          </cell>
        </row>
        <row r="1893">
          <cell r="A1893">
            <v>2018</v>
          </cell>
          <cell r="B1893" t="str">
            <v>Budget</v>
          </cell>
          <cell r="C1893" t="str">
            <v>Mar</v>
          </cell>
          <cell r="D1893" t="str">
            <v>Kitchen</v>
          </cell>
          <cell r="E1893">
            <v>4328212.1679999996</v>
          </cell>
          <cell r="F1893">
            <v>3</v>
          </cell>
        </row>
        <row r="1894">
          <cell r="A1894">
            <v>2019</v>
          </cell>
          <cell r="B1894" t="str">
            <v>Actual</v>
          </cell>
          <cell r="C1894" t="str">
            <v>Mar</v>
          </cell>
          <cell r="D1894" t="str">
            <v>Accessories</v>
          </cell>
          <cell r="E1894">
            <v>329526.91099999996</v>
          </cell>
          <cell r="F1894">
            <v>3</v>
          </cell>
        </row>
        <row r="1895">
          <cell r="A1895">
            <v>2018</v>
          </cell>
          <cell r="B1895" t="str">
            <v>Budget</v>
          </cell>
          <cell r="C1895" t="str">
            <v>Mar</v>
          </cell>
          <cell r="D1895" t="str">
            <v>Chairs</v>
          </cell>
          <cell r="E1895">
            <v>384824.223</v>
          </cell>
          <cell r="F1895">
            <v>3</v>
          </cell>
        </row>
        <row r="1896">
          <cell r="A1896">
            <v>2018</v>
          </cell>
          <cell r="B1896" t="str">
            <v>Actual</v>
          </cell>
          <cell r="C1896" t="str">
            <v>Mar</v>
          </cell>
          <cell r="D1896" t="str">
            <v>Tables</v>
          </cell>
          <cell r="E1896">
            <v>95537.987999999998</v>
          </cell>
          <cell r="F1896">
            <v>3</v>
          </cell>
        </row>
        <row r="1897">
          <cell r="A1897">
            <v>2018</v>
          </cell>
          <cell r="B1897" t="str">
            <v>Budget</v>
          </cell>
          <cell r="C1897" t="str">
            <v>Mar</v>
          </cell>
          <cell r="D1897" t="str">
            <v>Kitchen</v>
          </cell>
          <cell r="E1897">
            <v>62985.810999999994</v>
          </cell>
          <cell r="F1897">
            <v>3</v>
          </cell>
        </row>
        <row r="1898">
          <cell r="A1898">
            <v>2019</v>
          </cell>
          <cell r="B1898" t="str">
            <v>Actual</v>
          </cell>
          <cell r="C1898" t="str">
            <v>Mar</v>
          </cell>
          <cell r="D1898" t="str">
            <v>Accessories</v>
          </cell>
          <cell r="E1898">
            <v>339137.86199999996</v>
          </cell>
          <cell r="F1898">
            <v>3</v>
          </cell>
        </row>
        <row r="1899">
          <cell r="A1899">
            <v>2018</v>
          </cell>
          <cell r="B1899" t="str">
            <v>Budget</v>
          </cell>
          <cell r="C1899" t="str">
            <v>Mar</v>
          </cell>
          <cell r="D1899" t="str">
            <v>Chairs</v>
          </cell>
          <cell r="E1899">
            <v>1326181.71</v>
          </cell>
          <cell r="F1899">
            <v>3</v>
          </cell>
        </row>
        <row r="1900">
          <cell r="A1900">
            <v>2019</v>
          </cell>
          <cell r="B1900" t="str">
            <v>Actual</v>
          </cell>
          <cell r="C1900" t="str">
            <v>Mar</v>
          </cell>
          <cell r="D1900" t="str">
            <v>Chairs</v>
          </cell>
          <cell r="E1900">
            <v>2123731.1409999998</v>
          </cell>
          <cell r="F1900">
            <v>3</v>
          </cell>
        </row>
        <row r="1901">
          <cell r="A1901">
            <v>2018</v>
          </cell>
          <cell r="B1901" t="str">
            <v>Budget</v>
          </cell>
          <cell r="C1901" t="str">
            <v>Mar</v>
          </cell>
          <cell r="D1901" t="str">
            <v>Tables</v>
          </cell>
          <cell r="E1901">
            <v>7031.6679999999997</v>
          </cell>
          <cell r="F1901">
            <v>3</v>
          </cell>
        </row>
        <row r="1902">
          <cell r="A1902">
            <v>2018</v>
          </cell>
          <cell r="B1902" t="str">
            <v>Actual</v>
          </cell>
          <cell r="C1902" t="str">
            <v>Mar</v>
          </cell>
          <cell r="D1902" t="str">
            <v>Kitchen</v>
          </cell>
          <cell r="E1902">
            <v>627948.50300000003</v>
          </cell>
          <cell r="F1902">
            <v>3</v>
          </cell>
        </row>
        <row r="1903">
          <cell r="A1903">
            <v>2018</v>
          </cell>
          <cell r="B1903" t="str">
            <v>Budget</v>
          </cell>
          <cell r="C1903" t="str">
            <v>Mar</v>
          </cell>
          <cell r="D1903" t="str">
            <v>Chairs</v>
          </cell>
          <cell r="E1903">
            <v>725703.35599999991</v>
          </cell>
          <cell r="F1903">
            <v>3</v>
          </cell>
        </row>
        <row r="1904">
          <cell r="A1904">
            <v>2018</v>
          </cell>
          <cell r="B1904" t="str">
            <v>Actual</v>
          </cell>
          <cell r="C1904" t="str">
            <v>Mar</v>
          </cell>
          <cell r="D1904" t="str">
            <v>Tables</v>
          </cell>
          <cell r="E1904">
            <v>1535420.6980000001</v>
          </cell>
          <cell r="F1904">
            <v>3</v>
          </cell>
        </row>
        <row r="1905">
          <cell r="A1905">
            <v>2018</v>
          </cell>
          <cell r="B1905" t="str">
            <v>Budget</v>
          </cell>
          <cell r="C1905" t="str">
            <v>Mar</v>
          </cell>
          <cell r="D1905" t="str">
            <v>Kitchen</v>
          </cell>
          <cell r="E1905">
            <v>640521.03500000003</v>
          </cell>
          <cell r="F1905">
            <v>3</v>
          </cell>
        </row>
        <row r="1906">
          <cell r="A1906">
            <v>2018</v>
          </cell>
          <cell r="B1906" t="str">
            <v>Actual</v>
          </cell>
          <cell r="C1906" t="str">
            <v>Mar</v>
          </cell>
          <cell r="D1906" t="str">
            <v>Chairs</v>
          </cell>
          <cell r="E1906">
            <v>105876.351</v>
          </cell>
          <cell r="F1906">
            <v>3</v>
          </cell>
        </row>
        <row r="1907">
          <cell r="A1907">
            <v>2019</v>
          </cell>
          <cell r="B1907" t="str">
            <v>Budget</v>
          </cell>
          <cell r="C1907" t="str">
            <v>Mar</v>
          </cell>
          <cell r="D1907" t="str">
            <v>Tables</v>
          </cell>
          <cell r="E1907">
            <v>378685.34899999993</v>
          </cell>
          <cell r="F1907">
            <v>3</v>
          </cell>
        </row>
        <row r="1908">
          <cell r="A1908">
            <v>2019</v>
          </cell>
          <cell r="B1908" t="str">
            <v>Actual</v>
          </cell>
          <cell r="C1908" t="str">
            <v>Mar</v>
          </cell>
          <cell r="D1908" t="str">
            <v>Kitchen</v>
          </cell>
          <cell r="E1908">
            <v>578174.46399999992</v>
          </cell>
          <cell r="F1908">
            <v>3</v>
          </cell>
        </row>
        <row r="1909">
          <cell r="A1909">
            <v>2019</v>
          </cell>
          <cell r="B1909" t="str">
            <v>Budget</v>
          </cell>
          <cell r="C1909" t="str">
            <v>Mar</v>
          </cell>
          <cell r="D1909" t="str">
            <v>Chairs</v>
          </cell>
          <cell r="E1909">
            <v>52788.358</v>
          </cell>
          <cell r="F1909">
            <v>3</v>
          </cell>
        </row>
        <row r="1910">
          <cell r="A1910">
            <v>2019</v>
          </cell>
          <cell r="B1910" t="str">
            <v>Actual</v>
          </cell>
          <cell r="C1910" t="str">
            <v>Mar</v>
          </cell>
          <cell r="D1910" t="str">
            <v>Chairs</v>
          </cell>
          <cell r="E1910">
            <v>2006666.0179999999</v>
          </cell>
          <cell r="F1910">
            <v>3</v>
          </cell>
        </row>
        <row r="1911">
          <cell r="A1911">
            <v>2018</v>
          </cell>
          <cell r="B1911" t="str">
            <v>Budget</v>
          </cell>
          <cell r="C1911" t="str">
            <v>Mar</v>
          </cell>
          <cell r="D1911" t="str">
            <v>Chairs</v>
          </cell>
          <cell r="E1911">
            <v>630638.13399999996</v>
          </cell>
          <cell r="F1911">
            <v>3</v>
          </cell>
        </row>
        <row r="1912">
          <cell r="A1912">
            <v>2019</v>
          </cell>
          <cell r="B1912" t="str">
            <v>Actual</v>
          </cell>
          <cell r="C1912" t="str">
            <v>Mar</v>
          </cell>
          <cell r="D1912" t="str">
            <v>Chairs</v>
          </cell>
          <cell r="E1912">
            <v>217808.58399999997</v>
          </cell>
          <cell r="F1912">
            <v>3</v>
          </cell>
        </row>
        <row r="1913">
          <cell r="A1913">
            <v>2018</v>
          </cell>
          <cell r="B1913" t="str">
            <v>Budget</v>
          </cell>
          <cell r="C1913" t="str">
            <v>Mar</v>
          </cell>
          <cell r="D1913" t="str">
            <v>Chairs</v>
          </cell>
          <cell r="E1913">
            <v>1129689.3929999999</v>
          </cell>
          <cell r="F1913">
            <v>3</v>
          </cell>
        </row>
        <row r="1914">
          <cell r="A1914">
            <v>2018</v>
          </cell>
          <cell r="B1914" t="str">
            <v>Actual</v>
          </cell>
          <cell r="C1914" t="str">
            <v>Mar</v>
          </cell>
          <cell r="D1914" t="str">
            <v>Chairs</v>
          </cell>
          <cell r="E1914">
            <v>882221.94900000002</v>
          </cell>
          <cell r="F1914">
            <v>3</v>
          </cell>
        </row>
        <row r="1915">
          <cell r="A1915">
            <v>2019</v>
          </cell>
          <cell r="B1915" t="str">
            <v>Budget</v>
          </cell>
          <cell r="C1915" t="str">
            <v>Mar</v>
          </cell>
          <cell r="D1915" t="str">
            <v>Chairs</v>
          </cell>
          <cell r="E1915">
            <v>202970.88</v>
          </cell>
          <cell r="F1915">
            <v>3</v>
          </cell>
        </row>
        <row r="1916">
          <cell r="A1916">
            <v>2018</v>
          </cell>
          <cell r="B1916" t="str">
            <v>Actual</v>
          </cell>
          <cell r="C1916" t="str">
            <v>Mar</v>
          </cell>
          <cell r="D1916" t="str">
            <v>Chairs</v>
          </cell>
          <cell r="E1916">
            <v>406706.94400000002</v>
          </cell>
          <cell r="F1916">
            <v>3</v>
          </cell>
        </row>
        <row r="1917">
          <cell r="A1917">
            <v>2019</v>
          </cell>
          <cell r="B1917" t="str">
            <v>Budget</v>
          </cell>
          <cell r="C1917" t="str">
            <v>Mar</v>
          </cell>
          <cell r="D1917" t="str">
            <v>Chairs</v>
          </cell>
          <cell r="E1917">
            <v>127936.319</v>
          </cell>
          <cell r="F1917">
            <v>3</v>
          </cell>
        </row>
        <row r="1918">
          <cell r="A1918">
            <v>2019</v>
          </cell>
          <cell r="B1918" t="str">
            <v>Actual</v>
          </cell>
          <cell r="C1918" t="str">
            <v>Mar</v>
          </cell>
          <cell r="D1918" t="str">
            <v>Chairs</v>
          </cell>
          <cell r="E1918">
            <v>78348.36099999999</v>
          </cell>
          <cell r="F1918">
            <v>3</v>
          </cell>
        </row>
        <row r="1919">
          <cell r="A1919">
            <v>2019</v>
          </cell>
          <cell r="B1919" t="str">
            <v>Budget</v>
          </cell>
          <cell r="C1919" t="str">
            <v>Mar</v>
          </cell>
          <cell r="D1919" t="str">
            <v>Chairs</v>
          </cell>
          <cell r="E1919">
            <v>160967.92599999998</v>
          </cell>
          <cell r="F1919">
            <v>3</v>
          </cell>
        </row>
        <row r="1920">
          <cell r="A1920">
            <v>2019</v>
          </cell>
          <cell r="B1920" t="str">
            <v>Actual</v>
          </cell>
          <cell r="C1920" t="str">
            <v>Mar</v>
          </cell>
          <cell r="D1920" t="str">
            <v>Chairs</v>
          </cell>
          <cell r="E1920">
            <v>304241.91699999996</v>
          </cell>
          <cell r="F1920">
            <v>3</v>
          </cell>
        </row>
        <row r="1921">
          <cell r="A1921">
            <v>2019</v>
          </cell>
          <cell r="B1921" t="str">
            <v>Budget</v>
          </cell>
          <cell r="C1921" t="str">
            <v>Mar</v>
          </cell>
          <cell r="D1921" t="str">
            <v>Chairs</v>
          </cell>
          <cell r="E1921">
            <v>57230.32</v>
          </cell>
          <cell r="F1921">
            <v>3</v>
          </cell>
        </row>
        <row r="1922">
          <cell r="A1922">
            <v>2018</v>
          </cell>
          <cell r="B1922" t="str">
            <v>Actual</v>
          </cell>
          <cell r="C1922" t="str">
            <v>Mar</v>
          </cell>
          <cell r="D1922" t="str">
            <v>Chairs</v>
          </cell>
          <cell r="E1922">
            <v>41624.498999999996</v>
          </cell>
          <cell r="F1922">
            <v>3</v>
          </cell>
        </row>
        <row r="1923">
          <cell r="A1923">
            <v>2019</v>
          </cell>
          <cell r="B1923" t="str">
            <v>Budget</v>
          </cell>
          <cell r="C1923" t="str">
            <v>Mar</v>
          </cell>
          <cell r="D1923" t="str">
            <v>Chairs</v>
          </cell>
          <cell r="E1923">
            <v>9293.9979999999996</v>
          </cell>
          <cell r="F1923">
            <v>3</v>
          </cell>
        </row>
        <row r="1924">
          <cell r="A1924">
            <v>2019</v>
          </cell>
          <cell r="B1924" t="str">
            <v>Actual</v>
          </cell>
          <cell r="C1924" t="str">
            <v>Mar</v>
          </cell>
          <cell r="D1924" t="str">
            <v>Chairs</v>
          </cell>
          <cell r="E1924">
            <v>52974.928999999996</v>
          </cell>
          <cell r="F1924">
            <v>3</v>
          </cell>
        </row>
        <row r="1925">
          <cell r="A1925">
            <v>2019</v>
          </cell>
          <cell r="B1925" t="str">
            <v>Budget</v>
          </cell>
          <cell r="C1925" t="str">
            <v>Mar</v>
          </cell>
          <cell r="D1925" t="str">
            <v>Chairs</v>
          </cell>
          <cell r="E1925">
            <v>99832.746999999988</v>
          </cell>
          <cell r="F1925">
            <v>3</v>
          </cell>
        </row>
        <row r="1926">
          <cell r="A1926">
            <v>2019</v>
          </cell>
          <cell r="B1926" t="str">
            <v>Actual</v>
          </cell>
          <cell r="C1926" t="str">
            <v>Mar</v>
          </cell>
          <cell r="D1926" t="str">
            <v>Chairs</v>
          </cell>
          <cell r="E1926">
            <v>350915.97100000002</v>
          </cell>
          <cell r="F1926">
            <v>3</v>
          </cell>
        </row>
        <row r="1927">
          <cell r="A1927">
            <v>2018</v>
          </cell>
          <cell r="B1927" t="str">
            <v>Budget</v>
          </cell>
          <cell r="C1927" t="str">
            <v>Mar</v>
          </cell>
          <cell r="D1927" t="str">
            <v>Chairs</v>
          </cell>
          <cell r="E1927">
            <v>20077.434999999998</v>
          </cell>
          <cell r="F1927">
            <v>3</v>
          </cell>
        </row>
        <row r="1928">
          <cell r="A1928">
            <v>2018</v>
          </cell>
          <cell r="B1928" t="str">
            <v>Actual</v>
          </cell>
          <cell r="C1928" t="str">
            <v>Mar</v>
          </cell>
          <cell r="D1928" t="str">
            <v>Chairs</v>
          </cell>
          <cell r="E1928">
            <v>55240.303999999996</v>
          </cell>
          <cell r="F1928">
            <v>3</v>
          </cell>
        </row>
        <row r="1929">
          <cell r="A1929">
            <v>2019</v>
          </cell>
          <cell r="B1929" t="str">
            <v>Budget</v>
          </cell>
          <cell r="C1929" t="str">
            <v>Mar</v>
          </cell>
          <cell r="D1929" t="str">
            <v>Chairs</v>
          </cell>
          <cell r="E1929">
            <v>75207.789999999994</v>
          </cell>
          <cell r="F1929">
            <v>3</v>
          </cell>
        </row>
        <row r="1930">
          <cell r="A1930">
            <v>2019</v>
          </cell>
          <cell r="B1930" t="str">
            <v>Actual</v>
          </cell>
          <cell r="C1930" t="str">
            <v>Mar</v>
          </cell>
          <cell r="D1930" t="str">
            <v>Chairs</v>
          </cell>
          <cell r="E1930">
            <v>2181.4659999999999</v>
          </cell>
          <cell r="F1930">
            <v>3</v>
          </cell>
        </row>
        <row r="1931">
          <cell r="A1931">
            <v>2018</v>
          </cell>
          <cell r="B1931" t="str">
            <v>Budget</v>
          </cell>
          <cell r="C1931" t="str">
            <v>Mar</v>
          </cell>
          <cell r="D1931" t="str">
            <v>Chairs</v>
          </cell>
          <cell r="E1931">
            <v>203364.99399999998</v>
          </cell>
          <cell r="F1931">
            <v>3</v>
          </cell>
        </row>
        <row r="1932">
          <cell r="A1932">
            <v>2018</v>
          </cell>
          <cell r="B1932" t="str">
            <v>Actual</v>
          </cell>
          <cell r="C1932" t="str">
            <v>Mar</v>
          </cell>
          <cell r="D1932" t="str">
            <v>Chairs</v>
          </cell>
          <cell r="E1932">
            <v>278572.63</v>
          </cell>
          <cell r="F1932">
            <v>3</v>
          </cell>
        </row>
        <row r="1933">
          <cell r="A1933">
            <v>2018</v>
          </cell>
          <cell r="B1933" t="str">
            <v>Budget</v>
          </cell>
          <cell r="C1933" t="str">
            <v>Mar</v>
          </cell>
          <cell r="D1933" t="str">
            <v>Chairs</v>
          </cell>
          <cell r="E1933">
            <v>32627.615999999995</v>
          </cell>
          <cell r="F1933">
            <v>3</v>
          </cell>
        </row>
        <row r="1934">
          <cell r="A1934">
            <v>2018</v>
          </cell>
          <cell r="B1934" t="str">
            <v>Actual</v>
          </cell>
          <cell r="C1934" t="str">
            <v>Mar</v>
          </cell>
          <cell r="D1934" t="str">
            <v>Chairs</v>
          </cell>
          <cell r="E1934">
            <v>77884.183999999994</v>
          </cell>
          <cell r="F1934">
            <v>3</v>
          </cell>
        </row>
        <row r="1935">
          <cell r="A1935">
            <v>2019</v>
          </cell>
          <cell r="B1935" t="str">
            <v>Budget</v>
          </cell>
          <cell r="C1935" t="str">
            <v>Mar</v>
          </cell>
          <cell r="D1935" t="str">
            <v>Tables</v>
          </cell>
          <cell r="E1935">
            <v>27642.748</v>
          </cell>
          <cell r="F1935">
            <v>3</v>
          </cell>
        </row>
        <row r="1936">
          <cell r="A1936">
            <v>2019</v>
          </cell>
          <cell r="B1936" t="str">
            <v>Actual</v>
          </cell>
          <cell r="C1936" t="str">
            <v>Mar</v>
          </cell>
          <cell r="D1936" t="str">
            <v>Kitchen</v>
          </cell>
          <cell r="E1936">
            <v>43538.046999999999</v>
          </cell>
          <cell r="F1936">
            <v>3</v>
          </cell>
        </row>
        <row r="1937">
          <cell r="A1937">
            <v>2018</v>
          </cell>
          <cell r="B1937" t="str">
            <v>Budget</v>
          </cell>
          <cell r="C1937" t="str">
            <v>Mar</v>
          </cell>
          <cell r="D1937" t="str">
            <v>Chairs</v>
          </cell>
          <cell r="E1937">
            <v>583173.19899999991</v>
          </cell>
          <cell r="F1937">
            <v>3</v>
          </cell>
        </row>
        <row r="1938">
          <cell r="A1938">
            <v>2018</v>
          </cell>
          <cell r="B1938" t="str">
            <v>Actual</v>
          </cell>
          <cell r="C1938" t="str">
            <v>Mar</v>
          </cell>
          <cell r="D1938" t="str">
            <v>Chairs</v>
          </cell>
          <cell r="E1938">
            <v>380285.87800000003</v>
          </cell>
          <cell r="F1938">
            <v>3</v>
          </cell>
        </row>
        <row r="1939">
          <cell r="A1939">
            <v>2019</v>
          </cell>
          <cell r="B1939" t="str">
            <v>Budget</v>
          </cell>
          <cell r="C1939" t="str">
            <v>Mar</v>
          </cell>
          <cell r="D1939" t="str">
            <v>Chairs</v>
          </cell>
          <cell r="E1939">
            <v>21410.584999999999</v>
          </cell>
          <cell r="F1939">
            <v>3</v>
          </cell>
        </row>
        <row r="1940">
          <cell r="A1940">
            <v>2018</v>
          </cell>
          <cell r="B1940" t="str">
            <v>Actual</v>
          </cell>
          <cell r="C1940" t="str">
            <v>Mar</v>
          </cell>
          <cell r="D1940" t="str">
            <v>Chairs</v>
          </cell>
          <cell r="E1940">
            <v>110383.61599999999</v>
          </cell>
          <cell r="F1940">
            <v>3</v>
          </cell>
        </row>
        <row r="1941">
          <cell r="A1941">
            <v>2018</v>
          </cell>
          <cell r="B1941" t="str">
            <v>Budget</v>
          </cell>
          <cell r="C1941" t="str">
            <v>Mar</v>
          </cell>
          <cell r="D1941" t="str">
            <v>Chairs</v>
          </cell>
          <cell r="E1941">
            <v>539232.26</v>
          </cell>
          <cell r="F1941">
            <v>3</v>
          </cell>
        </row>
        <row r="1942">
          <cell r="A1942">
            <v>2018</v>
          </cell>
          <cell r="B1942" t="str">
            <v>Actual</v>
          </cell>
          <cell r="C1942" t="str">
            <v>Mar</v>
          </cell>
          <cell r="D1942" t="str">
            <v>Tables</v>
          </cell>
          <cell r="E1942">
            <v>177844.71599999999</v>
          </cell>
          <cell r="F1942">
            <v>3</v>
          </cell>
        </row>
        <row r="1943">
          <cell r="A1943">
            <v>2018</v>
          </cell>
          <cell r="B1943" t="str">
            <v>Budget</v>
          </cell>
          <cell r="C1943" t="str">
            <v>Mar</v>
          </cell>
          <cell r="D1943" t="str">
            <v>Kitchen</v>
          </cell>
          <cell r="E1943">
            <v>71342.963999999993</v>
          </cell>
          <cell r="F1943">
            <v>3</v>
          </cell>
        </row>
        <row r="1944">
          <cell r="A1944">
            <v>2019</v>
          </cell>
          <cell r="B1944" t="str">
            <v>Actual</v>
          </cell>
          <cell r="C1944" t="str">
            <v>Mar</v>
          </cell>
          <cell r="D1944" t="str">
            <v>Chairs</v>
          </cell>
          <cell r="E1944">
            <v>71753.520999999993</v>
          </cell>
          <cell r="F1944">
            <v>3</v>
          </cell>
        </row>
        <row r="1945">
          <cell r="A1945">
            <v>2019</v>
          </cell>
          <cell r="B1945" t="str">
            <v>Budget</v>
          </cell>
          <cell r="C1945" t="str">
            <v>Mar</v>
          </cell>
          <cell r="D1945" t="str">
            <v>Chairs</v>
          </cell>
          <cell r="E1945">
            <v>98095.934999999983</v>
          </cell>
          <cell r="F1945">
            <v>3</v>
          </cell>
        </row>
        <row r="1946">
          <cell r="A1946">
            <v>2019</v>
          </cell>
          <cell r="B1946" t="str">
            <v>Actual</v>
          </cell>
          <cell r="C1946" t="str">
            <v>Mar</v>
          </cell>
          <cell r="D1946" t="str">
            <v>Chairs</v>
          </cell>
          <cell r="E1946">
            <v>105844.49400000001</v>
          </cell>
          <cell r="F1946">
            <v>3</v>
          </cell>
        </row>
        <row r="1947">
          <cell r="A1947">
            <v>2019</v>
          </cell>
          <cell r="B1947" t="str">
            <v>Budget</v>
          </cell>
          <cell r="C1947" t="str">
            <v>Mar</v>
          </cell>
          <cell r="D1947" t="str">
            <v>Tables</v>
          </cell>
          <cell r="E1947">
            <v>65434.382999999994</v>
          </cell>
          <cell r="F1947">
            <v>3</v>
          </cell>
        </row>
        <row r="1948">
          <cell r="A1948">
            <v>2019</v>
          </cell>
          <cell r="B1948" t="str">
            <v>Actual</v>
          </cell>
          <cell r="C1948" t="str">
            <v>Mar</v>
          </cell>
          <cell r="D1948" t="str">
            <v>Kitchen</v>
          </cell>
          <cell r="E1948">
            <v>170.226</v>
          </cell>
          <cell r="F1948">
            <v>3</v>
          </cell>
        </row>
        <row r="1949">
          <cell r="A1949">
            <v>2018</v>
          </cell>
          <cell r="B1949" t="str">
            <v>Budget</v>
          </cell>
          <cell r="C1949" t="str">
            <v>Mar</v>
          </cell>
          <cell r="D1949" t="str">
            <v>Chairs</v>
          </cell>
          <cell r="E1949">
            <v>-6519186.8420000002</v>
          </cell>
          <cell r="F1949">
            <v>3</v>
          </cell>
        </row>
        <row r="1950">
          <cell r="A1950">
            <v>2019</v>
          </cell>
          <cell r="B1950" t="str">
            <v>Actual</v>
          </cell>
          <cell r="C1950" t="str">
            <v>Mar</v>
          </cell>
          <cell r="D1950" t="str">
            <v>Chairs</v>
          </cell>
          <cell r="E1950">
            <v>3641653.5189999999</v>
          </cell>
          <cell r="F1950">
            <v>3</v>
          </cell>
        </row>
        <row r="1951">
          <cell r="A1951">
            <v>2019</v>
          </cell>
          <cell r="B1951" t="str">
            <v>Budget</v>
          </cell>
          <cell r="C1951" t="str">
            <v>Mar</v>
          </cell>
          <cell r="D1951" t="str">
            <v>Tables</v>
          </cell>
          <cell r="E1951">
            <v>19111.945999999996</v>
          </cell>
          <cell r="F1951">
            <v>3</v>
          </cell>
        </row>
        <row r="1952">
          <cell r="A1952">
            <v>2019</v>
          </cell>
          <cell r="B1952" t="str">
            <v>Actual</v>
          </cell>
          <cell r="C1952" t="str">
            <v>Mar</v>
          </cell>
          <cell r="D1952" t="str">
            <v>Kitchen</v>
          </cell>
          <cell r="E1952">
            <v>161988.519</v>
          </cell>
          <cell r="F1952">
            <v>3</v>
          </cell>
        </row>
        <row r="1953">
          <cell r="A1953">
            <v>2018</v>
          </cell>
          <cell r="B1953" t="str">
            <v>Budget</v>
          </cell>
          <cell r="C1953" t="str">
            <v>Mar</v>
          </cell>
          <cell r="D1953" t="str">
            <v>Chairs</v>
          </cell>
          <cell r="E1953">
            <v>71693.489000000001</v>
          </cell>
          <cell r="F1953">
            <v>3</v>
          </cell>
        </row>
        <row r="1954">
          <cell r="A1954">
            <v>2019</v>
          </cell>
          <cell r="B1954" t="str">
            <v>Actual</v>
          </cell>
          <cell r="C1954" t="str">
            <v>Mar</v>
          </cell>
          <cell r="D1954" t="str">
            <v>Chairs</v>
          </cell>
          <cell r="E1954">
            <v>142907.88399999999</v>
          </cell>
          <cell r="F1954">
            <v>3</v>
          </cell>
        </row>
        <row r="1955">
          <cell r="A1955">
            <v>2018</v>
          </cell>
          <cell r="B1955" t="str">
            <v>Budget</v>
          </cell>
          <cell r="C1955" t="str">
            <v>Mar</v>
          </cell>
          <cell r="D1955" t="str">
            <v>Tables</v>
          </cell>
          <cell r="E1955">
            <v>120942.68899999998</v>
          </cell>
          <cell r="F1955">
            <v>3</v>
          </cell>
        </row>
        <row r="1956">
          <cell r="A1956">
            <v>2019</v>
          </cell>
          <cell r="B1956" t="str">
            <v>Actual</v>
          </cell>
          <cell r="C1956" t="str">
            <v>Mar</v>
          </cell>
          <cell r="D1956" t="str">
            <v>Kitchen</v>
          </cell>
          <cell r="E1956">
            <v>58824.093999999997</v>
          </cell>
          <cell r="F1956">
            <v>3</v>
          </cell>
        </row>
        <row r="1957">
          <cell r="A1957">
            <v>2018</v>
          </cell>
          <cell r="B1957" t="str">
            <v>Budget</v>
          </cell>
          <cell r="C1957" t="str">
            <v>Mar</v>
          </cell>
          <cell r="D1957" t="str">
            <v>Accessories</v>
          </cell>
          <cell r="E1957">
            <v>58654.476999999999</v>
          </cell>
          <cell r="F1957">
            <v>3</v>
          </cell>
        </row>
        <row r="1958">
          <cell r="A1958">
            <v>2018</v>
          </cell>
          <cell r="B1958" t="str">
            <v>Actual</v>
          </cell>
          <cell r="C1958" t="str">
            <v>Mar</v>
          </cell>
          <cell r="D1958" t="str">
            <v>Chairs</v>
          </cell>
          <cell r="E1958">
            <v>1558468.5269999998</v>
          </cell>
          <cell r="F1958">
            <v>3</v>
          </cell>
        </row>
        <row r="1959">
          <cell r="A1959">
            <v>2018</v>
          </cell>
          <cell r="B1959" t="str">
            <v>Budget</v>
          </cell>
          <cell r="C1959" t="str">
            <v>Mar</v>
          </cell>
          <cell r="D1959" t="str">
            <v>Tables</v>
          </cell>
          <cell r="E1959">
            <v>1277267.1939999999</v>
          </cell>
          <cell r="F1959">
            <v>3</v>
          </cell>
        </row>
        <row r="1960">
          <cell r="A1960">
            <v>2018</v>
          </cell>
          <cell r="B1960" t="str">
            <v>Actual</v>
          </cell>
          <cell r="C1960" t="str">
            <v>Mar</v>
          </cell>
          <cell r="D1960" t="str">
            <v>Kitchen</v>
          </cell>
          <cell r="E1960">
            <v>306722.58399999997</v>
          </cell>
          <cell r="F1960">
            <v>3</v>
          </cell>
        </row>
        <row r="1961">
          <cell r="A1961">
            <v>2018</v>
          </cell>
          <cell r="B1961" t="str">
            <v>Budget</v>
          </cell>
          <cell r="C1961" t="str">
            <v>Mar</v>
          </cell>
          <cell r="D1961" t="str">
            <v>Accessories</v>
          </cell>
          <cell r="E1961">
            <v>303588.67699999997</v>
          </cell>
          <cell r="F1961">
            <v>3</v>
          </cell>
        </row>
        <row r="1962">
          <cell r="A1962">
            <v>2019</v>
          </cell>
          <cell r="B1962" t="str">
            <v>Actual</v>
          </cell>
          <cell r="C1962" t="str">
            <v>Mar</v>
          </cell>
          <cell r="D1962" t="str">
            <v>Chairs</v>
          </cell>
          <cell r="E1962">
            <v>393203.29299999995</v>
          </cell>
          <cell r="F1962">
            <v>3</v>
          </cell>
        </row>
        <row r="1963">
          <cell r="A1963">
            <v>2018</v>
          </cell>
          <cell r="B1963" t="str">
            <v>Budget</v>
          </cell>
          <cell r="C1963" t="str">
            <v>Mar</v>
          </cell>
          <cell r="D1963" t="str">
            <v>Tables</v>
          </cell>
          <cell r="E1963">
            <v>226288.36300000001</v>
          </cell>
          <cell r="F1963">
            <v>3</v>
          </cell>
        </row>
        <row r="1964">
          <cell r="A1964">
            <v>2019</v>
          </cell>
          <cell r="B1964" t="str">
            <v>Actual</v>
          </cell>
          <cell r="C1964" t="str">
            <v>Mar</v>
          </cell>
          <cell r="D1964" t="str">
            <v>Kitchen</v>
          </cell>
          <cell r="E1964">
            <v>77759.674999999988</v>
          </cell>
          <cell r="F1964">
            <v>3</v>
          </cell>
        </row>
        <row r="1965">
          <cell r="A1965">
            <v>2018</v>
          </cell>
          <cell r="B1965" t="str">
            <v>Budget</v>
          </cell>
          <cell r="C1965" t="str">
            <v>Mar</v>
          </cell>
          <cell r="D1965" t="str">
            <v>Accessories</v>
          </cell>
          <cell r="E1965">
            <v>43985.465999999993</v>
          </cell>
          <cell r="F1965">
            <v>3</v>
          </cell>
        </row>
        <row r="1966">
          <cell r="A1966">
            <v>2018</v>
          </cell>
          <cell r="B1966" t="str">
            <v>Actual</v>
          </cell>
          <cell r="C1966" t="str">
            <v>Mar</v>
          </cell>
          <cell r="D1966" t="str">
            <v>Chairs</v>
          </cell>
          <cell r="E1966">
            <v>71809.751999999993</v>
          </cell>
          <cell r="F1966">
            <v>3</v>
          </cell>
        </row>
        <row r="1967">
          <cell r="A1967">
            <v>2018</v>
          </cell>
          <cell r="B1967" t="str">
            <v>Budget</v>
          </cell>
          <cell r="C1967" t="str">
            <v>Mar</v>
          </cell>
          <cell r="D1967" t="str">
            <v>Tables</v>
          </cell>
          <cell r="E1967">
            <v>167200.20799999998</v>
          </cell>
          <cell r="F1967">
            <v>3</v>
          </cell>
        </row>
        <row r="1968">
          <cell r="A1968">
            <v>2019</v>
          </cell>
          <cell r="B1968" t="str">
            <v>Actual</v>
          </cell>
          <cell r="C1968" t="str">
            <v>Mar</v>
          </cell>
          <cell r="D1968" t="str">
            <v>Kitchen</v>
          </cell>
          <cell r="E1968">
            <v>63418.935999999994</v>
          </cell>
          <cell r="F1968">
            <v>3</v>
          </cell>
        </row>
        <row r="1969">
          <cell r="A1969">
            <v>2019</v>
          </cell>
          <cell r="B1969" t="str">
            <v>Budget</v>
          </cell>
          <cell r="C1969" t="str">
            <v>Mar</v>
          </cell>
          <cell r="D1969" t="str">
            <v>Accessories</v>
          </cell>
          <cell r="E1969">
            <v>57508.962</v>
          </cell>
          <cell r="F1969">
            <v>3</v>
          </cell>
        </row>
        <row r="1970">
          <cell r="A1970">
            <v>2019</v>
          </cell>
          <cell r="B1970" t="str">
            <v>Actual</v>
          </cell>
          <cell r="C1970" t="str">
            <v>Mar</v>
          </cell>
          <cell r="D1970" t="str">
            <v>Chairs</v>
          </cell>
          <cell r="E1970">
            <v>83361.25</v>
          </cell>
          <cell r="F1970">
            <v>3</v>
          </cell>
        </row>
        <row r="1971">
          <cell r="A1971">
            <v>2019</v>
          </cell>
          <cell r="B1971" t="str">
            <v>Budget</v>
          </cell>
          <cell r="C1971" t="str">
            <v>Mar</v>
          </cell>
          <cell r="D1971" t="str">
            <v>Tables</v>
          </cell>
          <cell r="E1971">
            <v>73568.536999999997</v>
          </cell>
          <cell r="F1971">
            <v>3</v>
          </cell>
        </row>
        <row r="1972">
          <cell r="A1972">
            <v>2018</v>
          </cell>
          <cell r="B1972" t="str">
            <v>Actual</v>
          </cell>
          <cell r="C1972" t="str">
            <v>Mar</v>
          </cell>
          <cell r="D1972" t="str">
            <v>Kitchen</v>
          </cell>
          <cell r="E1972">
            <v>132896.16899999999</v>
          </cell>
          <cell r="F1972">
            <v>3</v>
          </cell>
        </row>
        <row r="1973">
          <cell r="A1973">
            <v>2019</v>
          </cell>
          <cell r="B1973" t="str">
            <v>Budget</v>
          </cell>
          <cell r="C1973" t="str">
            <v>Mar</v>
          </cell>
          <cell r="D1973" t="str">
            <v>Accessories</v>
          </cell>
          <cell r="E1973">
            <v>126879.21399999998</v>
          </cell>
          <cell r="F1973">
            <v>3</v>
          </cell>
        </row>
        <row r="1974">
          <cell r="A1974">
            <v>2018</v>
          </cell>
          <cell r="B1974" t="str">
            <v>Actual</v>
          </cell>
          <cell r="C1974" t="str">
            <v>Mar</v>
          </cell>
          <cell r="D1974" t="str">
            <v>Chairs</v>
          </cell>
          <cell r="E1974">
            <v>52547.145000000004</v>
          </cell>
          <cell r="F1974">
            <v>3</v>
          </cell>
        </row>
        <row r="1975">
          <cell r="A1975">
            <v>2019</v>
          </cell>
          <cell r="B1975" t="str">
            <v>Budget</v>
          </cell>
          <cell r="C1975" t="str">
            <v>Mar</v>
          </cell>
          <cell r="D1975" t="str">
            <v>Chairs</v>
          </cell>
          <cell r="E1975">
            <v>115570.728</v>
          </cell>
          <cell r="F1975">
            <v>3</v>
          </cell>
        </row>
        <row r="1976">
          <cell r="A1976">
            <v>2019</v>
          </cell>
          <cell r="B1976" t="str">
            <v>Actual</v>
          </cell>
          <cell r="C1976" t="str">
            <v>Mar</v>
          </cell>
          <cell r="D1976" t="str">
            <v>Tables</v>
          </cell>
          <cell r="E1976">
            <v>178476.17199999999</v>
          </cell>
          <cell r="F1976">
            <v>3</v>
          </cell>
        </row>
        <row r="1977">
          <cell r="A1977">
            <v>2019</v>
          </cell>
          <cell r="B1977" t="str">
            <v>Budget</v>
          </cell>
          <cell r="C1977" t="str">
            <v>Mar</v>
          </cell>
          <cell r="D1977" t="str">
            <v>Kitchen</v>
          </cell>
          <cell r="E1977">
            <v>128201.465</v>
          </cell>
          <cell r="F1977">
            <v>3</v>
          </cell>
        </row>
        <row r="1978">
          <cell r="A1978">
            <v>2019</v>
          </cell>
          <cell r="B1978" t="str">
            <v>Actual</v>
          </cell>
          <cell r="C1978" t="str">
            <v>Mar</v>
          </cell>
          <cell r="D1978" t="str">
            <v>Chairs</v>
          </cell>
          <cell r="E1978">
            <v>825820.02299999993</v>
          </cell>
          <cell r="F1978">
            <v>3</v>
          </cell>
        </row>
        <row r="1979">
          <cell r="A1979">
            <v>2019</v>
          </cell>
          <cell r="B1979" t="str">
            <v>Budget</v>
          </cell>
          <cell r="C1979" t="str">
            <v>Mar</v>
          </cell>
          <cell r="D1979" t="str">
            <v>Tables</v>
          </cell>
          <cell r="E1979">
            <v>436669.64600000001</v>
          </cell>
          <cell r="F1979">
            <v>3</v>
          </cell>
        </row>
        <row r="1980">
          <cell r="A1980">
            <v>2019</v>
          </cell>
          <cell r="B1980" t="str">
            <v>Actual</v>
          </cell>
          <cell r="C1980" t="str">
            <v>Mar</v>
          </cell>
          <cell r="D1980" t="str">
            <v>Kitchen</v>
          </cell>
          <cell r="E1980">
            <v>62548.745000000003</v>
          </cell>
          <cell r="F1980">
            <v>3</v>
          </cell>
        </row>
        <row r="1981">
          <cell r="A1981">
            <v>2018</v>
          </cell>
          <cell r="B1981" t="str">
            <v>Budget</v>
          </cell>
          <cell r="C1981" t="str">
            <v>Mar</v>
          </cell>
          <cell r="D1981" t="str">
            <v>Chairs</v>
          </cell>
          <cell r="E1981">
            <v>278322.36599999998</v>
          </cell>
          <cell r="F1981">
            <v>3</v>
          </cell>
        </row>
        <row r="1982">
          <cell r="A1982">
            <v>2018</v>
          </cell>
          <cell r="B1982" t="str">
            <v>Actual</v>
          </cell>
          <cell r="C1982" t="str">
            <v>Mar</v>
          </cell>
          <cell r="D1982" t="str">
            <v>Tables</v>
          </cell>
          <cell r="E1982">
            <v>157632.916</v>
          </cell>
          <cell r="F1982">
            <v>3</v>
          </cell>
        </row>
        <row r="1983">
          <cell r="A1983">
            <v>2018</v>
          </cell>
          <cell r="B1983" t="str">
            <v>Budget</v>
          </cell>
          <cell r="C1983" t="str">
            <v>Mar</v>
          </cell>
          <cell r="D1983" t="str">
            <v>Kitchen</v>
          </cell>
          <cell r="E1983">
            <v>7188718.943</v>
          </cell>
          <cell r="F1983">
            <v>3</v>
          </cell>
        </row>
        <row r="1984">
          <cell r="A1984">
            <v>2019</v>
          </cell>
          <cell r="B1984" t="str">
            <v>Actual</v>
          </cell>
          <cell r="C1984" t="str">
            <v>Mar</v>
          </cell>
          <cell r="D1984" t="str">
            <v>Chairs</v>
          </cell>
          <cell r="E1984">
            <v>63521.352999999988</v>
          </cell>
          <cell r="F1984">
            <v>3</v>
          </cell>
        </row>
        <row r="1985">
          <cell r="A1985">
            <v>2018</v>
          </cell>
          <cell r="B1985" t="str">
            <v>Budget</v>
          </cell>
          <cell r="C1985" t="str">
            <v>Mar</v>
          </cell>
          <cell r="D1985" t="str">
            <v>Chairs</v>
          </cell>
          <cell r="E1985">
            <v>316892.21899999998</v>
          </cell>
          <cell r="F1985">
            <v>3</v>
          </cell>
        </row>
        <row r="1986">
          <cell r="A1986">
            <v>2018</v>
          </cell>
          <cell r="B1986" t="str">
            <v>Actual</v>
          </cell>
          <cell r="C1986" t="str">
            <v>Mar</v>
          </cell>
          <cell r="D1986" t="str">
            <v>Chairs</v>
          </cell>
          <cell r="E1986">
            <v>111709.976</v>
          </cell>
          <cell r="F1986">
            <v>3</v>
          </cell>
        </row>
        <row r="1987">
          <cell r="A1987">
            <v>2018</v>
          </cell>
          <cell r="B1987" t="str">
            <v>Budget</v>
          </cell>
          <cell r="C1987" t="str">
            <v>Mar</v>
          </cell>
          <cell r="D1987" t="str">
            <v>Chairs</v>
          </cell>
          <cell r="E1987">
            <v>66768.330999999991</v>
          </cell>
          <cell r="F1987">
            <v>3</v>
          </cell>
        </row>
        <row r="1988">
          <cell r="A1988">
            <v>2018</v>
          </cell>
          <cell r="B1988" t="str">
            <v>Actual</v>
          </cell>
          <cell r="C1988" t="str">
            <v>Mar</v>
          </cell>
          <cell r="D1988" t="str">
            <v>Chairs</v>
          </cell>
          <cell r="E1988">
            <v>4438364.0349999992</v>
          </cell>
          <cell r="F1988">
            <v>3</v>
          </cell>
        </row>
        <row r="1989">
          <cell r="A1989">
            <v>2019</v>
          </cell>
          <cell r="B1989" t="str">
            <v>Budget</v>
          </cell>
          <cell r="C1989" t="str">
            <v>Mar</v>
          </cell>
          <cell r="D1989" t="str">
            <v>Chairs</v>
          </cell>
          <cell r="E1989">
            <v>177040.003</v>
          </cell>
          <cell r="F1989">
            <v>3</v>
          </cell>
        </row>
        <row r="1990">
          <cell r="A1990">
            <v>2019</v>
          </cell>
          <cell r="B1990" t="str">
            <v>Actual</v>
          </cell>
          <cell r="C1990" t="str">
            <v>Mar</v>
          </cell>
          <cell r="D1990" t="str">
            <v>Chairs</v>
          </cell>
          <cell r="E1990">
            <v>154872.35399999999</v>
          </cell>
          <cell r="F1990">
            <v>3</v>
          </cell>
        </row>
        <row r="1991">
          <cell r="A1991">
            <v>2018</v>
          </cell>
          <cell r="B1991" t="str">
            <v>Budget</v>
          </cell>
          <cell r="C1991" t="str">
            <v>Mar</v>
          </cell>
          <cell r="D1991" t="str">
            <v>Chairs</v>
          </cell>
          <cell r="E1991">
            <v>96303.290999999997</v>
          </cell>
          <cell r="F1991">
            <v>3</v>
          </cell>
        </row>
        <row r="1992">
          <cell r="A1992">
            <v>2019</v>
          </cell>
          <cell r="B1992" t="str">
            <v>Actual</v>
          </cell>
          <cell r="C1992" t="str">
            <v>Mar</v>
          </cell>
          <cell r="D1992" t="str">
            <v>Chairs</v>
          </cell>
          <cell r="E1992">
            <v>30797.41</v>
          </cell>
          <cell r="F1992">
            <v>3</v>
          </cell>
        </row>
        <row r="1993">
          <cell r="A1993">
            <v>2018</v>
          </cell>
          <cell r="B1993" t="str">
            <v>Budget</v>
          </cell>
          <cell r="C1993" t="str">
            <v>Mar</v>
          </cell>
          <cell r="D1993" t="str">
            <v>Chairs</v>
          </cell>
          <cell r="E1993">
            <v>7789.7259999999997</v>
          </cell>
          <cell r="F1993">
            <v>3</v>
          </cell>
        </row>
        <row r="1994">
          <cell r="A1994">
            <v>2019</v>
          </cell>
          <cell r="B1994" t="str">
            <v>Actual</v>
          </cell>
          <cell r="C1994" t="str">
            <v>Mar</v>
          </cell>
          <cell r="D1994" t="str">
            <v>Chairs</v>
          </cell>
          <cell r="E1994">
            <v>52850.875</v>
          </cell>
          <cell r="F1994">
            <v>3</v>
          </cell>
        </row>
        <row r="1995">
          <cell r="A1995">
            <v>2018</v>
          </cell>
          <cell r="B1995" t="str">
            <v>Budget</v>
          </cell>
          <cell r="C1995" t="str">
            <v>Mar</v>
          </cell>
          <cell r="D1995" t="str">
            <v>Chairs</v>
          </cell>
          <cell r="E1995">
            <v>59870.537999999993</v>
          </cell>
          <cell r="F1995">
            <v>3</v>
          </cell>
        </row>
        <row r="1996">
          <cell r="A1996">
            <v>2018</v>
          </cell>
          <cell r="B1996" t="str">
            <v>Actual</v>
          </cell>
          <cell r="C1996" t="str">
            <v>Mar</v>
          </cell>
          <cell r="D1996" t="str">
            <v>Chairs</v>
          </cell>
          <cell r="E1996">
            <v>188002.70299999998</v>
          </cell>
          <cell r="F1996">
            <v>3</v>
          </cell>
        </row>
        <row r="1997">
          <cell r="A1997">
            <v>2018</v>
          </cell>
          <cell r="B1997" t="str">
            <v>Budget</v>
          </cell>
          <cell r="C1997" t="str">
            <v>Mar</v>
          </cell>
          <cell r="D1997" t="str">
            <v>Chairs</v>
          </cell>
          <cell r="E1997">
            <v>68741.89</v>
          </cell>
          <cell r="F1997">
            <v>3</v>
          </cell>
        </row>
        <row r="1998">
          <cell r="A1998">
            <v>2019</v>
          </cell>
          <cell r="B1998" t="str">
            <v>Actual</v>
          </cell>
          <cell r="C1998" t="str">
            <v>Mar</v>
          </cell>
          <cell r="D1998" t="str">
            <v>Chairs</v>
          </cell>
          <cell r="E1998">
            <v>48868.616999999998</v>
          </cell>
          <cell r="F1998">
            <v>3</v>
          </cell>
        </row>
        <row r="1999">
          <cell r="A1999">
            <v>2018</v>
          </cell>
          <cell r="B1999" t="str">
            <v>Budget</v>
          </cell>
          <cell r="C1999" t="str">
            <v>Mar</v>
          </cell>
          <cell r="D1999" t="str">
            <v>Chairs</v>
          </cell>
          <cell r="E1999">
            <v>298320.05699999997</v>
          </cell>
          <cell r="F1999">
            <v>3</v>
          </cell>
        </row>
        <row r="2000">
          <cell r="A2000">
            <v>2018</v>
          </cell>
          <cell r="B2000" t="str">
            <v>Actual</v>
          </cell>
          <cell r="C2000" t="str">
            <v>Mar</v>
          </cell>
          <cell r="D2000" t="str">
            <v>Chairs</v>
          </cell>
          <cell r="E2000">
            <v>12809.495999999999</v>
          </cell>
          <cell r="F2000">
            <v>3</v>
          </cell>
        </row>
        <row r="2001">
          <cell r="A2001">
            <v>2018</v>
          </cell>
          <cell r="B2001" t="str">
            <v>Budget</v>
          </cell>
          <cell r="C2001" t="str">
            <v>Mar</v>
          </cell>
          <cell r="D2001" t="str">
            <v>Chairs</v>
          </cell>
          <cell r="E2001">
            <v>69226.164000000004</v>
          </cell>
          <cell r="F2001">
            <v>3</v>
          </cell>
        </row>
        <row r="2002">
          <cell r="A2002">
            <v>2019</v>
          </cell>
          <cell r="B2002" t="str">
            <v>Actual</v>
          </cell>
          <cell r="C2002" t="str">
            <v>Mar</v>
          </cell>
          <cell r="D2002" t="str">
            <v>Chairs</v>
          </cell>
          <cell r="E2002">
            <v>212926.27299999999</v>
          </cell>
          <cell r="F2002">
            <v>3</v>
          </cell>
        </row>
        <row r="2003">
          <cell r="A2003">
            <v>2018</v>
          </cell>
          <cell r="B2003" t="str">
            <v>Budget</v>
          </cell>
          <cell r="C2003" t="str">
            <v>Mar</v>
          </cell>
          <cell r="D2003" t="str">
            <v>Chairs</v>
          </cell>
          <cell r="E2003">
            <v>488347.16700000002</v>
          </cell>
          <cell r="F2003">
            <v>3</v>
          </cell>
        </row>
        <row r="2004">
          <cell r="A2004">
            <v>2019</v>
          </cell>
          <cell r="B2004" t="str">
            <v>Actual</v>
          </cell>
          <cell r="C2004" t="str">
            <v>Mar</v>
          </cell>
          <cell r="D2004" t="str">
            <v>Chairs</v>
          </cell>
          <cell r="E2004">
            <v>199075.21899999998</v>
          </cell>
          <cell r="F2004">
            <v>3</v>
          </cell>
        </row>
        <row r="2005">
          <cell r="A2005">
            <v>2019</v>
          </cell>
          <cell r="B2005" t="str">
            <v>Budget</v>
          </cell>
          <cell r="C2005" t="str">
            <v>Mar</v>
          </cell>
          <cell r="D2005" t="str">
            <v>Chairs</v>
          </cell>
          <cell r="E2005">
            <v>17764.768</v>
          </cell>
          <cell r="F2005">
            <v>3</v>
          </cell>
        </row>
        <row r="2006">
          <cell r="A2006">
            <v>2018</v>
          </cell>
          <cell r="B2006" t="str">
            <v>Actual</v>
          </cell>
          <cell r="C2006" t="str">
            <v>Mar</v>
          </cell>
          <cell r="D2006" t="str">
            <v>Chairs</v>
          </cell>
          <cell r="E2006">
            <v>16041.451999999999</v>
          </cell>
          <cell r="F2006">
            <v>3</v>
          </cell>
        </row>
        <row r="2007">
          <cell r="A2007">
            <v>2018</v>
          </cell>
          <cell r="B2007" t="str">
            <v>Budget</v>
          </cell>
          <cell r="C2007" t="str">
            <v>Mar</v>
          </cell>
          <cell r="D2007" t="str">
            <v>Chairs</v>
          </cell>
          <cell r="E2007">
            <v>1413.412</v>
          </cell>
          <cell r="F2007">
            <v>3</v>
          </cell>
        </row>
        <row r="2008">
          <cell r="A2008">
            <v>2019</v>
          </cell>
          <cell r="B2008" t="str">
            <v>Actual</v>
          </cell>
          <cell r="C2008" t="str">
            <v>Mar</v>
          </cell>
          <cell r="D2008" t="str">
            <v>Chairs</v>
          </cell>
          <cell r="E2008">
            <v>351574.60800000001</v>
          </cell>
          <cell r="F2008">
            <v>3</v>
          </cell>
        </row>
        <row r="2009">
          <cell r="A2009">
            <v>2019</v>
          </cell>
          <cell r="B2009" t="str">
            <v>Budget</v>
          </cell>
          <cell r="C2009" t="str">
            <v>Mar</v>
          </cell>
          <cell r="D2009" t="str">
            <v>Chairs</v>
          </cell>
          <cell r="E2009">
            <v>9329689.5299999993</v>
          </cell>
          <cell r="F2009">
            <v>3</v>
          </cell>
        </row>
        <row r="2010">
          <cell r="A2010">
            <v>2018</v>
          </cell>
          <cell r="B2010" t="str">
            <v>Actual</v>
          </cell>
          <cell r="C2010" t="str">
            <v>Mar</v>
          </cell>
          <cell r="D2010" t="str">
            <v>Tables</v>
          </cell>
          <cell r="E2010">
            <v>50838.095000000001</v>
          </cell>
          <cell r="F2010">
            <v>3</v>
          </cell>
        </row>
        <row r="2011">
          <cell r="A2011">
            <v>2019</v>
          </cell>
          <cell r="B2011" t="str">
            <v>Budget</v>
          </cell>
          <cell r="C2011" t="str">
            <v>Mar</v>
          </cell>
          <cell r="D2011" t="str">
            <v>Kitchen</v>
          </cell>
          <cell r="E2011">
            <v>727066.57799999998</v>
          </cell>
          <cell r="F2011">
            <v>3</v>
          </cell>
        </row>
        <row r="2012">
          <cell r="A2012">
            <v>2018</v>
          </cell>
          <cell r="B2012" t="str">
            <v>Actual</v>
          </cell>
          <cell r="C2012" t="str">
            <v>Mar</v>
          </cell>
          <cell r="D2012" t="str">
            <v>Chairs</v>
          </cell>
          <cell r="E2012">
            <v>461576.27600000001</v>
          </cell>
          <cell r="F2012">
            <v>3</v>
          </cell>
        </row>
        <row r="2013">
          <cell r="A2013">
            <v>2019</v>
          </cell>
          <cell r="B2013" t="str">
            <v>Budget</v>
          </cell>
          <cell r="C2013" t="str">
            <v>Mar</v>
          </cell>
          <cell r="D2013" t="str">
            <v>Chairs</v>
          </cell>
          <cell r="E2013">
            <v>579453.63699999999</v>
          </cell>
          <cell r="F2013">
            <v>3</v>
          </cell>
        </row>
        <row r="2014">
          <cell r="A2014">
            <v>2018</v>
          </cell>
          <cell r="B2014" t="str">
            <v>Actual</v>
          </cell>
          <cell r="C2014" t="str">
            <v>Mar</v>
          </cell>
          <cell r="D2014" t="str">
            <v>Chairs</v>
          </cell>
          <cell r="E2014">
            <v>482076.68599999993</v>
          </cell>
          <cell r="F2014">
            <v>3</v>
          </cell>
        </row>
        <row r="2015">
          <cell r="A2015">
            <v>2018</v>
          </cell>
          <cell r="B2015" t="str">
            <v>Budget</v>
          </cell>
          <cell r="C2015" t="str">
            <v>Mar</v>
          </cell>
          <cell r="D2015" t="str">
            <v>Chairs</v>
          </cell>
          <cell r="E2015">
            <v>159470.94099999999</v>
          </cell>
          <cell r="F2015">
            <v>3</v>
          </cell>
        </row>
        <row r="2016">
          <cell r="A2016">
            <v>2018</v>
          </cell>
          <cell r="B2016" t="str">
            <v>Actual</v>
          </cell>
          <cell r="C2016" t="str">
            <v>Mar</v>
          </cell>
          <cell r="D2016" t="str">
            <v>Chairs</v>
          </cell>
          <cell r="E2016">
            <v>397966.16299999994</v>
          </cell>
          <cell r="F2016">
            <v>3</v>
          </cell>
        </row>
        <row r="2017">
          <cell r="A2017">
            <v>2018</v>
          </cell>
          <cell r="B2017" t="str">
            <v>Budget</v>
          </cell>
          <cell r="C2017" t="str">
            <v>Mar</v>
          </cell>
          <cell r="D2017" t="str">
            <v>Tables</v>
          </cell>
          <cell r="E2017">
            <v>3199935.1159999999</v>
          </cell>
          <cell r="F2017">
            <v>3</v>
          </cell>
        </row>
        <row r="2018">
          <cell r="A2018">
            <v>2018</v>
          </cell>
          <cell r="B2018" t="str">
            <v>Actual</v>
          </cell>
          <cell r="C2018" t="str">
            <v>Mar</v>
          </cell>
          <cell r="D2018" t="str">
            <v>Kitchen</v>
          </cell>
          <cell r="E2018">
            <v>1121022.308</v>
          </cell>
          <cell r="F2018">
            <v>3</v>
          </cell>
        </row>
        <row r="2019">
          <cell r="A2019">
            <v>2018</v>
          </cell>
          <cell r="B2019" t="str">
            <v>Budget</v>
          </cell>
          <cell r="C2019" t="str">
            <v>Mar</v>
          </cell>
          <cell r="D2019" t="str">
            <v>Chairs</v>
          </cell>
          <cell r="E2019">
            <v>3347496.068</v>
          </cell>
          <cell r="F2019">
            <v>3</v>
          </cell>
        </row>
        <row r="2020">
          <cell r="A2020">
            <v>2019</v>
          </cell>
          <cell r="B2020" t="str">
            <v>Actual</v>
          </cell>
          <cell r="C2020" t="str">
            <v>Mar</v>
          </cell>
          <cell r="D2020" t="str">
            <v>Chairs</v>
          </cell>
          <cell r="E2020">
            <v>849855.03399999999</v>
          </cell>
          <cell r="F2020">
            <v>3</v>
          </cell>
        </row>
        <row r="2021">
          <cell r="A2021">
            <v>2018</v>
          </cell>
          <cell r="B2021" t="str">
            <v>Budget</v>
          </cell>
          <cell r="C2021" t="str">
            <v>Mar</v>
          </cell>
          <cell r="D2021" t="str">
            <v>Chairs</v>
          </cell>
          <cell r="E2021">
            <v>381100.72</v>
          </cell>
          <cell r="F2021">
            <v>3</v>
          </cell>
        </row>
        <row r="2022">
          <cell r="A2022">
            <v>2018</v>
          </cell>
          <cell r="B2022" t="str">
            <v>Actual</v>
          </cell>
          <cell r="C2022" t="str">
            <v>Mar</v>
          </cell>
          <cell r="D2022" t="str">
            <v>Tables</v>
          </cell>
          <cell r="E2022">
            <v>2682716.8969999999</v>
          </cell>
          <cell r="F2022">
            <v>3</v>
          </cell>
        </row>
        <row r="2023">
          <cell r="A2023">
            <v>2018</v>
          </cell>
          <cell r="B2023" t="str">
            <v>Budget</v>
          </cell>
          <cell r="C2023" t="str">
            <v>Mar</v>
          </cell>
          <cell r="D2023" t="str">
            <v>Kitchen</v>
          </cell>
          <cell r="E2023">
            <v>2172147.25</v>
          </cell>
          <cell r="F2023">
            <v>3</v>
          </cell>
        </row>
        <row r="2024">
          <cell r="A2024">
            <v>2018</v>
          </cell>
          <cell r="B2024" t="str">
            <v>Actual</v>
          </cell>
          <cell r="C2024" t="str">
            <v>Mar</v>
          </cell>
          <cell r="D2024" t="str">
            <v>Chairs</v>
          </cell>
          <cell r="E2024">
            <v>455558.95699999999</v>
          </cell>
          <cell r="F2024">
            <v>3</v>
          </cell>
        </row>
        <row r="2025">
          <cell r="A2025">
            <v>2019</v>
          </cell>
          <cell r="B2025" t="str">
            <v>Budget</v>
          </cell>
          <cell r="C2025" t="str">
            <v>Mar</v>
          </cell>
          <cell r="D2025" t="str">
            <v>Chairs</v>
          </cell>
          <cell r="E2025">
            <v>2010543.4439999999</v>
          </cell>
          <cell r="F2025">
            <v>3</v>
          </cell>
        </row>
        <row r="2026">
          <cell r="A2026">
            <v>2019</v>
          </cell>
          <cell r="B2026" t="str">
            <v>Actual</v>
          </cell>
          <cell r="C2026" t="str">
            <v>Mar</v>
          </cell>
          <cell r="D2026" t="str">
            <v>Tables</v>
          </cell>
          <cell r="E2026">
            <v>529197.07399999991</v>
          </cell>
          <cell r="F2026">
            <v>3</v>
          </cell>
        </row>
        <row r="2027">
          <cell r="A2027">
            <v>2019</v>
          </cell>
          <cell r="B2027" t="str">
            <v>Budget</v>
          </cell>
          <cell r="C2027" t="str">
            <v>Mar</v>
          </cell>
          <cell r="D2027" t="str">
            <v>Kitchen</v>
          </cell>
          <cell r="E2027">
            <v>26198.06</v>
          </cell>
          <cell r="F2027">
            <v>3</v>
          </cell>
        </row>
        <row r="2028">
          <cell r="A2028">
            <v>2018</v>
          </cell>
          <cell r="B2028" t="str">
            <v>Actual</v>
          </cell>
          <cell r="C2028" t="str">
            <v>Mar</v>
          </cell>
          <cell r="D2028" t="str">
            <v>Chairs</v>
          </cell>
          <cell r="E2028">
            <v>17539.024999999998</v>
          </cell>
          <cell r="F2028">
            <v>3</v>
          </cell>
        </row>
        <row r="2029">
          <cell r="A2029">
            <v>2018</v>
          </cell>
          <cell r="B2029" t="str">
            <v>Budget</v>
          </cell>
          <cell r="C2029" t="str">
            <v>Mar</v>
          </cell>
          <cell r="D2029" t="str">
            <v>Chairs</v>
          </cell>
          <cell r="E2029">
            <v>83037.877999999997</v>
          </cell>
          <cell r="F2029">
            <v>3</v>
          </cell>
        </row>
        <row r="2030">
          <cell r="A2030">
            <v>2019</v>
          </cell>
          <cell r="B2030" t="str">
            <v>Actual</v>
          </cell>
          <cell r="C2030" t="str">
            <v>Mar</v>
          </cell>
          <cell r="D2030" t="str">
            <v>Tables</v>
          </cell>
          <cell r="E2030">
            <v>25110.05</v>
          </cell>
          <cell r="F2030">
            <v>3</v>
          </cell>
        </row>
        <row r="2031">
          <cell r="A2031">
            <v>2018</v>
          </cell>
          <cell r="B2031" t="str">
            <v>Budget</v>
          </cell>
          <cell r="C2031" t="str">
            <v>Mar</v>
          </cell>
          <cell r="D2031" t="str">
            <v>Chairs</v>
          </cell>
          <cell r="E2031">
            <v>1194730.838</v>
          </cell>
          <cell r="F2031">
            <v>3</v>
          </cell>
        </row>
        <row r="2032">
          <cell r="A2032">
            <v>2018</v>
          </cell>
          <cell r="B2032" t="str">
            <v>Actual</v>
          </cell>
          <cell r="C2032" t="str">
            <v>Mar</v>
          </cell>
          <cell r="D2032" t="str">
            <v>Tables</v>
          </cell>
          <cell r="E2032">
            <v>1140055.4689999998</v>
          </cell>
          <cell r="F2032">
            <v>3</v>
          </cell>
        </row>
        <row r="2033">
          <cell r="A2033">
            <v>2019</v>
          </cell>
          <cell r="B2033" t="str">
            <v>Budget</v>
          </cell>
          <cell r="C2033" t="str">
            <v>Mar</v>
          </cell>
          <cell r="D2033" t="str">
            <v>Kitchen</v>
          </cell>
          <cell r="E2033">
            <v>1292885.699</v>
          </cell>
          <cell r="F2033">
            <v>3</v>
          </cell>
        </row>
        <row r="2034">
          <cell r="A2034">
            <v>2019</v>
          </cell>
          <cell r="B2034" t="str">
            <v>Actual</v>
          </cell>
          <cell r="C2034" t="str">
            <v>Mar</v>
          </cell>
          <cell r="D2034" t="str">
            <v>Accessories</v>
          </cell>
          <cell r="E2034">
            <v>242650.14199999999</v>
          </cell>
          <cell r="F2034">
            <v>3</v>
          </cell>
        </row>
        <row r="2035">
          <cell r="A2035">
            <v>2019</v>
          </cell>
          <cell r="B2035" t="str">
            <v>Budget</v>
          </cell>
          <cell r="C2035" t="str">
            <v>Mar</v>
          </cell>
          <cell r="D2035" t="str">
            <v>Chairs</v>
          </cell>
          <cell r="E2035">
            <v>207086.117</v>
          </cell>
          <cell r="F2035">
            <v>3</v>
          </cell>
        </row>
        <row r="2036">
          <cell r="A2036">
            <v>2019</v>
          </cell>
          <cell r="B2036" t="str">
            <v>Actual</v>
          </cell>
          <cell r="C2036" t="str">
            <v>Mar</v>
          </cell>
          <cell r="D2036" t="str">
            <v>Tables</v>
          </cell>
          <cell r="E2036">
            <v>248014.12299999999</v>
          </cell>
          <cell r="F2036">
            <v>3</v>
          </cell>
        </row>
        <row r="2037">
          <cell r="A2037">
            <v>2019</v>
          </cell>
          <cell r="B2037" t="str">
            <v>Budget</v>
          </cell>
          <cell r="C2037" t="str">
            <v>Mar</v>
          </cell>
          <cell r="D2037" t="str">
            <v>Kitchen</v>
          </cell>
          <cell r="E2037">
            <v>182585.16500000001</v>
          </cell>
          <cell r="F2037">
            <v>3</v>
          </cell>
        </row>
        <row r="2038">
          <cell r="A2038">
            <v>2018</v>
          </cell>
          <cell r="B2038" t="str">
            <v>Actual</v>
          </cell>
          <cell r="C2038" t="str">
            <v>Mar</v>
          </cell>
          <cell r="D2038" t="str">
            <v>Accessories</v>
          </cell>
          <cell r="E2038">
            <v>970478.62799999991</v>
          </cell>
          <cell r="F2038">
            <v>3</v>
          </cell>
        </row>
        <row r="2039">
          <cell r="A2039">
            <v>2019</v>
          </cell>
          <cell r="B2039" t="str">
            <v>Budget</v>
          </cell>
          <cell r="C2039" t="str">
            <v>Mar</v>
          </cell>
          <cell r="D2039" t="str">
            <v>Chairs</v>
          </cell>
          <cell r="E2039">
            <v>364902.538</v>
          </cell>
          <cell r="F2039">
            <v>3</v>
          </cell>
        </row>
        <row r="2040">
          <cell r="A2040">
            <v>2019</v>
          </cell>
          <cell r="B2040" t="str">
            <v>Actual</v>
          </cell>
          <cell r="C2040" t="str">
            <v>Mar</v>
          </cell>
          <cell r="D2040" t="str">
            <v>Tables</v>
          </cell>
          <cell r="E2040">
            <v>398491.77199999994</v>
          </cell>
          <cell r="F2040">
            <v>3</v>
          </cell>
        </row>
        <row r="2041">
          <cell r="A2041">
            <v>2018</v>
          </cell>
          <cell r="B2041" t="str">
            <v>Budget</v>
          </cell>
          <cell r="C2041" t="str">
            <v>Mar</v>
          </cell>
          <cell r="D2041" t="str">
            <v>Kitchen</v>
          </cell>
          <cell r="E2041">
            <v>1627960.3759999999</v>
          </cell>
          <cell r="F2041">
            <v>3</v>
          </cell>
        </row>
        <row r="2042">
          <cell r="A2042">
            <v>2018</v>
          </cell>
          <cell r="B2042" t="str">
            <v>Actual</v>
          </cell>
          <cell r="C2042" t="str">
            <v>Mar</v>
          </cell>
          <cell r="D2042" t="str">
            <v>Accessories</v>
          </cell>
          <cell r="E2042">
            <v>79716.881999999998</v>
          </cell>
          <cell r="F2042">
            <v>3</v>
          </cell>
        </row>
        <row r="2043">
          <cell r="A2043">
            <v>2018</v>
          </cell>
          <cell r="B2043" t="str">
            <v>Budget</v>
          </cell>
          <cell r="C2043" t="str">
            <v>Mar</v>
          </cell>
          <cell r="D2043" t="str">
            <v>Chairs</v>
          </cell>
          <cell r="E2043">
            <v>19891.080999999998</v>
          </cell>
          <cell r="F2043">
            <v>3</v>
          </cell>
        </row>
        <row r="2044">
          <cell r="A2044">
            <v>2019</v>
          </cell>
          <cell r="B2044" t="str">
            <v>Actual</v>
          </cell>
          <cell r="C2044" t="str">
            <v>Mar</v>
          </cell>
          <cell r="D2044" t="str">
            <v>Tables</v>
          </cell>
          <cell r="E2044">
            <v>316932.27299999999</v>
          </cell>
          <cell r="F2044">
            <v>3</v>
          </cell>
        </row>
        <row r="2045">
          <cell r="A2045">
            <v>2018</v>
          </cell>
          <cell r="B2045" t="str">
            <v>Budget</v>
          </cell>
          <cell r="C2045" t="str">
            <v>Mar</v>
          </cell>
          <cell r="D2045" t="str">
            <v>Kitchen</v>
          </cell>
          <cell r="E2045">
            <v>763415.09299999999</v>
          </cell>
          <cell r="F2045">
            <v>3</v>
          </cell>
        </row>
        <row r="2046">
          <cell r="A2046">
            <v>2018</v>
          </cell>
          <cell r="B2046" t="str">
            <v>Actual</v>
          </cell>
          <cell r="C2046" t="str">
            <v>Mar</v>
          </cell>
          <cell r="D2046" t="str">
            <v>Accessories</v>
          </cell>
          <cell r="E2046">
            <v>277020.64600000001</v>
          </cell>
          <cell r="F2046">
            <v>3</v>
          </cell>
        </row>
        <row r="2047">
          <cell r="A2047">
            <v>2019</v>
          </cell>
          <cell r="B2047" t="str">
            <v>Budget</v>
          </cell>
          <cell r="C2047" t="str">
            <v>Mar</v>
          </cell>
          <cell r="D2047" t="str">
            <v>Chairs</v>
          </cell>
          <cell r="E2047">
            <v>409723.52399999992</v>
          </cell>
          <cell r="F2047">
            <v>3</v>
          </cell>
        </row>
        <row r="2048">
          <cell r="A2048">
            <v>2019</v>
          </cell>
          <cell r="B2048" t="str">
            <v>Actual</v>
          </cell>
          <cell r="C2048" t="str">
            <v>Mar</v>
          </cell>
          <cell r="D2048" t="str">
            <v>Chairs</v>
          </cell>
          <cell r="E2048">
            <v>1193353.8539999998</v>
          </cell>
          <cell r="F2048">
            <v>3</v>
          </cell>
        </row>
        <row r="2049">
          <cell r="A2049">
            <v>2019</v>
          </cell>
          <cell r="B2049" t="str">
            <v>Budget</v>
          </cell>
          <cell r="C2049" t="str">
            <v>Mar</v>
          </cell>
          <cell r="D2049" t="str">
            <v>Tables</v>
          </cell>
          <cell r="E2049">
            <v>799997.03699999989</v>
          </cell>
          <cell r="F2049">
            <v>3</v>
          </cell>
        </row>
        <row r="2050">
          <cell r="A2050">
            <v>2018</v>
          </cell>
          <cell r="B2050" t="str">
            <v>Actual</v>
          </cell>
          <cell r="C2050" t="str">
            <v>Mar</v>
          </cell>
          <cell r="D2050" t="str">
            <v>Kitchen</v>
          </cell>
          <cell r="E2050">
            <v>1258830.923</v>
          </cell>
          <cell r="F2050">
            <v>3</v>
          </cell>
        </row>
        <row r="2051">
          <cell r="A2051">
            <v>2018</v>
          </cell>
          <cell r="B2051" t="str">
            <v>Budget</v>
          </cell>
          <cell r="C2051" t="str">
            <v>Mar</v>
          </cell>
          <cell r="D2051" t="str">
            <v>Chairs</v>
          </cell>
          <cell r="E2051">
            <v>124923.32999999999</v>
          </cell>
          <cell r="F2051">
            <v>3</v>
          </cell>
        </row>
        <row r="2052">
          <cell r="A2052">
            <v>2018</v>
          </cell>
          <cell r="B2052" t="str">
            <v>Actual</v>
          </cell>
          <cell r="C2052" t="str">
            <v>Mar</v>
          </cell>
          <cell r="D2052" t="str">
            <v>Tables</v>
          </cell>
          <cell r="E2052">
            <v>374484.25</v>
          </cell>
          <cell r="F2052">
            <v>3</v>
          </cell>
        </row>
        <row r="2053">
          <cell r="A2053">
            <v>2018</v>
          </cell>
          <cell r="B2053" t="str">
            <v>Budget</v>
          </cell>
          <cell r="C2053" t="str">
            <v>Mar</v>
          </cell>
          <cell r="D2053" t="str">
            <v>Kitchen</v>
          </cell>
          <cell r="E2053">
            <v>124478.23499999999</v>
          </cell>
          <cell r="F2053">
            <v>3</v>
          </cell>
        </row>
        <row r="2054">
          <cell r="A2054">
            <v>2018</v>
          </cell>
          <cell r="B2054" t="str">
            <v>Actual</v>
          </cell>
          <cell r="C2054" t="str">
            <v>Mar</v>
          </cell>
          <cell r="D2054" t="str">
            <v>Chairs</v>
          </cell>
          <cell r="E2054">
            <v>495990.78899999999</v>
          </cell>
          <cell r="F2054">
            <v>3</v>
          </cell>
        </row>
        <row r="2055">
          <cell r="A2055">
            <v>2018</v>
          </cell>
          <cell r="B2055" t="str">
            <v>Budget</v>
          </cell>
          <cell r="C2055" t="str">
            <v>Mar</v>
          </cell>
          <cell r="D2055" t="str">
            <v>Tables</v>
          </cell>
          <cell r="E2055">
            <v>110101.894</v>
          </cell>
          <cell r="F2055">
            <v>3</v>
          </cell>
        </row>
        <row r="2056">
          <cell r="A2056">
            <v>2019</v>
          </cell>
          <cell r="B2056" t="str">
            <v>Actual</v>
          </cell>
          <cell r="C2056" t="str">
            <v>Mar</v>
          </cell>
          <cell r="D2056" t="str">
            <v>Kitchen</v>
          </cell>
          <cell r="E2056">
            <v>24185.679</v>
          </cell>
          <cell r="F2056">
            <v>3</v>
          </cell>
        </row>
        <row r="2057">
          <cell r="A2057">
            <v>2018</v>
          </cell>
          <cell r="B2057" t="str">
            <v>Budget</v>
          </cell>
          <cell r="C2057" t="str">
            <v>Mar</v>
          </cell>
          <cell r="D2057" t="str">
            <v>Chairs</v>
          </cell>
          <cell r="E2057">
            <v>132108.35399999999</v>
          </cell>
          <cell r="F2057">
            <v>3</v>
          </cell>
        </row>
        <row r="2058">
          <cell r="A2058">
            <v>2019</v>
          </cell>
          <cell r="B2058" t="str">
            <v>Actual</v>
          </cell>
          <cell r="C2058" t="str">
            <v>Mar</v>
          </cell>
          <cell r="D2058" t="str">
            <v>Chairs</v>
          </cell>
          <cell r="E2058">
            <v>95450.474000000002</v>
          </cell>
          <cell r="F2058">
            <v>3</v>
          </cell>
        </row>
        <row r="2059">
          <cell r="A2059">
            <v>2018</v>
          </cell>
          <cell r="B2059" t="str">
            <v>Budget</v>
          </cell>
          <cell r="C2059" t="str">
            <v>Mar</v>
          </cell>
          <cell r="D2059" t="str">
            <v>Chairs</v>
          </cell>
          <cell r="E2059">
            <v>174559.93799999999</v>
          </cell>
          <cell r="F2059">
            <v>3</v>
          </cell>
        </row>
        <row r="2060">
          <cell r="A2060">
            <v>2018</v>
          </cell>
          <cell r="B2060" t="str">
            <v>Actual</v>
          </cell>
          <cell r="C2060" t="str">
            <v>Mar</v>
          </cell>
          <cell r="D2060" t="str">
            <v>Chairs</v>
          </cell>
          <cell r="E2060">
            <v>116859.63799999999</v>
          </cell>
          <cell r="F2060">
            <v>3</v>
          </cell>
        </row>
        <row r="2061">
          <cell r="A2061">
            <v>2018</v>
          </cell>
          <cell r="B2061" t="str">
            <v>Budget</v>
          </cell>
          <cell r="C2061" t="str">
            <v>Mar</v>
          </cell>
          <cell r="D2061" t="str">
            <v>Chairs</v>
          </cell>
          <cell r="E2061">
            <v>41269.654999999999</v>
          </cell>
          <cell r="F2061">
            <v>3</v>
          </cell>
        </row>
        <row r="2062">
          <cell r="A2062">
            <v>2018</v>
          </cell>
          <cell r="B2062" t="str">
            <v>Actual</v>
          </cell>
          <cell r="C2062" t="str">
            <v>Mar</v>
          </cell>
          <cell r="D2062" t="str">
            <v>Chairs</v>
          </cell>
          <cell r="E2062">
            <v>31298.302</v>
          </cell>
          <cell r="F2062">
            <v>3</v>
          </cell>
        </row>
        <row r="2063">
          <cell r="A2063">
            <v>2019</v>
          </cell>
          <cell r="B2063" t="str">
            <v>Budget</v>
          </cell>
          <cell r="C2063" t="str">
            <v>Mar</v>
          </cell>
          <cell r="D2063" t="str">
            <v>Chairs</v>
          </cell>
          <cell r="E2063">
            <v>99710.638999999981</v>
          </cell>
          <cell r="F2063">
            <v>3</v>
          </cell>
        </row>
        <row r="2064">
          <cell r="A2064">
            <v>2018</v>
          </cell>
          <cell r="B2064" t="str">
            <v>Actual</v>
          </cell>
          <cell r="C2064" t="str">
            <v>Mar</v>
          </cell>
          <cell r="D2064" t="str">
            <v>Chairs</v>
          </cell>
          <cell r="E2064">
            <v>175132.72699999998</v>
          </cell>
          <cell r="F2064">
            <v>3</v>
          </cell>
        </row>
        <row r="2065">
          <cell r="A2065">
            <v>2018</v>
          </cell>
          <cell r="B2065" t="str">
            <v>Budget</v>
          </cell>
          <cell r="C2065" t="str">
            <v>Mar</v>
          </cell>
          <cell r="D2065" t="str">
            <v>Chairs</v>
          </cell>
          <cell r="E2065">
            <v>91291.010999999999</v>
          </cell>
          <cell r="F2065">
            <v>3</v>
          </cell>
        </row>
        <row r="2066">
          <cell r="A2066">
            <v>2019</v>
          </cell>
          <cell r="B2066" t="str">
            <v>Actual</v>
          </cell>
          <cell r="C2066" t="str">
            <v>Mar</v>
          </cell>
          <cell r="D2066" t="str">
            <v>Chairs</v>
          </cell>
          <cell r="E2066">
            <v>22825.270999999997</v>
          </cell>
          <cell r="F2066">
            <v>3</v>
          </cell>
        </row>
        <row r="2067">
          <cell r="A2067">
            <v>2018</v>
          </cell>
          <cell r="B2067" t="str">
            <v>Budget</v>
          </cell>
          <cell r="C2067" t="str">
            <v>Mar</v>
          </cell>
          <cell r="D2067" t="str">
            <v>Chairs</v>
          </cell>
          <cell r="E2067">
            <v>769.33499999999992</v>
          </cell>
          <cell r="F2067">
            <v>3</v>
          </cell>
        </row>
        <row r="2068">
          <cell r="A2068">
            <v>2018</v>
          </cell>
          <cell r="B2068" t="str">
            <v>Actual</v>
          </cell>
          <cell r="C2068" t="str">
            <v>Mar</v>
          </cell>
          <cell r="D2068" t="str">
            <v>Chairs</v>
          </cell>
          <cell r="E2068">
            <v>10433.276</v>
          </cell>
          <cell r="F2068">
            <v>3</v>
          </cell>
        </row>
        <row r="2069">
          <cell r="A2069">
            <v>2019</v>
          </cell>
          <cell r="B2069" t="str">
            <v>Budget</v>
          </cell>
          <cell r="C2069" t="str">
            <v>Mar</v>
          </cell>
          <cell r="D2069" t="str">
            <v>Chairs</v>
          </cell>
          <cell r="E2069">
            <v>388213.93099999992</v>
          </cell>
          <cell r="F2069">
            <v>3</v>
          </cell>
        </row>
        <row r="2070">
          <cell r="A2070">
            <v>2018</v>
          </cell>
          <cell r="B2070" t="str">
            <v>Actual</v>
          </cell>
          <cell r="C2070" t="str">
            <v>Mar</v>
          </cell>
          <cell r="D2070" t="str">
            <v>Chairs</v>
          </cell>
          <cell r="E2070">
            <v>1230758.963</v>
          </cell>
          <cell r="F2070">
            <v>3</v>
          </cell>
        </row>
        <row r="2071">
          <cell r="A2071">
            <v>2018</v>
          </cell>
          <cell r="B2071" t="str">
            <v>Budget</v>
          </cell>
          <cell r="C2071" t="str">
            <v>Mar</v>
          </cell>
          <cell r="D2071" t="str">
            <v>Chairs</v>
          </cell>
          <cell r="E2071">
            <v>25950.505000000001</v>
          </cell>
          <cell r="F2071">
            <v>3</v>
          </cell>
        </row>
        <row r="2072">
          <cell r="A2072">
            <v>2018</v>
          </cell>
          <cell r="B2072" t="str">
            <v>Actual</v>
          </cell>
          <cell r="C2072" t="str">
            <v>Mar</v>
          </cell>
          <cell r="D2072" t="str">
            <v>Chairs</v>
          </cell>
          <cell r="E2072">
            <v>93851.141999999993</v>
          </cell>
          <cell r="F2072">
            <v>3</v>
          </cell>
        </row>
        <row r="2073">
          <cell r="A2073">
            <v>2018</v>
          </cell>
          <cell r="B2073" t="str">
            <v>Budget</v>
          </cell>
          <cell r="C2073" t="str">
            <v>Mar</v>
          </cell>
          <cell r="D2073" t="str">
            <v>Chairs</v>
          </cell>
          <cell r="E2073">
            <v>504630.79799999995</v>
          </cell>
          <cell r="F2073">
            <v>3</v>
          </cell>
        </row>
        <row r="2074">
          <cell r="A2074">
            <v>2019</v>
          </cell>
          <cell r="B2074" t="str">
            <v>Actual</v>
          </cell>
          <cell r="C2074" t="str">
            <v>Mar</v>
          </cell>
          <cell r="D2074" t="str">
            <v>Chairs</v>
          </cell>
          <cell r="E2074">
            <v>83981.330999999991</v>
          </cell>
          <cell r="F2074">
            <v>3</v>
          </cell>
        </row>
        <row r="2075">
          <cell r="A2075">
            <v>2018</v>
          </cell>
          <cell r="B2075" t="str">
            <v>Budget</v>
          </cell>
          <cell r="C2075" t="str">
            <v>Mar</v>
          </cell>
          <cell r="D2075" t="str">
            <v>Chairs</v>
          </cell>
          <cell r="E2075">
            <v>120518.18799999999</v>
          </cell>
          <cell r="F2075">
            <v>3</v>
          </cell>
        </row>
        <row r="2076">
          <cell r="A2076">
            <v>2018</v>
          </cell>
          <cell r="B2076" t="str">
            <v>Actual</v>
          </cell>
          <cell r="C2076" t="str">
            <v>Mar</v>
          </cell>
          <cell r="D2076" t="str">
            <v>Chairs</v>
          </cell>
          <cell r="E2076">
            <v>678559.64399999997</v>
          </cell>
          <cell r="F2076">
            <v>3</v>
          </cell>
        </row>
        <row r="2077">
          <cell r="A2077">
            <v>2019</v>
          </cell>
          <cell r="B2077" t="str">
            <v>Budget</v>
          </cell>
          <cell r="C2077" t="str">
            <v>Mar</v>
          </cell>
          <cell r="D2077" t="str">
            <v>Chairs</v>
          </cell>
          <cell r="E2077">
            <v>289362.88499999995</v>
          </cell>
          <cell r="F2077">
            <v>3</v>
          </cell>
        </row>
        <row r="2078">
          <cell r="A2078">
            <v>2018</v>
          </cell>
          <cell r="B2078" t="str">
            <v>Actual</v>
          </cell>
          <cell r="C2078" t="str">
            <v>Mar</v>
          </cell>
          <cell r="D2078" t="str">
            <v>Chairs</v>
          </cell>
          <cell r="E2078">
            <v>541.4849999999999</v>
          </cell>
          <cell r="F2078">
            <v>3</v>
          </cell>
        </row>
        <row r="2079">
          <cell r="A2079">
            <v>2018</v>
          </cell>
          <cell r="B2079" t="str">
            <v>Budget</v>
          </cell>
          <cell r="C2079" t="str">
            <v>Mar</v>
          </cell>
          <cell r="D2079" t="str">
            <v>Chairs</v>
          </cell>
          <cell r="E2079">
            <v>908781.56599999988</v>
          </cell>
          <cell r="F2079">
            <v>3</v>
          </cell>
        </row>
        <row r="2080">
          <cell r="A2080">
            <v>2018</v>
          </cell>
          <cell r="B2080" t="str">
            <v>Actual</v>
          </cell>
          <cell r="C2080" t="str">
            <v>Mar</v>
          </cell>
          <cell r="D2080" t="str">
            <v>Chairs</v>
          </cell>
          <cell r="E2080">
            <v>844372.92099999997</v>
          </cell>
          <cell r="F2080">
            <v>3</v>
          </cell>
        </row>
        <row r="2081">
          <cell r="A2081">
            <v>2018</v>
          </cell>
          <cell r="B2081" t="str">
            <v>Budget</v>
          </cell>
          <cell r="C2081" t="str">
            <v>Mar</v>
          </cell>
          <cell r="D2081" t="str">
            <v>Chairs</v>
          </cell>
          <cell r="E2081">
            <v>28839.194999999996</v>
          </cell>
          <cell r="F2081">
            <v>3</v>
          </cell>
        </row>
        <row r="2082">
          <cell r="A2082">
            <v>2019</v>
          </cell>
          <cell r="B2082" t="str">
            <v>Actual</v>
          </cell>
          <cell r="C2082" t="str">
            <v>Mar</v>
          </cell>
          <cell r="D2082" t="str">
            <v>Chairs</v>
          </cell>
          <cell r="E2082">
            <v>26761.182000000001</v>
          </cell>
          <cell r="F2082">
            <v>3</v>
          </cell>
        </row>
        <row r="2083">
          <cell r="A2083">
            <v>2018</v>
          </cell>
          <cell r="B2083" t="str">
            <v>Budget</v>
          </cell>
          <cell r="C2083" t="str">
            <v>Mar</v>
          </cell>
          <cell r="D2083" t="str">
            <v>Tables</v>
          </cell>
          <cell r="E2083">
            <v>70004.122999999992</v>
          </cell>
          <cell r="F2083">
            <v>3</v>
          </cell>
        </row>
        <row r="2084">
          <cell r="A2084">
            <v>2019</v>
          </cell>
          <cell r="B2084" t="str">
            <v>Actual</v>
          </cell>
          <cell r="C2084" t="str">
            <v>Mar</v>
          </cell>
          <cell r="D2084" t="str">
            <v>Kitchen</v>
          </cell>
          <cell r="E2084">
            <v>284032.86799999996</v>
          </cell>
          <cell r="F2084">
            <v>3</v>
          </cell>
        </row>
        <row r="2085">
          <cell r="A2085">
            <v>2019</v>
          </cell>
          <cell r="B2085" t="str">
            <v>Budget</v>
          </cell>
          <cell r="C2085" t="str">
            <v>Mar</v>
          </cell>
          <cell r="D2085" t="str">
            <v>Chairs</v>
          </cell>
          <cell r="E2085">
            <v>350151.55</v>
          </cell>
          <cell r="F2085">
            <v>3</v>
          </cell>
        </row>
        <row r="2086">
          <cell r="A2086">
            <v>2019</v>
          </cell>
          <cell r="B2086" t="str">
            <v>Actual</v>
          </cell>
          <cell r="C2086" t="str">
            <v>Mar</v>
          </cell>
          <cell r="D2086" t="str">
            <v>Chairs</v>
          </cell>
          <cell r="E2086">
            <v>40664.532999999996</v>
          </cell>
          <cell r="F2086">
            <v>3</v>
          </cell>
        </row>
        <row r="2087">
          <cell r="A2087">
            <v>2019</v>
          </cell>
          <cell r="B2087" t="str">
            <v>Budget</v>
          </cell>
          <cell r="C2087" t="str">
            <v>Mar</v>
          </cell>
          <cell r="D2087" t="str">
            <v>Chairs</v>
          </cell>
          <cell r="E2087">
            <v>983209.77299999981</v>
          </cell>
          <cell r="F2087">
            <v>3</v>
          </cell>
        </row>
        <row r="2088">
          <cell r="A2088">
            <v>2019</v>
          </cell>
          <cell r="B2088" t="str">
            <v>Actual</v>
          </cell>
          <cell r="C2088" t="str">
            <v>Mar</v>
          </cell>
          <cell r="D2088" t="str">
            <v>Chairs</v>
          </cell>
          <cell r="E2088">
            <v>61544.364000000001</v>
          </cell>
          <cell r="F2088">
            <v>3</v>
          </cell>
        </row>
        <row r="2089">
          <cell r="A2089">
            <v>2018</v>
          </cell>
          <cell r="B2089" t="str">
            <v>Budget</v>
          </cell>
          <cell r="C2089" t="str">
            <v>Mar</v>
          </cell>
          <cell r="D2089" t="str">
            <v>Chairs</v>
          </cell>
          <cell r="E2089">
            <v>852617.84299999999</v>
          </cell>
          <cell r="F2089">
            <v>3</v>
          </cell>
        </row>
        <row r="2090">
          <cell r="A2090">
            <v>2019</v>
          </cell>
          <cell r="B2090" t="str">
            <v>Actual</v>
          </cell>
          <cell r="C2090" t="str">
            <v>Mar</v>
          </cell>
          <cell r="D2090" t="str">
            <v>Tables</v>
          </cell>
          <cell r="E2090">
            <v>477595.36999999994</v>
          </cell>
          <cell r="F2090">
            <v>3</v>
          </cell>
        </row>
        <row r="2091">
          <cell r="A2091">
            <v>2019</v>
          </cell>
          <cell r="B2091" t="str">
            <v>Budget</v>
          </cell>
          <cell r="C2091" t="str">
            <v>Mar</v>
          </cell>
          <cell r="D2091" t="str">
            <v>Kitchen</v>
          </cell>
          <cell r="E2091">
            <v>235897.50099999999</v>
          </cell>
          <cell r="F2091">
            <v>3</v>
          </cell>
        </row>
        <row r="2092">
          <cell r="A2092">
            <v>2018</v>
          </cell>
          <cell r="B2092" t="str">
            <v>Actual</v>
          </cell>
          <cell r="C2092" t="str">
            <v>Mar</v>
          </cell>
          <cell r="D2092" t="str">
            <v>Chairs</v>
          </cell>
          <cell r="E2092">
            <v>610918.973</v>
          </cell>
          <cell r="F2092">
            <v>3</v>
          </cell>
        </row>
        <row r="2093">
          <cell r="A2093">
            <v>2018</v>
          </cell>
          <cell r="B2093" t="str">
            <v>Budget</v>
          </cell>
          <cell r="C2093" t="str">
            <v>Mar</v>
          </cell>
          <cell r="D2093" t="str">
            <v>Chairs</v>
          </cell>
          <cell r="E2093">
            <v>363692.64399999997</v>
          </cell>
          <cell r="F2093">
            <v>3</v>
          </cell>
        </row>
        <row r="2094">
          <cell r="A2094">
            <v>2019</v>
          </cell>
          <cell r="B2094" t="str">
            <v>Actual</v>
          </cell>
          <cell r="C2094" t="str">
            <v>Mar</v>
          </cell>
          <cell r="D2094" t="str">
            <v>Chairs</v>
          </cell>
          <cell r="E2094">
            <v>187079.389</v>
          </cell>
          <cell r="F2094">
            <v>3</v>
          </cell>
        </row>
        <row r="2095">
          <cell r="A2095">
            <v>2018</v>
          </cell>
          <cell r="B2095" t="str">
            <v>Budget</v>
          </cell>
          <cell r="C2095" t="str">
            <v>Mar</v>
          </cell>
          <cell r="D2095" t="str">
            <v>Tables</v>
          </cell>
          <cell r="E2095">
            <v>191201.53499999997</v>
          </cell>
          <cell r="F2095">
            <v>3</v>
          </cell>
        </row>
        <row r="2096">
          <cell r="A2096">
            <v>2019</v>
          </cell>
          <cell r="B2096" t="str">
            <v>Actual</v>
          </cell>
          <cell r="C2096" t="str">
            <v>Mar</v>
          </cell>
          <cell r="D2096" t="str">
            <v>Kitchen</v>
          </cell>
          <cell r="E2096">
            <v>293348.65700000001</v>
          </cell>
          <cell r="F2096">
            <v>3</v>
          </cell>
        </row>
        <row r="2097">
          <cell r="A2097">
            <v>2018</v>
          </cell>
          <cell r="B2097" t="str">
            <v>Budget</v>
          </cell>
          <cell r="C2097" t="str">
            <v>Mar</v>
          </cell>
          <cell r="D2097" t="str">
            <v>Chairs</v>
          </cell>
          <cell r="E2097">
            <v>397972.67300000001</v>
          </cell>
          <cell r="F2097">
            <v>3</v>
          </cell>
        </row>
        <row r="2098">
          <cell r="A2098">
            <v>2019</v>
          </cell>
          <cell r="B2098" t="str">
            <v>Actual</v>
          </cell>
          <cell r="C2098" t="str">
            <v>Mar</v>
          </cell>
          <cell r="D2098" t="str">
            <v>Chairs</v>
          </cell>
          <cell r="E2098">
            <v>201954.05999999997</v>
          </cell>
          <cell r="F2098">
            <v>3</v>
          </cell>
        </row>
        <row r="2099">
          <cell r="A2099">
            <v>2019</v>
          </cell>
          <cell r="B2099" t="str">
            <v>Budget</v>
          </cell>
          <cell r="C2099" t="str">
            <v>Mar</v>
          </cell>
          <cell r="D2099" t="str">
            <v>Tables</v>
          </cell>
          <cell r="E2099">
            <v>707609.29399999999</v>
          </cell>
          <cell r="F2099">
            <v>3</v>
          </cell>
        </row>
        <row r="2100">
          <cell r="A2100">
            <v>2019</v>
          </cell>
          <cell r="B2100" t="str">
            <v>Actual</v>
          </cell>
          <cell r="C2100" t="str">
            <v>Mar</v>
          </cell>
          <cell r="D2100" t="str">
            <v>Kitchen</v>
          </cell>
          <cell r="E2100">
            <v>448325.07299999997</v>
          </cell>
          <cell r="F2100">
            <v>3</v>
          </cell>
        </row>
        <row r="2101">
          <cell r="A2101">
            <v>2019</v>
          </cell>
          <cell r="B2101" t="str">
            <v>Budget</v>
          </cell>
          <cell r="C2101" t="str">
            <v>Mar</v>
          </cell>
          <cell r="D2101" t="str">
            <v>Chairs</v>
          </cell>
          <cell r="E2101">
            <v>388933.08299999993</v>
          </cell>
          <cell r="F2101">
            <v>3</v>
          </cell>
        </row>
        <row r="2102">
          <cell r="A2102">
            <v>2018</v>
          </cell>
          <cell r="B2102" t="str">
            <v>Actual</v>
          </cell>
          <cell r="C2102" t="str">
            <v>Mar</v>
          </cell>
          <cell r="D2102" t="str">
            <v>Chairs</v>
          </cell>
          <cell r="E2102">
            <v>248969.95199999996</v>
          </cell>
          <cell r="F2102">
            <v>3</v>
          </cell>
        </row>
        <row r="2103">
          <cell r="A2103">
            <v>2019</v>
          </cell>
          <cell r="B2103" t="str">
            <v>Budget</v>
          </cell>
          <cell r="C2103" t="str">
            <v>Mar</v>
          </cell>
          <cell r="D2103" t="str">
            <v>Chairs</v>
          </cell>
          <cell r="E2103">
            <v>599292.51199999999</v>
          </cell>
          <cell r="F2103">
            <v>3</v>
          </cell>
        </row>
        <row r="2104">
          <cell r="A2104">
            <v>2018</v>
          </cell>
          <cell r="B2104" t="str">
            <v>Actual</v>
          </cell>
          <cell r="C2104" t="str">
            <v>Mar</v>
          </cell>
          <cell r="D2104" t="str">
            <v>Tables</v>
          </cell>
          <cell r="E2104">
            <v>1095824.6599999999</v>
          </cell>
          <cell r="F2104">
            <v>3</v>
          </cell>
        </row>
        <row r="2105">
          <cell r="A2105">
            <v>2018</v>
          </cell>
          <cell r="B2105" t="str">
            <v>Budget</v>
          </cell>
          <cell r="C2105" t="str">
            <v>Mar</v>
          </cell>
          <cell r="D2105" t="str">
            <v>Kitchen</v>
          </cell>
          <cell r="E2105">
            <v>591826.92799999996</v>
          </cell>
          <cell r="F2105">
            <v>3</v>
          </cell>
        </row>
        <row r="2106">
          <cell r="A2106">
            <v>2018</v>
          </cell>
          <cell r="B2106" t="str">
            <v>Actual</v>
          </cell>
          <cell r="C2106" t="str">
            <v>Mar</v>
          </cell>
          <cell r="D2106" t="str">
            <v>Accessories</v>
          </cell>
          <cell r="E2106">
            <v>1513051.1689999998</v>
          </cell>
          <cell r="F2106">
            <v>3</v>
          </cell>
        </row>
        <row r="2107">
          <cell r="A2107">
            <v>2018</v>
          </cell>
          <cell r="B2107" t="str">
            <v>Budget</v>
          </cell>
          <cell r="C2107" t="str">
            <v>Mar</v>
          </cell>
          <cell r="D2107" t="str">
            <v>Chairs</v>
          </cell>
          <cell r="E2107">
            <v>16589.103999999999</v>
          </cell>
          <cell r="F2107">
            <v>3</v>
          </cell>
        </row>
        <row r="2108">
          <cell r="A2108">
            <v>2019</v>
          </cell>
          <cell r="B2108" t="str">
            <v>Actual</v>
          </cell>
          <cell r="C2108" t="str">
            <v>Mar</v>
          </cell>
          <cell r="D2108" t="str">
            <v>Tables</v>
          </cell>
          <cell r="E2108">
            <v>473483.26199999999</v>
          </cell>
          <cell r="F2108">
            <v>3</v>
          </cell>
        </row>
        <row r="2109">
          <cell r="A2109">
            <v>2018</v>
          </cell>
          <cell r="B2109" t="str">
            <v>Budget</v>
          </cell>
          <cell r="C2109" t="str">
            <v>Mar</v>
          </cell>
          <cell r="D2109" t="str">
            <v>Kitchen</v>
          </cell>
          <cell r="E2109">
            <v>13114.394999999999</v>
          </cell>
          <cell r="F2109">
            <v>3</v>
          </cell>
        </row>
        <row r="2110">
          <cell r="A2110">
            <v>2018</v>
          </cell>
          <cell r="B2110" t="str">
            <v>Actual</v>
          </cell>
          <cell r="C2110" t="str">
            <v>Mar</v>
          </cell>
          <cell r="D2110" t="str">
            <v>Accessories</v>
          </cell>
          <cell r="E2110">
            <v>526700.27899999998</v>
          </cell>
          <cell r="F2110">
            <v>3</v>
          </cell>
        </row>
        <row r="2111">
          <cell r="A2111">
            <v>2018</v>
          </cell>
          <cell r="B2111" t="str">
            <v>Budget</v>
          </cell>
          <cell r="C2111" t="str">
            <v>Mar</v>
          </cell>
          <cell r="D2111" t="str">
            <v>Chairs</v>
          </cell>
          <cell r="E2111">
            <v>1658458.1159999999</v>
          </cell>
          <cell r="F2111">
            <v>3</v>
          </cell>
        </row>
        <row r="2112">
          <cell r="A2112">
            <v>2019</v>
          </cell>
          <cell r="B2112" t="str">
            <v>Actual</v>
          </cell>
          <cell r="C2112" t="str">
            <v>Mar</v>
          </cell>
          <cell r="D2112" t="str">
            <v>Tables</v>
          </cell>
          <cell r="E2112">
            <v>73223.618999999992</v>
          </cell>
          <cell r="F2112">
            <v>3</v>
          </cell>
        </row>
        <row r="2113">
          <cell r="A2113">
            <v>2018</v>
          </cell>
          <cell r="B2113" t="str">
            <v>Budget</v>
          </cell>
          <cell r="C2113" t="str">
            <v>Mar</v>
          </cell>
          <cell r="D2113" t="str">
            <v>Kitchen</v>
          </cell>
          <cell r="E2113">
            <v>30636.325999999997</v>
          </cell>
          <cell r="F2113">
            <v>3</v>
          </cell>
        </row>
        <row r="2114">
          <cell r="A2114">
            <v>2019</v>
          </cell>
          <cell r="B2114" t="str">
            <v>Actual</v>
          </cell>
          <cell r="C2114" t="str">
            <v>Mar</v>
          </cell>
          <cell r="D2114" t="str">
            <v>Accessories</v>
          </cell>
          <cell r="E2114">
            <v>10473.602999999999</v>
          </cell>
          <cell r="F2114">
            <v>3</v>
          </cell>
        </row>
        <row r="2115">
          <cell r="A2115">
            <v>2018</v>
          </cell>
          <cell r="B2115" t="str">
            <v>Budget</v>
          </cell>
          <cell r="C2115" t="str">
            <v>Mar</v>
          </cell>
          <cell r="D2115" t="str">
            <v>Chairs</v>
          </cell>
          <cell r="E2115">
            <v>83110.740999999995</v>
          </cell>
          <cell r="F2115">
            <v>3</v>
          </cell>
        </row>
        <row r="2116">
          <cell r="A2116">
            <v>2018</v>
          </cell>
          <cell r="B2116" t="str">
            <v>Actual</v>
          </cell>
          <cell r="C2116" t="str">
            <v>Mar</v>
          </cell>
          <cell r="D2116" t="str">
            <v>Tables</v>
          </cell>
          <cell r="E2116">
            <v>163239.21599999999</v>
          </cell>
          <cell r="F2116">
            <v>3</v>
          </cell>
        </row>
        <row r="2117">
          <cell r="A2117">
            <v>2018</v>
          </cell>
          <cell r="B2117" t="str">
            <v>Budget</v>
          </cell>
          <cell r="C2117" t="str">
            <v>Mar</v>
          </cell>
          <cell r="D2117" t="str">
            <v>Kitchen</v>
          </cell>
          <cell r="E2117">
            <v>133382.984</v>
          </cell>
          <cell r="F2117">
            <v>3</v>
          </cell>
        </row>
        <row r="2118">
          <cell r="A2118">
            <v>2019</v>
          </cell>
          <cell r="B2118" t="str">
            <v>Actual</v>
          </cell>
          <cell r="C2118" t="str">
            <v>Mar</v>
          </cell>
          <cell r="D2118" t="str">
            <v>Accessories</v>
          </cell>
          <cell r="E2118">
            <v>104338.68899999998</v>
          </cell>
          <cell r="F2118">
            <v>3</v>
          </cell>
        </row>
        <row r="2119">
          <cell r="A2119">
            <v>2019</v>
          </cell>
          <cell r="B2119" t="str">
            <v>Budget</v>
          </cell>
          <cell r="C2119" t="str">
            <v>Mar</v>
          </cell>
          <cell r="D2119" t="str">
            <v>Chairs</v>
          </cell>
          <cell r="E2119">
            <v>145673.22699999998</v>
          </cell>
          <cell r="F2119">
            <v>3</v>
          </cell>
        </row>
        <row r="2120">
          <cell r="A2120">
            <v>2018</v>
          </cell>
          <cell r="B2120" t="str">
            <v>Actual</v>
          </cell>
          <cell r="C2120" t="str">
            <v>Mar</v>
          </cell>
          <cell r="D2120" t="str">
            <v>Chairs</v>
          </cell>
          <cell r="E2120">
            <v>10907973.398</v>
          </cell>
          <cell r="F2120">
            <v>3</v>
          </cell>
        </row>
        <row r="2121">
          <cell r="A2121">
            <v>2019</v>
          </cell>
          <cell r="B2121" t="str">
            <v>Budget</v>
          </cell>
          <cell r="C2121" t="str">
            <v>Mar</v>
          </cell>
          <cell r="D2121" t="str">
            <v>Tables</v>
          </cell>
          <cell r="E2121">
            <v>90788.053999999989</v>
          </cell>
          <cell r="F2121">
            <v>3</v>
          </cell>
        </row>
        <row r="2122">
          <cell r="A2122">
            <v>2018</v>
          </cell>
          <cell r="B2122" t="str">
            <v>Actual</v>
          </cell>
          <cell r="C2122" t="str">
            <v>Mar</v>
          </cell>
          <cell r="D2122" t="str">
            <v>Kitchen</v>
          </cell>
          <cell r="E2122">
            <v>12860.393</v>
          </cell>
          <cell r="F2122">
            <v>3</v>
          </cell>
        </row>
        <row r="2123">
          <cell r="A2123">
            <v>2019</v>
          </cell>
          <cell r="B2123" t="str">
            <v>Budget</v>
          </cell>
          <cell r="C2123" t="str">
            <v>Mar</v>
          </cell>
          <cell r="D2123" t="str">
            <v>Chairs</v>
          </cell>
          <cell r="E2123">
            <v>7589.8829999999998</v>
          </cell>
          <cell r="F2123">
            <v>3</v>
          </cell>
        </row>
        <row r="2124">
          <cell r="A2124">
            <v>2019</v>
          </cell>
          <cell r="B2124" t="str">
            <v>Actual</v>
          </cell>
          <cell r="C2124" t="str">
            <v>Mar</v>
          </cell>
          <cell r="D2124" t="str">
            <v>Tables</v>
          </cell>
          <cell r="E2124">
            <v>1361972.9479999999</v>
          </cell>
          <cell r="F2124">
            <v>3</v>
          </cell>
        </row>
        <row r="2125">
          <cell r="A2125">
            <v>2018</v>
          </cell>
          <cell r="B2125" t="str">
            <v>Budget</v>
          </cell>
          <cell r="C2125" t="str">
            <v>Mar</v>
          </cell>
          <cell r="D2125" t="str">
            <v>Kitchen</v>
          </cell>
          <cell r="E2125">
            <v>25273097.443999998</v>
          </cell>
          <cell r="F2125">
            <v>3</v>
          </cell>
        </row>
        <row r="2126">
          <cell r="A2126">
            <v>2018</v>
          </cell>
          <cell r="B2126" t="str">
            <v>Actual</v>
          </cell>
          <cell r="C2126" t="str">
            <v>Mar</v>
          </cell>
          <cell r="D2126" t="str">
            <v>Chairs</v>
          </cell>
          <cell r="E2126">
            <v>31674.145999999997</v>
          </cell>
          <cell r="F2126">
            <v>3</v>
          </cell>
        </row>
        <row r="2127">
          <cell r="A2127">
            <v>2018</v>
          </cell>
          <cell r="B2127" t="str">
            <v>Budget</v>
          </cell>
          <cell r="C2127" t="str">
            <v>Mar</v>
          </cell>
          <cell r="D2127" t="str">
            <v>Tables</v>
          </cell>
          <cell r="E2127">
            <v>16252.333999999999</v>
          </cell>
          <cell r="F2127">
            <v>3</v>
          </cell>
        </row>
        <row r="2128">
          <cell r="A2128">
            <v>2018</v>
          </cell>
          <cell r="B2128" t="str">
            <v>Actual</v>
          </cell>
          <cell r="C2128" t="str">
            <v>Mar</v>
          </cell>
          <cell r="D2128" t="str">
            <v>Kitchen</v>
          </cell>
          <cell r="E2128">
            <v>3711.1409999999996</v>
          </cell>
          <cell r="F2128">
            <v>3</v>
          </cell>
        </row>
        <row r="2129">
          <cell r="A2129">
            <v>2018</v>
          </cell>
          <cell r="B2129" t="str">
            <v>Budget</v>
          </cell>
          <cell r="C2129" t="str">
            <v>Mar</v>
          </cell>
          <cell r="D2129" t="str">
            <v>Chairs</v>
          </cell>
          <cell r="E2129">
            <v>62091.567999999999</v>
          </cell>
          <cell r="F2129">
            <v>3</v>
          </cell>
        </row>
        <row r="2130">
          <cell r="A2130">
            <v>2019</v>
          </cell>
          <cell r="B2130" t="str">
            <v>Actual</v>
          </cell>
          <cell r="C2130" t="str">
            <v>Mar</v>
          </cell>
          <cell r="D2130" t="str">
            <v>Chairs</v>
          </cell>
          <cell r="E2130">
            <v>29006.481</v>
          </cell>
          <cell r="F2130">
            <v>3</v>
          </cell>
        </row>
        <row r="2131">
          <cell r="A2131">
            <v>2019</v>
          </cell>
          <cell r="B2131" t="str">
            <v>Budget</v>
          </cell>
          <cell r="C2131" t="str">
            <v>Mar</v>
          </cell>
          <cell r="D2131" t="str">
            <v>Chairs</v>
          </cell>
          <cell r="E2131">
            <v>46062.31</v>
          </cell>
          <cell r="F2131">
            <v>3</v>
          </cell>
        </row>
        <row r="2132">
          <cell r="A2132">
            <v>2018</v>
          </cell>
          <cell r="B2132" t="str">
            <v>Actual</v>
          </cell>
          <cell r="C2132" t="str">
            <v>Mar</v>
          </cell>
          <cell r="D2132" t="str">
            <v>Chairs</v>
          </cell>
          <cell r="E2132">
            <v>419692.17499999999</v>
          </cell>
          <cell r="F2132">
            <v>3</v>
          </cell>
        </row>
        <row r="2133">
          <cell r="A2133">
            <v>2019</v>
          </cell>
          <cell r="B2133" t="str">
            <v>Budget</v>
          </cell>
          <cell r="C2133" t="str">
            <v>Mar</v>
          </cell>
          <cell r="D2133" t="str">
            <v>Chairs</v>
          </cell>
          <cell r="E2133">
            <v>1437554.2509999999</v>
          </cell>
          <cell r="F2133">
            <v>3</v>
          </cell>
        </row>
        <row r="2134">
          <cell r="A2134">
            <v>2019</v>
          </cell>
          <cell r="B2134" t="str">
            <v>Actual</v>
          </cell>
          <cell r="C2134" t="str">
            <v>Mar</v>
          </cell>
          <cell r="D2134" t="str">
            <v>Chairs</v>
          </cell>
          <cell r="E2134">
            <v>1205368.5559999999</v>
          </cell>
          <cell r="F2134">
            <v>3</v>
          </cell>
        </row>
        <row r="2135">
          <cell r="A2135">
            <v>2018</v>
          </cell>
          <cell r="B2135" t="str">
            <v>Budget</v>
          </cell>
          <cell r="C2135" t="str">
            <v>Mar</v>
          </cell>
          <cell r="D2135" t="str">
            <v>Chairs</v>
          </cell>
          <cell r="E2135">
            <v>622914.9219999999</v>
          </cell>
          <cell r="F2135">
            <v>3</v>
          </cell>
        </row>
        <row r="2136">
          <cell r="A2136">
            <v>2018</v>
          </cell>
          <cell r="B2136" t="str">
            <v>Actual</v>
          </cell>
          <cell r="C2136" t="str">
            <v>Mar</v>
          </cell>
          <cell r="D2136" t="str">
            <v>Chairs</v>
          </cell>
          <cell r="E2136">
            <v>664609.46299999999</v>
          </cell>
          <cell r="F2136">
            <v>3</v>
          </cell>
        </row>
        <row r="2137">
          <cell r="A2137">
            <v>2019</v>
          </cell>
          <cell r="B2137" t="str">
            <v>Budget</v>
          </cell>
          <cell r="C2137" t="str">
            <v>Mar</v>
          </cell>
          <cell r="D2137" t="str">
            <v>Chairs</v>
          </cell>
          <cell r="E2137">
            <v>170355.15700000001</v>
          </cell>
          <cell r="F2137">
            <v>3</v>
          </cell>
        </row>
        <row r="2138">
          <cell r="A2138">
            <v>2018</v>
          </cell>
          <cell r="B2138" t="str">
            <v>Actual</v>
          </cell>
          <cell r="C2138" t="str">
            <v>Mar</v>
          </cell>
          <cell r="D2138" t="str">
            <v>Chairs</v>
          </cell>
          <cell r="E2138">
            <v>192614.15599999999</v>
          </cell>
          <cell r="F2138">
            <v>3</v>
          </cell>
        </row>
        <row r="2139">
          <cell r="A2139">
            <v>2019</v>
          </cell>
          <cell r="B2139" t="str">
            <v>Budget</v>
          </cell>
          <cell r="C2139" t="str">
            <v>Mar</v>
          </cell>
          <cell r="D2139" t="str">
            <v>Chairs</v>
          </cell>
          <cell r="E2139">
            <v>27830.432000000001</v>
          </cell>
          <cell r="F2139">
            <v>3</v>
          </cell>
        </row>
        <row r="2140">
          <cell r="A2140">
            <v>2018</v>
          </cell>
          <cell r="B2140" t="str">
            <v>Actual</v>
          </cell>
          <cell r="C2140" t="str">
            <v>Mar</v>
          </cell>
          <cell r="D2140" t="str">
            <v>Chairs</v>
          </cell>
          <cell r="E2140">
            <v>73057.067999999999</v>
          </cell>
          <cell r="F2140">
            <v>3</v>
          </cell>
        </row>
        <row r="2141">
          <cell r="A2141">
            <v>2019</v>
          </cell>
          <cell r="B2141" t="str">
            <v>Budget</v>
          </cell>
          <cell r="C2141" t="str">
            <v>Mar</v>
          </cell>
          <cell r="D2141" t="str">
            <v>Chairs</v>
          </cell>
          <cell r="E2141">
            <v>376286.64499999996</v>
          </cell>
          <cell r="F2141">
            <v>3</v>
          </cell>
        </row>
        <row r="2142">
          <cell r="A2142">
            <v>2019</v>
          </cell>
          <cell r="B2142" t="str">
            <v>Actual</v>
          </cell>
          <cell r="C2142" t="str">
            <v>Mar</v>
          </cell>
          <cell r="D2142" t="str">
            <v>Chairs</v>
          </cell>
          <cell r="E2142">
            <v>10878938.182</v>
          </cell>
          <cell r="F2142">
            <v>3</v>
          </cell>
        </row>
        <row r="2143">
          <cell r="A2143">
            <v>2019</v>
          </cell>
          <cell r="B2143" t="str">
            <v>Budget</v>
          </cell>
          <cell r="C2143" t="str">
            <v>Mar</v>
          </cell>
          <cell r="D2143" t="str">
            <v>Chairs</v>
          </cell>
          <cell r="E2143">
            <v>418291.62199999997</v>
          </cell>
          <cell r="F2143">
            <v>3</v>
          </cell>
        </row>
        <row r="2144">
          <cell r="A2144">
            <v>2019</v>
          </cell>
          <cell r="B2144" t="str">
            <v>Actual</v>
          </cell>
          <cell r="C2144" t="str">
            <v>Mar</v>
          </cell>
          <cell r="D2144" t="str">
            <v>Chairs</v>
          </cell>
          <cell r="E2144">
            <v>1402088.1069999998</v>
          </cell>
          <cell r="F2144">
            <v>3</v>
          </cell>
        </row>
        <row r="2145">
          <cell r="A2145">
            <v>2018</v>
          </cell>
          <cell r="B2145" t="str">
            <v>Budget</v>
          </cell>
          <cell r="C2145" t="str">
            <v>Mar</v>
          </cell>
          <cell r="D2145" t="str">
            <v>Chairs</v>
          </cell>
          <cell r="E2145">
            <v>995609.92299999984</v>
          </cell>
          <cell r="F2145">
            <v>3</v>
          </cell>
        </row>
        <row r="2146">
          <cell r="A2146">
            <v>2018</v>
          </cell>
          <cell r="B2146" t="str">
            <v>Actual</v>
          </cell>
          <cell r="C2146" t="str">
            <v>Mar</v>
          </cell>
          <cell r="D2146" t="str">
            <v>Chairs</v>
          </cell>
          <cell r="E2146">
            <v>2768287.0599999996</v>
          </cell>
          <cell r="F2146">
            <v>3</v>
          </cell>
        </row>
        <row r="2147">
          <cell r="A2147">
            <v>2019</v>
          </cell>
          <cell r="B2147" t="str">
            <v>Budget</v>
          </cell>
          <cell r="C2147" t="str">
            <v>Mar</v>
          </cell>
          <cell r="D2147" t="str">
            <v>Chairs</v>
          </cell>
          <cell r="E2147">
            <v>77268.099999999991</v>
          </cell>
          <cell r="F2147">
            <v>3</v>
          </cell>
        </row>
        <row r="2148">
          <cell r="A2148">
            <v>2018</v>
          </cell>
          <cell r="B2148" t="str">
            <v>Actual</v>
          </cell>
          <cell r="C2148" t="str">
            <v>Mar</v>
          </cell>
          <cell r="D2148" t="str">
            <v>Chairs</v>
          </cell>
          <cell r="E2148">
            <v>2514050.2169999997</v>
          </cell>
          <cell r="F2148">
            <v>3</v>
          </cell>
        </row>
        <row r="2149">
          <cell r="A2149">
            <v>2018</v>
          </cell>
          <cell r="B2149" t="str">
            <v>Budget</v>
          </cell>
          <cell r="C2149" t="str">
            <v>Mar</v>
          </cell>
          <cell r="D2149" t="str">
            <v>Chairs</v>
          </cell>
          <cell r="E2149">
            <v>36080.303</v>
          </cell>
          <cell r="F2149">
            <v>3</v>
          </cell>
        </row>
        <row r="2150">
          <cell r="A2150">
            <v>2019</v>
          </cell>
          <cell r="B2150" t="str">
            <v>Actual</v>
          </cell>
          <cell r="C2150" t="str">
            <v>Mar</v>
          </cell>
          <cell r="D2150" t="str">
            <v>Chairs</v>
          </cell>
          <cell r="E2150">
            <v>10278.275</v>
          </cell>
          <cell r="F2150">
            <v>3</v>
          </cell>
        </row>
        <row r="2151">
          <cell r="A2151">
            <v>2019</v>
          </cell>
          <cell r="B2151" t="str">
            <v>Budget</v>
          </cell>
          <cell r="C2151" t="str">
            <v>Mar</v>
          </cell>
          <cell r="D2151" t="str">
            <v>Chairs</v>
          </cell>
          <cell r="E2151">
            <v>111362.23699999999</v>
          </cell>
          <cell r="F2151">
            <v>3</v>
          </cell>
        </row>
        <row r="2152">
          <cell r="A2152">
            <v>2018</v>
          </cell>
          <cell r="B2152" t="str">
            <v>Actual</v>
          </cell>
          <cell r="C2152" t="str">
            <v>Mar</v>
          </cell>
          <cell r="D2152" t="str">
            <v>Chairs</v>
          </cell>
          <cell r="E2152">
            <v>677036.89899999998</v>
          </cell>
          <cell r="F2152">
            <v>3</v>
          </cell>
        </row>
        <row r="2153">
          <cell r="A2153">
            <v>2018</v>
          </cell>
          <cell r="B2153" t="str">
            <v>Budget</v>
          </cell>
          <cell r="C2153" t="str">
            <v>Mar</v>
          </cell>
          <cell r="D2153" t="str">
            <v>Chairs</v>
          </cell>
          <cell r="E2153">
            <v>2419581.8359999997</v>
          </cell>
          <cell r="F2153">
            <v>3</v>
          </cell>
        </row>
        <row r="2154">
          <cell r="A2154">
            <v>2019</v>
          </cell>
          <cell r="B2154" t="str">
            <v>Actual</v>
          </cell>
          <cell r="C2154" t="str">
            <v>Mar</v>
          </cell>
          <cell r="D2154" t="str">
            <v>Chairs</v>
          </cell>
          <cell r="E2154">
            <v>2859774.8339999998</v>
          </cell>
          <cell r="F2154">
            <v>3</v>
          </cell>
        </row>
        <row r="2155">
          <cell r="A2155">
            <v>2018</v>
          </cell>
          <cell r="B2155" t="str">
            <v>Budget</v>
          </cell>
          <cell r="C2155" t="str">
            <v>Mar</v>
          </cell>
          <cell r="D2155" t="str">
            <v>Tables</v>
          </cell>
          <cell r="E2155">
            <v>846527.19200000004</v>
          </cell>
          <cell r="F2155">
            <v>3</v>
          </cell>
        </row>
        <row r="2156">
          <cell r="A2156">
            <v>2018</v>
          </cell>
          <cell r="B2156" t="str">
            <v>Actual</v>
          </cell>
          <cell r="C2156" t="str">
            <v>Mar</v>
          </cell>
          <cell r="D2156" t="str">
            <v>Kitchen</v>
          </cell>
          <cell r="E2156">
            <v>1433055.764</v>
          </cell>
          <cell r="F2156">
            <v>3</v>
          </cell>
        </row>
        <row r="2157">
          <cell r="A2157">
            <v>2018</v>
          </cell>
          <cell r="B2157" t="str">
            <v>Budget</v>
          </cell>
          <cell r="C2157" t="str">
            <v>Mar</v>
          </cell>
          <cell r="D2157" t="str">
            <v>Chairs</v>
          </cell>
          <cell r="E2157">
            <v>2120463.5060000001</v>
          </cell>
          <cell r="F2157">
            <v>3</v>
          </cell>
        </row>
        <row r="2158">
          <cell r="A2158">
            <v>2019</v>
          </cell>
          <cell r="B2158" t="str">
            <v>Actual</v>
          </cell>
          <cell r="C2158" t="str">
            <v>Mar</v>
          </cell>
          <cell r="D2158" t="str">
            <v>Chairs</v>
          </cell>
          <cell r="E2158">
            <v>346639.08299999998</v>
          </cell>
          <cell r="F2158">
            <v>3</v>
          </cell>
        </row>
        <row r="2159">
          <cell r="A2159">
            <v>2018</v>
          </cell>
          <cell r="B2159" t="str">
            <v>Budget</v>
          </cell>
          <cell r="C2159" t="str">
            <v>Mar</v>
          </cell>
          <cell r="D2159" t="str">
            <v>Chairs</v>
          </cell>
          <cell r="E2159">
            <v>84497.868000000002</v>
          </cell>
          <cell r="F2159">
            <v>3</v>
          </cell>
        </row>
        <row r="2160">
          <cell r="A2160">
            <v>2019</v>
          </cell>
          <cell r="B2160" t="str">
            <v>Actual</v>
          </cell>
          <cell r="C2160" t="str">
            <v>Mar</v>
          </cell>
          <cell r="D2160" t="str">
            <v>Chairs</v>
          </cell>
          <cell r="E2160">
            <v>282672.94999999995</v>
          </cell>
          <cell r="F2160">
            <v>3</v>
          </cell>
        </row>
        <row r="2161">
          <cell r="A2161">
            <v>2019</v>
          </cell>
          <cell r="B2161" t="str">
            <v>Budget</v>
          </cell>
          <cell r="C2161" t="str">
            <v>Mar</v>
          </cell>
          <cell r="D2161" t="str">
            <v>Chairs</v>
          </cell>
          <cell r="E2161">
            <v>1357507.9909999999</v>
          </cell>
          <cell r="F2161">
            <v>3</v>
          </cell>
        </row>
        <row r="2162">
          <cell r="A2162">
            <v>2019</v>
          </cell>
          <cell r="B2162" t="str">
            <v>Actual</v>
          </cell>
          <cell r="C2162" t="str">
            <v>Mar</v>
          </cell>
          <cell r="D2162" t="str">
            <v>Tables</v>
          </cell>
          <cell r="E2162">
            <v>1942466.0219999999</v>
          </cell>
          <cell r="F2162">
            <v>3</v>
          </cell>
        </row>
        <row r="2163">
          <cell r="A2163">
            <v>2019</v>
          </cell>
          <cell r="B2163" t="str">
            <v>Budget</v>
          </cell>
          <cell r="C2163" t="str">
            <v>Mar</v>
          </cell>
          <cell r="D2163" t="str">
            <v>Kitchen</v>
          </cell>
          <cell r="E2163">
            <v>1784197.1769999999</v>
          </cell>
          <cell r="F2163">
            <v>3</v>
          </cell>
        </row>
        <row r="2164">
          <cell r="A2164">
            <v>2019</v>
          </cell>
          <cell r="B2164" t="str">
            <v>Actual</v>
          </cell>
          <cell r="C2164" t="str">
            <v>Mar</v>
          </cell>
          <cell r="D2164" t="str">
            <v>Chairs</v>
          </cell>
          <cell r="E2164">
            <v>462177.66700000002</v>
          </cell>
          <cell r="F2164">
            <v>3</v>
          </cell>
        </row>
        <row r="2165">
          <cell r="A2165">
            <v>2019</v>
          </cell>
          <cell r="B2165" t="str">
            <v>Budget</v>
          </cell>
          <cell r="C2165" t="str">
            <v>Mar</v>
          </cell>
          <cell r="D2165" t="str">
            <v>Chairs</v>
          </cell>
          <cell r="E2165">
            <v>36325.596999999994</v>
          </cell>
          <cell r="F2165">
            <v>3</v>
          </cell>
        </row>
        <row r="2166">
          <cell r="A2166">
            <v>2019</v>
          </cell>
          <cell r="B2166" t="str">
            <v>Actual</v>
          </cell>
          <cell r="C2166" t="str">
            <v>Mar</v>
          </cell>
          <cell r="D2166" t="str">
            <v>Chairs</v>
          </cell>
          <cell r="E2166">
            <v>32095.671999999999</v>
          </cell>
          <cell r="F2166">
            <v>3</v>
          </cell>
        </row>
        <row r="2167">
          <cell r="A2167">
            <v>2019</v>
          </cell>
          <cell r="B2167" t="str">
            <v>Budget</v>
          </cell>
          <cell r="C2167" t="str">
            <v>Mar</v>
          </cell>
          <cell r="D2167" t="str">
            <v>Tables</v>
          </cell>
          <cell r="E2167">
            <v>1750364.1189999999</v>
          </cell>
          <cell r="F2167">
            <v>3</v>
          </cell>
        </row>
        <row r="2168">
          <cell r="A2168">
            <v>2019</v>
          </cell>
          <cell r="B2168" t="str">
            <v>Actual</v>
          </cell>
          <cell r="C2168" t="str">
            <v>Mar</v>
          </cell>
          <cell r="D2168" t="str">
            <v>Kitchen</v>
          </cell>
          <cell r="E2168">
            <v>490593.76799999998</v>
          </cell>
          <cell r="F2168">
            <v>3</v>
          </cell>
        </row>
        <row r="2169">
          <cell r="A2169">
            <v>2018</v>
          </cell>
          <cell r="B2169" t="str">
            <v>Budget</v>
          </cell>
          <cell r="C2169" t="str">
            <v>Mar</v>
          </cell>
          <cell r="D2169" t="str">
            <v>Chairs</v>
          </cell>
          <cell r="E2169">
            <v>128772.13299999999</v>
          </cell>
          <cell r="F2169">
            <v>3</v>
          </cell>
        </row>
        <row r="2170">
          <cell r="A2170">
            <v>2019</v>
          </cell>
          <cell r="B2170" t="str">
            <v>Actual</v>
          </cell>
          <cell r="C2170" t="str">
            <v>Mar</v>
          </cell>
          <cell r="D2170" t="str">
            <v>Chairs</v>
          </cell>
          <cell r="E2170">
            <v>984699.16299999994</v>
          </cell>
          <cell r="F2170">
            <v>3</v>
          </cell>
        </row>
        <row r="2171">
          <cell r="A2171">
            <v>2019</v>
          </cell>
          <cell r="B2171" t="str">
            <v>Budget</v>
          </cell>
          <cell r="C2171" t="str">
            <v>Mar</v>
          </cell>
          <cell r="D2171" t="str">
            <v>Tables</v>
          </cell>
          <cell r="E2171">
            <v>88700.766000000003</v>
          </cell>
          <cell r="F2171">
            <v>3</v>
          </cell>
        </row>
        <row r="2172">
          <cell r="A2172">
            <v>2018</v>
          </cell>
          <cell r="B2172" t="str">
            <v>Actual</v>
          </cell>
          <cell r="C2172" t="str">
            <v>Mar</v>
          </cell>
          <cell r="D2172" t="str">
            <v>Kitchen</v>
          </cell>
          <cell r="E2172">
            <v>898659.2159999999</v>
          </cell>
          <cell r="F2172">
            <v>3</v>
          </cell>
        </row>
        <row r="2173">
          <cell r="A2173">
            <v>2018</v>
          </cell>
          <cell r="B2173" t="str">
            <v>Budget</v>
          </cell>
          <cell r="C2173" t="str">
            <v>Mar</v>
          </cell>
          <cell r="D2173" t="str">
            <v>Chairs</v>
          </cell>
          <cell r="E2173">
            <v>2179310.1120000002</v>
          </cell>
          <cell r="F2173">
            <v>3</v>
          </cell>
        </row>
        <row r="2174">
          <cell r="A2174">
            <v>2018</v>
          </cell>
          <cell r="B2174" t="str">
            <v>Actual</v>
          </cell>
          <cell r="C2174" t="str">
            <v>Mar</v>
          </cell>
          <cell r="D2174" t="str">
            <v>Chairs</v>
          </cell>
          <cell r="E2174">
            <v>6462114.4839999992</v>
          </cell>
          <cell r="F2174">
            <v>3</v>
          </cell>
        </row>
        <row r="2175">
          <cell r="A2175">
            <v>2018</v>
          </cell>
          <cell r="B2175" t="str">
            <v>Budget</v>
          </cell>
          <cell r="C2175" t="str">
            <v>Mar</v>
          </cell>
          <cell r="D2175" t="str">
            <v>Chairs</v>
          </cell>
          <cell r="E2175">
            <v>1032020.3389999999</v>
          </cell>
          <cell r="F2175">
            <v>3</v>
          </cell>
        </row>
        <row r="2176">
          <cell r="A2176">
            <v>2019</v>
          </cell>
          <cell r="B2176" t="str">
            <v>Actual</v>
          </cell>
          <cell r="C2176" t="str">
            <v>Mar</v>
          </cell>
          <cell r="D2176" t="str">
            <v>Tables</v>
          </cell>
          <cell r="E2176">
            <v>1443250.746</v>
          </cell>
          <cell r="F2176">
            <v>3</v>
          </cell>
        </row>
        <row r="2177">
          <cell r="A2177">
            <v>2018</v>
          </cell>
          <cell r="B2177" t="str">
            <v>Budget</v>
          </cell>
          <cell r="C2177" t="str">
            <v>Mar</v>
          </cell>
          <cell r="D2177" t="str">
            <v>Kitchen</v>
          </cell>
          <cell r="E2177">
            <v>146498.43599999999</v>
          </cell>
          <cell r="F2177">
            <v>3</v>
          </cell>
        </row>
        <row r="2178">
          <cell r="A2178">
            <v>2019</v>
          </cell>
          <cell r="B2178" t="str">
            <v>Actual</v>
          </cell>
          <cell r="C2178" t="str">
            <v>Mar</v>
          </cell>
          <cell r="D2178" t="str">
            <v>Accessories</v>
          </cell>
          <cell r="E2178">
            <v>146395.62699999998</v>
          </cell>
          <cell r="F2178">
            <v>3</v>
          </cell>
        </row>
        <row r="2179">
          <cell r="A2179">
            <v>2018</v>
          </cell>
          <cell r="B2179" t="str">
            <v>Budget</v>
          </cell>
          <cell r="C2179" t="str">
            <v>Mar</v>
          </cell>
          <cell r="D2179" t="str">
            <v>Chairs</v>
          </cell>
          <cell r="E2179">
            <v>141.77099999999999</v>
          </cell>
          <cell r="F2179">
            <v>3</v>
          </cell>
        </row>
        <row r="2180">
          <cell r="A2180">
            <v>2019</v>
          </cell>
          <cell r="B2180" t="str">
            <v>Actual</v>
          </cell>
          <cell r="C2180" t="str">
            <v>Mar</v>
          </cell>
          <cell r="D2180" t="str">
            <v>Tables</v>
          </cell>
          <cell r="E2180">
            <v>13676.683999999999</v>
          </cell>
          <cell r="F2180">
            <v>3</v>
          </cell>
        </row>
        <row r="2181">
          <cell r="A2181">
            <v>2018</v>
          </cell>
          <cell r="B2181" t="str">
            <v>Budget</v>
          </cell>
          <cell r="C2181" t="str">
            <v>Mar</v>
          </cell>
          <cell r="D2181" t="str">
            <v>Kitchen</v>
          </cell>
          <cell r="E2181">
            <v>64468.312999999995</v>
          </cell>
          <cell r="F2181">
            <v>3</v>
          </cell>
        </row>
        <row r="2182">
          <cell r="A2182">
            <v>2019</v>
          </cell>
          <cell r="B2182" t="str">
            <v>Actual</v>
          </cell>
          <cell r="C2182" t="str">
            <v>Mar</v>
          </cell>
          <cell r="D2182" t="str">
            <v>Accessories</v>
          </cell>
          <cell r="E2182">
            <v>13431.298999999999</v>
          </cell>
          <cell r="F2182">
            <v>3</v>
          </cell>
        </row>
        <row r="2183">
          <cell r="A2183">
            <v>2019</v>
          </cell>
          <cell r="B2183" t="str">
            <v>Budget</v>
          </cell>
          <cell r="C2183" t="str">
            <v>Mar</v>
          </cell>
          <cell r="D2183" t="str">
            <v>Chairs</v>
          </cell>
          <cell r="E2183">
            <v>76616.210999999996</v>
          </cell>
          <cell r="F2183">
            <v>3</v>
          </cell>
        </row>
        <row r="2184">
          <cell r="A2184">
            <v>2018</v>
          </cell>
          <cell r="B2184" t="str">
            <v>Actual</v>
          </cell>
          <cell r="C2184" t="str">
            <v>Mar</v>
          </cell>
          <cell r="D2184" t="str">
            <v>Tables</v>
          </cell>
          <cell r="E2184">
            <v>228418.83399999997</v>
          </cell>
          <cell r="F2184">
            <v>3</v>
          </cell>
        </row>
        <row r="2185">
          <cell r="A2185">
            <v>2019</v>
          </cell>
          <cell r="B2185" t="str">
            <v>Budget</v>
          </cell>
          <cell r="C2185" t="str">
            <v>Mar</v>
          </cell>
          <cell r="D2185" t="str">
            <v>Kitchen</v>
          </cell>
          <cell r="E2185">
            <v>290944.80099999998</v>
          </cell>
          <cell r="F2185">
            <v>3</v>
          </cell>
        </row>
        <row r="2186">
          <cell r="A2186">
            <v>2019</v>
          </cell>
          <cell r="B2186" t="str">
            <v>Actual</v>
          </cell>
          <cell r="C2186" t="str">
            <v>Mar</v>
          </cell>
          <cell r="D2186" t="str">
            <v>Accessories</v>
          </cell>
          <cell r="E2186">
            <v>90751.688999999998</v>
          </cell>
          <cell r="F2186">
            <v>3</v>
          </cell>
        </row>
        <row r="2187">
          <cell r="A2187">
            <v>2018</v>
          </cell>
          <cell r="B2187" t="str">
            <v>Budget</v>
          </cell>
          <cell r="C2187" t="str">
            <v>Mar</v>
          </cell>
          <cell r="D2187" t="str">
            <v>Chairs</v>
          </cell>
          <cell r="E2187">
            <v>301383.005</v>
          </cell>
          <cell r="F2187">
            <v>3</v>
          </cell>
        </row>
        <row r="2188">
          <cell r="A2188">
            <v>2019</v>
          </cell>
          <cell r="B2188" t="str">
            <v>Actual</v>
          </cell>
          <cell r="C2188" t="str">
            <v>Mar</v>
          </cell>
          <cell r="D2188" t="str">
            <v>Tables</v>
          </cell>
          <cell r="E2188">
            <v>573016.66799999995</v>
          </cell>
          <cell r="F2188">
            <v>3</v>
          </cell>
        </row>
        <row r="2189">
          <cell r="A2189">
            <v>2018</v>
          </cell>
          <cell r="B2189" t="str">
            <v>Budget</v>
          </cell>
          <cell r="C2189" t="str">
            <v>Mar</v>
          </cell>
          <cell r="D2189" t="str">
            <v>Kitchen</v>
          </cell>
          <cell r="E2189">
            <v>25035.212999999996</v>
          </cell>
          <cell r="F2189">
            <v>3</v>
          </cell>
        </row>
        <row r="2190">
          <cell r="A2190">
            <v>2019</v>
          </cell>
          <cell r="B2190" t="str">
            <v>Actual</v>
          </cell>
          <cell r="C2190" t="str">
            <v>Mar</v>
          </cell>
          <cell r="D2190" t="str">
            <v>Accessories</v>
          </cell>
          <cell r="E2190">
            <v>8845.5499999999993</v>
          </cell>
          <cell r="F2190">
            <v>3</v>
          </cell>
        </row>
        <row r="2191">
          <cell r="A2191">
            <v>2019</v>
          </cell>
          <cell r="B2191" t="str">
            <v>Budget</v>
          </cell>
          <cell r="C2191" t="str">
            <v>Mar</v>
          </cell>
          <cell r="D2191" t="str">
            <v>Chairs</v>
          </cell>
          <cell r="E2191">
            <v>40899.088999999993</v>
          </cell>
          <cell r="F2191">
            <v>3</v>
          </cell>
        </row>
        <row r="2192">
          <cell r="A2192">
            <v>2018</v>
          </cell>
          <cell r="B2192" t="str">
            <v>Actual</v>
          </cell>
          <cell r="C2192" t="str">
            <v>Mar</v>
          </cell>
          <cell r="D2192" t="str">
            <v>Chairs</v>
          </cell>
          <cell r="E2192">
            <v>550107.495</v>
          </cell>
          <cell r="F2192">
            <v>3</v>
          </cell>
        </row>
        <row r="2193">
          <cell r="A2193">
            <v>2018</v>
          </cell>
          <cell r="B2193" t="str">
            <v>Budget</v>
          </cell>
          <cell r="C2193" t="str">
            <v>Mar</v>
          </cell>
          <cell r="D2193" t="str">
            <v>Tables</v>
          </cell>
          <cell r="E2193">
            <v>5349.0709999999999</v>
          </cell>
          <cell r="F2193">
            <v>3</v>
          </cell>
        </row>
        <row r="2194">
          <cell r="A2194">
            <v>2019</v>
          </cell>
          <cell r="B2194" t="str">
            <v>Actual</v>
          </cell>
          <cell r="C2194" t="str">
            <v>Mar</v>
          </cell>
          <cell r="D2194" t="str">
            <v>Kitchen</v>
          </cell>
          <cell r="E2194">
            <v>18977.231</v>
          </cell>
          <cell r="F2194">
            <v>3</v>
          </cell>
        </row>
        <row r="2195">
          <cell r="A2195">
            <v>2019</v>
          </cell>
          <cell r="B2195" t="str">
            <v>Budget</v>
          </cell>
          <cell r="C2195" t="str">
            <v>Mar</v>
          </cell>
          <cell r="D2195" t="str">
            <v>Chairs</v>
          </cell>
          <cell r="E2195">
            <v>422068.185</v>
          </cell>
          <cell r="F2195">
            <v>3</v>
          </cell>
        </row>
        <row r="2196">
          <cell r="A2196">
            <v>2018</v>
          </cell>
          <cell r="B2196" t="str">
            <v>Actual</v>
          </cell>
          <cell r="C2196" t="str">
            <v>Mar</v>
          </cell>
          <cell r="D2196" t="str">
            <v>Tables</v>
          </cell>
          <cell r="E2196">
            <v>56984.794999999998</v>
          </cell>
          <cell r="F2196">
            <v>3</v>
          </cell>
        </row>
        <row r="2197">
          <cell r="A2197">
            <v>2018</v>
          </cell>
          <cell r="B2197" t="str">
            <v>Budget</v>
          </cell>
          <cell r="C2197" t="str">
            <v>Mar</v>
          </cell>
          <cell r="D2197" t="str">
            <v>Kitchen</v>
          </cell>
          <cell r="E2197">
            <v>5736.7449999999999</v>
          </cell>
          <cell r="F2197">
            <v>3</v>
          </cell>
        </row>
        <row r="2198">
          <cell r="A2198">
            <v>2019</v>
          </cell>
          <cell r="B2198" t="str">
            <v>Actual</v>
          </cell>
          <cell r="C2198" t="str">
            <v>Mar</v>
          </cell>
          <cell r="D2198" t="str">
            <v>Chairs</v>
          </cell>
          <cell r="E2198">
            <v>8824.4169999999995</v>
          </cell>
          <cell r="F2198">
            <v>3</v>
          </cell>
        </row>
        <row r="2199">
          <cell r="A2199">
            <v>2019</v>
          </cell>
          <cell r="B2199" t="str">
            <v>Budget</v>
          </cell>
          <cell r="C2199" t="str">
            <v>Mar</v>
          </cell>
          <cell r="D2199" t="str">
            <v>Tables</v>
          </cell>
          <cell r="E2199">
            <v>12277.454</v>
          </cell>
          <cell r="F2199">
            <v>3</v>
          </cell>
        </row>
        <row r="2200">
          <cell r="A2200">
            <v>2019</v>
          </cell>
          <cell r="B2200" t="str">
            <v>Actual</v>
          </cell>
          <cell r="C2200" t="str">
            <v>Mar</v>
          </cell>
          <cell r="D2200" t="str">
            <v>Kitchen</v>
          </cell>
          <cell r="E2200">
            <v>24470.873</v>
          </cell>
          <cell r="F2200">
            <v>3</v>
          </cell>
        </row>
        <row r="2201">
          <cell r="A2201">
            <v>2019</v>
          </cell>
          <cell r="B2201" t="str">
            <v>Budget</v>
          </cell>
          <cell r="C2201" t="str">
            <v>Mar</v>
          </cell>
          <cell r="D2201" t="str">
            <v>Chairs</v>
          </cell>
          <cell r="E2201">
            <v>160170.976</v>
          </cell>
          <cell r="F2201">
            <v>3</v>
          </cell>
        </row>
        <row r="2202">
          <cell r="A2202">
            <v>2018</v>
          </cell>
          <cell r="B2202" t="str">
            <v>Actual</v>
          </cell>
          <cell r="C2202" t="str">
            <v>Mar</v>
          </cell>
          <cell r="D2202" t="str">
            <v>Chairs</v>
          </cell>
          <cell r="E2202">
            <v>37911.237000000001</v>
          </cell>
          <cell r="F2202">
            <v>3</v>
          </cell>
        </row>
        <row r="2203">
          <cell r="A2203">
            <v>2019</v>
          </cell>
          <cell r="B2203" t="str">
            <v>Budget</v>
          </cell>
          <cell r="C2203" t="str">
            <v>Mar</v>
          </cell>
          <cell r="D2203" t="str">
            <v>Chairs</v>
          </cell>
          <cell r="E2203">
            <v>255339.63699999996</v>
          </cell>
          <cell r="F2203">
            <v>3</v>
          </cell>
        </row>
        <row r="2204">
          <cell r="A2204">
            <v>2018</v>
          </cell>
          <cell r="B2204" t="str">
            <v>Actual</v>
          </cell>
          <cell r="C2204" t="str">
            <v>Mar</v>
          </cell>
          <cell r="D2204" t="str">
            <v>Chairs</v>
          </cell>
          <cell r="E2204">
            <v>17873.617999999999</v>
          </cell>
          <cell r="F2204">
            <v>3</v>
          </cell>
        </row>
        <row r="2205">
          <cell r="A2205">
            <v>2018</v>
          </cell>
          <cell r="B2205" t="str">
            <v>Budget</v>
          </cell>
          <cell r="C2205" t="str">
            <v>Mar</v>
          </cell>
          <cell r="D2205" t="str">
            <v>Chairs</v>
          </cell>
          <cell r="E2205">
            <v>1221040.1069999998</v>
          </cell>
          <cell r="F2205">
            <v>3</v>
          </cell>
        </row>
        <row r="2206">
          <cell r="A2206">
            <v>2019</v>
          </cell>
          <cell r="B2206" t="str">
            <v>Actual</v>
          </cell>
          <cell r="C2206" t="str">
            <v>Mar</v>
          </cell>
          <cell r="D2206" t="str">
            <v>Chairs</v>
          </cell>
          <cell r="E2206">
            <v>2005523.7509999999</v>
          </cell>
          <cell r="F2206">
            <v>3</v>
          </cell>
        </row>
        <row r="2207">
          <cell r="A2207">
            <v>2019</v>
          </cell>
          <cell r="B2207" t="str">
            <v>Budget</v>
          </cell>
          <cell r="C2207" t="str">
            <v>Mar</v>
          </cell>
          <cell r="D2207" t="str">
            <v>Chairs</v>
          </cell>
          <cell r="E2207">
            <v>62006.762999999992</v>
          </cell>
          <cell r="F2207">
            <v>3</v>
          </cell>
        </row>
        <row r="2208">
          <cell r="A2208">
            <v>2018</v>
          </cell>
          <cell r="B2208" t="str">
            <v>Actual</v>
          </cell>
          <cell r="C2208" t="str">
            <v>Mar</v>
          </cell>
          <cell r="D2208" t="str">
            <v>Chairs</v>
          </cell>
          <cell r="E2208">
            <v>5410314.602</v>
          </cell>
          <cell r="F2208">
            <v>3</v>
          </cell>
        </row>
        <row r="2209">
          <cell r="A2209">
            <v>2019</v>
          </cell>
          <cell r="B2209" t="str">
            <v>Budget</v>
          </cell>
          <cell r="C2209" t="str">
            <v>Mar</v>
          </cell>
          <cell r="D2209" t="str">
            <v>Chairs</v>
          </cell>
          <cell r="E2209">
            <v>21403.214</v>
          </cell>
          <cell r="F2209">
            <v>3</v>
          </cell>
        </row>
        <row r="2210">
          <cell r="A2210">
            <v>2019</v>
          </cell>
          <cell r="B2210" t="str">
            <v>Actual</v>
          </cell>
          <cell r="C2210" t="str">
            <v>Mar</v>
          </cell>
          <cell r="D2210" t="str">
            <v>Chairs</v>
          </cell>
          <cell r="E2210">
            <v>119864.92699999998</v>
          </cell>
          <cell r="F2210">
            <v>3</v>
          </cell>
        </row>
        <row r="2211">
          <cell r="A2211">
            <v>2019</v>
          </cell>
          <cell r="B2211" t="str">
            <v>Budget</v>
          </cell>
          <cell r="C2211" t="str">
            <v>Mar</v>
          </cell>
          <cell r="D2211" t="str">
            <v>Chairs</v>
          </cell>
          <cell r="E2211">
            <v>2027.8649999999998</v>
          </cell>
          <cell r="F2211">
            <v>3</v>
          </cell>
        </row>
        <row r="2212">
          <cell r="A2212">
            <v>2019</v>
          </cell>
          <cell r="B2212" t="str">
            <v>Actual</v>
          </cell>
          <cell r="C2212" t="str">
            <v>Mar</v>
          </cell>
          <cell r="D2212" t="str">
            <v>Chairs</v>
          </cell>
          <cell r="E2212">
            <v>1251233.3399999999</v>
          </cell>
          <cell r="F2212">
            <v>3</v>
          </cell>
        </row>
        <row r="2213">
          <cell r="A2213">
            <v>2019</v>
          </cell>
          <cell r="B2213" t="str">
            <v>Budget</v>
          </cell>
          <cell r="C2213" t="str">
            <v>Mar</v>
          </cell>
          <cell r="D2213" t="str">
            <v>Chairs</v>
          </cell>
          <cell r="E2213">
            <v>1256863.1039999998</v>
          </cell>
          <cell r="F2213">
            <v>3</v>
          </cell>
        </row>
        <row r="2214">
          <cell r="A2214">
            <v>2019</v>
          </cell>
          <cell r="B2214" t="str">
            <v>Actual</v>
          </cell>
          <cell r="C2214" t="str">
            <v>Mar</v>
          </cell>
          <cell r="D2214" t="str">
            <v>Chairs</v>
          </cell>
          <cell r="E2214">
            <v>16406979.357999999</v>
          </cell>
          <cell r="F2214">
            <v>3</v>
          </cell>
        </row>
        <row r="2215">
          <cell r="A2215">
            <v>2018</v>
          </cell>
          <cell r="B2215" t="str">
            <v>Budget</v>
          </cell>
          <cell r="C2215" t="str">
            <v>Mar</v>
          </cell>
          <cell r="D2215" t="str">
            <v>Chairs</v>
          </cell>
          <cell r="E2215">
            <v>91063.832999999999</v>
          </cell>
          <cell r="F2215">
            <v>3</v>
          </cell>
        </row>
        <row r="2216">
          <cell r="A2216">
            <v>2019</v>
          </cell>
          <cell r="B2216" t="str">
            <v>Actual</v>
          </cell>
          <cell r="C2216" t="str">
            <v>Mar</v>
          </cell>
          <cell r="D2216" t="str">
            <v>Chairs</v>
          </cell>
          <cell r="E2216">
            <v>39141.213999999993</v>
          </cell>
          <cell r="F2216">
            <v>3</v>
          </cell>
        </row>
        <row r="2217">
          <cell r="A2217">
            <v>2018</v>
          </cell>
          <cell r="B2217" t="str">
            <v>Budget</v>
          </cell>
          <cell r="C2217" t="str">
            <v>Mar</v>
          </cell>
          <cell r="D2217" t="str">
            <v>Chairs</v>
          </cell>
          <cell r="E2217">
            <v>-9673.9719999999979</v>
          </cell>
          <cell r="F2217">
            <v>3</v>
          </cell>
        </row>
        <row r="2218">
          <cell r="A2218">
            <v>2018</v>
          </cell>
          <cell r="B2218" t="str">
            <v>Actual</v>
          </cell>
          <cell r="C2218" t="str">
            <v>Mar</v>
          </cell>
          <cell r="D2218" t="str">
            <v>Chairs</v>
          </cell>
          <cell r="E2218">
            <v>212287.81699999998</v>
          </cell>
          <cell r="F2218">
            <v>3</v>
          </cell>
        </row>
        <row r="2219">
          <cell r="A2219">
            <v>2019</v>
          </cell>
          <cell r="B2219" t="str">
            <v>Budget</v>
          </cell>
          <cell r="C2219" t="str">
            <v>Mar</v>
          </cell>
          <cell r="D2219" t="str">
            <v>Chairs</v>
          </cell>
          <cell r="E2219">
            <v>319854.70999999996</v>
          </cell>
          <cell r="F2219">
            <v>3</v>
          </cell>
        </row>
        <row r="2220">
          <cell r="A2220">
            <v>2019</v>
          </cell>
          <cell r="B2220" t="str">
            <v>Actual</v>
          </cell>
          <cell r="C2220" t="str">
            <v>Mar</v>
          </cell>
          <cell r="D2220" t="str">
            <v>Chairs</v>
          </cell>
          <cell r="E2220">
            <v>4268.9849999999997</v>
          </cell>
          <cell r="F2220">
            <v>3</v>
          </cell>
        </row>
        <row r="2221">
          <cell r="A2221">
            <v>2019</v>
          </cell>
          <cell r="B2221" t="str">
            <v>Budget</v>
          </cell>
          <cell r="C2221" t="str">
            <v>Mar</v>
          </cell>
          <cell r="D2221" t="str">
            <v>Chairs</v>
          </cell>
          <cell r="E2221">
            <v>89567.898000000001</v>
          </cell>
          <cell r="F2221">
            <v>3</v>
          </cell>
        </row>
        <row r="2222">
          <cell r="A2222">
            <v>2018</v>
          </cell>
          <cell r="B2222" t="str">
            <v>Actual</v>
          </cell>
          <cell r="C2222" t="str">
            <v>Mar</v>
          </cell>
          <cell r="D2222" t="str">
            <v>Chairs</v>
          </cell>
          <cell r="E2222">
            <v>142520.90299999999</v>
          </cell>
          <cell r="F2222">
            <v>3</v>
          </cell>
        </row>
        <row r="2223">
          <cell r="A2223">
            <v>2019</v>
          </cell>
          <cell r="B2223" t="str">
            <v>Budget</v>
          </cell>
          <cell r="C2223" t="str">
            <v>Mar</v>
          </cell>
          <cell r="D2223" t="str">
            <v>Chairs</v>
          </cell>
          <cell r="E2223">
            <v>79968.468999999997</v>
          </cell>
          <cell r="F2223">
            <v>3</v>
          </cell>
        </row>
        <row r="2224">
          <cell r="A2224">
            <v>2019</v>
          </cell>
          <cell r="B2224" t="str">
            <v>Actual</v>
          </cell>
          <cell r="C2224" t="str">
            <v>Mar</v>
          </cell>
          <cell r="D2224" t="str">
            <v>Chairs</v>
          </cell>
          <cell r="E2224">
            <v>246064.80499999999</v>
          </cell>
          <cell r="F2224">
            <v>3</v>
          </cell>
        </row>
        <row r="2225">
          <cell r="A2225">
            <v>2018</v>
          </cell>
          <cell r="B2225" t="str">
            <v>Budget</v>
          </cell>
          <cell r="C2225" t="str">
            <v>Mar</v>
          </cell>
          <cell r="D2225" t="str">
            <v>Chairs</v>
          </cell>
          <cell r="E2225">
            <v>213500.63</v>
          </cell>
          <cell r="F2225">
            <v>3</v>
          </cell>
        </row>
        <row r="2226">
          <cell r="A2226">
            <v>2019</v>
          </cell>
          <cell r="B2226" t="str">
            <v>Actual</v>
          </cell>
          <cell r="C2226" t="str">
            <v>Mar</v>
          </cell>
          <cell r="D2226" t="str">
            <v>Chairs</v>
          </cell>
          <cell r="E2226">
            <v>41600.985999999997</v>
          </cell>
          <cell r="F2226">
            <v>3</v>
          </cell>
        </row>
        <row r="2227">
          <cell r="A2227">
            <v>2019</v>
          </cell>
          <cell r="B2227" t="str">
            <v>Budget</v>
          </cell>
          <cell r="C2227" t="str">
            <v>Mar</v>
          </cell>
          <cell r="D2227" t="str">
            <v>Tables</v>
          </cell>
          <cell r="E2227">
            <v>105922.97099999999</v>
          </cell>
          <cell r="F2227">
            <v>3</v>
          </cell>
        </row>
        <row r="2228">
          <cell r="A2228">
            <v>2018</v>
          </cell>
          <cell r="B2228" t="str">
            <v>Actual</v>
          </cell>
          <cell r="C2228" t="str">
            <v>Mar</v>
          </cell>
          <cell r="D2228" t="str">
            <v>Kitchen</v>
          </cell>
          <cell r="E2228">
            <v>3330600.1119999997</v>
          </cell>
          <cell r="F2228">
            <v>3</v>
          </cell>
        </row>
        <row r="2229">
          <cell r="A2229">
            <v>2018</v>
          </cell>
          <cell r="B2229" t="str">
            <v>Budget</v>
          </cell>
          <cell r="C2229" t="str">
            <v>Mar</v>
          </cell>
          <cell r="D2229" t="str">
            <v>Chairs</v>
          </cell>
          <cell r="E2229">
            <v>498790.97099999996</v>
          </cell>
          <cell r="F2229">
            <v>3</v>
          </cell>
        </row>
        <row r="2230">
          <cell r="A2230">
            <v>2019</v>
          </cell>
          <cell r="B2230" t="str">
            <v>Actual</v>
          </cell>
          <cell r="C2230" t="str">
            <v>Mar</v>
          </cell>
          <cell r="D2230" t="str">
            <v>Chairs</v>
          </cell>
          <cell r="E2230">
            <v>1292193.0419999999</v>
          </cell>
          <cell r="F2230">
            <v>3</v>
          </cell>
        </row>
        <row r="2231">
          <cell r="A2231">
            <v>2019</v>
          </cell>
          <cell r="B2231" t="str">
            <v>Budget</v>
          </cell>
          <cell r="C2231" t="str">
            <v>Mar</v>
          </cell>
          <cell r="D2231" t="str">
            <v>Chairs</v>
          </cell>
          <cell r="E2231">
            <v>473112.85</v>
          </cell>
          <cell r="F2231">
            <v>3</v>
          </cell>
        </row>
        <row r="2232">
          <cell r="A2232">
            <v>2019</v>
          </cell>
          <cell r="B2232" t="str">
            <v>Actual</v>
          </cell>
          <cell r="C2232" t="str">
            <v>Mar</v>
          </cell>
          <cell r="D2232" t="str">
            <v>Chairs</v>
          </cell>
          <cell r="E2232">
            <v>476437.97600000002</v>
          </cell>
          <cell r="F2232">
            <v>3</v>
          </cell>
        </row>
        <row r="2233">
          <cell r="A2233">
            <v>2018</v>
          </cell>
          <cell r="B2233" t="str">
            <v>Budget</v>
          </cell>
          <cell r="C2233" t="str">
            <v>Mar</v>
          </cell>
          <cell r="D2233" t="str">
            <v>Chairs</v>
          </cell>
          <cell r="E2233">
            <v>251344.856</v>
          </cell>
          <cell r="F2233">
            <v>3</v>
          </cell>
        </row>
        <row r="2234">
          <cell r="A2234">
            <v>2018</v>
          </cell>
          <cell r="B2234" t="str">
            <v>Actual</v>
          </cell>
          <cell r="C2234" t="str">
            <v>Mar</v>
          </cell>
          <cell r="D2234" t="str">
            <v>Tables</v>
          </cell>
          <cell r="E2234">
            <v>549193.17599999998</v>
          </cell>
          <cell r="F2234">
            <v>3</v>
          </cell>
        </row>
        <row r="2235">
          <cell r="A2235">
            <v>2018</v>
          </cell>
          <cell r="B2235" t="str">
            <v>Budget</v>
          </cell>
          <cell r="C2235" t="str">
            <v>Mar</v>
          </cell>
          <cell r="D2235" t="str">
            <v>Kitchen</v>
          </cell>
          <cell r="E2235">
            <v>4468037.0419999994</v>
          </cell>
          <cell r="F2235">
            <v>3</v>
          </cell>
        </row>
        <row r="2236">
          <cell r="A2236">
            <v>2018</v>
          </cell>
          <cell r="B2236" t="str">
            <v>Actual</v>
          </cell>
          <cell r="C2236" t="str">
            <v>Mar</v>
          </cell>
          <cell r="D2236" t="str">
            <v>Chairs</v>
          </cell>
          <cell r="E2236">
            <v>55595.218000000001</v>
          </cell>
          <cell r="F2236">
            <v>3</v>
          </cell>
        </row>
        <row r="2237">
          <cell r="A2237">
            <v>2018</v>
          </cell>
          <cell r="B2237" t="str">
            <v>Budget</v>
          </cell>
          <cell r="C2237" t="str">
            <v>Mar</v>
          </cell>
          <cell r="D2237" t="str">
            <v>Chairs</v>
          </cell>
          <cell r="E2237">
            <v>233979.43799999999</v>
          </cell>
          <cell r="F2237">
            <v>3</v>
          </cell>
        </row>
        <row r="2238">
          <cell r="A2238">
            <v>2019</v>
          </cell>
          <cell r="B2238" t="str">
            <v>Actual</v>
          </cell>
          <cell r="C2238" t="str">
            <v>Mar</v>
          </cell>
          <cell r="D2238" t="str">
            <v>Chairs</v>
          </cell>
          <cell r="E2238">
            <v>37607.506999999998</v>
          </cell>
          <cell r="F2238">
            <v>3</v>
          </cell>
        </row>
        <row r="2239">
          <cell r="A2239">
            <v>2018</v>
          </cell>
          <cell r="B2239" t="str">
            <v>Budget</v>
          </cell>
          <cell r="C2239" t="str">
            <v>Mar</v>
          </cell>
          <cell r="D2239" t="str">
            <v>Tables</v>
          </cell>
          <cell r="E2239">
            <v>24242.826999999997</v>
          </cell>
          <cell r="F2239">
            <v>3</v>
          </cell>
        </row>
        <row r="2240">
          <cell r="A2240">
            <v>2018</v>
          </cell>
          <cell r="B2240" t="str">
            <v>Actual</v>
          </cell>
          <cell r="C2240" t="str">
            <v>Mar</v>
          </cell>
          <cell r="D2240" t="str">
            <v>Kitchen</v>
          </cell>
          <cell r="E2240">
            <v>505148.13999999996</v>
          </cell>
          <cell r="F2240">
            <v>3</v>
          </cell>
        </row>
        <row r="2241">
          <cell r="A2241">
            <v>2019</v>
          </cell>
          <cell r="B2241" t="str">
            <v>Budget</v>
          </cell>
          <cell r="C2241" t="str">
            <v>Mar</v>
          </cell>
          <cell r="D2241" t="str">
            <v>Chairs</v>
          </cell>
          <cell r="E2241">
            <v>146739.13099999999</v>
          </cell>
          <cell r="F2241">
            <v>3</v>
          </cell>
        </row>
        <row r="2242">
          <cell r="A2242">
            <v>2019</v>
          </cell>
          <cell r="B2242" t="str">
            <v>Actual</v>
          </cell>
          <cell r="C2242" t="str">
            <v>Mar</v>
          </cell>
          <cell r="D2242" t="str">
            <v>Chairs</v>
          </cell>
          <cell r="E2242">
            <v>63953.350999999988</v>
          </cell>
          <cell r="F2242">
            <v>3</v>
          </cell>
        </row>
        <row r="2243">
          <cell r="A2243">
            <v>2018</v>
          </cell>
          <cell r="B2243" t="str">
            <v>Budget</v>
          </cell>
          <cell r="C2243" t="str">
            <v>Mar</v>
          </cell>
          <cell r="D2243" t="str">
            <v>Tables</v>
          </cell>
          <cell r="E2243">
            <v>27752.634000000002</v>
          </cell>
          <cell r="F2243">
            <v>3</v>
          </cell>
        </row>
        <row r="2244">
          <cell r="A2244">
            <v>2018</v>
          </cell>
          <cell r="B2244" t="str">
            <v>Actual</v>
          </cell>
          <cell r="C2244" t="str">
            <v>Mar</v>
          </cell>
          <cell r="D2244" t="str">
            <v>Kitchen</v>
          </cell>
          <cell r="E2244">
            <v>22330.958999999999</v>
          </cell>
          <cell r="F2244">
            <v>3</v>
          </cell>
        </row>
        <row r="2245">
          <cell r="A2245">
            <v>2019</v>
          </cell>
          <cell r="B2245" t="str">
            <v>Budget</v>
          </cell>
          <cell r="C2245" t="str">
            <v>Mar</v>
          </cell>
          <cell r="D2245" t="str">
            <v>Chairs</v>
          </cell>
          <cell r="E2245">
            <v>118760.08899999998</v>
          </cell>
          <cell r="F2245">
            <v>3</v>
          </cell>
        </row>
        <row r="2246">
          <cell r="A2246">
            <v>2019</v>
          </cell>
          <cell r="B2246" t="str">
            <v>Actual</v>
          </cell>
          <cell r="C2246" t="str">
            <v>Mar</v>
          </cell>
          <cell r="D2246" t="str">
            <v>Chairs</v>
          </cell>
          <cell r="E2246">
            <v>40601.735999999997</v>
          </cell>
          <cell r="F2246">
            <v>3</v>
          </cell>
        </row>
        <row r="2247">
          <cell r="A2247">
            <v>2018</v>
          </cell>
          <cell r="B2247" t="str">
            <v>Budget</v>
          </cell>
          <cell r="C2247" t="str">
            <v>Mar</v>
          </cell>
          <cell r="D2247" t="str">
            <v>Chairs</v>
          </cell>
          <cell r="E2247">
            <v>61917.652999999991</v>
          </cell>
          <cell r="F2247">
            <v>3</v>
          </cell>
        </row>
        <row r="2248">
          <cell r="A2248">
            <v>2018</v>
          </cell>
          <cell r="B2248" t="str">
            <v>Actual</v>
          </cell>
          <cell r="C2248" t="str">
            <v>Mar</v>
          </cell>
          <cell r="D2248" t="str">
            <v>Tables</v>
          </cell>
          <cell r="E2248">
            <v>22330.958999999999</v>
          </cell>
          <cell r="F2248">
            <v>3</v>
          </cell>
        </row>
        <row r="2249">
          <cell r="A2249">
            <v>2018</v>
          </cell>
          <cell r="B2249" t="str">
            <v>Budget</v>
          </cell>
          <cell r="C2249" t="str">
            <v>Mar</v>
          </cell>
          <cell r="D2249" t="str">
            <v>Kitchen</v>
          </cell>
          <cell r="E2249">
            <v>64370.683999999994</v>
          </cell>
          <cell r="F2249">
            <v>3</v>
          </cell>
        </row>
        <row r="2250">
          <cell r="A2250">
            <v>2019</v>
          </cell>
          <cell r="B2250" t="str">
            <v>Actual</v>
          </cell>
          <cell r="C2250" t="str">
            <v>Mar</v>
          </cell>
          <cell r="D2250" t="str">
            <v>Accessories</v>
          </cell>
          <cell r="E2250">
            <v>18974.983999999997</v>
          </cell>
          <cell r="F2250">
            <v>3</v>
          </cell>
        </row>
        <row r="2251">
          <cell r="A2251">
            <v>2018</v>
          </cell>
          <cell r="B2251" t="str">
            <v>Budget</v>
          </cell>
          <cell r="C2251" t="str">
            <v>Mar</v>
          </cell>
          <cell r="D2251" t="str">
            <v>Chairs</v>
          </cell>
          <cell r="E2251">
            <v>76175.693999999989</v>
          </cell>
          <cell r="F2251">
            <v>3</v>
          </cell>
        </row>
        <row r="2252">
          <cell r="A2252">
            <v>2019</v>
          </cell>
          <cell r="B2252" t="str">
            <v>Actual</v>
          </cell>
          <cell r="C2252" t="str">
            <v>Mar</v>
          </cell>
          <cell r="D2252" t="str">
            <v>Tables</v>
          </cell>
          <cell r="E2252">
            <v>190903.26499999998</v>
          </cell>
          <cell r="F2252">
            <v>3</v>
          </cell>
        </row>
        <row r="2253">
          <cell r="A2253">
            <v>2019</v>
          </cell>
          <cell r="B2253" t="str">
            <v>Budget</v>
          </cell>
          <cell r="C2253" t="str">
            <v>Mar</v>
          </cell>
          <cell r="D2253" t="str">
            <v>Kitchen</v>
          </cell>
          <cell r="E2253">
            <v>305569.70500000002</v>
          </cell>
          <cell r="F2253">
            <v>3</v>
          </cell>
        </row>
        <row r="2254">
          <cell r="A2254">
            <v>2019</v>
          </cell>
          <cell r="B2254" t="str">
            <v>Actual</v>
          </cell>
          <cell r="C2254" t="str">
            <v>Mar</v>
          </cell>
          <cell r="D2254" t="str">
            <v>Accessories</v>
          </cell>
          <cell r="E2254">
            <v>19393.149999999998</v>
          </cell>
          <cell r="F2254">
            <v>3</v>
          </cell>
        </row>
        <row r="2255">
          <cell r="A2255">
            <v>2018</v>
          </cell>
          <cell r="B2255" t="str">
            <v>Budget</v>
          </cell>
          <cell r="C2255" t="str">
            <v>Mar</v>
          </cell>
          <cell r="D2255" t="str">
            <v>Chairs</v>
          </cell>
          <cell r="E2255">
            <v>120088.374</v>
          </cell>
          <cell r="F2255">
            <v>3</v>
          </cell>
        </row>
        <row r="2256">
          <cell r="A2256">
            <v>2018</v>
          </cell>
          <cell r="B2256" t="str">
            <v>Actual</v>
          </cell>
          <cell r="C2256" t="str">
            <v>Mar</v>
          </cell>
          <cell r="D2256" t="str">
            <v>Tables</v>
          </cell>
          <cell r="E2256">
            <v>546211.76399999997</v>
          </cell>
          <cell r="F2256">
            <v>3</v>
          </cell>
        </row>
        <row r="2257">
          <cell r="A2257">
            <v>2018</v>
          </cell>
          <cell r="B2257" t="str">
            <v>Budget</v>
          </cell>
          <cell r="C2257" t="str">
            <v>Mar</v>
          </cell>
          <cell r="D2257" t="str">
            <v>Kitchen</v>
          </cell>
          <cell r="E2257">
            <v>22136.883999999998</v>
          </cell>
          <cell r="F2257">
            <v>3</v>
          </cell>
        </row>
        <row r="2258">
          <cell r="A2258">
            <v>2018</v>
          </cell>
          <cell r="B2258" t="str">
            <v>Actual</v>
          </cell>
          <cell r="C2258" t="str">
            <v>Mar</v>
          </cell>
          <cell r="D2258" t="str">
            <v>Accessories</v>
          </cell>
          <cell r="E2258">
            <v>50704.25499999999</v>
          </cell>
          <cell r="F2258">
            <v>3</v>
          </cell>
        </row>
        <row r="2259">
          <cell r="A2259">
            <v>2019</v>
          </cell>
          <cell r="B2259" t="str">
            <v>Budget</v>
          </cell>
          <cell r="C2259" t="str">
            <v>Mar</v>
          </cell>
          <cell r="D2259" t="str">
            <v>Chairs</v>
          </cell>
          <cell r="E2259">
            <v>20542.423999999999</v>
          </cell>
          <cell r="F2259">
            <v>3</v>
          </cell>
        </row>
        <row r="2260">
          <cell r="A2260">
            <v>2018</v>
          </cell>
          <cell r="B2260" t="str">
            <v>Actual</v>
          </cell>
          <cell r="C2260" t="str">
            <v>Mar</v>
          </cell>
          <cell r="D2260" t="str">
            <v>Tables</v>
          </cell>
          <cell r="E2260">
            <v>31766.398999999998</v>
          </cell>
          <cell r="F2260">
            <v>3</v>
          </cell>
        </row>
        <row r="2261">
          <cell r="A2261">
            <v>2018</v>
          </cell>
          <cell r="B2261" t="str">
            <v>Budget</v>
          </cell>
          <cell r="C2261" t="str">
            <v>Mar</v>
          </cell>
          <cell r="D2261" t="str">
            <v>Kitchen</v>
          </cell>
          <cell r="E2261">
            <v>8964.1159999999982</v>
          </cell>
          <cell r="F2261">
            <v>3</v>
          </cell>
        </row>
        <row r="2262">
          <cell r="A2262">
            <v>2019</v>
          </cell>
          <cell r="B2262" t="str">
            <v>Actual</v>
          </cell>
          <cell r="C2262" t="str">
            <v>Mar</v>
          </cell>
          <cell r="D2262" t="str">
            <v>Accessories</v>
          </cell>
          <cell r="E2262">
            <v>39011.426999999996</v>
          </cell>
          <cell r="F2262">
            <v>3</v>
          </cell>
        </row>
        <row r="2263">
          <cell r="A2263">
            <v>2018</v>
          </cell>
          <cell r="B2263" t="str">
            <v>Budget</v>
          </cell>
          <cell r="C2263" t="str">
            <v>Mar</v>
          </cell>
          <cell r="D2263" t="str">
            <v>Chairs</v>
          </cell>
          <cell r="E2263">
            <v>63125.082999999999</v>
          </cell>
          <cell r="F2263">
            <v>3</v>
          </cell>
        </row>
        <row r="2264">
          <cell r="A2264">
            <v>2018</v>
          </cell>
          <cell r="B2264" t="str">
            <v>Actual</v>
          </cell>
          <cell r="C2264" t="str">
            <v>Mar</v>
          </cell>
          <cell r="D2264" t="str">
            <v>Chairs</v>
          </cell>
          <cell r="E2264">
            <v>70125.838999999993</v>
          </cell>
          <cell r="F2264">
            <v>3</v>
          </cell>
        </row>
        <row r="2265">
          <cell r="A2265">
            <v>2019</v>
          </cell>
          <cell r="B2265" t="str">
            <v>Budget</v>
          </cell>
          <cell r="C2265" t="str">
            <v>Mar</v>
          </cell>
          <cell r="D2265" t="str">
            <v>Tables</v>
          </cell>
          <cell r="E2265">
            <v>10002.726999999999</v>
          </cell>
          <cell r="F2265">
            <v>3</v>
          </cell>
        </row>
        <row r="2266">
          <cell r="A2266">
            <v>2019</v>
          </cell>
          <cell r="B2266" t="str">
            <v>Actual</v>
          </cell>
          <cell r="C2266" t="str">
            <v>Mar</v>
          </cell>
          <cell r="D2266" t="str">
            <v>Kitchen</v>
          </cell>
          <cell r="E2266">
            <v>78633.87</v>
          </cell>
          <cell r="F2266">
            <v>3</v>
          </cell>
        </row>
        <row r="2267">
          <cell r="A2267">
            <v>2019</v>
          </cell>
          <cell r="B2267" t="str">
            <v>Budget</v>
          </cell>
          <cell r="C2267" t="str">
            <v>Mar</v>
          </cell>
          <cell r="D2267" t="str">
            <v>Chairs</v>
          </cell>
          <cell r="E2267">
            <v>25928.153999999999</v>
          </cell>
          <cell r="F2267">
            <v>3</v>
          </cell>
        </row>
        <row r="2268">
          <cell r="A2268">
            <v>2018</v>
          </cell>
          <cell r="B2268" t="str">
            <v>Actual</v>
          </cell>
          <cell r="C2268" t="str">
            <v>Mar</v>
          </cell>
          <cell r="D2268" t="str">
            <v>Tables</v>
          </cell>
          <cell r="E2268">
            <v>54849.409999999996</v>
          </cell>
          <cell r="F2268">
            <v>3</v>
          </cell>
        </row>
        <row r="2269">
          <cell r="A2269">
            <v>2018</v>
          </cell>
          <cell r="B2269" t="str">
            <v>Budget</v>
          </cell>
          <cell r="C2269" t="str">
            <v>Mar</v>
          </cell>
          <cell r="D2269" t="str">
            <v>Kitchen</v>
          </cell>
          <cell r="E2269">
            <v>45471.138999999996</v>
          </cell>
          <cell r="F2269">
            <v>3</v>
          </cell>
        </row>
        <row r="2270">
          <cell r="A2270">
            <v>2019</v>
          </cell>
          <cell r="B2270" t="str">
            <v>Actual</v>
          </cell>
          <cell r="C2270" t="str">
            <v>Mar</v>
          </cell>
          <cell r="D2270" t="str">
            <v>Chairs</v>
          </cell>
          <cell r="E2270">
            <v>184756.908</v>
          </cell>
          <cell r="F2270">
            <v>3</v>
          </cell>
        </row>
        <row r="2271">
          <cell r="A2271">
            <v>2018</v>
          </cell>
          <cell r="B2271" t="str">
            <v>Budget</v>
          </cell>
          <cell r="C2271" t="str">
            <v>Mar</v>
          </cell>
          <cell r="D2271" t="str">
            <v>Tables</v>
          </cell>
          <cell r="E2271">
            <v>32517.904999999999</v>
          </cell>
          <cell r="F2271">
            <v>3</v>
          </cell>
        </row>
        <row r="2272">
          <cell r="A2272">
            <v>2018</v>
          </cell>
          <cell r="B2272" t="str">
            <v>Actual</v>
          </cell>
          <cell r="C2272" t="str">
            <v>Mar</v>
          </cell>
          <cell r="D2272" t="str">
            <v>Kitchen</v>
          </cell>
          <cell r="E2272">
            <v>130408.817</v>
          </cell>
          <cell r="F2272">
            <v>3</v>
          </cell>
        </row>
        <row r="2273">
          <cell r="A2273">
            <v>2019</v>
          </cell>
          <cell r="B2273" t="str">
            <v>Budget</v>
          </cell>
          <cell r="C2273" t="str">
            <v>Mar</v>
          </cell>
          <cell r="D2273" t="str">
            <v>Chairs</v>
          </cell>
          <cell r="E2273">
            <v>346427.91399999999</v>
          </cell>
          <cell r="F2273">
            <v>3</v>
          </cell>
        </row>
        <row r="2274">
          <cell r="A2274">
            <v>2019</v>
          </cell>
          <cell r="B2274" t="str">
            <v>Actual</v>
          </cell>
          <cell r="C2274" t="str">
            <v>Mar</v>
          </cell>
          <cell r="D2274" t="str">
            <v>Chairs</v>
          </cell>
          <cell r="E2274">
            <v>106940.95999999999</v>
          </cell>
          <cell r="F2274">
            <v>3</v>
          </cell>
        </row>
        <row r="2275">
          <cell r="A2275">
            <v>2018</v>
          </cell>
          <cell r="B2275" t="str">
            <v>Budget</v>
          </cell>
          <cell r="C2275" t="str">
            <v>Mar</v>
          </cell>
          <cell r="D2275" t="str">
            <v>Chairs</v>
          </cell>
          <cell r="E2275">
            <v>30895.683000000001</v>
          </cell>
          <cell r="F2275">
            <v>3</v>
          </cell>
        </row>
        <row r="2276">
          <cell r="A2276">
            <v>2018</v>
          </cell>
          <cell r="B2276" t="str">
            <v>Actual</v>
          </cell>
          <cell r="C2276" t="str">
            <v>Mar</v>
          </cell>
          <cell r="D2276" t="str">
            <v>Chairs</v>
          </cell>
          <cell r="E2276">
            <v>271131.147</v>
          </cell>
          <cell r="F2276">
            <v>3</v>
          </cell>
        </row>
        <row r="2277">
          <cell r="A2277">
            <v>2018</v>
          </cell>
          <cell r="B2277" t="str">
            <v>Budget</v>
          </cell>
          <cell r="C2277" t="str">
            <v>Mar</v>
          </cell>
          <cell r="D2277" t="str">
            <v>Chairs</v>
          </cell>
          <cell r="E2277">
            <v>259660.94</v>
          </cell>
          <cell r="F2277">
            <v>3</v>
          </cell>
        </row>
        <row r="2278">
          <cell r="A2278">
            <v>2018</v>
          </cell>
          <cell r="B2278" t="str">
            <v>Actual</v>
          </cell>
          <cell r="C2278" t="str">
            <v>Mar</v>
          </cell>
          <cell r="D2278" t="str">
            <v>Chairs</v>
          </cell>
          <cell r="E2278">
            <v>33000.498999999996</v>
          </cell>
          <cell r="F2278">
            <v>3</v>
          </cell>
        </row>
        <row r="2279">
          <cell r="A2279">
            <v>2019</v>
          </cell>
          <cell r="B2279" t="str">
            <v>Budget</v>
          </cell>
          <cell r="C2279" t="str">
            <v>Mar</v>
          </cell>
          <cell r="D2279" t="str">
            <v>Chairs</v>
          </cell>
          <cell r="E2279">
            <v>18438.699999999997</v>
          </cell>
          <cell r="F2279">
            <v>3</v>
          </cell>
        </row>
        <row r="2280">
          <cell r="A2280">
            <v>2019</v>
          </cell>
          <cell r="B2280" t="str">
            <v>Actual</v>
          </cell>
          <cell r="C2280" t="str">
            <v>Mar</v>
          </cell>
          <cell r="D2280" t="str">
            <v>Chairs</v>
          </cell>
          <cell r="E2280">
            <v>98245.342999999993</v>
          </cell>
          <cell r="F2280">
            <v>3</v>
          </cell>
        </row>
        <row r="2281">
          <cell r="A2281">
            <v>2019</v>
          </cell>
          <cell r="B2281" t="str">
            <v>Budget</v>
          </cell>
          <cell r="C2281" t="str">
            <v>Mar</v>
          </cell>
          <cell r="D2281" t="str">
            <v>Chairs</v>
          </cell>
          <cell r="E2281">
            <v>131208.70699999999</v>
          </cell>
          <cell r="F2281">
            <v>3</v>
          </cell>
        </row>
        <row r="2282">
          <cell r="A2282">
            <v>2018</v>
          </cell>
          <cell r="B2282" t="str">
            <v>Actual</v>
          </cell>
          <cell r="C2282" t="str">
            <v>Mar</v>
          </cell>
          <cell r="D2282" t="str">
            <v>Chairs</v>
          </cell>
          <cell r="E2282">
            <v>211590.484</v>
          </cell>
          <cell r="F2282">
            <v>3</v>
          </cell>
        </row>
        <row r="2283">
          <cell r="A2283">
            <v>2018</v>
          </cell>
          <cell r="B2283" t="str">
            <v>Budget</v>
          </cell>
          <cell r="C2283" t="str">
            <v>Mar</v>
          </cell>
          <cell r="D2283" t="str">
            <v>Chairs</v>
          </cell>
          <cell r="E2283">
            <v>33840.862999999998</v>
          </cell>
          <cell r="F2283">
            <v>3</v>
          </cell>
        </row>
        <row r="2284">
          <cell r="A2284">
            <v>2019</v>
          </cell>
          <cell r="B2284" t="str">
            <v>Actual</v>
          </cell>
          <cell r="C2284" t="str">
            <v>Mar</v>
          </cell>
          <cell r="D2284" t="str">
            <v>Chairs</v>
          </cell>
          <cell r="E2284">
            <v>114697.583</v>
          </cell>
          <cell r="F2284">
            <v>3</v>
          </cell>
        </row>
        <row r="2285">
          <cell r="A2285">
            <v>2018</v>
          </cell>
          <cell r="B2285" t="str">
            <v>Budget</v>
          </cell>
          <cell r="C2285" t="str">
            <v>Mar</v>
          </cell>
          <cell r="D2285" t="str">
            <v>Chairs</v>
          </cell>
          <cell r="E2285">
            <v>56769.51</v>
          </cell>
          <cell r="F2285">
            <v>3</v>
          </cell>
        </row>
        <row r="2286">
          <cell r="A2286">
            <v>2019</v>
          </cell>
          <cell r="B2286" t="str">
            <v>Actual</v>
          </cell>
          <cell r="C2286" t="str">
            <v>Mar</v>
          </cell>
          <cell r="D2286" t="str">
            <v>Chairs</v>
          </cell>
          <cell r="E2286">
            <v>88987.36</v>
          </cell>
          <cell r="F2286">
            <v>3</v>
          </cell>
        </row>
        <row r="2287">
          <cell r="A2287">
            <v>2018</v>
          </cell>
          <cell r="B2287" t="str">
            <v>Budget</v>
          </cell>
          <cell r="C2287" t="str">
            <v>Mar</v>
          </cell>
          <cell r="D2287" t="str">
            <v>Chairs</v>
          </cell>
          <cell r="E2287">
            <v>495512.81499999994</v>
          </cell>
          <cell r="F2287">
            <v>3</v>
          </cell>
        </row>
        <row r="2288">
          <cell r="A2288">
            <v>2018</v>
          </cell>
          <cell r="B2288" t="str">
            <v>Actual</v>
          </cell>
          <cell r="C2288" t="str">
            <v>Mar</v>
          </cell>
          <cell r="D2288" t="str">
            <v>Chairs</v>
          </cell>
          <cell r="E2288">
            <v>49275.995999999999</v>
          </cell>
          <cell r="F2288">
            <v>3</v>
          </cell>
        </row>
        <row r="2289">
          <cell r="A2289">
            <v>2018</v>
          </cell>
          <cell r="B2289" t="str">
            <v>Budget</v>
          </cell>
          <cell r="C2289" t="str">
            <v>Mar</v>
          </cell>
          <cell r="D2289" t="str">
            <v>Chairs</v>
          </cell>
          <cell r="E2289">
            <v>159259.51999999999</v>
          </cell>
          <cell r="F2289">
            <v>3</v>
          </cell>
        </row>
        <row r="2290">
          <cell r="A2290">
            <v>2018</v>
          </cell>
          <cell r="B2290" t="str">
            <v>Actual</v>
          </cell>
          <cell r="C2290" t="str">
            <v>Mar</v>
          </cell>
          <cell r="D2290" t="str">
            <v>Chairs</v>
          </cell>
          <cell r="E2290">
            <v>348721.70899999997</v>
          </cell>
          <cell r="F2290">
            <v>3</v>
          </cell>
        </row>
        <row r="2291">
          <cell r="A2291">
            <v>2019</v>
          </cell>
          <cell r="B2291" t="str">
            <v>Budget</v>
          </cell>
          <cell r="C2291" t="str">
            <v>Mar</v>
          </cell>
          <cell r="D2291" t="str">
            <v>Chairs</v>
          </cell>
          <cell r="E2291">
            <v>595833.92399999988</v>
          </cell>
          <cell r="F2291">
            <v>3</v>
          </cell>
        </row>
        <row r="2292">
          <cell r="A2292">
            <v>2019</v>
          </cell>
          <cell r="B2292" t="str">
            <v>Actual</v>
          </cell>
          <cell r="C2292" t="str">
            <v>Mar</v>
          </cell>
          <cell r="D2292" t="str">
            <v>Chairs</v>
          </cell>
          <cell r="E2292">
            <v>222498.63999999998</v>
          </cell>
          <cell r="F2292">
            <v>3</v>
          </cell>
        </row>
        <row r="2293">
          <cell r="A2293">
            <v>2018</v>
          </cell>
          <cell r="B2293" t="str">
            <v>Budget</v>
          </cell>
          <cell r="C2293" t="str">
            <v>Mar</v>
          </cell>
          <cell r="D2293" t="str">
            <v>Chairs</v>
          </cell>
          <cell r="E2293">
            <v>217516.75399999996</v>
          </cell>
          <cell r="F2293">
            <v>3</v>
          </cell>
        </row>
        <row r="2294">
          <cell r="A2294">
            <v>2018</v>
          </cell>
          <cell r="B2294" t="str">
            <v>Actual</v>
          </cell>
          <cell r="C2294" t="str">
            <v>Mar</v>
          </cell>
          <cell r="D2294" t="str">
            <v>Chairs</v>
          </cell>
          <cell r="E2294">
            <v>52981.053999999996</v>
          </cell>
          <cell r="F2294">
            <v>3</v>
          </cell>
        </row>
        <row r="2295">
          <cell r="A2295">
            <v>2018</v>
          </cell>
          <cell r="B2295" t="str">
            <v>Budget</v>
          </cell>
          <cell r="C2295" t="str">
            <v>Mar</v>
          </cell>
          <cell r="D2295" t="str">
            <v>Chairs</v>
          </cell>
          <cell r="E2295">
            <v>205790.26999999996</v>
          </cell>
          <cell r="F2295">
            <v>3</v>
          </cell>
        </row>
        <row r="2296">
          <cell r="A2296">
            <v>2018</v>
          </cell>
          <cell r="B2296" t="str">
            <v>Actual</v>
          </cell>
          <cell r="C2296" t="str">
            <v>Mar</v>
          </cell>
          <cell r="D2296" t="str">
            <v>Chairs</v>
          </cell>
          <cell r="E2296">
            <v>458495.66000000003</v>
          </cell>
          <cell r="F2296">
            <v>3</v>
          </cell>
        </row>
        <row r="2297">
          <cell r="A2297">
            <v>2018</v>
          </cell>
          <cell r="B2297" t="str">
            <v>Budget</v>
          </cell>
          <cell r="C2297" t="str">
            <v>Mar</v>
          </cell>
          <cell r="D2297" t="str">
            <v>Chairs</v>
          </cell>
          <cell r="E2297">
            <v>105534.898</v>
          </cell>
          <cell r="F2297">
            <v>3</v>
          </cell>
        </row>
        <row r="2298">
          <cell r="A2298">
            <v>2018</v>
          </cell>
          <cell r="B2298" t="str">
            <v>Actual</v>
          </cell>
          <cell r="C2298" t="str">
            <v>Mar</v>
          </cell>
          <cell r="D2298" t="str">
            <v>Chairs</v>
          </cell>
          <cell r="E2298">
            <v>83007.028999999995</v>
          </cell>
          <cell r="F2298">
            <v>3</v>
          </cell>
        </row>
        <row r="2299">
          <cell r="A2299">
            <v>2018</v>
          </cell>
          <cell r="B2299" t="str">
            <v>Budget</v>
          </cell>
          <cell r="C2299" t="str">
            <v>Mar</v>
          </cell>
          <cell r="D2299" t="str">
            <v>Tables</v>
          </cell>
          <cell r="E2299">
            <v>148263.88499999998</v>
          </cell>
          <cell r="F2299">
            <v>3</v>
          </cell>
        </row>
        <row r="2300">
          <cell r="A2300">
            <v>2018</v>
          </cell>
          <cell r="B2300" t="str">
            <v>Actual</v>
          </cell>
          <cell r="C2300" t="str">
            <v>Mar</v>
          </cell>
          <cell r="D2300" t="str">
            <v>Kitchen</v>
          </cell>
          <cell r="E2300">
            <v>31607.148999999998</v>
          </cell>
          <cell r="F2300">
            <v>3</v>
          </cell>
        </row>
        <row r="2301">
          <cell r="A2301">
            <v>2019</v>
          </cell>
          <cell r="B2301" t="str">
            <v>Budget</v>
          </cell>
          <cell r="C2301" t="str">
            <v>Mar</v>
          </cell>
          <cell r="D2301" t="str">
            <v>Chairs</v>
          </cell>
          <cell r="E2301">
            <v>205835.45500000002</v>
          </cell>
          <cell r="F2301">
            <v>3</v>
          </cell>
        </row>
        <row r="2302">
          <cell r="A2302">
            <v>2019</v>
          </cell>
          <cell r="B2302" t="str">
            <v>Actual</v>
          </cell>
          <cell r="C2302" t="str">
            <v>Mar</v>
          </cell>
          <cell r="D2302" t="str">
            <v>Chairs</v>
          </cell>
          <cell r="E2302">
            <v>214604.28499999997</v>
          </cell>
          <cell r="F2302">
            <v>3</v>
          </cell>
        </row>
        <row r="2303">
          <cell r="A2303">
            <v>2018</v>
          </cell>
          <cell r="B2303" t="str">
            <v>Budget</v>
          </cell>
          <cell r="C2303" t="str">
            <v>Mar</v>
          </cell>
          <cell r="D2303" t="str">
            <v>Chairs</v>
          </cell>
          <cell r="E2303">
            <v>32151.888999999996</v>
          </cell>
          <cell r="F2303">
            <v>3</v>
          </cell>
        </row>
        <row r="2304">
          <cell r="A2304">
            <v>2018</v>
          </cell>
          <cell r="B2304" t="str">
            <v>Actual</v>
          </cell>
          <cell r="C2304" t="str">
            <v>Mar</v>
          </cell>
          <cell r="D2304" t="str">
            <v>Chairs</v>
          </cell>
          <cell r="E2304">
            <v>98126.342999999993</v>
          </cell>
          <cell r="F2304">
            <v>3</v>
          </cell>
        </row>
        <row r="2305">
          <cell r="A2305">
            <v>2019</v>
          </cell>
          <cell r="B2305" t="str">
            <v>Budget</v>
          </cell>
          <cell r="C2305" t="str">
            <v>Mar</v>
          </cell>
          <cell r="D2305" t="str">
            <v>Chairs</v>
          </cell>
          <cell r="E2305">
            <v>51695.650999999991</v>
          </cell>
          <cell r="F2305">
            <v>3</v>
          </cell>
        </row>
        <row r="2306">
          <cell r="A2306">
            <v>2019</v>
          </cell>
          <cell r="B2306" t="str">
            <v>Actual</v>
          </cell>
          <cell r="C2306" t="str">
            <v>Mar</v>
          </cell>
          <cell r="D2306" t="str">
            <v>Tables</v>
          </cell>
          <cell r="E2306">
            <v>173945.47099999999</v>
          </cell>
          <cell r="F2306">
            <v>3</v>
          </cell>
        </row>
        <row r="2307">
          <cell r="A2307">
            <v>2019</v>
          </cell>
          <cell r="B2307" t="str">
            <v>Budget</v>
          </cell>
          <cell r="C2307" t="str">
            <v>Mar</v>
          </cell>
          <cell r="D2307" t="str">
            <v>Kitchen</v>
          </cell>
          <cell r="E2307">
            <v>113332.68799999999</v>
          </cell>
          <cell r="F2307">
            <v>3</v>
          </cell>
        </row>
        <row r="2308">
          <cell r="A2308">
            <v>2019</v>
          </cell>
          <cell r="B2308" t="str">
            <v>Actual</v>
          </cell>
          <cell r="C2308" t="str">
            <v>Mar</v>
          </cell>
          <cell r="D2308" t="str">
            <v>Chairs</v>
          </cell>
          <cell r="E2308">
            <v>4864.6989999999996</v>
          </cell>
          <cell r="F2308">
            <v>3</v>
          </cell>
        </row>
        <row r="2309">
          <cell r="A2309">
            <v>2019</v>
          </cell>
          <cell r="B2309" t="str">
            <v>Budget</v>
          </cell>
          <cell r="C2309" t="str">
            <v>Mar</v>
          </cell>
          <cell r="D2309" t="str">
            <v>Chairs</v>
          </cell>
          <cell r="E2309">
            <v>91102.787999999986</v>
          </cell>
          <cell r="F2309">
            <v>3</v>
          </cell>
        </row>
        <row r="2310">
          <cell r="A2310">
            <v>2018</v>
          </cell>
          <cell r="B2310" t="str">
            <v>Actual</v>
          </cell>
          <cell r="C2310" t="str">
            <v>Mar</v>
          </cell>
          <cell r="D2310" t="str">
            <v>Chairs</v>
          </cell>
          <cell r="E2310">
            <v>36459.219999999994</v>
          </cell>
          <cell r="F2310">
            <v>3</v>
          </cell>
        </row>
        <row r="2311">
          <cell r="A2311">
            <v>2019</v>
          </cell>
          <cell r="B2311" t="str">
            <v>Budget</v>
          </cell>
          <cell r="C2311" t="str">
            <v>Mar</v>
          </cell>
          <cell r="D2311" t="str">
            <v>Tables</v>
          </cell>
          <cell r="E2311">
            <v>177000.15199999997</v>
          </cell>
          <cell r="F2311">
            <v>3</v>
          </cell>
        </row>
        <row r="2312">
          <cell r="A2312">
            <v>2018</v>
          </cell>
          <cell r="B2312" t="str">
            <v>Actual</v>
          </cell>
          <cell r="C2312" t="str">
            <v>Mar</v>
          </cell>
          <cell r="D2312" t="str">
            <v>Kitchen</v>
          </cell>
          <cell r="E2312">
            <v>96575.828999999998</v>
          </cell>
          <cell r="F2312">
            <v>3</v>
          </cell>
        </row>
        <row r="2313">
          <cell r="A2313">
            <v>2019</v>
          </cell>
          <cell r="B2313" t="str">
            <v>Budget</v>
          </cell>
          <cell r="C2313" t="str">
            <v>Mar</v>
          </cell>
          <cell r="D2313" t="str">
            <v>Chairs</v>
          </cell>
          <cell r="E2313">
            <v>16806.216</v>
          </cell>
          <cell r="F2313">
            <v>3</v>
          </cell>
        </row>
        <row r="2314">
          <cell r="A2314">
            <v>2019</v>
          </cell>
          <cell r="B2314" t="str">
            <v>Actual</v>
          </cell>
          <cell r="C2314" t="str">
            <v>Mar</v>
          </cell>
          <cell r="D2314" t="str">
            <v>Chairs</v>
          </cell>
          <cell r="E2314">
            <v>33972.917999999998</v>
          </cell>
          <cell r="F2314">
            <v>3</v>
          </cell>
        </row>
        <row r="2315">
          <cell r="A2315">
            <v>2019</v>
          </cell>
          <cell r="B2315" t="str">
            <v>Budget</v>
          </cell>
          <cell r="C2315" t="str">
            <v>Mar</v>
          </cell>
          <cell r="D2315" t="str">
            <v>Tables</v>
          </cell>
          <cell r="E2315">
            <v>26923.616999999998</v>
          </cell>
          <cell r="F2315">
            <v>3</v>
          </cell>
        </row>
        <row r="2316">
          <cell r="A2316">
            <v>2018</v>
          </cell>
          <cell r="B2316" t="str">
            <v>Actual</v>
          </cell>
          <cell r="C2316" t="str">
            <v>Mar</v>
          </cell>
          <cell r="D2316" t="str">
            <v>Kitchen</v>
          </cell>
          <cell r="E2316">
            <v>173714.98199999999</v>
          </cell>
          <cell r="F2316">
            <v>3</v>
          </cell>
        </row>
        <row r="2317">
          <cell r="A2317">
            <v>2018</v>
          </cell>
          <cell r="B2317" t="str">
            <v>Budget</v>
          </cell>
          <cell r="C2317" t="str">
            <v>Mar</v>
          </cell>
          <cell r="D2317" t="str">
            <v>Chairs</v>
          </cell>
          <cell r="E2317">
            <v>302821.52599999995</v>
          </cell>
          <cell r="F2317">
            <v>3</v>
          </cell>
        </row>
        <row r="2318">
          <cell r="A2318">
            <v>2019</v>
          </cell>
          <cell r="B2318" t="str">
            <v>Actual</v>
          </cell>
          <cell r="C2318" t="str">
            <v>Mar</v>
          </cell>
          <cell r="D2318" t="str">
            <v>Chairs</v>
          </cell>
          <cell r="E2318">
            <v>106742.93699999999</v>
          </cell>
          <cell r="F2318">
            <v>3</v>
          </cell>
        </row>
        <row r="2319">
          <cell r="A2319">
            <v>2019</v>
          </cell>
          <cell r="B2319" t="str">
            <v>Budget</v>
          </cell>
          <cell r="C2319" t="str">
            <v>Mar</v>
          </cell>
          <cell r="D2319" t="str">
            <v>Chairs</v>
          </cell>
          <cell r="E2319">
            <v>347208.99499999994</v>
          </cell>
          <cell r="F2319">
            <v>3</v>
          </cell>
        </row>
        <row r="2320">
          <cell r="A2320">
            <v>2019</v>
          </cell>
          <cell r="B2320" t="str">
            <v>Actual</v>
          </cell>
          <cell r="C2320" t="str">
            <v>Mar</v>
          </cell>
          <cell r="D2320" t="str">
            <v>Tables</v>
          </cell>
          <cell r="E2320">
            <v>12872.405000000001</v>
          </cell>
          <cell r="F2320">
            <v>3</v>
          </cell>
        </row>
        <row r="2321">
          <cell r="A2321">
            <v>2018</v>
          </cell>
          <cell r="B2321" t="str">
            <v>Budget</v>
          </cell>
          <cell r="C2321" t="str">
            <v>Mar</v>
          </cell>
          <cell r="D2321" t="str">
            <v>Kitchen</v>
          </cell>
          <cell r="E2321">
            <v>10703.546</v>
          </cell>
          <cell r="F2321">
            <v>3</v>
          </cell>
        </row>
        <row r="2322">
          <cell r="A2322">
            <v>2018</v>
          </cell>
          <cell r="B2322" t="str">
            <v>Actual</v>
          </cell>
          <cell r="C2322" t="str">
            <v>Mar</v>
          </cell>
          <cell r="D2322" t="str">
            <v>Accessories</v>
          </cell>
          <cell r="E2322">
            <v>22910.334999999999</v>
          </cell>
          <cell r="F2322">
            <v>3</v>
          </cell>
        </row>
        <row r="2323">
          <cell r="A2323">
            <v>2019</v>
          </cell>
          <cell r="B2323" t="str">
            <v>Budget</v>
          </cell>
          <cell r="C2323" t="str">
            <v>Mar</v>
          </cell>
          <cell r="D2323" t="str">
            <v>Chairs</v>
          </cell>
          <cell r="E2323">
            <v>4593201.76</v>
          </cell>
          <cell r="F2323">
            <v>3</v>
          </cell>
        </row>
        <row r="2324">
          <cell r="A2324">
            <v>2018</v>
          </cell>
          <cell r="B2324" t="str">
            <v>Actual</v>
          </cell>
          <cell r="C2324" t="str">
            <v>Mar</v>
          </cell>
          <cell r="D2324" t="str">
            <v>Tables</v>
          </cell>
          <cell r="E2324">
            <v>109714.27599999998</v>
          </cell>
          <cell r="F2324">
            <v>3</v>
          </cell>
        </row>
        <row r="2325">
          <cell r="A2325">
            <v>2019</v>
          </cell>
          <cell r="B2325" t="str">
            <v>Budget</v>
          </cell>
          <cell r="C2325" t="str">
            <v>Mar</v>
          </cell>
          <cell r="D2325" t="str">
            <v>Kitchen</v>
          </cell>
          <cell r="E2325">
            <v>103549.103</v>
          </cell>
          <cell r="F2325">
            <v>3</v>
          </cell>
        </row>
        <row r="2326">
          <cell r="A2326">
            <v>2019</v>
          </cell>
          <cell r="B2326" t="str">
            <v>Actual</v>
          </cell>
          <cell r="C2326" t="str">
            <v>Mar</v>
          </cell>
          <cell r="D2326" t="str">
            <v>Accessories</v>
          </cell>
          <cell r="E2326">
            <v>75426.910999999993</v>
          </cell>
          <cell r="F2326">
            <v>3</v>
          </cell>
        </row>
        <row r="2327">
          <cell r="A2327">
            <v>2018</v>
          </cell>
          <cell r="B2327" t="str">
            <v>Budget</v>
          </cell>
          <cell r="C2327" t="str">
            <v>Mar</v>
          </cell>
          <cell r="D2327" t="str">
            <v>Chairs</v>
          </cell>
          <cell r="E2327">
            <v>309746.234</v>
          </cell>
          <cell r="F2327">
            <v>3</v>
          </cell>
        </row>
        <row r="2328">
          <cell r="A2328">
            <v>2019</v>
          </cell>
          <cell r="B2328" t="str">
            <v>Actual</v>
          </cell>
          <cell r="C2328" t="str">
            <v>Mar</v>
          </cell>
          <cell r="D2328" t="str">
            <v>Tables</v>
          </cell>
          <cell r="E2328">
            <v>-6210.6729999999989</v>
          </cell>
          <cell r="F2328">
            <v>3</v>
          </cell>
        </row>
        <row r="2329">
          <cell r="A2329">
            <v>2018</v>
          </cell>
          <cell r="B2329" t="str">
            <v>Budget</v>
          </cell>
          <cell r="C2329" t="str">
            <v>Mar</v>
          </cell>
          <cell r="D2329" t="str">
            <v>Kitchen</v>
          </cell>
          <cell r="E2329">
            <v>1796905.747</v>
          </cell>
          <cell r="F2329">
            <v>3</v>
          </cell>
        </row>
        <row r="2330">
          <cell r="A2330">
            <v>2018</v>
          </cell>
          <cell r="B2330" t="str">
            <v>Actual</v>
          </cell>
          <cell r="C2330" t="str">
            <v>Mar</v>
          </cell>
          <cell r="D2330" t="str">
            <v>Accessories</v>
          </cell>
          <cell r="E2330">
            <v>20975.618999999999</v>
          </cell>
          <cell r="F2330">
            <v>3</v>
          </cell>
        </row>
        <row r="2331">
          <cell r="A2331">
            <v>2019</v>
          </cell>
          <cell r="B2331" t="str">
            <v>Budget</v>
          </cell>
          <cell r="C2331" t="str">
            <v>Mar</v>
          </cell>
          <cell r="D2331" t="str">
            <v>Chairs</v>
          </cell>
          <cell r="E2331">
            <v>1118864.7749999999</v>
          </cell>
          <cell r="F2331">
            <v>3</v>
          </cell>
        </row>
        <row r="2332">
          <cell r="A2332">
            <v>2018</v>
          </cell>
          <cell r="B2332" t="str">
            <v>Actual</v>
          </cell>
          <cell r="C2332" t="str">
            <v>Mar</v>
          </cell>
          <cell r="D2332" t="str">
            <v>Tables</v>
          </cell>
          <cell r="E2332">
            <v>2248991.2059999998</v>
          </cell>
          <cell r="F2332">
            <v>3</v>
          </cell>
        </row>
        <row r="2333">
          <cell r="A2333">
            <v>2018</v>
          </cell>
          <cell r="B2333" t="str">
            <v>Budget</v>
          </cell>
          <cell r="C2333" t="str">
            <v>Mar</v>
          </cell>
          <cell r="D2333" t="str">
            <v>Kitchen</v>
          </cell>
          <cell r="E2333">
            <v>119129.374</v>
          </cell>
          <cell r="F2333">
            <v>3</v>
          </cell>
        </row>
        <row r="2334">
          <cell r="A2334">
            <v>2019</v>
          </cell>
          <cell r="B2334" t="str">
            <v>Actual</v>
          </cell>
          <cell r="C2334" t="str">
            <v>Mar</v>
          </cell>
          <cell r="D2334" t="str">
            <v>Accessories</v>
          </cell>
          <cell r="E2334">
            <v>4433232.4610000001</v>
          </cell>
          <cell r="F2334">
            <v>3</v>
          </cell>
        </row>
        <row r="2335">
          <cell r="A2335">
            <v>2019</v>
          </cell>
          <cell r="B2335" t="str">
            <v>Budget</v>
          </cell>
          <cell r="C2335" t="str">
            <v>Mar</v>
          </cell>
          <cell r="D2335" t="str">
            <v>Chairs</v>
          </cell>
          <cell r="E2335">
            <v>2052405.4739999997</v>
          </cell>
          <cell r="F2335">
            <v>3</v>
          </cell>
        </row>
        <row r="2336">
          <cell r="A2336">
            <v>2018</v>
          </cell>
          <cell r="B2336" t="str">
            <v>Actual</v>
          </cell>
          <cell r="C2336" t="str">
            <v>Mar</v>
          </cell>
          <cell r="D2336" t="str">
            <v>Chairs</v>
          </cell>
          <cell r="E2336">
            <v>4576342.9739999995</v>
          </cell>
          <cell r="F2336">
            <v>3</v>
          </cell>
        </row>
        <row r="2337">
          <cell r="A2337">
            <v>2018</v>
          </cell>
          <cell r="B2337" t="str">
            <v>Budget</v>
          </cell>
          <cell r="C2337" t="str">
            <v>Mar</v>
          </cell>
          <cell r="D2337" t="str">
            <v>Tables</v>
          </cell>
          <cell r="E2337">
            <v>-1039.0449999999998</v>
          </cell>
          <cell r="F2337">
            <v>3</v>
          </cell>
        </row>
        <row r="2338">
          <cell r="A2338">
            <v>2019</v>
          </cell>
          <cell r="B2338" t="str">
            <v>Actual</v>
          </cell>
          <cell r="C2338" t="str">
            <v>Mar</v>
          </cell>
          <cell r="D2338" t="str">
            <v>Kitchen</v>
          </cell>
          <cell r="E2338">
            <v>358268.59600000002</v>
          </cell>
          <cell r="F2338">
            <v>3</v>
          </cell>
        </row>
        <row r="2339">
          <cell r="A2339">
            <v>2019</v>
          </cell>
          <cell r="B2339" t="str">
            <v>Budget</v>
          </cell>
          <cell r="C2339" t="str">
            <v>Mar</v>
          </cell>
          <cell r="D2339" t="str">
            <v>Chairs</v>
          </cell>
          <cell r="E2339">
            <v>759196.571</v>
          </cell>
          <cell r="F2339">
            <v>3</v>
          </cell>
        </row>
        <row r="2340">
          <cell r="A2340">
            <v>2019</v>
          </cell>
          <cell r="B2340" t="str">
            <v>Actual</v>
          </cell>
          <cell r="C2340" t="str">
            <v>Mar</v>
          </cell>
          <cell r="D2340" t="str">
            <v>Tables</v>
          </cell>
          <cell r="E2340">
            <v>41730.100999999995</v>
          </cell>
          <cell r="F2340">
            <v>3</v>
          </cell>
        </row>
        <row r="2341">
          <cell r="A2341">
            <v>2018</v>
          </cell>
          <cell r="B2341" t="str">
            <v>Budget</v>
          </cell>
          <cell r="C2341" t="str">
            <v>Mar</v>
          </cell>
          <cell r="D2341" t="str">
            <v>Kitchen</v>
          </cell>
          <cell r="E2341">
            <v>3413268.4319999996</v>
          </cell>
          <cell r="F2341">
            <v>3</v>
          </cell>
        </row>
        <row r="2342">
          <cell r="A2342">
            <v>2018</v>
          </cell>
          <cell r="B2342" t="str">
            <v>Actual</v>
          </cell>
          <cell r="C2342" t="str">
            <v>Mar</v>
          </cell>
          <cell r="D2342" t="str">
            <v>Chairs</v>
          </cell>
          <cell r="E2342">
            <v>1455573.3499999999</v>
          </cell>
          <cell r="F2342">
            <v>3</v>
          </cell>
        </row>
        <row r="2343">
          <cell r="A2343">
            <v>2018</v>
          </cell>
          <cell r="B2343" t="str">
            <v>Budget</v>
          </cell>
          <cell r="C2343" t="str">
            <v>Mar</v>
          </cell>
          <cell r="D2343" t="str">
            <v>Tables</v>
          </cell>
          <cell r="E2343">
            <v>-89097.357999999993</v>
          </cell>
          <cell r="F2343">
            <v>3</v>
          </cell>
        </row>
        <row r="2344">
          <cell r="A2344">
            <v>2019</v>
          </cell>
          <cell r="B2344" t="str">
            <v>Actual</v>
          </cell>
          <cell r="C2344" t="str">
            <v>Mar</v>
          </cell>
          <cell r="D2344" t="str">
            <v>Kitchen</v>
          </cell>
          <cell r="E2344">
            <v>1484133.679</v>
          </cell>
          <cell r="F2344">
            <v>3</v>
          </cell>
        </row>
        <row r="2345">
          <cell r="A2345">
            <v>2018</v>
          </cell>
          <cell r="B2345" t="str">
            <v>Budget</v>
          </cell>
          <cell r="C2345" t="str">
            <v>Mar</v>
          </cell>
          <cell r="D2345" t="str">
            <v>Chairs</v>
          </cell>
          <cell r="E2345">
            <v>72723.825999999986</v>
          </cell>
          <cell r="F2345">
            <v>3</v>
          </cell>
        </row>
        <row r="2346">
          <cell r="A2346">
            <v>2019</v>
          </cell>
          <cell r="B2346" t="str">
            <v>Actual</v>
          </cell>
          <cell r="C2346" t="str">
            <v>Mar</v>
          </cell>
          <cell r="D2346" t="str">
            <v>Chairs</v>
          </cell>
          <cell r="E2346">
            <v>1346706.97</v>
          </cell>
          <cell r="F2346">
            <v>3</v>
          </cell>
        </row>
        <row r="2347">
          <cell r="A2347">
            <v>2019</v>
          </cell>
          <cell r="B2347" t="str">
            <v>Budget</v>
          </cell>
          <cell r="C2347" t="str">
            <v>Mar</v>
          </cell>
          <cell r="D2347" t="str">
            <v>Chairs</v>
          </cell>
          <cell r="E2347">
            <v>5887974.4629999995</v>
          </cell>
          <cell r="F2347">
            <v>3</v>
          </cell>
        </row>
        <row r="2348">
          <cell r="A2348">
            <v>2018</v>
          </cell>
          <cell r="B2348" t="str">
            <v>Actual</v>
          </cell>
          <cell r="C2348" t="str">
            <v>Mar</v>
          </cell>
          <cell r="D2348" t="str">
            <v>Chairs</v>
          </cell>
          <cell r="E2348">
            <v>245805.66499999998</v>
          </cell>
          <cell r="F2348">
            <v>3</v>
          </cell>
        </row>
        <row r="2349">
          <cell r="A2349">
            <v>2018</v>
          </cell>
          <cell r="B2349" t="str">
            <v>Budget</v>
          </cell>
          <cell r="C2349" t="str">
            <v>Mar</v>
          </cell>
          <cell r="D2349" t="str">
            <v>Chairs</v>
          </cell>
          <cell r="E2349">
            <v>636781.29899999988</v>
          </cell>
          <cell r="F2349">
            <v>3</v>
          </cell>
        </row>
        <row r="2350">
          <cell r="A2350">
            <v>2019</v>
          </cell>
          <cell r="B2350" t="str">
            <v>Actual</v>
          </cell>
          <cell r="C2350" t="str">
            <v>Mar</v>
          </cell>
          <cell r="D2350" t="str">
            <v>Chairs</v>
          </cell>
          <cell r="E2350">
            <v>1194823.602</v>
          </cell>
          <cell r="F2350">
            <v>3</v>
          </cell>
        </row>
        <row r="2351">
          <cell r="A2351">
            <v>2019</v>
          </cell>
          <cell r="B2351" t="str">
            <v>Budget</v>
          </cell>
          <cell r="C2351" t="str">
            <v>Mar</v>
          </cell>
          <cell r="D2351" t="str">
            <v>Chairs</v>
          </cell>
          <cell r="E2351">
            <v>103807.23499999999</v>
          </cell>
          <cell r="F2351">
            <v>3</v>
          </cell>
        </row>
        <row r="2352">
          <cell r="A2352">
            <v>2019</v>
          </cell>
          <cell r="B2352" t="str">
            <v>Actual</v>
          </cell>
          <cell r="C2352" t="str">
            <v>Mar</v>
          </cell>
          <cell r="D2352" t="str">
            <v>Chairs</v>
          </cell>
          <cell r="E2352">
            <v>300222.92300000001</v>
          </cell>
          <cell r="F2352">
            <v>3</v>
          </cell>
        </row>
        <row r="2353">
          <cell r="A2353">
            <v>2019</v>
          </cell>
          <cell r="B2353" t="str">
            <v>Budget</v>
          </cell>
          <cell r="C2353" t="str">
            <v>Mar</v>
          </cell>
          <cell r="D2353" t="str">
            <v>Chairs</v>
          </cell>
          <cell r="E2353">
            <v>2140679.156</v>
          </cell>
          <cell r="F2353">
            <v>3</v>
          </cell>
        </row>
        <row r="2354">
          <cell r="A2354">
            <v>2018</v>
          </cell>
          <cell r="B2354" t="str">
            <v>Actual</v>
          </cell>
          <cell r="C2354" t="str">
            <v>Mar</v>
          </cell>
          <cell r="D2354" t="str">
            <v>Chairs</v>
          </cell>
          <cell r="E2354">
            <v>938067.53599999996</v>
          </cell>
          <cell r="F2354">
            <v>3</v>
          </cell>
        </row>
        <row r="2355">
          <cell r="A2355">
            <v>2019</v>
          </cell>
          <cell r="B2355" t="str">
            <v>Budget</v>
          </cell>
          <cell r="C2355" t="str">
            <v>Mar</v>
          </cell>
          <cell r="D2355" t="str">
            <v>Chairs</v>
          </cell>
          <cell r="E2355">
            <v>428579.326</v>
          </cell>
          <cell r="F2355">
            <v>3</v>
          </cell>
        </row>
        <row r="2356">
          <cell r="A2356">
            <v>2019</v>
          </cell>
          <cell r="B2356" t="str">
            <v>Actual</v>
          </cell>
          <cell r="C2356" t="str">
            <v>Mar</v>
          </cell>
          <cell r="D2356" t="str">
            <v>Chairs</v>
          </cell>
          <cell r="E2356">
            <v>388042.45199999999</v>
          </cell>
          <cell r="F2356">
            <v>3</v>
          </cell>
        </row>
        <row r="2357">
          <cell r="A2357">
            <v>2018</v>
          </cell>
          <cell r="B2357" t="str">
            <v>Budget</v>
          </cell>
          <cell r="C2357" t="str">
            <v>Mar</v>
          </cell>
          <cell r="D2357" t="str">
            <v>Chairs</v>
          </cell>
          <cell r="E2357">
            <v>156702.014</v>
          </cell>
          <cell r="F2357">
            <v>3</v>
          </cell>
        </row>
        <row r="2358">
          <cell r="A2358">
            <v>2018</v>
          </cell>
          <cell r="B2358" t="str">
            <v>Actual</v>
          </cell>
          <cell r="C2358" t="str">
            <v>Mar</v>
          </cell>
          <cell r="D2358" t="str">
            <v>Chairs</v>
          </cell>
          <cell r="E2358">
            <v>27823.690999999995</v>
          </cell>
          <cell r="F2358">
            <v>3</v>
          </cell>
        </row>
        <row r="2359">
          <cell r="A2359">
            <v>2018</v>
          </cell>
          <cell r="B2359" t="str">
            <v>Budget</v>
          </cell>
          <cell r="C2359" t="str">
            <v>Mar</v>
          </cell>
          <cell r="D2359" t="str">
            <v>Chairs</v>
          </cell>
          <cell r="E2359">
            <v>152304.25699999998</v>
          </cell>
          <cell r="F2359">
            <v>3</v>
          </cell>
        </row>
        <row r="2360">
          <cell r="A2360">
            <v>2019</v>
          </cell>
          <cell r="B2360" t="str">
            <v>Actual</v>
          </cell>
          <cell r="C2360" t="str">
            <v>Mar</v>
          </cell>
          <cell r="D2360" t="str">
            <v>Chairs</v>
          </cell>
          <cell r="E2360">
            <v>148370.02599999998</v>
          </cell>
          <cell r="F2360">
            <v>3</v>
          </cell>
        </row>
        <row r="2361">
          <cell r="A2361">
            <v>2019</v>
          </cell>
          <cell r="B2361" t="str">
            <v>Budget</v>
          </cell>
          <cell r="C2361" t="str">
            <v>Mar</v>
          </cell>
          <cell r="D2361" t="str">
            <v>Chairs</v>
          </cell>
          <cell r="E2361">
            <v>9812.494999999999</v>
          </cell>
          <cell r="F2361">
            <v>3</v>
          </cell>
        </row>
        <row r="2362">
          <cell r="A2362">
            <v>2019</v>
          </cell>
          <cell r="B2362" t="str">
            <v>Actual</v>
          </cell>
          <cell r="C2362" t="str">
            <v>Mar</v>
          </cell>
          <cell r="D2362" t="str">
            <v>Chairs</v>
          </cell>
          <cell r="E2362">
            <v>225088.88499999998</v>
          </cell>
          <cell r="F2362">
            <v>3</v>
          </cell>
        </row>
        <row r="2363">
          <cell r="A2363">
            <v>2019</v>
          </cell>
          <cell r="B2363" t="str">
            <v>Budget</v>
          </cell>
          <cell r="C2363" t="str">
            <v>Mar</v>
          </cell>
          <cell r="D2363" t="str">
            <v>Chairs</v>
          </cell>
          <cell r="E2363">
            <v>146497.39299999998</v>
          </cell>
          <cell r="F2363">
            <v>3</v>
          </cell>
        </row>
        <row r="2364">
          <cell r="A2364">
            <v>2018</v>
          </cell>
          <cell r="B2364" t="str">
            <v>Actual</v>
          </cell>
          <cell r="C2364" t="str">
            <v>Mar</v>
          </cell>
          <cell r="D2364" t="str">
            <v>Chairs</v>
          </cell>
          <cell r="E2364">
            <v>35304.758999999998</v>
          </cell>
          <cell r="F2364">
            <v>3</v>
          </cell>
        </row>
        <row r="2365">
          <cell r="A2365">
            <v>2019</v>
          </cell>
          <cell r="B2365" t="str">
            <v>Budget</v>
          </cell>
          <cell r="C2365" t="str">
            <v>Mar</v>
          </cell>
          <cell r="D2365" t="str">
            <v>Chairs</v>
          </cell>
          <cell r="E2365">
            <v>94361.854999999996</v>
          </cell>
          <cell r="F2365">
            <v>3</v>
          </cell>
        </row>
        <row r="2366">
          <cell r="A2366">
            <v>2018</v>
          </cell>
          <cell r="B2366" t="str">
            <v>Actual</v>
          </cell>
          <cell r="C2366" t="str">
            <v>Mar</v>
          </cell>
          <cell r="D2366" t="str">
            <v>Chairs</v>
          </cell>
          <cell r="E2366">
            <v>187078.26899999997</v>
          </cell>
          <cell r="F2366">
            <v>3</v>
          </cell>
        </row>
        <row r="2367">
          <cell r="A2367">
            <v>2018</v>
          </cell>
          <cell r="B2367" t="str">
            <v>Budget</v>
          </cell>
          <cell r="C2367" t="str">
            <v>Mar</v>
          </cell>
          <cell r="D2367" t="str">
            <v>Chairs</v>
          </cell>
          <cell r="E2367">
            <v>9760.7439999999988</v>
          </cell>
          <cell r="F2367">
            <v>3</v>
          </cell>
        </row>
        <row r="2368">
          <cell r="A2368">
            <v>2019</v>
          </cell>
          <cell r="B2368" t="str">
            <v>Actual</v>
          </cell>
          <cell r="C2368" t="str">
            <v>Mar</v>
          </cell>
          <cell r="D2368" t="str">
            <v>Chairs</v>
          </cell>
          <cell r="E2368">
            <v>93567.998999999996</v>
          </cell>
          <cell r="F2368">
            <v>3</v>
          </cell>
        </row>
        <row r="2369">
          <cell r="A2369">
            <v>2019</v>
          </cell>
          <cell r="B2369" t="str">
            <v>Budget</v>
          </cell>
          <cell r="C2369" t="str">
            <v>Mar</v>
          </cell>
          <cell r="D2369" t="str">
            <v>Chairs</v>
          </cell>
          <cell r="E2369">
            <v>73379.606999999989</v>
          </cell>
          <cell r="F2369">
            <v>3</v>
          </cell>
        </row>
        <row r="2370">
          <cell r="A2370">
            <v>2018</v>
          </cell>
          <cell r="B2370" t="str">
            <v>Actual</v>
          </cell>
          <cell r="C2370" t="str">
            <v>Mar</v>
          </cell>
          <cell r="D2370" t="str">
            <v>Chairs</v>
          </cell>
          <cell r="E2370">
            <v>239450.43499999997</v>
          </cell>
          <cell r="F2370">
            <v>3</v>
          </cell>
        </row>
        <row r="2371">
          <cell r="A2371">
            <v>2018</v>
          </cell>
          <cell r="B2371" t="str">
            <v>Budget</v>
          </cell>
          <cell r="C2371" t="str">
            <v>Mar</v>
          </cell>
          <cell r="D2371" t="str">
            <v>Tables</v>
          </cell>
          <cell r="E2371">
            <v>396300.22600000002</v>
          </cell>
          <cell r="F2371">
            <v>3</v>
          </cell>
        </row>
        <row r="2372">
          <cell r="A2372">
            <v>2019</v>
          </cell>
          <cell r="B2372" t="str">
            <v>Actual</v>
          </cell>
          <cell r="C2372" t="str">
            <v>Mar</v>
          </cell>
          <cell r="D2372" t="str">
            <v>Kitchen</v>
          </cell>
          <cell r="E2372">
            <v>109296.894</v>
          </cell>
          <cell r="F2372">
            <v>3</v>
          </cell>
        </row>
        <row r="2373">
          <cell r="A2373">
            <v>2019</v>
          </cell>
          <cell r="B2373" t="str">
            <v>Budget</v>
          </cell>
          <cell r="C2373" t="str">
            <v>Mar</v>
          </cell>
          <cell r="D2373" t="str">
            <v>Chairs</v>
          </cell>
          <cell r="E2373">
            <v>92932.98</v>
          </cell>
          <cell r="F2373">
            <v>3</v>
          </cell>
        </row>
        <row r="2374">
          <cell r="A2374">
            <v>2018</v>
          </cell>
          <cell r="B2374" t="str">
            <v>Actual</v>
          </cell>
          <cell r="C2374" t="str">
            <v>Mar</v>
          </cell>
          <cell r="D2374" t="str">
            <v>Chairs</v>
          </cell>
          <cell r="E2374">
            <v>49601.957999999999</v>
          </cell>
          <cell r="F2374">
            <v>3</v>
          </cell>
        </row>
        <row r="2375">
          <cell r="A2375">
            <v>2019</v>
          </cell>
          <cell r="B2375" t="str">
            <v>Budget</v>
          </cell>
          <cell r="C2375" t="str">
            <v>Mar</v>
          </cell>
          <cell r="D2375" t="str">
            <v>Chairs</v>
          </cell>
          <cell r="E2375">
            <v>60235.714</v>
          </cell>
          <cell r="F2375">
            <v>3</v>
          </cell>
        </row>
        <row r="2376">
          <cell r="A2376">
            <v>2018</v>
          </cell>
          <cell r="B2376" t="str">
            <v>Actual</v>
          </cell>
          <cell r="C2376" t="str">
            <v>Mar</v>
          </cell>
          <cell r="D2376" t="str">
            <v>Chairs</v>
          </cell>
          <cell r="E2376">
            <v>714105.18900000001</v>
          </cell>
          <cell r="F2376">
            <v>3</v>
          </cell>
        </row>
        <row r="2377">
          <cell r="A2377">
            <v>2018</v>
          </cell>
          <cell r="B2377" t="str">
            <v>Budget</v>
          </cell>
          <cell r="C2377" t="str">
            <v>Mar</v>
          </cell>
          <cell r="D2377" t="str">
            <v>Chairs</v>
          </cell>
          <cell r="E2377">
            <v>309750.66499999998</v>
          </cell>
          <cell r="F2377">
            <v>3</v>
          </cell>
        </row>
        <row r="2378">
          <cell r="A2378">
            <v>2019</v>
          </cell>
          <cell r="B2378" t="str">
            <v>Actual</v>
          </cell>
          <cell r="C2378" t="str">
            <v>Mar</v>
          </cell>
          <cell r="D2378" t="str">
            <v>Tables</v>
          </cell>
          <cell r="E2378">
            <v>75994.778999999995</v>
          </cell>
          <cell r="F2378">
            <v>3</v>
          </cell>
        </row>
        <row r="2379">
          <cell r="A2379">
            <v>2018</v>
          </cell>
          <cell r="B2379" t="str">
            <v>Budget</v>
          </cell>
          <cell r="C2379" t="str">
            <v>Mar</v>
          </cell>
          <cell r="D2379" t="str">
            <v>Kitchen</v>
          </cell>
          <cell r="E2379">
            <v>316762.06099999999</v>
          </cell>
          <cell r="F2379">
            <v>3</v>
          </cell>
        </row>
        <row r="2380">
          <cell r="A2380">
            <v>2018</v>
          </cell>
          <cell r="B2380" t="str">
            <v>Actual</v>
          </cell>
          <cell r="C2380" t="str">
            <v>Mar</v>
          </cell>
          <cell r="D2380" t="str">
            <v>Chairs</v>
          </cell>
          <cell r="E2380">
            <v>31011.826999999997</v>
          </cell>
          <cell r="F2380">
            <v>3</v>
          </cell>
        </row>
        <row r="2381">
          <cell r="A2381">
            <v>2019</v>
          </cell>
          <cell r="B2381" t="str">
            <v>Budget</v>
          </cell>
          <cell r="C2381" t="str">
            <v>Mar</v>
          </cell>
          <cell r="D2381" t="str">
            <v>Chairs</v>
          </cell>
          <cell r="E2381">
            <v>892751.46799999999</v>
          </cell>
          <cell r="F2381">
            <v>3</v>
          </cell>
        </row>
        <row r="2382">
          <cell r="A2382">
            <v>2019</v>
          </cell>
          <cell r="B2382" t="str">
            <v>Actual</v>
          </cell>
          <cell r="C2382" t="str">
            <v>Mar</v>
          </cell>
          <cell r="D2382" t="str">
            <v>Chairs</v>
          </cell>
          <cell r="E2382">
            <v>396759.47499999998</v>
          </cell>
          <cell r="F2382">
            <v>3</v>
          </cell>
        </row>
        <row r="2383">
          <cell r="A2383">
            <v>2018</v>
          </cell>
          <cell r="B2383" t="str">
            <v>Budget</v>
          </cell>
          <cell r="C2383" t="str">
            <v>Mar</v>
          </cell>
          <cell r="D2383" t="str">
            <v>Tables</v>
          </cell>
          <cell r="E2383">
            <v>28761.914999999997</v>
          </cell>
          <cell r="F2383">
            <v>3</v>
          </cell>
        </row>
        <row r="2384">
          <cell r="A2384">
            <v>2019</v>
          </cell>
          <cell r="B2384" t="str">
            <v>Actual</v>
          </cell>
          <cell r="C2384" t="str">
            <v>Mar</v>
          </cell>
          <cell r="D2384" t="str">
            <v>Kitchen</v>
          </cell>
          <cell r="E2384">
            <v>232890.50399999996</v>
          </cell>
          <cell r="F2384">
            <v>3</v>
          </cell>
        </row>
        <row r="2385">
          <cell r="A2385">
            <v>2019</v>
          </cell>
          <cell r="B2385" t="str">
            <v>Budget</v>
          </cell>
          <cell r="C2385" t="str">
            <v>Mar</v>
          </cell>
          <cell r="D2385" t="str">
            <v>Chairs</v>
          </cell>
          <cell r="E2385">
            <v>576343.97100000002</v>
          </cell>
          <cell r="F2385">
            <v>3</v>
          </cell>
        </row>
        <row r="2386">
          <cell r="A2386">
            <v>2018</v>
          </cell>
          <cell r="B2386" t="str">
            <v>Actual</v>
          </cell>
          <cell r="C2386" t="str">
            <v>Mar</v>
          </cell>
          <cell r="D2386" t="str">
            <v>Chairs</v>
          </cell>
          <cell r="E2386">
            <v>352553.614</v>
          </cell>
          <cell r="F2386">
            <v>3</v>
          </cell>
        </row>
        <row r="2387">
          <cell r="A2387">
            <v>2019</v>
          </cell>
          <cell r="B2387" t="str">
            <v>Budget</v>
          </cell>
          <cell r="C2387" t="str">
            <v>Mar</v>
          </cell>
          <cell r="D2387" t="str">
            <v>Tables</v>
          </cell>
          <cell r="E2387">
            <v>13740.776</v>
          </cell>
          <cell r="F2387">
            <v>3</v>
          </cell>
        </row>
        <row r="2388">
          <cell r="A2388">
            <v>2018</v>
          </cell>
          <cell r="B2388" t="str">
            <v>Actual</v>
          </cell>
          <cell r="C2388" t="str">
            <v>Mar</v>
          </cell>
          <cell r="D2388" t="str">
            <v>Kitchen</v>
          </cell>
          <cell r="E2388">
            <v>168339.26199999999</v>
          </cell>
          <cell r="F2388">
            <v>3</v>
          </cell>
        </row>
        <row r="2389">
          <cell r="A2389">
            <v>2018</v>
          </cell>
          <cell r="B2389" t="str">
            <v>Budget</v>
          </cell>
          <cell r="C2389" t="str">
            <v>Mar</v>
          </cell>
          <cell r="D2389" t="str">
            <v>Chairs</v>
          </cell>
          <cell r="E2389">
            <v>758878.48400000005</v>
          </cell>
          <cell r="F2389">
            <v>3</v>
          </cell>
        </row>
        <row r="2390">
          <cell r="A2390">
            <v>2019</v>
          </cell>
          <cell r="B2390" t="str">
            <v>Actual</v>
          </cell>
          <cell r="C2390" t="str">
            <v>Mar</v>
          </cell>
          <cell r="D2390" t="str">
            <v>Chairs</v>
          </cell>
          <cell r="E2390">
            <v>69202.748999999996</v>
          </cell>
          <cell r="F2390">
            <v>3</v>
          </cell>
        </row>
        <row r="2391">
          <cell r="A2391">
            <v>2018</v>
          </cell>
          <cell r="B2391" t="str">
            <v>Budget</v>
          </cell>
          <cell r="C2391" t="str">
            <v>Mar</v>
          </cell>
          <cell r="D2391" t="str">
            <v>Chairs</v>
          </cell>
          <cell r="E2391">
            <v>69084.161999999997</v>
          </cell>
          <cell r="F2391">
            <v>3</v>
          </cell>
        </row>
        <row r="2392">
          <cell r="A2392">
            <v>2019</v>
          </cell>
          <cell r="B2392" t="str">
            <v>Actual</v>
          </cell>
          <cell r="C2392" t="str">
            <v>Mar</v>
          </cell>
          <cell r="D2392" t="str">
            <v>Tables</v>
          </cell>
          <cell r="E2392">
            <v>437895.31099999999</v>
          </cell>
          <cell r="F2392">
            <v>3</v>
          </cell>
        </row>
        <row r="2393">
          <cell r="A2393">
            <v>2019</v>
          </cell>
          <cell r="B2393" t="str">
            <v>Budget</v>
          </cell>
          <cell r="C2393" t="str">
            <v>Mar</v>
          </cell>
          <cell r="D2393" t="str">
            <v>Kitchen</v>
          </cell>
          <cell r="E2393">
            <v>259709.33799999999</v>
          </cell>
          <cell r="F2393">
            <v>3</v>
          </cell>
        </row>
        <row r="2394">
          <cell r="A2394">
            <v>2019</v>
          </cell>
          <cell r="B2394" t="str">
            <v>Actual</v>
          </cell>
          <cell r="C2394" t="str">
            <v>Mar</v>
          </cell>
          <cell r="D2394" t="str">
            <v>Accessories</v>
          </cell>
          <cell r="E2394">
            <v>277976.86</v>
          </cell>
          <cell r="F2394">
            <v>3</v>
          </cell>
        </row>
        <row r="2395">
          <cell r="A2395">
            <v>2019</v>
          </cell>
          <cell r="B2395" t="str">
            <v>Budget</v>
          </cell>
          <cell r="C2395" t="str">
            <v>Mar</v>
          </cell>
          <cell r="D2395" t="str">
            <v>Chairs</v>
          </cell>
          <cell r="E2395">
            <v>352111.34700000001</v>
          </cell>
          <cell r="F2395">
            <v>3</v>
          </cell>
        </row>
        <row r="2396">
          <cell r="A2396">
            <v>2019</v>
          </cell>
          <cell r="B2396" t="str">
            <v>Actual</v>
          </cell>
          <cell r="C2396" t="str">
            <v>Mar</v>
          </cell>
          <cell r="D2396" t="str">
            <v>Tables</v>
          </cell>
          <cell r="E2396">
            <v>21068.298999999999</v>
          </cell>
          <cell r="F2396">
            <v>3</v>
          </cell>
        </row>
        <row r="2397">
          <cell r="A2397">
            <v>2018</v>
          </cell>
          <cell r="B2397" t="str">
            <v>Budget</v>
          </cell>
          <cell r="C2397" t="str">
            <v>Mar</v>
          </cell>
          <cell r="D2397" t="str">
            <v>Kitchen</v>
          </cell>
          <cell r="E2397">
            <v>33692.371999999996</v>
          </cell>
          <cell r="F2397">
            <v>3</v>
          </cell>
        </row>
        <row r="2398">
          <cell r="A2398">
            <v>2019</v>
          </cell>
          <cell r="B2398" t="str">
            <v>Actual</v>
          </cell>
          <cell r="C2398" t="str">
            <v>Mar</v>
          </cell>
          <cell r="D2398" t="str">
            <v>Accessories</v>
          </cell>
          <cell r="E2398">
            <v>311636.89899999998</v>
          </cell>
          <cell r="F2398">
            <v>3</v>
          </cell>
        </row>
        <row r="2399">
          <cell r="A2399">
            <v>2018</v>
          </cell>
          <cell r="B2399" t="str">
            <v>Budget</v>
          </cell>
          <cell r="C2399" t="str">
            <v>Mar</v>
          </cell>
          <cell r="D2399" t="str">
            <v>Chairs</v>
          </cell>
          <cell r="E2399">
            <v>40062.211000000003</v>
          </cell>
          <cell r="F2399">
            <v>3</v>
          </cell>
        </row>
        <row r="2400">
          <cell r="A2400">
            <v>2018</v>
          </cell>
          <cell r="B2400" t="str">
            <v>Actual</v>
          </cell>
          <cell r="C2400" t="str">
            <v>Mar</v>
          </cell>
          <cell r="D2400" t="str">
            <v>Tables</v>
          </cell>
          <cell r="E2400">
            <v>240921.98199999999</v>
          </cell>
          <cell r="F2400">
            <v>3</v>
          </cell>
        </row>
        <row r="2401">
          <cell r="A2401">
            <v>2018</v>
          </cell>
          <cell r="B2401" t="str">
            <v>Budget</v>
          </cell>
          <cell r="C2401" t="str">
            <v>Mar</v>
          </cell>
          <cell r="D2401" t="str">
            <v>Kitchen</v>
          </cell>
          <cell r="E2401">
            <v>58901.997000000003</v>
          </cell>
          <cell r="F2401">
            <v>3</v>
          </cell>
        </row>
        <row r="2402">
          <cell r="A2402">
            <v>2018</v>
          </cell>
          <cell r="B2402" t="str">
            <v>Actual</v>
          </cell>
          <cell r="C2402" t="str">
            <v>Mar</v>
          </cell>
          <cell r="D2402" t="str">
            <v>Accessories</v>
          </cell>
          <cell r="E2402">
            <v>1286.4179999999999</v>
          </cell>
          <cell r="F2402">
            <v>3</v>
          </cell>
        </row>
        <row r="2403">
          <cell r="A2403">
            <v>2019</v>
          </cell>
          <cell r="B2403" t="str">
            <v>Budget</v>
          </cell>
          <cell r="C2403" t="str">
            <v>Mar</v>
          </cell>
          <cell r="D2403" t="str">
            <v>Chairs</v>
          </cell>
          <cell r="E2403">
            <v>9566435.3259999994</v>
          </cell>
          <cell r="F2403">
            <v>3</v>
          </cell>
        </row>
        <row r="2404">
          <cell r="A2404">
            <v>2018</v>
          </cell>
          <cell r="B2404" t="str">
            <v>Actual</v>
          </cell>
          <cell r="C2404" t="str">
            <v>Mar</v>
          </cell>
          <cell r="D2404" t="str">
            <v>Tables</v>
          </cell>
          <cell r="E2404">
            <v>388767.77100000001</v>
          </cell>
          <cell r="F2404">
            <v>3</v>
          </cell>
        </row>
        <row r="2405">
          <cell r="A2405">
            <v>2018</v>
          </cell>
          <cell r="B2405" t="str">
            <v>Budget</v>
          </cell>
          <cell r="C2405" t="str">
            <v>Mar</v>
          </cell>
          <cell r="D2405" t="str">
            <v>Kitchen</v>
          </cell>
          <cell r="E2405">
            <v>659606.38799999992</v>
          </cell>
          <cell r="F2405">
            <v>3</v>
          </cell>
        </row>
        <row r="2406">
          <cell r="A2406">
            <v>2018</v>
          </cell>
          <cell r="B2406" t="str">
            <v>Actual</v>
          </cell>
          <cell r="C2406" t="str">
            <v>Mar</v>
          </cell>
          <cell r="D2406" t="str">
            <v>Accessories</v>
          </cell>
          <cell r="E2406">
            <v>426652.49899999995</v>
          </cell>
          <cell r="F2406">
            <v>3</v>
          </cell>
        </row>
        <row r="2407">
          <cell r="A2407">
            <v>2019</v>
          </cell>
          <cell r="B2407" t="str">
            <v>Budget</v>
          </cell>
          <cell r="C2407" t="str">
            <v>Mar</v>
          </cell>
          <cell r="D2407" t="str">
            <v>Chairs</v>
          </cell>
          <cell r="E2407">
            <v>148477.05599999998</v>
          </cell>
          <cell r="F2407">
            <v>3</v>
          </cell>
        </row>
        <row r="2408">
          <cell r="A2408">
            <v>2018</v>
          </cell>
          <cell r="B2408" t="str">
            <v>Actual</v>
          </cell>
          <cell r="C2408" t="str">
            <v>Mar</v>
          </cell>
          <cell r="D2408" t="str">
            <v>Chairs</v>
          </cell>
          <cell r="E2408">
            <v>2242282.2659999998</v>
          </cell>
          <cell r="F2408">
            <v>3</v>
          </cell>
        </row>
        <row r="2409">
          <cell r="A2409">
            <v>2019</v>
          </cell>
          <cell r="B2409" t="str">
            <v>Budget</v>
          </cell>
          <cell r="C2409" t="str">
            <v>Mar</v>
          </cell>
          <cell r="D2409" t="str">
            <v>Tables</v>
          </cell>
          <cell r="E2409">
            <v>1237308.1839999999</v>
          </cell>
          <cell r="F2409">
            <v>3</v>
          </cell>
        </row>
        <row r="2410">
          <cell r="A2410">
            <v>2018</v>
          </cell>
          <cell r="B2410" t="str">
            <v>Actual</v>
          </cell>
          <cell r="C2410" t="str">
            <v>Mar</v>
          </cell>
          <cell r="D2410" t="str">
            <v>Kitchen</v>
          </cell>
          <cell r="E2410">
            <v>101178.686</v>
          </cell>
          <cell r="F2410">
            <v>3</v>
          </cell>
        </row>
        <row r="2411">
          <cell r="A2411">
            <v>2019</v>
          </cell>
          <cell r="B2411" t="str">
            <v>Budget</v>
          </cell>
          <cell r="C2411" t="str">
            <v>Mar</v>
          </cell>
          <cell r="D2411" t="str">
            <v>Chairs</v>
          </cell>
          <cell r="E2411">
            <v>19062.273999999998</v>
          </cell>
          <cell r="F2411">
            <v>3</v>
          </cell>
        </row>
        <row r="2412">
          <cell r="A2412">
            <v>2018</v>
          </cell>
          <cell r="B2412" t="str">
            <v>Actual</v>
          </cell>
          <cell r="C2412" t="str">
            <v>Mar</v>
          </cell>
          <cell r="D2412" t="str">
            <v>Tables</v>
          </cell>
          <cell r="E2412">
            <v>50062.733</v>
          </cell>
          <cell r="F2412">
            <v>3</v>
          </cell>
        </row>
        <row r="2413">
          <cell r="A2413">
            <v>2018</v>
          </cell>
          <cell r="B2413" t="str">
            <v>Budget</v>
          </cell>
          <cell r="C2413" t="str">
            <v>Mar</v>
          </cell>
          <cell r="D2413" t="str">
            <v>Kitchen</v>
          </cell>
          <cell r="E2413">
            <v>42810.557999999997</v>
          </cell>
          <cell r="F2413">
            <v>3</v>
          </cell>
        </row>
        <row r="2414">
          <cell r="A2414">
            <v>2018</v>
          </cell>
          <cell r="B2414" t="str">
            <v>Actual</v>
          </cell>
          <cell r="C2414" t="str">
            <v>Mar</v>
          </cell>
          <cell r="D2414" t="str">
            <v>Chairs</v>
          </cell>
          <cell r="E2414">
            <v>3437783.58</v>
          </cell>
          <cell r="F2414">
            <v>3</v>
          </cell>
        </row>
        <row r="2415">
          <cell r="A2415">
            <v>2018</v>
          </cell>
          <cell r="B2415" t="str">
            <v>Budget</v>
          </cell>
          <cell r="C2415" t="str">
            <v>Mar</v>
          </cell>
          <cell r="D2415" t="str">
            <v>Tables</v>
          </cell>
          <cell r="E2415">
            <v>243300.18299999999</v>
          </cell>
          <cell r="F2415">
            <v>3</v>
          </cell>
        </row>
        <row r="2416">
          <cell r="A2416">
            <v>2019</v>
          </cell>
          <cell r="B2416" t="str">
            <v>Actual</v>
          </cell>
          <cell r="C2416" t="str">
            <v>Mar</v>
          </cell>
          <cell r="D2416" t="str">
            <v>Kitchen</v>
          </cell>
          <cell r="E2416">
            <v>119360.93399999999</v>
          </cell>
          <cell r="F2416">
            <v>3</v>
          </cell>
        </row>
        <row r="2417">
          <cell r="A2417">
            <v>2018</v>
          </cell>
          <cell r="B2417" t="str">
            <v>Budget</v>
          </cell>
          <cell r="C2417" t="str">
            <v>Mar</v>
          </cell>
          <cell r="D2417" t="str">
            <v>Chairs</v>
          </cell>
          <cell r="E2417">
            <v>1087964.5489999999</v>
          </cell>
          <cell r="F2417">
            <v>3</v>
          </cell>
        </row>
        <row r="2418">
          <cell r="A2418">
            <v>2018</v>
          </cell>
          <cell r="B2418" t="str">
            <v>Actual</v>
          </cell>
          <cell r="C2418" t="str">
            <v>Mar</v>
          </cell>
          <cell r="D2418" t="str">
            <v>Chairs</v>
          </cell>
          <cell r="E2418">
            <v>871985.41499999992</v>
          </cell>
          <cell r="F2418">
            <v>3</v>
          </cell>
        </row>
        <row r="2419">
          <cell r="A2419">
            <v>2019</v>
          </cell>
          <cell r="B2419" t="str">
            <v>Budget</v>
          </cell>
          <cell r="C2419" t="str">
            <v>Mar</v>
          </cell>
          <cell r="D2419" t="str">
            <v>Chairs</v>
          </cell>
          <cell r="E2419">
            <v>659941.478</v>
          </cell>
          <cell r="F2419">
            <v>3</v>
          </cell>
        </row>
        <row r="2420">
          <cell r="A2420">
            <v>2019</v>
          </cell>
          <cell r="B2420" t="str">
            <v>Actual</v>
          </cell>
          <cell r="C2420" t="str">
            <v>Mar</v>
          </cell>
          <cell r="D2420" t="str">
            <v>Chairs</v>
          </cell>
          <cell r="E2420">
            <v>167072.42300000001</v>
          </cell>
          <cell r="F2420">
            <v>3</v>
          </cell>
        </row>
        <row r="2421">
          <cell r="A2421">
            <v>2019</v>
          </cell>
          <cell r="B2421" t="str">
            <v>Budget</v>
          </cell>
          <cell r="C2421" t="str">
            <v>Mar</v>
          </cell>
          <cell r="D2421" t="str">
            <v>Chairs</v>
          </cell>
          <cell r="E2421">
            <v>583647.7429999999</v>
          </cell>
          <cell r="F2421">
            <v>3</v>
          </cell>
        </row>
        <row r="2422">
          <cell r="A2422">
            <v>2018</v>
          </cell>
          <cell r="B2422" t="str">
            <v>Actual</v>
          </cell>
          <cell r="C2422" t="str">
            <v>Mar</v>
          </cell>
          <cell r="D2422" t="str">
            <v>Chairs</v>
          </cell>
          <cell r="E2422">
            <v>2349947.9079999998</v>
          </cell>
          <cell r="F2422">
            <v>3</v>
          </cell>
        </row>
        <row r="2423">
          <cell r="A2423">
            <v>2018</v>
          </cell>
          <cell r="B2423" t="str">
            <v>Budget</v>
          </cell>
          <cell r="C2423" t="str">
            <v>Mar</v>
          </cell>
          <cell r="D2423" t="str">
            <v>Chairs</v>
          </cell>
          <cell r="E2423">
            <v>1542816.737</v>
          </cell>
          <cell r="F2423">
            <v>3</v>
          </cell>
        </row>
        <row r="2424">
          <cell r="A2424">
            <v>2018</v>
          </cell>
          <cell r="B2424" t="str">
            <v>Actual</v>
          </cell>
          <cell r="C2424" t="str">
            <v>Mar</v>
          </cell>
          <cell r="D2424" t="str">
            <v>Chairs</v>
          </cell>
          <cell r="E2424">
            <v>2601791.1919999998</v>
          </cell>
          <cell r="F2424">
            <v>3</v>
          </cell>
        </row>
        <row r="2425">
          <cell r="A2425">
            <v>2018</v>
          </cell>
          <cell r="B2425" t="str">
            <v>Budget</v>
          </cell>
          <cell r="C2425" t="str">
            <v>Mar</v>
          </cell>
          <cell r="D2425" t="str">
            <v>Chairs</v>
          </cell>
          <cell r="E2425">
            <v>3581295.9419999993</v>
          </cell>
          <cell r="F2425">
            <v>3</v>
          </cell>
        </row>
        <row r="2426">
          <cell r="A2426">
            <v>2019</v>
          </cell>
          <cell r="B2426" t="str">
            <v>Actual</v>
          </cell>
          <cell r="C2426" t="str">
            <v>Mar</v>
          </cell>
          <cell r="D2426" t="str">
            <v>Chairs</v>
          </cell>
          <cell r="E2426">
            <v>3030864.102</v>
          </cell>
          <cell r="F2426">
            <v>3</v>
          </cell>
        </row>
        <row r="2427">
          <cell r="A2427">
            <v>2019</v>
          </cell>
          <cell r="B2427" t="str">
            <v>Budget</v>
          </cell>
          <cell r="C2427" t="str">
            <v>Mar</v>
          </cell>
          <cell r="D2427" t="str">
            <v>Chairs</v>
          </cell>
          <cell r="E2427">
            <v>39317.466999999997</v>
          </cell>
          <cell r="F2427">
            <v>3</v>
          </cell>
        </row>
        <row r="2428">
          <cell r="A2428">
            <v>2019</v>
          </cell>
          <cell r="B2428" t="str">
            <v>Actual</v>
          </cell>
          <cell r="C2428" t="str">
            <v>Mar</v>
          </cell>
          <cell r="D2428" t="str">
            <v>Chairs</v>
          </cell>
          <cell r="E2428">
            <v>12182088.583000001</v>
          </cell>
          <cell r="F2428">
            <v>3</v>
          </cell>
        </row>
        <row r="2429">
          <cell r="A2429">
            <v>2019</v>
          </cell>
          <cell r="B2429" t="str">
            <v>Budget</v>
          </cell>
          <cell r="C2429" t="str">
            <v>Mar</v>
          </cell>
          <cell r="D2429" t="str">
            <v>Chairs</v>
          </cell>
          <cell r="E2429">
            <v>17973086.662999999</v>
          </cell>
          <cell r="F2429">
            <v>3</v>
          </cell>
        </row>
        <row r="2430">
          <cell r="A2430">
            <v>2019</v>
          </cell>
          <cell r="B2430" t="str">
            <v>Actual</v>
          </cell>
          <cell r="C2430" t="str">
            <v>Mar</v>
          </cell>
          <cell r="D2430" t="str">
            <v>Chairs</v>
          </cell>
          <cell r="E2430">
            <v>49255.199000000001</v>
          </cell>
          <cell r="F2430">
            <v>3</v>
          </cell>
        </row>
        <row r="2431">
          <cell r="A2431">
            <v>2018</v>
          </cell>
          <cell r="B2431" t="str">
            <v>Budget</v>
          </cell>
          <cell r="C2431" t="str">
            <v>Mar</v>
          </cell>
          <cell r="D2431" t="str">
            <v>Chairs</v>
          </cell>
          <cell r="E2431">
            <v>633541.88099999994</v>
          </cell>
          <cell r="F2431">
            <v>3</v>
          </cell>
        </row>
        <row r="2432">
          <cell r="A2432">
            <v>2018</v>
          </cell>
          <cell r="B2432" t="str">
            <v>Actual</v>
          </cell>
          <cell r="C2432" t="str">
            <v>Mar</v>
          </cell>
          <cell r="D2432" t="str">
            <v>Chairs</v>
          </cell>
          <cell r="E2432">
            <v>1206485.6439999999</v>
          </cell>
          <cell r="F2432">
            <v>3</v>
          </cell>
        </row>
        <row r="2433">
          <cell r="A2433">
            <v>2018</v>
          </cell>
          <cell r="B2433" t="str">
            <v>Budget</v>
          </cell>
          <cell r="C2433" t="str">
            <v>Mar</v>
          </cell>
          <cell r="D2433" t="str">
            <v>Chairs</v>
          </cell>
          <cell r="E2433">
            <v>13957446.762</v>
          </cell>
          <cell r="F2433">
            <v>3</v>
          </cell>
        </row>
        <row r="2434">
          <cell r="A2434">
            <v>2018</v>
          </cell>
          <cell r="B2434" t="str">
            <v>Actual</v>
          </cell>
          <cell r="C2434" t="str">
            <v>Mar</v>
          </cell>
          <cell r="D2434" t="str">
            <v>Chairs</v>
          </cell>
          <cell r="E2434">
            <v>4508764.2460000003</v>
          </cell>
          <cell r="F2434">
            <v>3</v>
          </cell>
        </row>
        <row r="2435">
          <cell r="A2435">
            <v>2018</v>
          </cell>
          <cell r="B2435" t="str">
            <v>Budget</v>
          </cell>
          <cell r="C2435" t="str">
            <v>Mar</v>
          </cell>
          <cell r="D2435" t="str">
            <v>Chairs</v>
          </cell>
          <cell r="E2435">
            <v>108360.76299999999</v>
          </cell>
          <cell r="F2435">
            <v>3</v>
          </cell>
        </row>
        <row r="2436">
          <cell r="A2436">
            <v>2018</v>
          </cell>
          <cell r="B2436" t="str">
            <v>Actual</v>
          </cell>
          <cell r="C2436" t="str">
            <v>Mar</v>
          </cell>
          <cell r="D2436" t="str">
            <v>Chairs</v>
          </cell>
          <cell r="E2436">
            <v>81289.291999999987</v>
          </cell>
          <cell r="F2436">
            <v>3</v>
          </cell>
        </row>
        <row r="2437">
          <cell r="A2437">
            <v>2019</v>
          </cell>
          <cell r="B2437" t="str">
            <v>Budget</v>
          </cell>
          <cell r="C2437" t="str">
            <v>Mar</v>
          </cell>
          <cell r="D2437" t="str">
            <v>Chairs</v>
          </cell>
          <cell r="E2437">
            <v>1489.999</v>
          </cell>
          <cell r="F2437">
            <v>3</v>
          </cell>
        </row>
        <row r="2438">
          <cell r="A2438">
            <v>2018</v>
          </cell>
          <cell r="B2438" t="str">
            <v>Actual</v>
          </cell>
          <cell r="C2438" t="str">
            <v>Mar</v>
          </cell>
          <cell r="D2438" t="str">
            <v>Chairs</v>
          </cell>
          <cell r="E2438">
            <v>1463282.7789999999</v>
          </cell>
          <cell r="F2438">
            <v>3</v>
          </cell>
        </row>
        <row r="2439">
          <cell r="A2439">
            <v>2019</v>
          </cell>
          <cell r="B2439" t="str">
            <v>Budget</v>
          </cell>
          <cell r="C2439" t="str">
            <v>Mar</v>
          </cell>
          <cell r="D2439" t="str">
            <v>Chairs</v>
          </cell>
          <cell r="E2439">
            <v>3222233.196</v>
          </cell>
          <cell r="F2439">
            <v>3</v>
          </cell>
        </row>
        <row r="2440">
          <cell r="A2440">
            <v>2019</v>
          </cell>
          <cell r="B2440" t="str">
            <v>Actual</v>
          </cell>
          <cell r="C2440" t="str">
            <v>Mar</v>
          </cell>
          <cell r="D2440" t="str">
            <v>Chairs</v>
          </cell>
          <cell r="E2440">
            <v>724977.40700000001</v>
          </cell>
          <cell r="F2440">
            <v>3</v>
          </cell>
        </row>
        <row r="2441">
          <cell r="A2441">
            <v>2019</v>
          </cell>
          <cell r="B2441" t="str">
            <v>Budget</v>
          </cell>
          <cell r="C2441" t="str">
            <v>Mar</v>
          </cell>
          <cell r="D2441" t="str">
            <v>Chairs</v>
          </cell>
          <cell r="E2441">
            <v>3897.5230000000001</v>
          </cell>
          <cell r="F2441">
            <v>3</v>
          </cell>
        </row>
        <row r="2442">
          <cell r="A2442">
            <v>2019</v>
          </cell>
          <cell r="B2442" t="str">
            <v>Actual</v>
          </cell>
          <cell r="C2442" t="str">
            <v>Mar</v>
          </cell>
          <cell r="D2442" t="str">
            <v>Chairs</v>
          </cell>
          <cell r="E2442">
            <v>1604667.0219999999</v>
          </cell>
          <cell r="F2442">
            <v>3</v>
          </cell>
        </row>
        <row r="2443">
          <cell r="A2443">
            <v>2019</v>
          </cell>
          <cell r="B2443" t="str">
            <v>Budget</v>
          </cell>
          <cell r="C2443" t="str">
            <v>Mar</v>
          </cell>
          <cell r="D2443" t="str">
            <v>Tables</v>
          </cell>
          <cell r="E2443">
            <v>2404372.7189999996</v>
          </cell>
          <cell r="F2443">
            <v>3</v>
          </cell>
        </row>
        <row r="2444">
          <cell r="A2444">
            <v>2018</v>
          </cell>
          <cell r="B2444" t="str">
            <v>Actual</v>
          </cell>
          <cell r="C2444" t="str">
            <v>Mar</v>
          </cell>
          <cell r="D2444" t="str">
            <v>Kitchen</v>
          </cell>
          <cell r="E2444">
            <v>87401.698999999993</v>
          </cell>
          <cell r="F2444">
            <v>3</v>
          </cell>
        </row>
        <row r="2445">
          <cell r="A2445">
            <v>2019</v>
          </cell>
          <cell r="B2445" t="str">
            <v>Budget</v>
          </cell>
          <cell r="C2445" t="str">
            <v>Mar</v>
          </cell>
          <cell r="D2445" t="str">
            <v>Chairs</v>
          </cell>
          <cell r="E2445">
            <v>64417.317999999999</v>
          </cell>
          <cell r="F2445">
            <v>3</v>
          </cell>
        </row>
        <row r="2446">
          <cell r="A2446">
            <v>2019</v>
          </cell>
          <cell r="B2446" t="str">
            <v>Actual</v>
          </cell>
          <cell r="C2446" t="str">
            <v>Mar</v>
          </cell>
          <cell r="D2446" t="str">
            <v>Chairs</v>
          </cell>
          <cell r="E2446">
            <v>197895.94299999997</v>
          </cell>
          <cell r="F2446">
            <v>3</v>
          </cell>
        </row>
        <row r="2447">
          <cell r="A2447">
            <v>2018</v>
          </cell>
          <cell r="B2447" t="str">
            <v>Budget</v>
          </cell>
          <cell r="C2447" t="str">
            <v>Mar</v>
          </cell>
          <cell r="D2447" t="str">
            <v>Chairs</v>
          </cell>
          <cell r="E2447">
            <v>287022.39299999998</v>
          </cell>
          <cell r="F2447">
            <v>3</v>
          </cell>
        </row>
        <row r="2448">
          <cell r="A2448">
            <v>2018</v>
          </cell>
          <cell r="B2448" t="str">
            <v>Actual</v>
          </cell>
          <cell r="C2448" t="str">
            <v>Mar</v>
          </cell>
          <cell r="D2448" t="str">
            <v>Chairs</v>
          </cell>
          <cell r="E2448">
            <v>310287.67699999997</v>
          </cell>
          <cell r="F2448">
            <v>3</v>
          </cell>
        </row>
        <row r="2449">
          <cell r="A2449">
            <v>2019</v>
          </cell>
          <cell r="B2449" t="str">
            <v>Budget</v>
          </cell>
          <cell r="C2449" t="str">
            <v>Mar</v>
          </cell>
          <cell r="D2449" t="str">
            <v>Chairs</v>
          </cell>
          <cell r="E2449">
            <v>227880.05799999999</v>
          </cell>
          <cell r="F2449">
            <v>3</v>
          </cell>
        </row>
        <row r="2450">
          <cell r="A2450">
            <v>2019</v>
          </cell>
          <cell r="B2450" t="str">
            <v>Actual</v>
          </cell>
          <cell r="C2450" t="str">
            <v>Mar</v>
          </cell>
          <cell r="D2450" t="str">
            <v>Tables</v>
          </cell>
          <cell r="E2450">
            <v>22696.358999999997</v>
          </cell>
          <cell r="F2450">
            <v>3</v>
          </cell>
        </row>
        <row r="2451">
          <cell r="A2451">
            <v>2019</v>
          </cell>
          <cell r="B2451" t="str">
            <v>Budget</v>
          </cell>
          <cell r="C2451" t="str">
            <v>Mar</v>
          </cell>
          <cell r="D2451" t="str">
            <v>Kitchen</v>
          </cell>
          <cell r="E2451">
            <v>644859.77499999991</v>
          </cell>
          <cell r="F2451">
            <v>3</v>
          </cell>
        </row>
        <row r="2452">
          <cell r="A2452">
            <v>2019</v>
          </cell>
          <cell r="B2452" t="str">
            <v>Actual</v>
          </cell>
          <cell r="C2452" t="str">
            <v>Mar</v>
          </cell>
          <cell r="D2452" t="str">
            <v>Chairs</v>
          </cell>
          <cell r="E2452">
            <v>1969646.8749999998</v>
          </cell>
          <cell r="F2452">
            <v>3</v>
          </cell>
        </row>
        <row r="2453">
          <cell r="A2453">
            <v>2018</v>
          </cell>
          <cell r="B2453" t="str">
            <v>Budget</v>
          </cell>
          <cell r="C2453" t="str">
            <v>Mar</v>
          </cell>
          <cell r="D2453" t="str">
            <v>Chairs</v>
          </cell>
          <cell r="E2453">
            <v>11270553.307999998</v>
          </cell>
          <cell r="F2453">
            <v>3</v>
          </cell>
        </row>
        <row r="2454">
          <cell r="A2454">
            <v>2019</v>
          </cell>
          <cell r="B2454" t="str">
            <v>Actual</v>
          </cell>
          <cell r="C2454" t="str">
            <v>Mar</v>
          </cell>
          <cell r="D2454" t="str">
            <v>Chairs</v>
          </cell>
          <cell r="E2454">
            <v>473214.04899999994</v>
          </cell>
          <cell r="F2454">
            <v>3</v>
          </cell>
        </row>
        <row r="2455">
          <cell r="A2455">
            <v>2019</v>
          </cell>
          <cell r="B2455" t="str">
            <v>Budget</v>
          </cell>
          <cell r="C2455" t="str">
            <v>Mar</v>
          </cell>
          <cell r="D2455" t="str">
            <v>Tables</v>
          </cell>
          <cell r="E2455">
            <v>4168256.7919999994</v>
          </cell>
          <cell r="F2455">
            <v>3</v>
          </cell>
        </row>
        <row r="2456">
          <cell r="A2456">
            <v>2019</v>
          </cell>
          <cell r="B2456" t="str">
            <v>Actual</v>
          </cell>
          <cell r="C2456" t="str">
            <v>Mar</v>
          </cell>
          <cell r="D2456" t="str">
            <v>Kitchen</v>
          </cell>
          <cell r="E2456">
            <v>5952.1349999999993</v>
          </cell>
          <cell r="F2456">
            <v>3</v>
          </cell>
        </row>
        <row r="2457">
          <cell r="A2457">
            <v>2018</v>
          </cell>
          <cell r="B2457" t="str">
            <v>Budget</v>
          </cell>
          <cell r="C2457" t="str">
            <v>Mar</v>
          </cell>
          <cell r="D2457" t="str">
            <v>Chairs</v>
          </cell>
          <cell r="E2457">
            <v>577932.19400000002</v>
          </cell>
          <cell r="F2457">
            <v>3</v>
          </cell>
        </row>
        <row r="2458">
          <cell r="A2458">
            <v>2019</v>
          </cell>
          <cell r="B2458" t="str">
            <v>Actual</v>
          </cell>
          <cell r="C2458" t="str">
            <v>Mar</v>
          </cell>
          <cell r="D2458" t="str">
            <v>Chairs</v>
          </cell>
          <cell r="E2458">
            <v>657731.80900000001</v>
          </cell>
          <cell r="F2458">
            <v>3</v>
          </cell>
        </row>
        <row r="2459">
          <cell r="A2459">
            <v>2019</v>
          </cell>
          <cell r="B2459" t="str">
            <v>Budget</v>
          </cell>
          <cell r="C2459" t="str">
            <v>Mar</v>
          </cell>
          <cell r="D2459" t="str">
            <v>Tables</v>
          </cell>
          <cell r="E2459">
            <v>1892488.1569999997</v>
          </cell>
          <cell r="F2459">
            <v>3</v>
          </cell>
        </row>
        <row r="2460">
          <cell r="A2460">
            <v>2018</v>
          </cell>
          <cell r="B2460" t="str">
            <v>Actual</v>
          </cell>
          <cell r="C2460" t="str">
            <v>Mar</v>
          </cell>
          <cell r="D2460" t="str">
            <v>Kitchen</v>
          </cell>
          <cell r="E2460">
            <v>193751.98499999999</v>
          </cell>
          <cell r="F2460">
            <v>3</v>
          </cell>
        </row>
        <row r="2461">
          <cell r="A2461">
            <v>2018</v>
          </cell>
          <cell r="B2461" t="str">
            <v>Budget</v>
          </cell>
          <cell r="C2461" t="str">
            <v>Mar</v>
          </cell>
          <cell r="D2461" t="str">
            <v>Chairs</v>
          </cell>
          <cell r="E2461">
            <v>1492682.6040000001</v>
          </cell>
          <cell r="F2461">
            <v>3</v>
          </cell>
        </row>
        <row r="2462">
          <cell r="A2462">
            <v>2019</v>
          </cell>
          <cell r="B2462" t="str">
            <v>Actual</v>
          </cell>
          <cell r="C2462" t="str">
            <v>Mar</v>
          </cell>
          <cell r="D2462" t="str">
            <v>Chairs</v>
          </cell>
          <cell r="E2462">
            <v>4240068.6579999998</v>
          </cell>
          <cell r="F2462">
            <v>3</v>
          </cell>
        </row>
        <row r="2463">
          <cell r="A2463">
            <v>2018</v>
          </cell>
          <cell r="B2463" t="str">
            <v>Budget</v>
          </cell>
          <cell r="C2463" t="str">
            <v>Mar</v>
          </cell>
          <cell r="D2463" t="str">
            <v>Chairs</v>
          </cell>
          <cell r="E2463">
            <v>237565.34899999999</v>
          </cell>
          <cell r="F2463">
            <v>3</v>
          </cell>
        </row>
        <row r="2464">
          <cell r="A2464">
            <v>2019</v>
          </cell>
          <cell r="B2464" t="str">
            <v>Actual</v>
          </cell>
          <cell r="C2464" t="str">
            <v>Mar</v>
          </cell>
          <cell r="D2464" t="str">
            <v>Tables</v>
          </cell>
          <cell r="E2464">
            <v>927566.22</v>
          </cell>
          <cell r="F2464">
            <v>3</v>
          </cell>
        </row>
        <row r="2465">
          <cell r="A2465">
            <v>2018</v>
          </cell>
          <cell r="B2465" t="str">
            <v>Budget</v>
          </cell>
          <cell r="C2465" t="str">
            <v>Mar</v>
          </cell>
          <cell r="D2465" t="str">
            <v>Kitchen</v>
          </cell>
          <cell r="E2465">
            <v>902879.38299999991</v>
          </cell>
          <cell r="F2465">
            <v>3</v>
          </cell>
        </row>
        <row r="2466">
          <cell r="A2466">
            <v>2019</v>
          </cell>
          <cell r="B2466" t="str">
            <v>Actual</v>
          </cell>
          <cell r="C2466" t="str">
            <v>Mar</v>
          </cell>
          <cell r="D2466" t="str">
            <v>Accessories</v>
          </cell>
          <cell r="E2466">
            <v>3145923.9139999994</v>
          </cell>
          <cell r="F2466">
            <v>3</v>
          </cell>
        </row>
        <row r="2467">
          <cell r="A2467">
            <v>2018</v>
          </cell>
          <cell r="B2467" t="str">
            <v>Budget</v>
          </cell>
          <cell r="C2467" t="str">
            <v>Mar</v>
          </cell>
          <cell r="D2467" t="str">
            <v>Chairs</v>
          </cell>
          <cell r="E2467">
            <v>1191544.375</v>
          </cell>
          <cell r="F2467">
            <v>3</v>
          </cell>
        </row>
        <row r="2468">
          <cell r="A2468">
            <v>2018</v>
          </cell>
          <cell r="B2468" t="str">
            <v>Actual</v>
          </cell>
          <cell r="C2468" t="str">
            <v>Mar</v>
          </cell>
          <cell r="D2468" t="str">
            <v>Tables</v>
          </cell>
          <cell r="E2468">
            <v>333505.13</v>
          </cell>
          <cell r="F2468">
            <v>3</v>
          </cell>
        </row>
        <row r="2469">
          <cell r="A2469">
            <v>2019</v>
          </cell>
          <cell r="B2469" t="str">
            <v>Budget</v>
          </cell>
          <cell r="C2469" t="str">
            <v>Mar</v>
          </cell>
          <cell r="D2469" t="str">
            <v>Kitchen</v>
          </cell>
          <cell r="E2469">
            <v>284428.02499999997</v>
          </cell>
          <cell r="F2469">
            <v>3</v>
          </cell>
        </row>
        <row r="2470">
          <cell r="A2470">
            <v>2019</v>
          </cell>
          <cell r="B2470" t="str">
            <v>Actual</v>
          </cell>
          <cell r="C2470" t="str">
            <v>Mar</v>
          </cell>
          <cell r="D2470" t="str">
            <v>Accessories</v>
          </cell>
          <cell r="E2470">
            <v>840130.62699999998</v>
          </cell>
          <cell r="F2470">
            <v>3</v>
          </cell>
        </row>
        <row r="2471">
          <cell r="A2471">
            <v>2018</v>
          </cell>
          <cell r="B2471" t="str">
            <v>Budget</v>
          </cell>
          <cell r="C2471" t="str">
            <v>Mar</v>
          </cell>
          <cell r="D2471" t="str">
            <v>Chairs</v>
          </cell>
          <cell r="E2471">
            <v>570605.38500000001</v>
          </cell>
          <cell r="F2471">
            <v>3</v>
          </cell>
        </row>
        <row r="2472">
          <cell r="A2472">
            <v>2019</v>
          </cell>
          <cell r="B2472" t="str">
            <v>Actual</v>
          </cell>
          <cell r="C2472" t="str">
            <v>Mar</v>
          </cell>
          <cell r="D2472" t="str">
            <v>Tables</v>
          </cell>
          <cell r="E2472">
            <v>242038.25099999999</v>
          </cell>
          <cell r="F2472">
            <v>3</v>
          </cell>
        </row>
        <row r="2473">
          <cell r="A2473">
            <v>2018</v>
          </cell>
          <cell r="B2473" t="str">
            <v>Budget</v>
          </cell>
          <cell r="C2473" t="str">
            <v>Mar</v>
          </cell>
          <cell r="D2473" t="str">
            <v>Kitchen</v>
          </cell>
          <cell r="E2473">
            <v>127813.791</v>
          </cell>
          <cell r="F2473">
            <v>3</v>
          </cell>
        </row>
        <row r="2474">
          <cell r="A2474">
            <v>2018</v>
          </cell>
          <cell r="B2474" t="str">
            <v>Actual</v>
          </cell>
          <cell r="C2474" t="str">
            <v>Mar</v>
          </cell>
          <cell r="D2474" t="str">
            <v>Accessories</v>
          </cell>
          <cell r="E2474">
            <v>16911.439999999999</v>
          </cell>
          <cell r="F2474">
            <v>3</v>
          </cell>
        </row>
        <row r="2475">
          <cell r="A2475">
            <v>2019</v>
          </cell>
          <cell r="B2475" t="str">
            <v>Budget</v>
          </cell>
          <cell r="C2475" t="str">
            <v>Mar</v>
          </cell>
          <cell r="D2475" t="str">
            <v>Chairs</v>
          </cell>
          <cell r="E2475">
            <v>694262.73699999996</v>
          </cell>
          <cell r="F2475">
            <v>3</v>
          </cell>
        </row>
        <row r="2476">
          <cell r="A2476">
            <v>2019</v>
          </cell>
          <cell r="B2476" t="str">
            <v>Actual</v>
          </cell>
          <cell r="C2476" t="str">
            <v>Mar</v>
          </cell>
          <cell r="D2476" t="str">
            <v>Tables</v>
          </cell>
          <cell r="E2476">
            <v>89322.61099999999</v>
          </cell>
          <cell r="F2476">
            <v>3</v>
          </cell>
        </row>
        <row r="2477">
          <cell r="A2477">
            <v>2018</v>
          </cell>
          <cell r="B2477" t="str">
            <v>Budget</v>
          </cell>
          <cell r="C2477" t="str">
            <v>Mar</v>
          </cell>
          <cell r="D2477" t="str">
            <v>Kitchen</v>
          </cell>
          <cell r="E2477">
            <v>545170.31799999997</v>
          </cell>
          <cell r="F2477">
            <v>3</v>
          </cell>
        </row>
        <row r="2478">
          <cell r="A2478">
            <v>2018</v>
          </cell>
          <cell r="B2478" t="str">
            <v>Actual</v>
          </cell>
          <cell r="C2478" t="str">
            <v>Mar</v>
          </cell>
          <cell r="D2478" t="str">
            <v>Accessories</v>
          </cell>
          <cell r="E2478">
            <v>213454.42300000001</v>
          </cell>
          <cell r="F2478">
            <v>3</v>
          </cell>
        </row>
        <row r="2479">
          <cell r="A2479">
            <v>2018</v>
          </cell>
          <cell r="B2479" t="str">
            <v>Budget</v>
          </cell>
          <cell r="C2479" t="str">
            <v>Mar</v>
          </cell>
          <cell r="D2479" t="str">
            <v>Chairs</v>
          </cell>
          <cell r="E2479">
            <v>187899.09600000002</v>
          </cell>
          <cell r="F2479">
            <v>3</v>
          </cell>
        </row>
        <row r="2480">
          <cell r="A2480">
            <v>2018</v>
          </cell>
          <cell r="B2480" t="str">
            <v>Actual</v>
          </cell>
          <cell r="C2480" t="str">
            <v>Mar</v>
          </cell>
          <cell r="D2480" t="str">
            <v>Chairs</v>
          </cell>
          <cell r="E2480">
            <v>575007.93700000003</v>
          </cell>
          <cell r="F2480">
            <v>3</v>
          </cell>
        </row>
        <row r="2481">
          <cell r="A2481">
            <v>2019</v>
          </cell>
          <cell r="B2481" t="str">
            <v>Budget</v>
          </cell>
          <cell r="C2481" t="str">
            <v>Mar</v>
          </cell>
          <cell r="D2481" t="str">
            <v>Tables</v>
          </cell>
          <cell r="E2481">
            <v>60869.549999999996</v>
          </cell>
          <cell r="F2481">
            <v>3</v>
          </cell>
        </row>
        <row r="2482">
          <cell r="A2482">
            <v>2018</v>
          </cell>
          <cell r="B2482" t="str">
            <v>Actual</v>
          </cell>
          <cell r="C2482" t="str">
            <v>Mar</v>
          </cell>
          <cell r="D2482" t="str">
            <v>Kitchen</v>
          </cell>
          <cell r="E2482">
            <v>64687.804999999993</v>
          </cell>
          <cell r="F2482">
            <v>3</v>
          </cell>
        </row>
        <row r="2483">
          <cell r="A2483">
            <v>2018</v>
          </cell>
          <cell r="B2483" t="str">
            <v>Budget</v>
          </cell>
          <cell r="C2483" t="str">
            <v>Mar</v>
          </cell>
          <cell r="D2483" t="str">
            <v>Chairs</v>
          </cell>
          <cell r="E2483">
            <v>100930.27699999999</v>
          </cell>
          <cell r="F2483">
            <v>3</v>
          </cell>
        </row>
        <row r="2484">
          <cell r="A2484">
            <v>2019</v>
          </cell>
          <cell r="B2484" t="str">
            <v>Actual</v>
          </cell>
          <cell r="C2484" t="str">
            <v>Mar</v>
          </cell>
          <cell r="D2484" t="str">
            <v>Tables</v>
          </cell>
          <cell r="E2484">
            <v>169236.49400000001</v>
          </cell>
          <cell r="F2484">
            <v>3</v>
          </cell>
        </row>
        <row r="2485">
          <cell r="A2485">
            <v>2018</v>
          </cell>
          <cell r="B2485" t="str">
            <v>Budget</v>
          </cell>
          <cell r="C2485" t="str">
            <v>Mar</v>
          </cell>
          <cell r="D2485" t="str">
            <v>Kitchen</v>
          </cell>
          <cell r="E2485">
            <v>168170.42199999999</v>
          </cell>
          <cell r="F2485">
            <v>3</v>
          </cell>
        </row>
        <row r="2486">
          <cell r="A2486">
            <v>2018</v>
          </cell>
          <cell r="B2486" t="str">
            <v>Actual</v>
          </cell>
          <cell r="C2486" t="str">
            <v>Mar</v>
          </cell>
          <cell r="D2486" t="str">
            <v>Chairs</v>
          </cell>
          <cell r="E2486">
            <v>108690.72899999999</v>
          </cell>
          <cell r="F2486">
            <v>3</v>
          </cell>
        </row>
        <row r="2487">
          <cell r="A2487">
            <v>2018</v>
          </cell>
          <cell r="B2487" t="str">
            <v>Budget</v>
          </cell>
          <cell r="C2487" t="str">
            <v>Mar</v>
          </cell>
          <cell r="D2487" t="str">
            <v>Tables</v>
          </cell>
          <cell r="E2487">
            <v>99163.169000000009</v>
          </cell>
          <cell r="F2487">
            <v>3</v>
          </cell>
        </row>
        <row r="2488">
          <cell r="A2488">
            <v>2018</v>
          </cell>
          <cell r="B2488" t="str">
            <v>Actual</v>
          </cell>
          <cell r="C2488" t="str">
            <v>Mar</v>
          </cell>
          <cell r="D2488" t="str">
            <v>Kitchen</v>
          </cell>
          <cell r="E2488">
            <v>206257.198</v>
          </cell>
          <cell r="F2488">
            <v>3</v>
          </cell>
        </row>
        <row r="2489">
          <cell r="A2489">
            <v>2019</v>
          </cell>
          <cell r="B2489" t="str">
            <v>Budget</v>
          </cell>
          <cell r="C2489" t="str">
            <v>Mar</v>
          </cell>
          <cell r="D2489" t="str">
            <v>Chairs</v>
          </cell>
          <cell r="E2489">
            <v>242597.97799999997</v>
          </cell>
          <cell r="F2489">
            <v>3</v>
          </cell>
        </row>
        <row r="2490">
          <cell r="A2490">
            <v>2019</v>
          </cell>
          <cell r="B2490" t="str">
            <v>Actual</v>
          </cell>
          <cell r="C2490" t="str">
            <v>Mar</v>
          </cell>
          <cell r="D2490" t="str">
            <v>Chairs</v>
          </cell>
          <cell r="E2490">
            <v>120576.16899999999</v>
          </cell>
          <cell r="F2490">
            <v>3</v>
          </cell>
        </row>
        <row r="2491">
          <cell r="A2491">
            <v>2019</v>
          </cell>
          <cell r="B2491" t="str">
            <v>Budget</v>
          </cell>
          <cell r="C2491" t="str">
            <v>Mar</v>
          </cell>
          <cell r="D2491" t="str">
            <v>Chairs</v>
          </cell>
          <cell r="E2491">
            <v>334914.93</v>
          </cell>
          <cell r="F2491">
            <v>3</v>
          </cell>
        </row>
        <row r="2492">
          <cell r="A2492">
            <v>2019</v>
          </cell>
          <cell r="B2492" t="str">
            <v>Actual</v>
          </cell>
          <cell r="C2492" t="str">
            <v>Mar</v>
          </cell>
          <cell r="D2492" t="str">
            <v>Chairs</v>
          </cell>
          <cell r="E2492">
            <v>313024.84499999997</v>
          </cell>
          <cell r="F2492">
            <v>3</v>
          </cell>
        </row>
        <row r="2493">
          <cell r="A2493">
            <v>2018</v>
          </cell>
          <cell r="B2493" t="str">
            <v>Budget</v>
          </cell>
          <cell r="C2493" t="str">
            <v>Mar</v>
          </cell>
          <cell r="D2493" t="str">
            <v>Chairs</v>
          </cell>
          <cell r="E2493">
            <v>99512.566999999995</v>
          </cell>
          <cell r="F2493">
            <v>3</v>
          </cell>
        </row>
        <row r="2494">
          <cell r="A2494">
            <v>2018</v>
          </cell>
          <cell r="B2494" t="str">
            <v>Actual</v>
          </cell>
          <cell r="C2494" t="str">
            <v>Mar</v>
          </cell>
          <cell r="D2494" t="str">
            <v>Chairs</v>
          </cell>
          <cell r="E2494">
            <v>161077.42699999997</v>
          </cell>
          <cell r="F2494">
            <v>3</v>
          </cell>
        </row>
        <row r="2495">
          <cell r="A2495">
            <v>2018</v>
          </cell>
          <cell r="B2495" t="str">
            <v>Budget</v>
          </cell>
          <cell r="C2495" t="str">
            <v>Mar</v>
          </cell>
          <cell r="D2495" t="str">
            <v>Chairs</v>
          </cell>
          <cell r="E2495">
            <v>79306.954999999987</v>
          </cell>
          <cell r="F2495">
            <v>3</v>
          </cell>
        </row>
        <row r="2496">
          <cell r="A2496">
            <v>2018</v>
          </cell>
          <cell r="B2496" t="str">
            <v>Actual</v>
          </cell>
          <cell r="C2496" t="str">
            <v>Mar</v>
          </cell>
          <cell r="D2496" t="str">
            <v>Chairs</v>
          </cell>
          <cell r="E2496">
            <v>642691.67899999989</v>
          </cell>
          <cell r="F2496">
            <v>3</v>
          </cell>
        </row>
        <row r="2497">
          <cell r="A2497">
            <v>2018</v>
          </cell>
          <cell r="B2497" t="str">
            <v>Budget</v>
          </cell>
          <cell r="C2497" t="str">
            <v>Mar</v>
          </cell>
          <cell r="D2497" t="str">
            <v>Chairs</v>
          </cell>
          <cell r="E2497">
            <v>780582.52999999991</v>
          </cell>
          <cell r="F2497">
            <v>3</v>
          </cell>
        </row>
        <row r="2498">
          <cell r="A2498">
            <v>2019</v>
          </cell>
          <cell r="B2498" t="str">
            <v>Actual</v>
          </cell>
          <cell r="C2498" t="str">
            <v>Mar</v>
          </cell>
          <cell r="D2498" t="str">
            <v>Chairs</v>
          </cell>
          <cell r="E2498">
            <v>879796.23199999996</v>
          </cell>
          <cell r="F2498">
            <v>3</v>
          </cell>
        </row>
        <row r="2499">
          <cell r="A2499">
            <v>2018</v>
          </cell>
          <cell r="B2499" t="str">
            <v>Budget</v>
          </cell>
          <cell r="C2499" t="str">
            <v>Mar</v>
          </cell>
          <cell r="D2499" t="str">
            <v>Chairs</v>
          </cell>
          <cell r="E2499">
            <v>92634.835999999996</v>
          </cell>
          <cell r="F2499">
            <v>3</v>
          </cell>
        </row>
        <row r="2500">
          <cell r="A2500">
            <v>2019</v>
          </cell>
          <cell r="B2500" t="str">
            <v>Actual</v>
          </cell>
          <cell r="C2500" t="str">
            <v>Mar</v>
          </cell>
          <cell r="D2500" t="str">
            <v>Chairs</v>
          </cell>
          <cell r="E2500">
            <v>166975.53599999999</v>
          </cell>
          <cell r="F2500">
            <v>3</v>
          </cell>
        </row>
        <row r="2501">
          <cell r="A2501">
            <v>2019</v>
          </cell>
          <cell r="B2501" t="str">
            <v>Budget</v>
          </cell>
          <cell r="C2501" t="str">
            <v>Mar</v>
          </cell>
          <cell r="D2501" t="str">
            <v>Chairs</v>
          </cell>
          <cell r="E2501">
            <v>101460.24699999999</v>
          </cell>
          <cell r="F2501">
            <v>3</v>
          </cell>
        </row>
        <row r="2502">
          <cell r="A2502">
            <v>2019</v>
          </cell>
          <cell r="B2502" t="str">
            <v>Actual</v>
          </cell>
          <cell r="C2502" t="str">
            <v>Mar</v>
          </cell>
          <cell r="D2502" t="str">
            <v>Chairs</v>
          </cell>
          <cell r="E2502">
            <v>53279.904999999992</v>
          </cell>
          <cell r="F2502">
            <v>3</v>
          </cell>
        </row>
        <row r="2503">
          <cell r="A2503">
            <v>2018</v>
          </cell>
          <cell r="B2503" t="str">
            <v>Budget</v>
          </cell>
          <cell r="C2503" t="str">
            <v>Mar</v>
          </cell>
          <cell r="D2503" t="str">
            <v>Chairs</v>
          </cell>
          <cell r="E2503">
            <v>17675.475999999999</v>
          </cell>
          <cell r="F2503">
            <v>3</v>
          </cell>
        </row>
        <row r="2504">
          <cell r="A2504">
            <v>2018</v>
          </cell>
          <cell r="B2504" t="str">
            <v>Actual</v>
          </cell>
          <cell r="C2504" t="str">
            <v>Mar</v>
          </cell>
          <cell r="D2504" t="str">
            <v>Chairs</v>
          </cell>
          <cell r="E2504">
            <v>288997.91899999999</v>
          </cell>
          <cell r="F2504">
            <v>3</v>
          </cell>
        </row>
        <row r="2505">
          <cell r="A2505">
            <v>2018</v>
          </cell>
          <cell r="B2505" t="str">
            <v>Budget</v>
          </cell>
          <cell r="C2505" t="str">
            <v>Mar</v>
          </cell>
          <cell r="D2505" t="str">
            <v>Chairs</v>
          </cell>
          <cell r="E2505">
            <v>21474.060999999998</v>
          </cell>
          <cell r="F2505">
            <v>3</v>
          </cell>
        </row>
        <row r="2506">
          <cell r="A2506">
            <v>2018</v>
          </cell>
          <cell r="B2506" t="str">
            <v>Actual</v>
          </cell>
          <cell r="C2506" t="str">
            <v>Mar</v>
          </cell>
          <cell r="D2506" t="str">
            <v>Chairs</v>
          </cell>
          <cell r="E2506">
            <v>40390.391999999993</v>
          </cell>
          <cell r="F2506">
            <v>3</v>
          </cell>
        </row>
        <row r="2507">
          <cell r="A2507">
            <v>2019</v>
          </cell>
          <cell r="B2507" t="str">
            <v>Budget</v>
          </cell>
          <cell r="C2507" t="str">
            <v>Mar</v>
          </cell>
          <cell r="D2507" t="str">
            <v>Chairs</v>
          </cell>
          <cell r="E2507">
            <v>64887.36099999999</v>
          </cell>
          <cell r="F2507">
            <v>3</v>
          </cell>
        </row>
        <row r="2508">
          <cell r="A2508">
            <v>2019</v>
          </cell>
          <cell r="B2508" t="str">
            <v>Actual</v>
          </cell>
          <cell r="C2508" t="str">
            <v>Mar</v>
          </cell>
          <cell r="D2508" t="str">
            <v>Chairs</v>
          </cell>
          <cell r="E2508">
            <v>280505.28100000002</v>
          </cell>
          <cell r="F2508">
            <v>3</v>
          </cell>
        </row>
        <row r="2509">
          <cell r="A2509">
            <v>2019</v>
          </cell>
          <cell r="B2509" t="str">
            <v>Budget</v>
          </cell>
          <cell r="C2509" t="str">
            <v>Mar</v>
          </cell>
          <cell r="D2509" t="str">
            <v>Chairs</v>
          </cell>
          <cell r="E2509">
            <v>60416.922999999995</v>
          </cell>
          <cell r="F2509">
            <v>3</v>
          </cell>
        </row>
        <row r="2510">
          <cell r="A2510">
            <v>2018</v>
          </cell>
          <cell r="B2510" t="str">
            <v>Actual</v>
          </cell>
          <cell r="C2510" t="str">
            <v>Mar</v>
          </cell>
          <cell r="D2510" t="str">
            <v>Chairs</v>
          </cell>
          <cell r="E2510">
            <v>59946.270999999993</v>
          </cell>
          <cell r="F2510">
            <v>3</v>
          </cell>
        </row>
        <row r="2511">
          <cell r="A2511">
            <v>2018</v>
          </cell>
          <cell r="B2511" t="str">
            <v>Budget</v>
          </cell>
          <cell r="C2511" t="str">
            <v>Mar</v>
          </cell>
          <cell r="D2511" t="str">
            <v>Chairs</v>
          </cell>
          <cell r="E2511">
            <v>63121.695</v>
          </cell>
          <cell r="F2511">
            <v>3</v>
          </cell>
        </row>
        <row r="2512">
          <cell r="A2512">
            <v>2018</v>
          </cell>
          <cell r="B2512" t="str">
            <v>Actual</v>
          </cell>
          <cell r="C2512" t="str">
            <v>Mar</v>
          </cell>
          <cell r="D2512" t="str">
            <v>Chairs</v>
          </cell>
          <cell r="E2512">
            <v>258307.11199999996</v>
          </cell>
          <cell r="F2512">
            <v>3</v>
          </cell>
        </row>
        <row r="2513">
          <cell r="A2513">
            <v>2018</v>
          </cell>
          <cell r="B2513" t="str">
            <v>Budget</v>
          </cell>
          <cell r="C2513" t="str">
            <v>Mar</v>
          </cell>
          <cell r="D2513" t="str">
            <v>Chairs</v>
          </cell>
          <cell r="E2513">
            <v>-820.6099999999999</v>
          </cell>
          <cell r="F2513">
            <v>3</v>
          </cell>
        </row>
        <row r="2514">
          <cell r="A2514">
            <v>2019</v>
          </cell>
          <cell r="B2514" t="str">
            <v>Actual</v>
          </cell>
          <cell r="C2514" t="str">
            <v>Mar</v>
          </cell>
          <cell r="D2514" t="str">
            <v>Chairs</v>
          </cell>
          <cell r="E2514">
            <v>1354605.0630000001</v>
          </cell>
          <cell r="F2514">
            <v>3</v>
          </cell>
        </row>
        <row r="2515">
          <cell r="A2515">
            <v>2018</v>
          </cell>
          <cell r="B2515" t="str">
            <v>Budget</v>
          </cell>
          <cell r="C2515" t="str">
            <v>Mar</v>
          </cell>
          <cell r="D2515" t="str">
            <v>Tables</v>
          </cell>
          <cell r="E2515">
            <v>-945595.32899999991</v>
          </cell>
          <cell r="F2515">
            <v>3</v>
          </cell>
        </row>
        <row r="2516">
          <cell r="A2516">
            <v>2019</v>
          </cell>
          <cell r="B2516" t="str">
            <v>Actual</v>
          </cell>
          <cell r="C2516" t="str">
            <v>Mar</v>
          </cell>
          <cell r="D2516" t="str">
            <v>Kitchen</v>
          </cell>
          <cell r="E2516">
            <v>589830.10799999989</v>
          </cell>
          <cell r="F2516">
            <v>3</v>
          </cell>
        </row>
        <row r="2517">
          <cell r="A2517">
            <v>2018</v>
          </cell>
          <cell r="B2517" t="str">
            <v>Budget</v>
          </cell>
          <cell r="C2517" t="str">
            <v>Mar</v>
          </cell>
          <cell r="D2517" t="str">
            <v>Chairs</v>
          </cell>
          <cell r="E2517">
            <v>433886.73299999995</v>
          </cell>
          <cell r="F2517">
            <v>3</v>
          </cell>
        </row>
        <row r="2518">
          <cell r="A2518">
            <v>2019</v>
          </cell>
          <cell r="B2518" t="str">
            <v>Actual</v>
          </cell>
          <cell r="C2518" t="str">
            <v>Mar</v>
          </cell>
          <cell r="D2518" t="str">
            <v>Chairs</v>
          </cell>
          <cell r="E2518">
            <v>23330.957999999999</v>
          </cell>
          <cell r="F2518">
            <v>3</v>
          </cell>
        </row>
        <row r="2519">
          <cell r="A2519">
            <v>2018</v>
          </cell>
          <cell r="B2519" t="str">
            <v>Budget</v>
          </cell>
          <cell r="C2519" t="str">
            <v>Mar</v>
          </cell>
          <cell r="D2519" t="str">
            <v>Chairs</v>
          </cell>
          <cell r="E2519">
            <v>104607.60799999999</v>
          </cell>
          <cell r="F2519">
            <v>3</v>
          </cell>
        </row>
        <row r="2520">
          <cell r="A2520">
            <v>2019</v>
          </cell>
          <cell r="B2520" t="str">
            <v>Actual</v>
          </cell>
          <cell r="C2520" t="str">
            <v>Mar</v>
          </cell>
          <cell r="D2520" t="str">
            <v>Chairs</v>
          </cell>
          <cell r="E2520">
            <v>594782.54499999993</v>
          </cell>
          <cell r="F2520">
            <v>3</v>
          </cell>
        </row>
        <row r="2521">
          <cell r="A2521">
            <v>2018</v>
          </cell>
          <cell r="B2521" t="str">
            <v>Budget</v>
          </cell>
          <cell r="C2521" t="str">
            <v>Mar</v>
          </cell>
          <cell r="D2521" t="str">
            <v>Chairs</v>
          </cell>
          <cell r="E2521">
            <v>79766.805999999997</v>
          </cell>
          <cell r="F2521">
            <v>3</v>
          </cell>
        </row>
        <row r="2522">
          <cell r="A2522">
            <v>2019</v>
          </cell>
          <cell r="B2522" t="str">
            <v>Actual</v>
          </cell>
          <cell r="C2522" t="str">
            <v>Mar</v>
          </cell>
          <cell r="D2522" t="str">
            <v>Tables</v>
          </cell>
          <cell r="E2522">
            <v>109407.732</v>
          </cell>
          <cell r="F2522">
            <v>3</v>
          </cell>
        </row>
        <row r="2523">
          <cell r="A2523">
            <v>2018</v>
          </cell>
          <cell r="B2523" t="str">
            <v>Budget</v>
          </cell>
          <cell r="C2523" t="str">
            <v>Mar</v>
          </cell>
          <cell r="D2523" t="str">
            <v>Kitchen</v>
          </cell>
          <cell r="E2523">
            <v>596108.63899999997</v>
          </cell>
          <cell r="F2523">
            <v>3</v>
          </cell>
        </row>
        <row r="2524">
          <cell r="A2524">
            <v>2018</v>
          </cell>
          <cell r="B2524" t="str">
            <v>Actual</v>
          </cell>
          <cell r="C2524" t="str">
            <v>Mar</v>
          </cell>
          <cell r="D2524" t="str">
            <v>Chairs</v>
          </cell>
          <cell r="E2524">
            <v>-10879.253000000001</v>
          </cell>
          <cell r="F2524">
            <v>3</v>
          </cell>
        </row>
        <row r="2525">
          <cell r="A2525">
            <v>2019</v>
          </cell>
          <cell r="B2525" t="str">
            <v>Budget</v>
          </cell>
          <cell r="C2525" t="str">
            <v>Mar</v>
          </cell>
          <cell r="D2525" t="str">
            <v>Chairs</v>
          </cell>
          <cell r="E2525">
            <v>-1638.8119999999999</v>
          </cell>
          <cell r="F2525">
            <v>3</v>
          </cell>
        </row>
        <row r="2526">
          <cell r="A2526">
            <v>2019</v>
          </cell>
          <cell r="B2526" t="str">
            <v>Actual</v>
          </cell>
          <cell r="C2526" t="str">
            <v>Mar</v>
          </cell>
          <cell r="D2526" t="str">
            <v>Chairs</v>
          </cell>
          <cell r="E2526">
            <v>25853.925999999999</v>
          </cell>
          <cell r="F2526">
            <v>3</v>
          </cell>
        </row>
        <row r="2527">
          <cell r="A2527">
            <v>2019</v>
          </cell>
          <cell r="B2527" t="str">
            <v>Budget</v>
          </cell>
          <cell r="C2527" t="str">
            <v>Mar</v>
          </cell>
          <cell r="D2527" t="str">
            <v>Tables</v>
          </cell>
          <cell r="E2527">
            <v>8519.6440000000002</v>
          </cell>
          <cell r="F2527">
            <v>3</v>
          </cell>
        </row>
        <row r="2528">
          <cell r="A2528">
            <v>2018</v>
          </cell>
          <cell r="B2528" t="str">
            <v>Actual</v>
          </cell>
          <cell r="C2528" t="str">
            <v>Mar</v>
          </cell>
          <cell r="D2528" t="str">
            <v>Kitchen</v>
          </cell>
          <cell r="E2528">
            <v>16900.576000000001</v>
          </cell>
          <cell r="F2528">
            <v>3</v>
          </cell>
        </row>
        <row r="2529">
          <cell r="A2529">
            <v>2018</v>
          </cell>
          <cell r="B2529" t="str">
            <v>Budget</v>
          </cell>
          <cell r="C2529" t="str">
            <v>Mar</v>
          </cell>
          <cell r="D2529" t="str">
            <v>Chairs</v>
          </cell>
          <cell r="E2529">
            <v>15762.683999999997</v>
          </cell>
          <cell r="F2529">
            <v>3</v>
          </cell>
        </row>
        <row r="2530">
          <cell r="A2530">
            <v>2019</v>
          </cell>
          <cell r="B2530" t="str">
            <v>Actual</v>
          </cell>
          <cell r="C2530" t="str">
            <v>Mar</v>
          </cell>
          <cell r="D2530" t="str">
            <v>Chairs</v>
          </cell>
          <cell r="E2530">
            <v>16741.885999999999</v>
          </cell>
          <cell r="F2530">
            <v>3</v>
          </cell>
        </row>
        <row r="2531">
          <cell r="A2531">
            <v>2018</v>
          </cell>
          <cell r="B2531" t="str">
            <v>Budget</v>
          </cell>
          <cell r="C2531" t="str">
            <v>Mar</v>
          </cell>
          <cell r="D2531" t="str">
            <v>Tables</v>
          </cell>
          <cell r="E2531">
            <v>12322.722999999998</v>
          </cell>
          <cell r="F2531">
            <v>3</v>
          </cell>
        </row>
        <row r="2532">
          <cell r="A2532">
            <v>2018</v>
          </cell>
          <cell r="B2532" t="str">
            <v>Actual</v>
          </cell>
          <cell r="C2532" t="str">
            <v>Mar</v>
          </cell>
          <cell r="D2532" t="str">
            <v>Kitchen</v>
          </cell>
          <cell r="E2532">
            <v>345063.65600000002</v>
          </cell>
          <cell r="F2532">
            <v>3</v>
          </cell>
        </row>
        <row r="2533">
          <cell r="A2533">
            <v>2019</v>
          </cell>
          <cell r="B2533" t="str">
            <v>Budget</v>
          </cell>
          <cell r="C2533" t="str">
            <v>Mar</v>
          </cell>
          <cell r="D2533" t="str">
            <v>Chairs</v>
          </cell>
          <cell r="E2533">
            <v>-314.79699999999997</v>
          </cell>
          <cell r="F2533">
            <v>3</v>
          </cell>
        </row>
        <row r="2534">
          <cell r="A2534">
            <v>2018</v>
          </cell>
          <cell r="B2534" t="str">
            <v>Actual</v>
          </cell>
          <cell r="C2534" t="str">
            <v>Mar</v>
          </cell>
          <cell r="D2534" t="str">
            <v>Chairs</v>
          </cell>
          <cell r="E2534">
            <v>-1672.867</v>
          </cell>
          <cell r="F2534">
            <v>3</v>
          </cell>
        </row>
        <row r="2535">
          <cell r="A2535">
            <v>2019</v>
          </cell>
          <cell r="B2535" t="str">
            <v>Budget</v>
          </cell>
          <cell r="C2535" t="str">
            <v>Mar</v>
          </cell>
          <cell r="D2535" t="str">
            <v>Chairs</v>
          </cell>
          <cell r="E2535">
            <v>-389.291</v>
          </cell>
          <cell r="F2535">
            <v>3</v>
          </cell>
        </row>
        <row r="2536">
          <cell r="A2536">
            <v>2019</v>
          </cell>
          <cell r="B2536" t="str">
            <v>Actual</v>
          </cell>
          <cell r="C2536" t="str">
            <v>Mar</v>
          </cell>
          <cell r="D2536" t="str">
            <v>Tables</v>
          </cell>
          <cell r="E2536">
            <v>482568.114</v>
          </cell>
          <cell r="F2536">
            <v>3</v>
          </cell>
        </row>
        <row r="2537">
          <cell r="A2537">
            <v>2018</v>
          </cell>
          <cell r="B2537" t="str">
            <v>Budget</v>
          </cell>
          <cell r="C2537" t="str">
            <v>Mar</v>
          </cell>
          <cell r="D2537" t="str">
            <v>Kitchen</v>
          </cell>
          <cell r="E2537">
            <v>112303.849</v>
          </cell>
          <cell r="F2537">
            <v>3</v>
          </cell>
        </row>
        <row r="2538">
          <cell r="A2538">
            <v>2018</v>
          </cell>
          <cell r="B2538" t="str">
            <v>Actual</v>
          </cell>
          <cell r="C2538" t="str">
            <v>Mar</v>
          </cell>
          <cell r="D2538" t="str">
            <v>Accessories</v>
          </cell>
          <cell r="E2538">
            <v>88157.439999999988</v>
          </cell>
          <cell r="F2538">
            <v>3</v>
          </cell>
        </row>
        <row r="2539">
          <cell r="A2539">
            <v>2018</v>
          </cell>
          <cell r="B2539" t="str">
            <v>Budget</v>
          </cell>
          <cell r="C2539" t="str">
            <v>Mar</v>
          </cell>
          <cell r="D2539" t="str">
            <v>Chairs</v>
          </cell>
          <cell r="E2539">
            <v>84690.857999999993</v>
          </cell>
          <cell r="F2539">
            <v>3</v>
          </cell>
        </row>
        <row r="2540">
          <cell r="A2540">
            <v>2019</v>
          </cell>
          <cell r="B2540" t="str">
            <v>Actual</v>
          </cell>
          <cell r="C2540" t="str">
            <v>Mar</v>
          </cell>
          <cell r="D2540" t="str">
            <v>Tables</v>
          </cell>
          <cell r="E2540">
            <v>16466.373</v>
          </cell>
          <cell r="F2540">
            <v>3</v>
          </cell>
        </row>
        <row r="2541">
          <cell r="A2541">
            <v>2018</v>
          </cell>
          <cell r="B2541" t="str">
            <v>Budget</v>
          </cell>
          <cell r="C2541" t="str">
            <v>Mar</v>
          </cell>
          <cell r="D2541" t="str">
            <v>Kitchen</v>
          </cell>
          <cell r="E2541">
            <v>879.74599999999998</v>
          </cell>
          <cell r="F2541">
            <v>3</v>
          </cell>
        </row>
        <row r="2542">
          <cell r="A2542">
            <v>2019</v>
          </cell>
          <cell r="B2542" t="str">
            <v>Actual</v>
          </cell>
          <cell r="C2542" t="str">
            <v>Mar</v>
          </cell>
          <cell r="D2542" t="str">
            <v>Accessories</v>
          </cell>
          <cell r="E2542">
            <v>15763.706</v>
          </cell>
          <cell r="F2542">
            <v>3</v>
          </cell>
        </row>
        <row r="2543">
          <cell r="A2543">
            <v>2019</v>
          </cell>
          <cell r="B2543" t="str">
            <v>Budget</v>
          </cell>
          <cell r="C2543" t="str">
            <v>Mar</v>
          </cell>
          <cell r="D2543" t="str">
            <v>Chairs</v>
          </cell>
          <cell r="E2543">
            <v>42595.504000000001</v>
          </cell>
          <cell r="F2543">
            <v>3</v>
          </cell>
        </row>
        <row r="2544">
          <cell r="A2544">
            <v>2019</v>
          </cell>
          <cell r="B2544" t="str">
            <v>Actual</v>
          </cell>
          <cell r="C2544" t="str">
            <v>Mar</v>
          </cell>
          <cell r="D2544" t="str">
            <v>Tables</v>
          </cell>
          <cell r="E2544">
            <v>13772.99</v>
          </cell>
          <cell r="F2544">
            <v>3</v>
          </cell>
        </row>
        <row r="2545">
          <cell r="A2545">
            <v>2019</v>
          </cell>
          <cell r="B2545" t="str">
            <v>Budget</v>
          </cell>
          <cell r="C2545" t="str">
            <v>Mar</v>
          </cell>
          <cell r="D2545" t="str">
            <v>Kitchen</v>
          </cell>
          <cell r="E2545">
            <v>144638.753</v>
          </cell>
          <cell r="F2545">
            <v>3</v>
          </cell>
        </row>
        <row r="2546">
          <cell r="A2546">
            <v>2018</v>
          </cell>
          <cell r="B2546" t="str">
            <v>Actual</v>
          </cell>
          <cell r="C2546" t="str">
            <v>Mar</v>
          </cell>
          <cell r="D2546" t="str">
            <v>Accessories</v>
          </cell>
          <cell r="E2546">
            <v>50126.474999999999</v>
          </cell>
          <cell r="F2546">
            <v>3</v>
          </cell>
        </row>
        <row r="2547">
          <cell r="A2547">
            <v>2018</v>
          </cell>
          <cell r="B2547" t="str">
            <v>Budget</v>
          </cell>
          <cell r="C2547" t="str">
            <v>Mar</v>
          </cell>
          <cell r="D2547" t="str">
            <v>Chairs</v>
          </cell>
          <cell r="E2547">
            <v>137254.36199999999</v>
          </cell>
          <cell r="F2547">
            <v>3</v>
          </cell>
        </row>
        <row r="2548">
          <cell r="A2548">
            <v>2019</v>
          </cell>
          <cell r="B2548" t="str">
            <v>Actual</v>
          </cell>
          <cell r="C2548" t="str">
            <v>Mar</v>
          </cell>
          <cell r="D2548" t="str">
            <v>Tables</v>
          </cell>
          <cell r="E2548">
            <v>79810.024000000005</v>
          </cell>
          <cell r="F2548">
            <v>3</v>
          </cell>
        </row>
        <row r="2549">
          <cell r="A2549">
            <v>2019</v>
          </cell>
          <cell r="B2549" t="str">
            <v>Budget</v>
          </cell>
          <cell r="C2549" t="str">
            <v>Mar</v>
          </cell>
          <cell r="D2549" t="str">
            <v>Kitchen</v>
          </cell>
          <cell r="E2549">
            <v>142036.671</v>
          </cell>
          <cell r="F2549">
            <v>3</v>
          </cell>
        </row>
        <row r="2550">
          <cell r="A2550">
            <v>2019</v>
          </cell>
          <cell r="B2550" t="str">
            <v>Actual</v>
          </cell>
          <cell r="C2550" t="str">
            <v>Mar</v>
          </cell>
          <cell r="D2550" t="str">
            <v>Accessories</v>
          </cell>
          <cell r="E2550">
            <v>24870.251</v>
          </cell>
          <cell r="F2550">
            <v>3</v>
          </cell>
        </row>
        <row r="2551">
          <cell r="A2551">
            <v>2018</v>
          </cell>
          <cell r="B2551" t="str">
            <v>Budget</v>
          </cell>
          <cell r="C2551" t="str">
            <v>Mar</v>
          </cell>
          <cell r="D2551" t="str">
            <v>Chairs</v>
          </cell>
          <cell r="E2551">
            <v>19137.453999999998</v>
          </cell>
          <cell r="F2551">
            <v>3</v>
          </cell>
        </row>
        <row r="2552">
          <cell r="A2552">
            <v>2018</v>
          </cell>
          <cell r="B2552" t="str">
            <v>Actual</v>
          </cell>
          <cell r="C2552" t="str">
            <v>Mar</v>
          </cell>
          <cell r="D2552" t="str">
            <v>Chairs</v>
          </cell>
          <cell r="E2552">
            <v>280123.984</v>
          </cell>
          <cell r="F2552">
            <v>3</v>
          </cell>
        </row>
        <row r="2553">
          <cell r="A2553">
            <v>2018</v>
          </cell>
          <cell r="B2553" t="str">
            <v>Budget</v>
          </cell>
          <cell r="C2553" t="str">
            <v>Mar</v>
          </cell>
          <cell r="D2553" t="str">
            <v>Tables</v>
          </cell>
          <cell r="E2553">
            <v>342357.54700000002</v>
          </cell>
          <cell r="F2553">
            <v>3</v>
          </cell>
        </row>
        <row r="2554">
          <cell r="A2554">
            <v>2018</v>
          </cell>
          <cell r="B2554" t="str">
            <v>Actual</v>
          </cell>
          <cell r="C2554" t="str">
            <v>Mar</v>
          </cell>
          <cell r="D2554" t="str">
            <v>Kitchen</v>
          </cell>
          <cell r="E2554">
            <v>2190963.5929999999</v>
          </cell>
          <cell r="F2554">
            <v>3</v>
          </cell>
        </row>
        <row r="2555">
          <cell r="A2555">
            <v>2019</v>
          </cell>
          <cell r="B2555" t="str">
            <v>Budget</v>
          </cell>
          <cell r="C2555" t="str">
            <v>Mar</v>
          </cell>
          <cell r="D2555" t="str">
            <v>Chairs</v>
          </cell>
          <cell r="E2555">
            <v>151302.21399999998</v>
          </cell>
          <cell r="F2555">
            <v>3</v>
          </cell>
        </row>
        <row r="2556">
          <cell r="A2556">
            <v>2019</v>
          </cell>
          <cell r="B2556" t="str">
            <v>Actual</v>
          </cell>
          <cell r="C2556" t="str">
            <v>Mar</v>
          </cell>
          <cell r="D2556" t="str">
            <v>Tables</v>
          </cell>
          <cell r="E2556">
            <v>12196.050999999999</v>
          </cell>
          <cell r="F2556">
            <v>3</v>
          </cell>
        </row>
        <row r="2557">
          <cell r="A2557">
            <v>2018</v>
          </cell>
          <cell r="B2557" t="str">
            <v>Budget</v>
          </cell>
          <cell r="C2557" t="str">
            <v>Mar</v>
          </cell>
          <cell r="D2557" t="str">
            <v>Kitchen</v>
          </cell>
          <cell r="E2557">
            <v>223477.408</v>
          </cell>
          <cell r="F2557">
            <v>3</v>
          </cell>
        </row>
        <row r="2558">
          <cell r="A2558">
            <v>2018</v>
          </cell>
          <cell r="B2558" t="str">
            <v>Actual</v>
          </cell>
          <cell r="C2558" t="str">
            <v>Mar</v>
          </cell>
          <cell r="D2558" t="str">
            <v>Chairs</v>
          </cell>
          <cell r="E2558">
            <v>30504.242999999995</v>
          </cell>
          <cell r="F2558">
            <v>3</v>
          </cell>
        </row>
        <row r="2559">
          <cell r="A2559">
            <v>2019</v>
          </cell>
          <cell r="B2559" t="str">
            <v>Budget</v>
          </cell>
          <cell r="C2559" t="str">
            <v>Mar</v>
          </cell>
          <cell r="D2559" t="str">
            <v>Tables</v>
          </cell>
          <cell r="E2559">
            <v>68704.810999999987</v>
          </cell>
          <cell r="F2559">
            <v>3</v>
          </cell>
        </row>
        <row r="2560">
          <cell r="A2560">
            <v>2019</v>
          </cell>
          <cell r="B2560" t="str">
            <v>Actual</v>
          </cell>
          <cell r="C2560" t="str">
            <v>Mar</v>
          </cell>
          <cell r="D2560" t="str">
            <v>Kitchen</v>
          </cell>
          <cell r="E2560">
            <v>227528.61599999998</v>
          </cell>
          <cell r="F2560">
            <v>3</v>
          </cell>
        </row>
        <row r="2561">
          <cell r="A2561">
            <v>2019</v>
          </cell>
          <cell r="B2561" t="str">
            <v>Budget</v>
          </cell>
          <cell r="C2561" t="str">
            <v>Mar</v>
          </cell>
          <cell r="D2561" t="str">
            <v>Chairs</v>
          </cell>
          <cell r="E2561">
            <v>109012.26699999999</v>
          </cell>
          <cell r="F2561">
            <v>3</v>
          </cell>
        </row>
        <row r="2562">
          <cell r="A2562">
            <v>2018</v>
          </cell>
          <cell r="B2562" t="str">
            <v>Actual</v>
          </cell>
          <cell r="C2562" t="str">
            <v>Mar</v>
          </cell>
          <cell r="D2562" t="str">
            <v>Chairs</v>
          </cell>
          <cell r="E2562">
            <v>5032.7829999999994</v>
          </cell>
          <cell r="F2562">
            <v>3</v>
          </cell>
        </row>
        <row r="2563">
          <cell r="A2563">
            <v>2019</v>
          </cell>
          <cell r="B2563" t="str">
            <v>Budget</v>
          </cell>
          <cell r="C2563" t="str">
            <v>Mar</v>
          </cell>
          <cell r="D2563" t="str">
            <v>Chairs</v>
          </cell>
          <cell r="E2563">
            <v>1966744.15</v>
          </cell>
          <cell r="F2563">
            <v>3</v>
          </cell>
        </row>
        <row r="2564">
          <cell r="A2564">
            <v>2019</v>
          </cell>
          <cell r="B2564" t="str">
            <v>Actual</v>
          </cell>
          <cell r="C2564" t="str">
            <v>Mar</v>
          </cell>
          <cell r="D2564" t="str">
            <v>Chairs</v>
          </cell>
          <cell r="E2564">
            <v>100659.965</v>
          </cell>
          <cell r="F2564">
            <v>3</v>
          </cell>
        </row>
        <row r="2565">
          <cell r="A2565">
            <v>2019</v>
          </cell>
          <cell r="B2565" t="str">
            <v>Budget</v>
          </cell>
          <cell r="C2565" t="str">
            <v>Mar</v>
          </cell>
          <cell r="D2565" t="str">
            <v>Chairs</v>
          </cell>
          <cell r="E2565">
            <v>169507.56200000001</v>
          </cell>
          <cell r="F2565">
            <v>3</v>
          </cell>
        </row>
        <row r="2566">
          <cell r="A2566">
            <v>2018</v>
          </cell>
          <cell r="B2566" t="str">
            <v>Actual</v>
          </cell>
          <cell r="C2566" t="str">
            <v>Mar</v>
          </cell>
          <cell r="D2566" t="str">
            <v>Chairs</v>
          </cell>
          <cell r="E2566">
            <v>328746.94999999995</v>
          </cell>
          <cell r="F2566">
            <v>3</v>
          </cell>
        </row>
        <row r="2567">
          <cell r="A2567">
            <v>2018</v>
          </cell>
          <cell r="B2567" t="str">
            <v>Budget</v>
          </cell>
          <cell r="C2567" t="str">
            <v>Mar</v>
          </cell>
          <cell r="D2567" t="str">
            <v>Chairs</v>
          </cell>
          <cell r="E2567">
            <v>1280949.9709999999</v>
          </cell>
          <cell r="F2567">
            <v>3</v>
          </cell>
        </row>
        <row r="2568">
          <cell r="A2568">
            <v>2019</v>
          </cell>
          <cell r="B2568" t="str">
            <v>Actual</v>
          </cell>
          <cell r="C2568" t="str">
            <v>Mar</v>
          </cell>
          <cell r="D2568" t="str">
            <v>Chairs</v>
          </cell>
          <cell r="E2568">
            <v>135602.73300000001</v>
          </cell>
          <cell r="F2568">
            <v>3</v>
          </cell>
        </row>
        <row r="2569">
          <cell r="A2569">
            <v>2018</v>
          </cell>
          <cell r="B2569" t="str">
            <v>Budget</v>
          </cell>
          <cell r="C2569" t="str">
            <v>Mar</v>
          </cell>
          <cell r="D2569" t="str">
            <v>Chairs</v>
          </cell>
          <cell r="E2569">
            <v>1295881.1459999999</v>
          </cell>
          <cell r="F2569">
            <v>3</v>
          </cell>
        </row>
        <row r="2570">
          <cell r="A2570">
            <v>2018</v>
          </cell>
          <cell r="B2570" t="str">
            <v>Actual</v>
          </cell>
          <cell r="C2570" t="str">
            <v>Mar</v>
          </cell>
          <cell r="D2570" t="str">
            <v>Chairs</v>
          </cell>
          <cell r="E2570">
            <v>10675.203</v>
          </cell>
          <cell r="F2570">
            <v>3</v>
          </cell>
        </row>
        <row r="2571">
          <cell r="A2571">
            <v>2018</v>
          </cell>
          <cell r="B2571" t="str">
            <v>Budget</v>
          </cell>
          <cell r="C2571" t="str">
            <v>Mar</v>
          </cell>
          <cell r="D2571" t="str">
            <v>Chairs</v>
          </cell>
          <cell r="E2571">
            <v>1666685.4469999999</v>
          </cell>
          <cell r="F2571">
            <v>3</v>
          </cell>
        </row>
        <row r="2572">
          <cell r="A2572">
            <v>2019</v>
          </cell>
          <cell r="B2572" t="str">
            <v>Actual</v>
          </cell>
          <cell r="C2572" t="str">
            <v>Mar</v>
          </cell>
          <cell r="D2572" t="str">
            <v>Chairs</v>
          </cell>
          <cell r="E2572">
            <v>437092.38299999991</v>
          </cell>
          <cell r="F2572">
            <v>3</v>
          </cell>
        </row>
        <row r="2573">
          <cell r="A2573">
            <v>2018</v>
          </cell>
          <cell r="B2573" t="str">
            <v>Budget</v>
          </cell>
          <cell r="C2573" t="str">
            <v>Mar</v>
          </cell>
          <cell r="D2573" t="str">
            <v>Chairs</v>
          </cell>
          <cell r="E2573">
            <v>275473.69499999995</v>
          </cell>
          <cell r="F2573">
            <v>3</v>
          </cell>
        </row>
        <row r="2574">
          <cell r="A2574">
            <v>2018</v>
          </cell>
          <cell r="B2574" t="str">
            <v>Actual</v>
          </cell>
          <cell r="C2574" t="str">
            <v>Mar</v>
          </cell>
          <cell r="D2574" t="str">
            <v>Chairs</v>
          </cell>
          <cell r="E2574">
            <v>624545.27799999993</v>
          </cell>
          <cell r="F2574">
            <v>3</v>
          </cell>
        </row>
        <row r="2575">
          <cell r="A2575">
            <v>2019</v>
          </cell>
          <cell r="B2575" t="str">
            <v>Budget</v>
          </cell>
          <cell r="C2575" t="str">
            <v>Mar</v>
          </cell>
          <cell r="D2575" t="str">
            <v>Chairs</v>
          </cell>
          <cell r="E2575">
            <v>1604800.5329999998</v>
          </cell>
          <cell r="F2575">
            <v>3</v>
          </cell>
        </row>
        <row r="2576">
          <cell r="A2576">
            <v>2018</v>
          </cell>
          <cell r="B2576" t="str">
            <v>Actual</v>
          </cell>
          <cell r="C2576" t="str">
            <v>Mar</v>
          </cell>
          <cell r="D2576" t="str">
            <v>Chairs</v>
          </cell>
          <cell r="E2576">
            <v>352069.72499999998</v>
          </cell>
          <cell r="F2576">
            <v>3</v>
          </cell>
        </row>
        <row r="2577">
          <cell r="A2577">
            <v>2018</v>
          </cell>
          <cell r="B2577" t="str">
            <v>Budget</v>
          </cell>
          <cell r="C2577" t="str">
            <v>Mar</v>
          </cell>
          <cell r="D2577" t="str">
            <v>Chairs</v>
          </cell>
          <cell r="E2577">
            <v>2517959.108</v>
          </cell>
          <cell r="F2577">
            <v>3</v>
          </cell>
        </row>
        <row r="2578">
          <cell r="A2578">
            <v>2019</v>
          </cell>
          <cell r="B2578" t="str">
            <v>Actual</v>
          </cell>
          <cell r="C2578" t="str">
            <v>Mar</v>
          </cell>
          <cell r="D2578" t="str">
            <v>Chairs</v>
          </cell>
          <cell r="E2578">
            <v>107432.899</v>
          </cell>
          <cell r="F2578">
            <v>3</v>
          </cell>
        </row>
        <row r="2579">
          <cell r="A2579">
            <v>2019</v>
          </cell>
          <cell r="B2579" t="str">
            <v>Budget</v>
          </cell>
          <cell r="C2579" t="str">
            <v>Mar</v>
          </cell>
          <cell r="D2579" t="str">
            <v>Chairs</v>
          </cell>
          <cell r="E2579">
            <v>75162.164000000004</v>
          </cell>
          <cell r="F2579">
            <v>3</v>
          </cell>
        </row>
        <row r="2580">
          <cell r="A2580">
            <v>2018</v>
          </cell>
          <cell r="B2580" t="str">
            <v>Actual</v>
          </cell>
          <cell r="C2580" t="str">
            <v>Mar</v>
          </cell>
          <cell r="D2580" t="str">
            <v>Chairs</v>
          </cell>
          <cell r="E2580">
            <v>30514.693999999996</v>
          </cell>
          <cell r="F2580">
            <v>3</v>
          </cell>
        </row>
        <row r="2581">
          <cell r="A2581">
            <v>2018</v>
          </cell>
          <cell r="B2581" t="str">
            <v>Budget</v>
          </cell>
          <cell r="C2581" t="str">
            <v>Mar</v>
          </cell>
          <cell r="D2581" t="str">
            <v>Chairs</v>
          </cell>
          <cell r="E2581">
            <v>71235.212999999989</v>
          </cell>
          <cell r="F2581">
            <v>3</v>
          </cell>
        </row>
        <row r="2582">
          <cell r="A2582">
            <v>2018</v>
          </cell>
          <cell r="B2582" t="str">
            <v>Actual</v>
          </cell>
          <cell r="C2582" t="str">
            <v>Mar</v>
          </cell>
          <cell r="D2582" t="str">
            <v>Chairs</v>
          </cell>
          <cell r="E2582">
            <v>128757.46799999998</v>
          </cell>
          <cell r="F2582">
            <v>3</v>
          </cell>
        </row>
        <row r="2583">
          <cell r="A2583">
            <v>2019</v>
          </cell>
          <cell r="B2583" t="str">
            <v>Budget</v>
          </cell>
          <cell r="C2583" t="str">
            <v>Mar</v>
          </cell>
          <cell r="D2583" t="str">
            <v>Chairs</v>
          </cell>
          <cell r="E2583">
            <v>47548.108999999997</v>
          </cell>
          <cell r="F2583">
            <v>3</v>
          </cell>
        </row>
        <row r="2584">
          <cell r="A2584">
            <v>2018</v>
          </cell>
          <cell r="B2584" t="str">
            <v>Actual</v>
          </cell>
          <cell r="C2584" t="str">
            <v>Mar</v>
          </cell>
          <cell r="D2584" t="str">
            <v>Chairs</v>
          </cell>
          <cell r="E2584">
            <v>187151.26499999998</v>
          </cell>
          <cell r="F2584">
            <v>3</v>
          </cell>
        </row>
        <row r="2585">
          <cell r="A2585">
            <v>2018</v>
          </cell>
          <cell r="B2585" t="str">
            <v>Budget</v>
          </cell>
          <cell r="C2585" t="str">
            <v>Mar</v>
          </cell>
          <cell r="D2585" t="str">
            <v>Chairs</v>
          </cell>
          <cell r="E2585">
            <v>313533.21299999999</v>
          </cell>
          <cell r="F2585">
            <v>3</v>
          </cell>
        </row>
        <row r="2586">
          <cell r="A2586">
            <v>2018</v>
          </cell>
          <cell r="B2586" t="str">
            <v>Actual</v>
          </cell>
          <cell r="C2586" t="str">
            <v>Mar</v>
          </cell>
          <cell r="D2586" t="str">
            <v>Chairs</v>
          </cell>
          <cell r="E2586">
            <v>602145.29899999988</v>
          </cell>
          <cell r="F2586">
            <v>3</v>
          </cell>
        </row>
        <row r="2587">
          <cell r="A2587">
            <v>2019</v>
          </cell>
          <cell r="B2587" t="str">
            <v>Budget</v>
          </cell>
          <cell r="C2587" t="str">
            <v>Mar</v>
          </cell>
          <cell r="D2587" t="str">
            <v>Tables</v>
          </cell>
          <cell r="E2587">
            <v>134181.37599999999</v>
          </cell>
          <cell r="F2587">
            <v>3</v>
          </cell>
        </row>
        <row r="2588">
          <cell r="A2588">
            <v>2019</v>
          </cell>
          <cell r="B2588" t="str">
            <v>Actual</v>
          </cell>
          <cell r="C2588" t="str">
            <v>Mar</v>
          </cell>
          <cell r="D2588" t="str">
            <v>Kitchen</v>
          </cell>
          <cell r="E2588">
            <v>85497.684999999998</v>
          </cell>
          <cell r="F2588">
            <v>3</v>
          </cell>
        </row>
        <row r="2589">
          <cell r="A2589">
            <v>2019</v>
          </cell>
          <cell r="B2589" t="str">
            <v>Budget</v>
          </cell>
          <cell r="C2589" t="str">
            <v>Mar</v>
          </cell>
          <cell r="D2589" t="str">
            <v>Chairs</v>
          </cell>
          <cell r="E2589">
            <v>36050.909999999996</v>
          </cell>
          <cell r="F2589">
            <v>3</v>
          </cell>
        </row>
        <row r="2590">
          <cell r="A2590">
            <v>2018</v>
          </cell>
          <cell r="B2590" t="str">
            <v>Actual</v>
          </cell>
          <cell r="C2590" t="str">
            <v>Mar</v>
          </cell>
          <cell r="D2590" t="str">
            <v>Chairs</v>
          </cell>
          <cell r="E2590">
            <v>13365.925999999999</v>
          </cell>
          <cell r="F2590">
            <v>3</v>
          </cell>
        </row>
        <row r="2591">
          <cell r="A2591">
            <v>2018</v>
          </cell>
          <cell r="B2591" t="str">
            <v>Budget</v>
          </cell>
          <cell r="C2591" t="str">
            <v>Mar</v>
          </cell>
          <cell r="D2591" t="str">
            <v>Chairs</v>
          </cell>
          <cell r="E2591">
            <v>298.63399999999996</v>
          </cell>
          <cell r="F2591">
            <v>3</v>
          </cell>
        </row>
        <row r="2592">
          <cell r="A2592">
            <v>2018</v>
          </cell>
          <cell r="B2592" t="str">
            <v>Actual</v>
          </cell>
          <cell r="C2592" t="str">
            <v>Mar</v>
          </cell>
          <cell r="D2592" t="str">
            <v>Chairs</v>
          </cell>
          <cell r="E2592">
            <v>345694.13199999998</v>
          </cell>
          <cell r="F2592">
            <v>3</v>
          </cell>
        </row>
        <row r="2593">
          <cell r="A2593">
            <v>2018</v>
          </cell>
          <cell r="B2593" t="str">
            <v>Budget</v>
          </cell>
          <cell r="C2593" t="str">
            <v>Mar</v>
          </cell>
          <cell r="D2593" t="str">
            <v>Chairs</v>
          </cell>
          <cell r="E2593">
            <v>38531.121999999996</v>
          </cell>
          <cell r="F2593">
            <v>3</v>
          </cell>
        </row>
        <row r="2594">
          <cell r="A2594">
            <v>2018</v>
          </cell>
          <cell r="B2594" t="str">
            <v>Actual</v>
          </cell>
          <cell r="C2594" t="str">
            <v>Mar</v>
          </cell>
          <cell r="D2594" t="str">
            <v>Tables</v>
          </cell>
          <cell r="E2594">
            <v>40829.424999999996</v>
          </cell>
          <cell r="F2594">
            <v>3</v>
          </cell>
        </row>
        <row r="2595">
          <cell r="A2595">
            <v>2018</v>
          </cell>
          <cell r="B2595" t="str">
            <v>Budget</v>
          </cell>
          <cell r="C2595" t="str">
            <v>Mar</v>
          </cell>
          <cell r="D2595" t="str">
            <v>Kitchen</v>
          </cell>
          <cell r="E2595">
            <v>27195.735000000001</v>
          </cell>
          <cell r="F2595">
            <v>3</v>
          </cell>
        </row>
        <row r="2596">
          <cell r="A2596">
            <v>2019</v>
          </cell>
          <cell r="B2596" t="str">
            <v>Actual</v>
          </cell>
          <cell r="C2596" t="str">
            <v>Mar</v>
          </cell>
          <cell r="D2596" t="str">
            <v>Chairs</v>
          </cell>
          <cell r="E2596">
            <v>34099.351999999999</v>
          </cell>
          <cell r="F2596">
            <v>3</v>
          </cell>
        </row>
        <row r="2597">
          <cell r="A2597">
            <v>2018</v>
          </cell>
          <cell r="B2597" t="str">
            <v>Budget</v>
          </cell>
          <cell r="C2597" t="str">
            <v>Mar</v>
          </cell>
          <cell r="D2597" t="str">
            <v>Chairs</v>
          </cell>
          <cell r="E2597">
            <v>100492.336</v>
          </cell>
          <cell r="F2597">
            <v>3</v>
          </cell>
        </row>
        <row r="2598">
          <cell r="A2598">
            <v>2019</v>
          </cell>
          <cell r="B2598" t="str">
            <v>Actual</v>
          </cell>
          <cell r="C2598" t="str">
            <v>Mar</v>
          </cell>
          <cell r="D2598" t="str">
            <v>Chairs</v>
          </cell>
          <cell r="E2598">
            <v>24022.207999999999</v>
          </cell>
          <cell r="F2598">
            <v>3</v>
          </cell>
        </row>
        <row r="2599">
          <cell r="A2599">
            <v>2019</v>
          </cell>
          <cell r="B2599" t="str">
            <v>Budget</v>
          </cell>
          <cell r="C2599" t="str">
            <v>Mar</v>
          </cell>
          <cell r="D2599" t="str">
            <v>Tables</v>
          </cell>
          <cell r="E2599">
            <v>66541.433000000005</v>
          </cell>
          <cell r="F2599">
            <v>3</v>
          </cell>
        </row>
        <row r="2600">
          <cell r="A2600">
            <v>2018</v>
          </cell>
          <cell r="B2600" t="str">
            <v>Actual</v>
          </cell>
          <cell r="C2600" t="str">
            <v>Mar</v>
          </cell>
          <cell r="D2600" t="str">
            <v>Kitchen</v>
          </cell>
          <cell r="E2600">
            <v>25413.878000000001</v>
          </cell>
          <cell r="F2600">
            <v>3</v>
          </cell>
        </row>
        <row r="2601">
          <cell r="A2601">
            <v>2018</v>
          </cell>
          <cell r="B2601" t="str">
            <v>Budget</v>
          </cell>
          <cell r="C2601" t="str">
            <v>Mar</v>
          </cell>
          <cell r="D2601" t="str">
            <v>Chairs</v>
          </cell>
          <cell r="E2601">
            <v>121588.45299999999</v>
          </cell>
          <cell r="F2601">
            <v>3</v>
          </cell>
        </row>
        <row r="2602">
          <cell r="A2602">
            <v>2019</v>
          </cell>
          <cell r="B2602" t="str">
            <v>Actual</v>
          </cell>
          <cell r="C2602" t="str">
            <v>Mar</v>
          </cell>
          <cell r="D2602" t="str">
            <v>Chairs</v>
          </cell>
          <cell r="E2602">
            <v>88402.264999999999</v>
          </cell>
          <cell r="F2602">
            <v>3</v>
          </cell>
        </row>
        <row r="2603">
          <cell r="A2603">
            <v>2019</v>
          </cell>
          <cell r="B2603" t="str">
            <v>Budget</v>
          </cell>
          <cell r="C2603" t="str">
            <v>Mar</v>
          </cell>
          <cell r="D2603" t="str">
            <v>Tables</v>
          </cell>
          <cell r="E2603">
            <v>195867.05600000001</v>
          </cell>
          <cell r="F2603">
            <v>3</v>
          </cell>
        </row>
        <row r="2604">
          <cell r="A2604">
            <v>2019</v>
          </cell>
          <cell r="B2604" t="str">
            <v>Actual</v>
          </cell>
          <cell r="C2604" t="str">
            <v>Mar</v>
          </cell>
          <cell r="D2604" t="str">
            <v>Kitchen</v>
          </cell>
          <cell r="E2604">
            <v>11553.968999999997</v>
          </cell>
          <cell r="F2604">
            <v>3</v>
          </cell>
        </row>
        <row r="2605">
          <cell r="A2605">
            <v>2019</v>
          </cell>
          <cell r="B2605" t="str">
            <v>Budget</v>
          </cell>
          <cell r="C2605" t="str">
            <v>Mar</v>
          </cell>
          <cell r="D2605" t="str">
            <v>Chairs</v>
          </cell>
          <cell r="E2605">
            <v>1500.5199999999998</v>
          </cell>
          <cell r="F2605">
            <v>3</v>
          </cell>
        </row>
        <row r="2606">
          <cell r="A2606">
            <v>2019</v>
          </cell>
          <cell r="B2606" t="str">
            <v>Actual</v>
          </cell>
          <cell r="C2606" t="str">
            <v>Mar</v>
          </cell>
          <cell r="D2606" t="str">
            <v>Chairs</v>
          </cell>
          <cell r="E2606">
            <v>33170.241999999998</v>
          </cell>
          <cell r="F2606">
            <v>3</v>
          </cell>
        </row>
        <row r="2607">
          <cell r="A2607">
            <v>2019</v>
          </cell>
          <cell r="B2607" t="str">
            <v>Budget</v>
          </cell>
          <cell r="C2607" t="str">
            <v>Mar</v>
          </cell>
          <cell r="D2607" t="str">
            <v>Chairs</v>
          </cell>
          <cell r="E2607">
            <v>985548.72499999998</v>
          </cell>
          <cell r="F2607">
            <v>3</v>
          </cell>
        </row>
        <row r="2608">
          <cell r="A2608">
            <v>2019</v>
          </cell>
          <cell r="B2608" t="str">
            <v>Actual</v>
          </cell>
          <cell r="C2608" t="str">
            <v>Mar</v>
          </cell>
          <cell r="D2608" t="str">
            <v>Tables</v>
          </cell>
          <cell r="E2608">
            <v>188624.86300000001</v>
          </cell>
          <cell r="F2608">
            <v>3</v>
          </cell>
        </row>
        <row r="2609">
          <cell r="A2609">
            <v>2019</v>
          </cell>
          <cell r="B2609" t="str">
            <v>Budget</v>
          </cell>
          <cell r="C2609" t="str">
            <v>Mar</v>
          </cell>
          <cell r="D2609" t="str">
            <v>Kitchen</v>
          </cell>
          <cell r="E2609">
            <v>48110.131999999991</v>
          </cell>
          <cell r="F2609">
            <v>3</v>
          </cell>
        </row>
        <row r="2610">
          <cell r="A2610">
            <v>2019</v>
          </cell>
          <cell r="B2610" t="str">
            <v>Actual</v>
          </cell>
          <cell r="C2610" t="str">
            <v>Mar</v>
          </cell>
          <cell r="D2610" t="str">
            <v>Accessories</v>
          </cell>
          <cell r="E2610">
            <v>733590.99099999992</v>
          </cell>
          <cell r="F2610">
            <v>3</v>
          </cell>
        </row>
        <row r="2611">
          <cell r="A2611">
            <v>2019</v>
          </cell>
          <cell r="B2611" t="str">
            <v>Budget</v>
          </cell>
          <cell r="C2611" t="str">
            <v>Mar</v>
          </cell>
          <cell r="D2611" t="str">
            <v>Chairs</v>
          </cell>
          <cell r="E2611">
            <v>82741.974000000002</v>
          </cell>
          <cell r="F2611">
            <v>3</v>
          </cell>
        </row>
        <row r="2612">
          <cell r="A2612">
            <v>2019</v>
          </cell>
          <cell r="B2612" t="str">
            <v>Actual</v>
          </cell>
          <cell r="C2612" t="str">
            <v>Mar</v>
          </cell>
          <cell r="D2612" t="str">
            <v>Tables</v>
          </cell>
          <cell r="E2612">
            <v>110124.48299999999</v>
          </cell>
          <cell r="F2612">
            <v>3</v>
          </cell>
        </row>
        <row r="2613">
          <cell r="A2613">
            <v>2019</v>
          </cell>
          <cell r="B2613" t="str">
            <v>Budget</v>
          </cell>
          <cell r="C2613" t="str">
            <v>Mar</v>
          </cell>
          <cell r="D2613" t="str">
            <v>Kitchen</v>
          </cell>
          <cell r="E2613">
            <v>75754.825999999986</v>
          </cell>
          <cell r="F2613">
            <v>3</v>
          </cell>
        </row>
        <row r="2614">
          <cell r="A2614">
            <v>2018</v>
          </cell>
          <cell r="B2614" t="str">
            <v>Actual</v>
          </cell>
          <cell r="C2614" t="str">
            <v>Mar</v>
          </cell>
          <cell r="D2614" t="str">
            <v>Accessories</v>
          </cell>
          <cell r="E2614">
            <v>1975716.9180000001</v>
          </cell>
          <cell r="F2614">
            <v>3</v>
          </cell>
        </row>
        <row r="2615">
          <cell r="A2615">
            <v>2018</v>
          </cell>
          <cell r="B2615" t="str">
            <v>Budget</v>
          </cell>
          <cell r="C2615" t="str">
            <v>Mar</v>
          </cell>
          <cell r="D2615" t="str">
            <v>Chairs</v>
          </cell>
          <cell r="E2615">
            <v>176409.63199999998</v>
          </cell>
          <cell r="F2615">
            <v>3</v>
          </cell>
        </row>
        <row r="2616">
          <cell r="A2616">
            <v>2019</v>
          </cell>
          <cell r="B2616" t="str">
            <v>Actual</v>
          </cell>
          <cell r="C2616" t="str">
            <v>Mar</v>
          </cell>
          <cell r="D2616" t="str">
            <v>Tables</v>
          </cell>
          <cell r="E2616">
            <v>447422.48599999998</v>
          </cell>
          <cell r="F2616">
            <v>3</v>
          </cell>
        </row>
        <row r="2617">
          <cell r="A2617">
            <v>2018</v>
          </cell>
          <cell r="B2617" t="str">
            <v>Budget</v>
          </cell>
          <cell r="C2617" t="str">
            <v>Mar</v>
          </cell>
          <cell r="D2617" t="str">
            <v>Kitchen</v>
          </cell>
          <cell r="E2617">
            <v>1031861.1659999999</v>
          </cell>
          <cell r="F2617">
            <v>3</v>
          </cell>
        </row>
        <row r="2618">
          <cell r="A2618">
            <v>2018</v>
          </cell>
          <cell r="B2618" t="str">
            <v>Actual</v>
          </cell>
          <cell r="C2618" t="str">
            <v>Mar</v>
          </cell>
          <cell r="D2618" t="str">
            <v>Accessories</v>
          </cell>
          <cell r="E2618">
            <v>1460794.3489999999</v>
          </cell>
          <cell r="F2618">
            <v>3</v>
          </cell>
        </row>
        <row r="2619">
          <cell r="A2619">
            <v>2018</v>
          </cell>
          <cell r="B2619" t="str">
            <v>Budget</v>
          </cell>
          <cell r="C2619" t="str">
            <v>Mar</v>
          </cell>
          <cell r="D2619" t="str">
            <v>Chairs</v>
          </cell>
          <cell r="E2619">
            <v>2086232.0569999998</v>
          </cell>
          <cell r="F2619">
            <v>3</v>
          </cell>
        </row>
        <row r="2620">
          <cell r="A2620">
            <v>2018</v>
          </cell>
          <cell r="B2620" t="str">
            <v>Actual</v>
          </cell>
          <cell r="C2620" t="str">
            <v>Mar</v>
          </cell>
          <cell r="D2620" t="str">
            <v>Tables</v>
          </cell>
          <cell r="E2620">
            <v>-19444.564999999999</v>
          </cell>
          <cell r="F2620">
            <v>3</v>
          </cell>
        </row>
        <row r="2621">
          <cell r="A2621">
            <v>2018</v>
          </cell>
          <cell r="B2621" t="str">
            <v>Budget</v>
          </cell>
          <cell r="C2621" t="str">
            <v>Mar</v>
          </cell>
          <cell r="D2621" t="str">
            <v>Kitchen</v>
          </cell>
          <cell r="E2621">
            <v>3090300.8009999995</v>
          </cell>
          <cell r="F2621">
            <v>3</v>
          </cell>
        </row>
        <row r="2622">
          <cell r="A2622">
            <v>2018</v>
          </cell>
          <cell r="B2622" t="str">
            <v>Actual</v>
          </cell>
          <cell r="C2622" t="str">
            <v>Mar</v>
          </cell>
          <cell r="D2622" t="str">
            <v>Accessories</v>
          </cell>
          <cell r="E2622">
            <v>333952.64000000001</v>
          </cell>
          <cell r="F2622">
            <v>3</v>
          </cell>
        </row>
        <row r="2623">
          <cell r="A2623">
            <v>2018</v>
          </cell>
          <cell r="B2623" t="str">
            <v>Budget</v>
          </cell>
          <cell r="C2623" t="str">
            <v>Mar</v>
          </cell>
          <cell r="D2623" t="str">
            <v>Chairs</v>
          </cell>
          <cell r="E2623">
            <v>1979822.1869999999</v>
          </cell>
          <cell r="F2623">
            <v>3</v>
          </cell>
        </row>
        <row r="2624">
          <cell r="A2624">
            <v>2019</v>
          </cell>
          <cell r="B2624" t="str">
            <v>Actual</v>
          </cell>
          <cell r="C2624" t="str">
            <v>Mar</v>
          </cell>
          <cell r="D2624" t="str">
            <v>Chairs</v>
          </cell>
          <cell r="E2624">
            <v>1929.7389999999998</v>
          </cell>
          <cell r="F2624">
            <v>3</v>
          </cell>
        </row>
        <row r="2625">
          <cell r="A2625">
            <v>2018</v>
          </cell>
          <cell r="B2625" t="str">
            <v>Budget</v>
          </cell>
          <cell r="C2625" t="str">
            <v>Mar</v>
          </cell>
          <cell r="D2625" t="str">
            <v>Tables</v>
          </cell>
          <cell r="E2625">
            <v>24127.242999999999</v>
          </cell>
          <cell r="F2625">
            <v>3</v>
          </cell>
        </row>
        <row r="2626">
          <cell r="A2626">
            <v>2018</v>
          </cell>
          <cell r="B2626" t="str">
            <v>Actual</v>
          </cell>
          <cell r="C2626" t="str">
            <v>Mar</v>
          </cell>
          <cell r="D2626" t="str">
            <v>Kitchen</v>
          </cell>
          <cell r="E2626">
            <v>15078.097999999998</v>
          </cell>
          <cell r="F2626">
            <v>3</v>
          </cell>
        </row>
        <row r="2627">
          <cell r="A2627">
            <v>2018</v>
          </cell>
          <cell r="B2627" t="str">
            <v>Budget</v>
          </cell>
          <cell r="C2627" t="str">
            <v>Mar</v>
          </cell>
          <cell r="D2627" t="str">
            <v>Chairs</v>
          </cell>
          <cell r="E2627">
            <v>35731.527999999998</v>
          </cell>
          <cell r="F2627">
            <v>3</v>
          </cell>
        </row>
        <row r="2628">
          <cell r="A2628">
            <v>2018</v>
          </cell>
          <cell r="B2628" t="str">
            <v>Actual</v>
          </cell>
          <cell r="C2628" t="str">
            <v>Mar</v>
          </cell>
          <cell r="D2628" t="str">
            <v>Tables</v>
          </cell>
          <cell r="E2628">
            <v>781395.61499999987</v>
          </cell>
          <cell r="F2628">
            <v>3</v>
          </cell>
        </row>
        <row r="2629">
          <cell r="A2629">
            <v>2019</v>
          </cell>
          <cell r="B2629" t="str">
            <v>Budget</v>
          </cell>
          <cell r="C2629" t="str">
            <v>Mar</v>
          </cell>
          <cell r="D2629" t="str">
            <v>Kitchen</v>
          </cell>
          <cell r="E2629">
            <v>18561.234999999997</v>
          </cell>
          <cell r="F2629">
            <v>3</v>
          </cell>
        </row>
        <row r="2630">
          <cell r="A2630">
            <v>2018</v>
          </cell>
          <cell r="B2630" t="str">
            <v>Actual</v>
          </cell>
          <cell r="C2630" t="str">
            <v>Mar</v>
          </cell>
          <cell r="D2630" t="str">
            <v>Chairs</v>
          </cell>
          <cell r="E2630">
            <v>5384.54</v>
          </cell>
          <cell r="F2630">
            <v>3</v>
          </cell>
        </row>
        <row r="2631">
          <cell r="A2631">
            <v>2019</v>
          </cell>
          <cell r="B2631" t="str">
            <v>Budget</v>
          </cell>
          <cell r="C2631" t="str">
            <v>Mar</v>
          </cell>
          <cell r="D2631" t="str">
            <v>Tables</v>
          </cell>
          <cell r="E2631">
            <v>164029.22199999998</v>
          </cell>
          <cell r="F2631">
            <v>3</v>
          </cell>
        </row>
        <row r="2632">
          <cell r="A2632">
            <v>2018</v>
          </cell>
          <cell r="B2632" t="str">
            <v>Actual</v>
          </cell>
          <cell r="C2632" t="str">
            <v>Mar</v>
          </cell>
          <cell r="D2632" t="str">
            <v>Kitchen</v>
          </cell>
          <cell r="E2632">
            <v>114067.632</v>
          </cell>
          <cell r="F2632">
            <v>3</v>
          </cell>
        </row>
        <row r="2633">
          <cell r="A2633">
            <v>2019</v>
          </cell>
          <cell r="B2633" t="str">
            <v>Budget</v>
          </cell>
          <cell r="C2633" t="str">
            <v>Mar</v>
          </cell>
          <cell r="D2633" t="str">
            <v>Chairs</v>
          </cell>
          <cell r="E2633">
            <v>35010.240999999995</v>
          </cell>
          <cell r="F2633">
            <v>3</v>
          </cell>
        </row>
        <row r="2634">
          <cell r="A2634">
            <v>2018</v>
          </cell>
          <cell r="B2634" t="str">
            <v>Actual</v>
          </cell>
          <cell r="C2634" t="str">
            <v>Mar</v>
          </cell>
          <cell r="D2634" t="str">
            <v>Chairs</v>
          </cell>
          <cell r="E2634">
            <v>117516.287</v>
          </cell>
          <cell r="F2634">
            <v>3</v>
          </cell>
        </row>
        <row r="2635">
          <cell r="A2635">
            <v>2019</v>
          </cell>
          <cell r="B2635" t="str">
            <v>Budget</v>
          </cell>
          <cell r="C2635" t="str">
            <v>Mar</v>
          </cell>
          <cell r="D2635" t="str">
            <v>Chairs</v>
          </cell>
          <cell r="E2635">
            <v>142278.88499999998</v>
          </cell>
          <cell r="F2635">
            <v>3</v>
          </cell>
        </row>
        <row r="2636">
          <cell r="A2636">
            <v>2019</v>
          </cell>
          <cell r="B2636" t="str">
            <v>Actual</v>
          </cell>
          <cell r="C2636" t="str">
            <v>Mar</v>
          </cell>
          <cell r="D2636" t="str">
            <v>Chairs</v>
          </cell>
          <cell r="E2636">
            <v>58608.997999999992</v>
          </cell>
          <cell r="F2636">
            <v>3</v>
          </cell>
        </row>
        <row r="2637">
          <cell r="A2637">
            <v>2019</v>
          </cell>
          <cell r="B2637" t="str">
            <v>Budget</v>
          </cell>
          <cell r="C2637" t="str">
            <v>Mar</v>
          </cell>
          <cell r="D2637" t="str">
            <v>Chairs</v>
          </cell>
          <cell r="E2637">
            <v>78215.045999999988</v>
          </cell>
          <cell r="F2637">
            <v>3</v>
          </cell>
        </row>
        <row r="2638">
          <cell r="A2638">
            <v>2018</v>
          </cell>
          <cell r="B2638" t="str">
            <v>Actual</v>
          </cell>
          <cell r="C2638" t="str">
            <v>Mar</v>
          </cell>
          <cell r="D2638" t="str">
            <v>Chairs</v>
          </cell>
          <cell r="E2638">
            <v>65320.464999999997</v>
          </cell>
          <cell r="F2638">
            <v>3</v>
          </cell>
        </row>
        <row r="2639">
          <cell r="A2639">
            <v>2019</v>
          </cell>
          <cell r="B2639" t="str">
            <v>Budget</v>
          </cell>
          <cell r="C2639" t="str">
            <v>Mar</v>
          </cell>
          <cell r="D2639" t="str">
            <v>Chairs</v>
          </cell>
          <cell r="E2639">
            <v>202747.07599999997</v>
          </cell>
          <cell r="F2639">
            <v>3</v>
          </cell>
        </row>
        <row r="2640">
          <cell r="A2640">
            <v>2019</v>
          </cell>
          <cell r="B2640" t="str">
            <v>Actual</v>
          </cell>
          <cell r="C2640" t="str">
            <v>Mar</v>
          </cell>
          <cell r="D2640" t="str">
            <v>Chairs</v>
          </cell>
          <cell r="E2640">
            <v>402892.79800000001</v>
          </cell>
          <cell r="F2640">
            <v>3</v>
          </cell>
        </row>
        <row r="2641">
          <cell r="A2641">
            <v>2019</v>
          </cell>
          <cell r="B2641" t="str">
            <v>Budget</v>
          </cell>
          <cell r="C2641" t="str">
            <v>Mar</v>
          </cell>
          <cell r="D2641" t="str">
            <v>Chairs</v>
          </cell>
          <cell r="E2641">
            <v>194314.58199999999</v>
          </cell>
          <cell r="F2641">
            <v>3</v>
          </cell>
        </row>
        <row r="2642">
          <cell r="A2642">
            <v>2019</v>
          </cell>
          <cell r="B2642" t="str">
            <v>Actual</v>
          </cell>
          <cell r="C2642" t="str">
            <v>Mar</v>
          </cell>
          <cell r="D2642" t="str">
            <v>Chairs</v>
          </cell>
          <cell r="E2642">
            <v>595538.83199999994</v>
          </cell>
          <cell r="F2642">
            <v>3</v>
          </cell>
        </row>
        <row r="2643">
          <cell r="A2643">
            <v>2018</v>
          </cell>
          <cell r="B2643" t="str">
            <v>Budget</v>
          </cell>
          <cell r="C2643" t="str">
            <v>Mar</v>
          </cell>
          <cell r="D2643" t="str">
            <v>Chairs</v>
          </cell>
          <cell r="E2643">
            <v>45456.025999999998</v>
          </cell>
          <cell r="F2643">
            <v>3</v>
          </cell>
        </row>
        <row r="2644">
          <cell r="A2644">
            <v>2019</v>
          </cell>
          <cell r="B2644" t="str">
            <v>Actual</v>
          </cell>
          <cell r="C2644" t="str">
            <v>Mar</v>
          </cell>
          <cell r="D2644" t="str">
            <v>Chairs</v>
          </cell>
          <cell r="E2644">
            <v>42652.911</v>
          </cell>
          <cell r="F2644">
            <v>3</v>
          </cell>
        </row>
        <row r="2645">
          <cell r="A2645">
            <v>2018</v>
          </cell>
          <cell r="B2645" t="str">
            <v>Budget</v>
          </cell>
          <cell r="C2645" t="str">
            <v>Mar</v>
          </cell>
          <cell r="D2645" t="str">
            <v>Chairs</v>
          </cell>
          <cell r="E2645">
            <v>681582.27199999988</v>
          </cell>
          <cell r="F2645">
            <v>3</v>
          </cell>
        </row>
        <row r="2646">
          <cell r="A2646">
            <v>2018</v>
          </cell>
          <cell r="B2646" t="str">
            <v>Actual</v>
          </cell>
          <cell r="C2646" t="str">
            <v>Mar</v>
          </cell>
          <cell r="D2646" t="str">
            <v>Chairs</v>
          </cell>
          <cell r="E2646">
            <v>103063.863</v>
          </cell>
          <cell r="F2646">
            <v>3</v>
          </cell>
        </row>
        <row r="2647">
          <cell r="A2647">
            <v>2019</v>
          </cell>
          <cell r="B2647" t="str">
            <v>Budget</v>
          </cell>
          <cell r="C2647" t="str">
            <v>Mar</v>
          </cell>
          <cell r="D2647" t="str">
            <v>Chairs</v>
          </cell>
          <cell r="E2647">
            <v>231714.75599999999</v>
          </cell>
          <cell r="F2647">
            <v>3</v>
          </cell>
        </row>
        <row r="2648">
          <cell r="A2648">
            <v>2019</v>
          </cell>
          <cell r="B2648" t="str">
            <v>Actual</v>
          </cell>
          <cell r="C2648" t="str">
            <v>Mar</v>
          </cell>
          <cell r="D2648" t="str">
            <v>Chairs</v>
          </cell>
          <cell r="E2648">
            <v>234672.99799999999</v>
          </cell>
          <cell r="F2648">
            <v>3</v>
          </cell>
        </row>
        <row r="2649">
          <cell r="A2649">
            <v>2019</v>
          </cell>
          <cell r="B2649" t="str">
            <v>Budget</v>
          </cell>
          <cell r="C2649" t="str">
            <v>Mar</v>
          </cell>
          <cell r="D2649" t="str">
            <v>Chairs</v>
          </cell>
          <cell r="E2649">
            <v>57058.049999999996</v>
          </cell>
          <cell r="F2649">
            <v>3</v>
          </cell>
        </row>
        <row r="2650">
          <cell r="A2650">
            <v>2019</v>
          </cell>
          <cell r="B2650" t="str">
            <v>Actual</v>
          </cell>
          <cell r="C2650" t="str">
            <v>Mar</v>
          </cell>
          <cell r="D2650" t="str">
            <v>Chairs</v>
          </cell>
          <cell r="E2650">
            <v>1018900.5469999999</v>
          </cell>
          <cell r="F2650">
            <v>3</v>
          </cell>
        </row>
        <row r="2651">
          <cell r="A2651">
            <v>2018</v>
          </cell>
          <cell r="B2651" t="str">
            <v>Budget</v>
          </cell>
          <cell r="C2651" t="str">
            <v>Mar</v>
          </cell>
          <cell r="D2651" t="str">
            <v>Chairs</v>
          </cell>
          <cell r="E2651">
            <v>721458.38799999992</v>
          </cell>
          <cell r="F2651">
            <v>3</v>
          </cell>
        </row>
        <row r="2652">
          <cell r="A2652">
            <v>2018</v>
          </cell>
          <cell r="B2652" t="str">
            <v>Actual</v>
          </cell>
          <cell r="C2652" t="str">
            <v>Mar</v>
          </cell>
          <cell r="D2652" t="str">
            <v>Chairs</v>
          </cell>
          <cell r="E2652">
            <v>85256.744999999995</v>
          </cell>
          <cell r="F2652">
            <v>3</v>
          </cell>
        </row>
        <row r="2653">
          <cell r="A2653">
            <v>2019</v>
          </cell>
          <cell r="B2653" t="str">
            <v>Budget</v>
          </cell>
          <cell r="C2653" t="str">
            <v>Mar</v>
          </cell>
          <cell r="D2653" t="str">
            <v>Chairs</v>
          </cell>
          <cell r="E2653">
            <v>136969.427</v>
          </cell>
          <cell r="F2653">
            <v>3</v>
          </cell>
        </row>
        <row r="2654">
          <cell r="A2654">
            <v>2019</v>
          </cell>
          <cell r="B2654" t="str">
            <v>Actual</v>
          </cell>
          <cell r="C2654" t="str">
            <v>Mar</v>
          </cell>
          <cell r="D2654" t="str">
            <v>Chairs</v>
          </cell>
          <cell r="E2654">
            <v>199891.65</v>
          </cell>
          <cell r="F2654">
            <v>3</v>
          </cell>
        </row>
        <row r="2655">
          <cell r="A2655">
            <v>2019</v>
          </cell>
          <cell r="B2655" t="str">
            <v>Budget</v>
          </cell>
          <cell r="C2655" t="str">
            <v>Mar</v>
          </cell>
          <cell r="D2655" t="str">
            <v>Chairs</v>
          </cell>
          <cell r="E2655">
            <v>20247.213</v>
          </cell>
          <cell r="F2655">
            <v>3</v>
          </cell>
        </row>
        <row r="2656">
          <cell r="A2656">
            <v>2018</v>
          </cell>
          <cell r="B2656" t="str">
            <v>Actual</v>
          </cell>
          <cell r="C2656" t="str">
            <v>Mar</v>
          </cell>
          <cell r="D2656" t="str">
            <v>Chairs</v>
          </cell>
          <cell r="E2656">
            <v>23383.71</v>
          </cell>
          <cell r="F2656">
            <v>3</v>
          </cell>
        </row>
        <row r="2657">
          <cell r="A2657">
            <v>2019</v>
          </cell>
          <cell r="B2657" t="str">
            <v>Budget</v>
          </cell>
          <cell r="C2657" t="str">
            <v>Mar</v>
          </cell>
          <cell r="D2657" t="str">
            <v>Chairs</v>
          </cell>
          <cell r="E2657">
            <v>85740.27</v>
          </cell>
          <cell r="F2657">
            <v>3</v>
          </cell>
        </row>
        <row r="2658">
          <cell r="A2658">
            <v>2018</v>
          </cell>
          <cell r="B2658" t="str">
            <v>Actual</v>
          </cell>
          <cell r="C2658" t="str">
            <v>Mar</v>
          </cell>
          <cell r="D2658" t="str">
            <v>Chairs</v>
          </cell>
          <cell r="E2658">
            <v>42979389.683999993</v>
          </cell>
          <cell r="F2658">
            <v>3</v>
          </cell>
        </row>
        <row r="2659">
          <cell r="A2659">
            <v>2019</v>
          </cell>
          <cell r="B2659" t="str">
            <v>Budget</v>
          </cell>
          <cell r="C2659" t="str">
            <v>Mar</v>
          </cell>
          <cell r="D2659" t="str">
            <v>Tables</v>
          </cell>
          <cell r="E2659">
            <v>44375.184000000001</v>
          </cell>
          <cell r="F2659">
            <v>3</v>
          </cell>
        </row>
        <row r="2660">
          <cell r="A2660">
            <v>2019</v>
          </cell>
          <cell r="B2660" t="str">
            <v>Actual</v>
          </cell>
          <cell r="C2660" t="str">
            <v>Mar</v>
          </cell>
          <cell r="D2660" t="str">
            <v>Kitchen</v>
          </cell>
          <cell r="E2660">
            <v>142620.24</v>
          </cell>
          <cell r="F2660">
            <v>3</v>
          </cell>
        </row>
        <row r="2661">
          <cell r="A2661">
            <v>2018</v>
          </cell>
          <cell r="B2661" t="str">
            <v>Budget</v>
          </cell>
          <cell r="C2661" t="str">
            <v>Mar</v>
          </cell>
          <cell r="D2661" t="str">
            <v>Chairs</v>
          </cell>
          <cell r="E2661">
            <v>165280.073</v>
          </cell>
          <cell r="F2661">
            <v>3</v>
          </cell>
        </row>
        <row r="2662">
          <cell r="A2662">
            <v>2019</v>
          </cell>
          <cell r="B2662" t="str">
            <v>Actual</v>
          </cell>
          <cell r="C2662" t="str">
            <v>Mar</v>
          </cell>
          <cell r="D2662" t="str">
            <v>Chairs</v>
          </cell>
          <cell r="E2662">
            <v>77710.5</v>
          </cell>
          <cell r="F2662">
            <v>3</v>
          </cell>
        </row>
        <row r="2663">
          <cell r="A2663">
            <v>2018</v>
          </cell>
          <cell r="B2663" t="str">
            <v>Budget</v>
          </cell>
          <cell r="C2663" t="str">
            <v>Mar</v>
          </cell>
          <cell r="D2663" t="str">
            <v>Chairs</v>
          </cell>
          <cell r="E2663">
            <v>61733.224000000002</v>
          </cell>
          <cell r="F2663">
            <v>3</v>
          </cell>
        </row>
        <row r="2664">
          <cell r="A2664">
            <v>2018</v>
          </cell>
          <cell r="B2664" t="str">
            <v>Actual</v>
          </cell>
          <cell r="C2664" t="str">
            <v>Mar</v>
          </cell>
          <cell r="D2664" t="str">
            <v>Chairs</v>
          </cell>
          <cell r="E2664">
            <v>41264.453999999998</v>
          </cell>
          <cell r="F2664">
            <v>3</v>
          </cell>
        </row>
        <row r="2665">
          <cell r="A2665">
            <v>2019</v>
          </cell>
          <cell r="B2665" t="str">
            <v>Budget</v>
          </cell>
          <cell r="C2665" t="str">
            <v>Mar</v>
          </cell>
          <cell r="D2665" t="str">
            <v>Chairs</v>
          </cell>
          <cell r="E2665">
            <v>10110.989</v>
          </cell>
          <cell r="F2665">
            <v>3</v>
          </cell>
        </row>
        <row r="2666">
          <cell r="A2666">
            <v>2018</v>
          </cell>
          <cell r="B2666" t="str">
            <v>Actual</v>
          </cell>
          <cell r="C2666" t="str">
            <v>Mar</v>
          </cell>
          <cell r="D2666" t="str">
            <v>Tables</v>
          </cell>
          <cell r="E2666">
            <v>17915.254000000001</v>
          </cell>
          <cell r="F2666">
            <v>3</v>
          </cell>
        </row>
        <row r="2667">
          <cell r="A2667">
            <v>2019</v>
          </cell>
          <cell r="B2667" t="str">
            <v>Budget</v>
          </cell>
          <cell r="C2667" t="str">
            <v>Mar</v>
          </cell>
          <cell r="D2667" t="str">
            <v>Kitchen</v>
          </cell>
          <cell r="E2667">
            <v>42603.812999999995</v>
          </cell>
          <cell r="F2667">
            <v>3</v>
          </cell>
        </row>
        <row r="2668">
          <cell r="A2668">
            <v>2018</v>
          </cell>
          <cell r="B2668" t="str">
            <v>Actual</v>
          </cell>
          <cell r="C2668" t="str">
            <v>Mar</v>
          </cell>
          <cell r="D2668" t="str">
            <v>Chairs</v>
          </cell>
          <cell r="E2668">
            <v>19178.172999999999</v>
          </cell>
          <cell r="F2668">
            <v>3</v>
          </cell>
        </row>
        <row r="2669">
          <cell r="A2669">
            <v>2018</v>
          </cell>
          <cell r="B2669" t="str">
            <v>Budget</v>
          </cell>
          <cell r="C2669" t="str">
            <v>Mar</v>
          </cell>
          <cell r="D2669" t="str">
            <v>Chairs</v>
          </cell>
          <cell r="E2669">
            <v>2191.14</v>
          </cell>
          <cell r="F2669">
            <v>3</v>
          </cell>
        </row>
        <row r="2670">
          <cell r="A2670">
            <v>2019</v>
          </cell>
          <cell r="B2670" t="str">
            <v>Actual</v>
          </cell>
          <cell r="C2670" t="str">
            <v>Mar</v>
          </cell>
          <cell r="D2670" t="str">
            <v>Chairs</v>
          </cell>
          <cell r="E2670">
            <v>870861.34799999988</v>
          </cell>
          <cell r="F2670">
            <v>3</v>
          </cell>
        </row>
        <row r="2671">
          <cell r="A2671">
            <v>2019</v>
          </cell>
          <cell r="B2671" t="str">
            <v>Budget</v>
          </cell>
          <cell r="C2671" t="str">
            <v>Mar</v>
          </cell>
          <cell r="D2671" t="str">
            <v>Tables</v>
          </cell>
          <cell r="E2671">
            <v>202134.05099999998</v>
          </cell>
          <cell r="F2671">
            <v>3</v>
          </cell>
        </row>
        <row r="2672">
          <cell r="A2672">
            <v>2019</v>
          </cell>
          <cell r="B2672" t="str">
            <v>Actual</v>
          </cell>
          <cell r="C2672" t="str">
            <v>Mar</v>
          </cell>
          <cell r="D2672" t="str">
            <v>Kitchen</v>
          </cell>
          <cell r="E2672">
            <v>12724.775</v>
          </cell>
          <cell r="F2672">
            <v>3</v>
          </cell>
        </row>
        <row r="2673">
          <cell r="A2673">
            <v>2019</v>
          </cell>
          <cell r="B2673" t="str">
            <v>Budget</v>
          </cell>
          <cell r="C2673" t="str">
            <v>Mar</v>
          </cell>
          <cell r="D2673" t="str">
            <v>Chairs</v>
          </cell>
          <cell r="E2673">
            <v>45672.703999999998</v>
          </cell>
          <cell r="F2673">
            <v>3</v>
          </cell>
        </row>
        <row r="2674">
          <cell r="A2674">
            <v>2019</v>
          </cell>
          <cell r="B2674" t="str">
            <v>Actual</v>
          </cell>
          <cell r="C2674" t="str">
            <v>Mar</v>
          </cell>
          <cell r="D2674" t="str">
            <v>Chairs</v>
          </cell>
          <cell r="E2674">
            <v>33125733.507999998</v>
          </cell>
          <cell r="F2674">
            <v>3</v>
          </cell>
        </row>
        <row r="2675">
          <cell r="A2675">
            <v>2019</v>
          </cell>
          <cell r="B2675" t="str">
            <v>Budget</v>
          </cell>
          <cell r="C2675" t="str">
            <v>Mar</v>
          </cell>
          <cell r="D2675" t="str">
            <v>Tables</v>
          </cell>
          <cell r="E2675">
            <v>5921058.2970000003</v>
          </cell>
          <cell r="F2675">
            <v>3</v>
          </cell>
        </row>
        <row r="2676">
          <cell r="A2676">
            <v>2019</v>
          </cell>
          <cell r="B2676" t="str">
            <v>Actual</v>
          </cell>
          <cell r="C2676" t="str">
            <v>Mar</v>
          </cell>
          <cell r="D2676" t="str">
            <v>Kitchen</v>
          </cell>
          <cell r="E2676">
            <v>66425.267999999996</v>
          </cell>
          <cell r="F2676">
            <v>3</v>
          </cell>
        </row>
        <row r="2677">
          <cell r="A2677">
            <v>2019</v>
          </cell>
          <cell r="B2677" t="str">
            <v>Budget</v>
          </cell>
          <cell r="C2677" t="str">
            <v>Mar</v>
          </cell>
          <cell r="D2677" t="str">
            <v>Chairs</v>
          </cell>
          <cell r="E2677">
            <v>5379.8359999999993</v>
          </cell>
          <cell r="F2677">
            <v>3</v>
          </cell>
        </row>
        <row r="2678">
          <cell r="A2678">
            <v>2018</v>
          </cell>
          <cell r="B2678" t="str">
            <v>Actual</v>
          </cell>
          <cell r="C2678" t="str">
            <v>Mar</v>
          </cell>
          <cell r="D2678" t="str">
            <v>Chairs</v>
          </cell>
          <cell r="E2678">
            <v>78062.305999999997</v>
          </cell>
          <cell r="F2678">
            <v>3</v>
          </cell>
        </row>
        <row r="2679">
          <cell r="A2679">
            <v>2019</v>
          </cell>
          <cell r="B2679" t="str">
            <v>Budget</v>
          </cell>
          <cell r="C2679" t="str">
            <v>Mar</v>
          </cell>
          <cell r="D2679" t="str">
            <v>Chairs</v>
          </cell>
          <cell r="E2679">
            <v>30547.278999999999</v>
          </cell>
          <cell r="F2679">
            <v>3</v>
          </cell>
        </row>
        <row r="2680">
          <cell r="A2680">
            <v>2018</v>
          </cell>
          <cell r="B2680" t="str">
            <v>Actual</v>
          </cell>
          <cell r="C2680" t="str">
            <v>Mar</v>
          </cell>
          <cell r="D2680" t="str">
            <v>Tables</v>
          </cell>
          <cell r="E2680">
            <v>-28810.795999999998</v>
          </cell>
          <cell r="F2680">
            <v>3</v>
          </cell>
        </row>
        <row r="2681">
          <cell r="A2681">
            <v>2018</v>
          </cell>
          <cell r="B2681" t="str">
            <v>Budget</v>
          </cell>
          <cell r="C2681" t="str">
            <v>Mar</v>
          </cell>
          <cell r="D2681" t="str">
            <v>Kitchen</v>
          </cell>
          <cell r="E2681">
            <v>1582337.953</v>
          </cell>
          <cell r="F2681">
            <v>3</v>
          </cell>
        </row>
        <row r="2682">
          <cell r="A2682">
            <v>2018</v>
          </cell>
          <cell r="B2682" t="str">
            <v>Actual</v>
          </cell>
          <cell r="C2682" t="str">
            <v>Mar</v>
          </cell>
          <cell r="D2682" t="str">
            <v>Accessories</v>
          </cell>
          <cell r="E2682">
            <v>36523.934999999998</v>
          </cell>
          <cell r="F2682">
            <v>3</v>
          </cell>
        </row>
        <row r="2683">
          <cell r="A2683">
            <v>2018</v>
          </cell>
          <cell r="B2683" t="str">
            <v>Budget</v>
          </cell>
          <cell r="C2683" t="str">
            <v>Mar</v>
          </cell>
          <cell r="D2683" t="str">
            <v>Chairs</v>
          </cell>
          <cell r="E2683">
            <v>47045.053999999996</v>
          </cell>
          <cell r="F2683">
            <v>3</v>
          </cell>
        </row>
        <row r="2684">
          <cell r="A2684">
            <v>2018</v>
          </cell>
          <cell r="B2684" t="str">
            <v>Actual</v>
          </cell>
          <cell r="C2684" t="str">
            <v>Mar</v>
          </cell>
          <cell r="D2684" t="str">
            <v>Tables</v>
          </cell>
          <cell r="E2684">
            <v>46443.487999999998</v>
          </cell>
          <cell r="F2684">
            <v>3</v>
          </cell>
        </row>
        <row r="2685">
          <cell r="A2685">
            <v>2018</v>
          </cell>
          <cell r="B2685" t="str">
            <v>Budget</v>
          </cell>
          <cell r="C2685" t="str">
            <v>Mar</v>
          </cell>
          <cell r="D2685" t="str">
            <v>Kitchen</v>
          </cell>
          <cell r="E2685">
            <v>9864.4210000000003</v>
          </cell>
          <cell r="F2685">
            <v>3</v>
          </cell>
        </row>
        <row r="2686">
          <cell r="A2686">
            <v>2019</v>
          </cell>
          <cell r="B2686" t="str">
            <v>Actual</v>
          </cell>
          <cell r="C2686" t="str">
            <v>Mar</v>
          </cell>
          <cell r="D2686" t="str">
            <v>Accessories</v>
          </cell>
          <cell r="E2686">
            <v>21978.347999999998</v>
          </cell>
          <cell r="F2686">
            <v>3</v>
          </cell>
        </row>
        <row r="2687">
          <cell r="A2687">
            <v>2019</v>
          </cell>
          <cell r="B2687" t="str">
            <v>Budget</v>
          </cell>
          <cell r="C2687" t="str">
            <v>Mar</v>
          </cell>
          <cell r="D2687" t="str">
            <v>Chairs</v>
          </cell>
          <cell r="E2687">
            <v>5324.3469999999998</v>
          </cell>
          <cell r="F2687">
            <v>3</v>
          </cell>
        </row>
        <row r="2688">
          <cell r="A2688">
            <v>2019</v>
          </cell>
          <cell r="B2688" t="str">
            <v>Actual</v>
          </cell>
          <cell r="C2688" t="str">
            <v>Mar</v>
          </cell>
          <cell r="D2688" t="str">
            <v>Tables</v>
          </cell>
          <cell r="E2688">
            <v>55059.437999999995</v>
          </cell>
          <cell r="F2688">
            <v>3</v>
          </cell>
        </row>
        <row r="2689">
          <cell r="A2689">
            <v>2018</v>
          </cell>
          <cell r="B2689" t="str">
            <v>Budget</v>
          </cell>
          <cell r="C2689" t="str">
            <v>Mar</v>
          </cell>
          <cell r="D2689" t="str">
            <v>Kitchen</v>
          </cell>
          <cell r="E2689">
            <v>6338.6890000000003</v>
          </cell>
          <cell r="F2689">
            <v>3</v>
          </cell>
        </row>
        <row r="2690">
          <cell r="A2690">
            <v>2018</v>
          </cell>
          <cell r="B2690" t="str">
            <v>Actual</v>
          </cell>
          <cell r="C2690" t="str">
            <v>Mar</v>
          </cell>
          <cell r="D2690" t="str">
            <v>Accessories</v>
          </cell>
          <cell r="E2690">
            <v>87921.112999999998</v>
          </cell>
          <cell r="F2690">
            <v>3</v>
          </cell>
        </row>
        <row r="2691">
          <cell r="A2691">
            <v>2019</v>
          </cell>
          <cell r="B2691" t="str">
            <v>Budget</v>
          </cell>
          <cell r="C2691" t="str">
            <v>Mar</v>
          </cell>
          <cell r="D2691" t="str">
            <v>Chairs</v>
          </cell>
          <cell r="E2691">
            <v>6310.485999999999</v>
          </cell>
          <cell r="F2691">
            <v>3</v>
          </cell>
        </row>
        <row r="2692">
          <cell r="A2692">
            <v>2019</v>
          </cell>
          <cell r="B2692" t="str">
            <v>Actual</v>
          </cell>
          <cell r="C2692" t="str">
            <v>Mar</v>
          </cell>
          <cell r="D2692" t="str">
            <v>Tables</v>
          </cell>
          <cell r="E2692">
            <v>9116.1909999999989</v>
          </cell>
          <cell r="F2692">
            <v>3</v>
          </cell>
        </row>
        <row r="2693">
          <cell r="A2693">
            <v>2019</v>
          </cell>
          <cell r="B2693" t="str">
            <v>Budget</v>
          </cell>
          <cell r="C2693" t="str">
            <v>Mar</v>
          </cell>
          <cell r="D2693" t="str">
            <v>Kitchen</v>
          </cell>
          <cell r="E2693">
            <v>-1027.8449999999998</v>
          </cell>
          <cell r="F2693">
            <v>3</v>
          </cell>
        </row>
        <row r="2694">
          <cell r="A2694">
            <v>2018</v>
          </cell>
          <cell r="B2694" t="str">
            <v>Actual</v>
          </cell>
          <cell r="C2694" t="str">
            <v>Mar</v>
          </cell>
          <cell r="D2694" t="str">
            <v>Accessories</v>
          </cell>
          <cell r="E2694">
            <v>47712.433999999994</v>
          </cell>
          <cell r="F2694">
            <v>3</v>
          </cell>
        </row>
        <row r="2695">
          <cell r="A2695">
            <v>2018</v>
          </cell>
          <cell r="B2695" t="str">
            <v>Budget</v>
          </cell>
          <cell r="C2695" t="str">
            <v>Mar</v>
          </cell>
          <cell r="D2695" t="str">
            <v>Chairs</v>
          </cell>
          <cell r="E2695">
            <v>45316.067999999999</v>
          </cell>
          <cell r="F2695">
            <v>3</v>
          </cell>
        </row>
        <row r="2696">
          <cell r="A2696">
            <v>2018</v>
          </cell>
          <cell r="B2696" t="str">
            <v>Actual</v>
          </cell>
          <cell r="C2696" t="str">
            <v>Mar</v>
          </cell>
          <cell r="D2696" t="str">
            <v>Chairs</v>
          </cell>
          <cell r="E2696">
            <v>50563.953999999998</v>
          </cell>
          <cell r="F2696">
            <v>3</v>
          </cell>
        </row>
        <row r="2697">
          <cell r="A2697">
            <v>2019</v>
          </cell>
          <cell r="B2697" t="str">
            <v>Budget</v>
          </cell>
          <cell r="C2697" t="str">
            <v>Mar</v>
          </cell>
          <cell r="D2697" t="str">
            <v>Tables</v>
          </cell>
          <cell r="E2697">
            <v>34634.705000000002</v>
          </cell>
          <cell r="F2697">
            <v>3</v>
          </cell>
        </row>
        <row r="2698">
          <cell r="A2698">
            <v>2019</v>
          </cell>
          <cell r="B2698" t="str">
            <v>Actual</v>
          </cell>
          <cell r="C2698" t="str">
            <v>Mar</v>
          </cell>
          <cell r="D2698" t="str">
            <v>Kitchen</v>
          </cell>
          <cell r="E2698">
            <v>16847.025999999998</v>
          </cell>
          <cell r="F2698">
            <v>3</v>
          </cell>
        </row>
        <row r="2699">
          <cell r="A2699">
            <v>2018</v>
          </cell>
          <cell r="B2699" t="str">
            <v>Budget</v>
          </cell>
          <cell r="C2699" t="str">
            <v>Mar</v>
          </cell>
          <cell r="D2699" t="str">
            <v>Chairs</v>
          </cell>
          <cell r="E2699">
            <v>12863.381999999998</v>
          </cell>
          <cell r="F2699">
            <v>3</v>
          </cell>
        </row>
        <row r="2700">
          <cell r="A2700">
            <v>2019</v>
          </cell>
          <cell r="B2700" t="str">
            <v>Actual</v>
          </cell>
          <cell r="C2700" t="str">
            <v>Mar</v>
          </cell>
          <cell r="D2700" t="str">
            <v>Tables</v>
          </cell>
          <cell r="E2700">
            <v>21064.043000000001</v>
          </cell>
          <cell r="F2700">
            <v>3</v>
          </cell>
        </row>
        <row r="2701">
          <cell r="A2701">
            <v>2019</v>
          </cell>
          <cell r="B2701" t="str">
            <v>Budget</v>
          </cell>
          <cell r="C2701" t="str">
            <v>Mar</v>
          </cell>
          <cell r="D2701" t="str">
            <v>Kitchen</v>
          </cell>
          <cell r="E2701">
            <v>8133.5729999999994</v>
          </cell>
          <cell r="F2701">
            <v>3</v>
          </cell>
        </row>
        <row r="2702">
          <cell r="A2702">
            <v>2018</v>
          </cell>
          <cell r="B2702" t="str">
            <v>Actual</v>
          </cell>
          <cell r="C2702" t="str">
            <v>Mar</v>
          </cell>
          <cell r="D2702" t="str">
            <v>Chairs</v>
          </cell>
          <cell r="E2702">
            <v>124084.22599999998</v>
          </cell>
          <cell r="F2702">
            <v>3</v>
          </cell>
        </row>
        <row r="2703">
          <cell r="A2703">
            <v>2018</v>
          </cell>
          <cell r="B2703" t="str">
            <v>Budget</v>
          </cell>
          <cell r="C2703" t="str">
            <v>Mar</v>
          </cell>
          <cell r="D2703" t="str">
            <v>Tables</v>
          </cell>
          <cell r="E2703">
            <v>306227.69799999997</v>
          </cell>
          <cell r="F2703">
            <v>3</v>
          </cell>
        </row>
        <row r="2704">
          <cell r="A2704">
            <v>2018</v>
          </cell>
          <cell r="B2704" t="str">
            <v>Actual</v>
          </cell>
          <cell r="C2704" t="str">
            <v>Mar</v>
          </cell>
          <cell r="D2704" t="str">
            <v>Kitchen</v>
          </cell>
          <cell r="E2704">
            <v>183658.79699999999</v>
          </cell>
          <cell r="F2704">
            <v>3</v>
          </cell>
        </row>
        <row r="2705">
          <cell r="A2705">
            <v>2018</v>
          </cell>
          <cell r="B2705" t="str">
            <v>Budget</v>
          </cell>
          <cell r="C2705" t="str">
            <v>Mar</v>
          </cell>
          <cell r="D2705" t="str">
            <v>Chairs</v>
          </cell>
          <cell r="E2705">
            <v>15540266.664999999</v>
          </cell>
          <cell r="F2705">
            <v>3</v>
          </cell>
        </row>
        <row r="2706">
          <cell r="A2706">
            <v>2019</v>
          </cell>
          <cell r="B2706" t="str">
            <v>Actual</v>
          </cell>
          <cell r="C2706" t="str">
            <v>Mar</v>
          </cell>
          <cell r="D2706" t="str">
            <v>Chairs</v>
          </cell>
          <cell r="E2706">
            <v>20560.210999999999</v>
          </cell>
          <cell r="F2706">
            <v>3</v>
          </cell>
        </row>
        <row r="2707">
          <cell r="A2707">
            <v>2019</v>
          </cell>
          <cell r="B2707" t="str">
            <v>Budget</v>
          </cell>
          <cell r="C2707" t="str">
            <v>Mar</v>
          </cell>
          <cell r="D2707" t="str">
            <v>Chairs</v>
          </cell>
          <cell r="E2707">
            <v>135181.06699999998</v>
          </cell>
          <cell r="F2707">
            <v>3</v>
          </cell>
        </row>
        <row r="2708">
          <cell r="A2708">
            <v>2018</v>
          </cell>
          <cell r="B2708" t="str">
            <v>Actual</v>
          </cell>
          <cell r="C2708" t="str">
            <v>Mar</v>
          </cell>
          <cell r="D2708" t="str">
            <v>Chairs</v>
          </cell>
          <cell r="E2708">
            <v>181659.65999999997</v>
          </cell>
          <cell r="F2708">
            <v>3</v>
          </cell>
        </row>
        <row r="2709">
          <cell r="A2709">
            <v>2019</v>
          </cell>
          <cell r="B2709" t="str">
            <v>Budget</v>
          </cell>
          <cell r="C2709" t="str">
            <v>Mar</v>
          </cell>
          <cell r="D2709" t="str">
            <v>Chairs</v>
          </cell>
          <cell r="E2709">
            <v>31140.472999999998</v>
          </cell>
          <cell r="F2709">
            <v>3</v>
          </cell>
        </row>
        <row r="2710">
          <cell r="A2710">
            <v>2019</v>
          </cell>
          <cell r="B2710" t="str">
            <v>Actual</v>
          </cell>
          <cell r="C2710" t="str">
            <v>Mar</v>
          </cell>
          <cell r="D2710" t="str">
            <v>Chairs</v>
          </cell>
          <cell r="E2710">
            <v>40967.415999999997</v>
          </cell>
          <cell r="F2710">
            <v>3</v>
          </cell>
        </row>
        <row r="2711">
          <cell r="A2711">
            <v>2018</v>
          </cell>
          <cell r="B2711" t="str">
            <v>Budget</v>
          </cell>
          <cell r="C2711" t="str">
            <v>Mar</v>
          </cell>
          <cell r="D2711" t="str">
            <v>Chairs</v>
          </cell>
          <cell r="E2711">
            <v>33887.279999999999</v>
          </cell>
          <cell r="F2711">
            <v>3</v>
          </cell>
        </row>
        <row r="2712">
          <cell r="A2712">
            <v>2018</v>
          </cell>
          <cell r="B2712" t="str">
            <v>Actual</v>
          </cell>
          <cell r="C2712" t="str">
            <v>Mar</v>
          </cell>
          <cell r="D2712" t="str">
            <v>Chairs</v>
          </cell>
          <cell r="E2712">
            <v>211283.91899999997</v>
          </cell>
          <cell r="F2712">
            <v>3</v>
          </cell>
        </row>
        <row r="2713">
          <cell r="A2713">
            <v>2018</v>
          </cell>
          <cell r="B2713" t="str">
            <v>Budget</v>
          </cell>
          <cell r="C2713" t="str">
            <v>Mar</v>
          </cell>
          <cell r="D2713" t="str">
            <v>Chairs</v>
          </cell>
          <cell r="E2713">
            <v>83069.7</v>
          </cell>
          <cell r="F2713">
            <v>3</v>
          </cell>
        </row>
        <row r="2714">
          <cell r="A2714">
            <v>2019</v>
          </cell>
          <cell r="B2714" t="str">
            <v>Actual</v>
          </cell>
          <cell r="C2714" t="str">
            <v>Mar</v>
          </cell>
          <cell r="D2714" t="str">
            <v>Chairs</v>
          </cell>
          <cell r="E2714">
            <v>791794.68900000001</v>
          </cell>
          <cell r="F2714">
            <v>3</v>
          </cell>
        </row>
        <row r="2715">
          <cell r="A2715">
            <v>2018</v>
          </cell>
          <cell r="B2715" t="str">
            <v>Budget</v>
          </cell>
          <cell r="C2715" t="str">
            <v>Mar</v>
          </cell>
          <cell r="D2715" t="str">
            <v>Chairs</v>
          </cell>
          <cell r="E2715">
            <v>3444.4829999999997</v>
          </cell>
          <cell r="F2715">
            <v>3</v>
          </cell>
        </row>
        <row r="2716">
          <cell r="A2716">
            <v>2018</v>
          </cell>
          <cell r="B2716" t="str">
            <v>Actual</v>
          </cell>
          <cell r="C2716" t="str">
            <v>Mar</v>
          </cell>
          <cell r="D2716" t="str">
            <v>Chairs</v>
          </cell>
          <cell r="E2716">
            <v>1179404.5549999999</v>
          </cell>
          <cell r="F2716">
            <v>3</v>
          </cell>
        </row>
        <row r="2717">
          <cell r="A2717">
            <v>2019</v>
          </cell>
          <cell r="B2717" t="str">
            <v>Budget</v>
          </cell>
          <cell r="C2717" t="str">
            <v>Mar</v>
          </cell>
          <cell r="D2717" t="str">
            <v>Chairs</v>
          </cell>
          <cell r="E2717">
            <v>162291.52799999999</v>
          </cell>
          <cell r="F2717">
            <v>3</v>
          </cell>
        </row>
        <row r="2718">
          <cell r="A2718">
            <v>2018</v>
          </cell>
          <cell r="B2718" t="str">
            <v>Actual</v>
          </cell>
          <cell r="C2718" t="str">
            <v>Mar</v>
          </cell>
          <cell r="D2718" t="str">
            <v>Chairs</v>
          </cell>
          <cell r="E2718">
            <v>633547.60699999996</v>
          </cell>
          <cell r="F2718">
            <v>3</v>
          </cell>
        </row>
        <row r="2719">
          <cell r="A2719">
            <v>2018</v>
          </cell>
          <cell r="B2719" t="str">
            <v>Budget</v>
          </cell>
          <cell r="C2719" t="str">
            <v>Mar</v>
          </cell>
          <cell r="D2719" t="str">
            <v>Chairs</v>
          </cell>
          <cell r="E2719">
            <v>226576.24499999997</v>
          </cell>
          <cell r="F2719">
            <v>3</v>
          </cell>
        </row>
        <row r="2720">
          <cell r="A2720">
            <v>2018</v>
          </cell>
          <cell r="B2720" t="str">
            <v>Actual</v>
          </cell>
          <cell r="C2720" t="str">
            <v>Mar</v>
          </cell>
          <cell r="D2720" t="str">
            <v>Chairs</v>
          </cell>
          <cell r="E2720">
            <v>545812.58199999994</v>
          </cell>
          <cell r="F2720">
            <v>3</v>
          </cell>
        </row>
        <row r="2721">
          <cell r="A2721">
            <v>2018</v>
          </cell>
          <cell r="B2721" t="str">
            <v>Budget</v>
          </cell>
          <cell r="C2721" t="str">
            <v>Mar</v>
          </cell>
          <cell r="D2721" t="str">
            <v>Chairs</v>
          </cell>
          <cell r="E2721">
            <v>62673.813999999998</v>
          </cell>
          <cell r="F2721">
            <v>3</v>
          </cell>
        </row>
        <row r="2722">
          <cell r="A2722">
            <v>2019</v>
          </cell>
          <cell r="B2722" t="str">
            <v>Actual</v>
          </cell>
          <cell r="C2722" t="str">
            <v>Mar</v>
          </cell>
          <cell r="D2722" t="str">
            <v>Chairs</v>
          </cell>
          <cell r="E2722">
            <v>47822.760999999991</v>
          </cell>
          <cell r="F2722">
            <v>3</v>
          </cell>
        </row>
        <row r="2723">
          <cell r="A2723">
            <v>2018</v>
          </cell>
          <cell r="B2723" t="str">
            <v>Budget</v>
          </cell>
          <cell r="C2723" t="str">
            <v>Mar</v>
          </cell>
          <cell r="D2723" t="str">
            <v>Chairs</v>
          </cell>
          <cell r="E2723">
            <v>43801.135000000002</v>
          </cell>
          <cell r="F2723">
            <v>3</v>
          </cell>
        </row>
        <row r="2724">
          <cell r="A2724">
            <v>2018</v>
          </cell>
          <cell r="B2724" t="str">
            <v>Actual</v>
          </cell>
          <cell r="C2724" t="str">
            <v>Mar</v>
          </cell>
          <cell r="D2724" t="str">
            <v>Chairs</v>
          </cell>
          <cell r="E2724">
            <v>40686.344999999994</v>
          </cell>
          <cell r="F2724">
            <v>3</v>
          </cell>
        </row>
        <row r="2725">
          <cell r="A2725">
            <v>2019</v>
          </cell>
          <cell r="B2725" t="str">
            <v>Budget</v>
          </cell>
          <cell r="C2725" t="str">
            <v>Mar</v>
          </cell>
          <cell r="D2725" t="str">
            <v>Chairs</v>
          </cell>
          <cell r="E2725">
            <v>61623.624999999993</v>
          </cell>
          <cell r="F2725">
            <v>3</v>
          </cell>
        </row>
        <row r="2726">
          <cell r="A2726">
            <v>2019</v>
          </cell>
          <cell r="B2726" t="str">
            <v>Actual</v>
          </cell>
          <cell r="C2726" t="str">
            <v>Mar</v>
          </cell>
          <cell r="D2726" t="str">
            <v>Chairs</v>
          </cell>
          <cell r="E2726">
            <v>441735.04899999994</v>
          </cell>
          <cell r="F2726">
            <v>3</v>
          </cell>
        </row>
        <row r="2727">
          <cell r="A2727">
            <v>2018</v>
          </cell>
          <cell r="B2727" t="str">
            <v>Budget</v>
          </cell>
          <cell r="C2727" t="str">
            <v>Mar</v>
          </cell>
          <cell r="D2727" t="str">
            <v>Chairs</v>
          </cell>
          <cell r="E2727">
            <v>463128.09899999993</v>
          </cell>
          <cell r="F2727">
            <v>3</v>
          </cell>
        </row>
        <row r="2728">
          <cell r="A2728">
            <v>2018</v>
          </cell>
          <cell r="B2728" t="str">
            <v>Actual</v>
          </cell>
          <cell r="C2728" t="str">
            <v>Mar</v>
          </cell>
          <cell r="D2728" t="str">
            <v>Chairs</v>
          </cell>
          <cell r="E2728">
            <v>37182.159</v>
          </cell>
          <cell r="F2728">
            <v>3</v>
          </cell>
        </row>
        <row r="2729">
          <cell r="A2729">
            <v>2019</v>
          </cell>
          <cell r="B2729" t="str">
            <v>Budget</v>
          </cell>
          <cell r="C2729" t="str">
            <v>Mar</v>
          </cell>
          <cell r="D2729" t="str">
            <v>Chairs</v>
          </cell>
          <cell r="E2729">
            <v>26179.782999999999</v>
          </cell>
          <cell r="F2729">
            <v>3</v>
          </cell>
        </row>
        <row r="2730">
          <cell r="A2730">
            <v>2019</v>
          </cell>
          <cell r="B2730" t="str">
            <v>Actual</v>
          </cell>
          <cell r="C2730" t="str">
            <v>Mar</v>
          </cell>
          <cell r="D2730" t="str">
            <v>Chairs</v>
          </cell>
          <cell r="E2730">
            <v>64142.868999999992</v>
          </cell>
          <cell r="F2730">
            <v>3</v>
          </cell>
        </row>
        <row r="2731">
          <cell r="A2731">
            <v>2018</v>
          </cell>
          <cell r="B2731" t="str">
            <v>Budget</v>
          </cell>
          <cell r="C2731" t="str">
            <v>Mar</v>
          </cell>
          <cell r="D2731" t="str">
            <v>Tables</v>
          </cell>
          <cell r="E2731">
            <v>6519.0789999999988</v>
          </cell>
          <cell r="F2731">
            <v>3</v>
          </cell>
        </row>
        <row r="2732">
          <cell r="A2732">
            <v>2019</v>
          </cell>
          <cell r="B2732" t="str">
            <v>Actual</v>
          </cell>
          <cell r="C2732" t="str">
            <v>Mar</v>
          </cell>
          <cell r="D2732" t="str">
            <v>Kitchen</v>
          </cell>
          <cell r="E2732">
            <v>92561.279999999984</v>
          </cell>
          <cell r="F2732">
            <v>3</v>
          </cell>
        </row>
        <row r="2733">
          <cell r="A2733">
            <v>2018</v>
          </cell>
          <cell r="B2733" t="str">
            <v>Budget</v>
          </cell>
          <cell r="C2733" t="str">
            <v>Mar</v>
          </cell>
          <cell r="D2733" t="str">
            <v>Chairs</v>
          </cell>
          <cell r="E2733">
            <v>1193.7169999999999</v>
          </cell>
          <cell r="F2733">
            <v>3</v>
          </cell>
        </row>
        <row r="2734">
          <cell r="A2734">
            <v>2018</v>
          </cell>
          <cell r="B2734" t="str">
            <v>Actual</v>
          </cell>
          <cell r="C2734" t="str">
            <v>Mar</v>
          </cell>
          <cell r="D2734" t="str">
            <v>Chairs</v>
          </cell>
          <cell r="E2734">
            <v>310504.27100000001</v>
          </cell>
          <cell r="F2734">
            <v>3</v>
          </cell>
        </row>
        <row r="2735">
          <cell r="A2735">
            <v>2018</v>
          </cell>
          <cell r="B2735" t="str">
            <v>Budget</v>
          </cell>
          <cell r="C2735" t="str">
            <v>Mar</v>
          </cell>
          <cell r="D2735" t="str">
            <v>Chairs</v>
          </cell>
          <cell r="E2735">
            <v>1459889.69</v>
          </cell>
          <cell r="F2735">
            <v>3</v>
          </cell>
        </row>
        <row r="2736">
          <cell r="A2736">
            <v>2019</v>
          </cell>
          <cell r="B2736" t="str">
            <v>Actual</v>
          </cell>
          <cell r="C2736" t="str">
            <v>Mar</v>
          </cell>
          <cell r="D2736" t="str">
            <v>Chairs</v>
          </cell>
          <cell r="E2736">
            <v>1106013.909</v>
          </cell>
          <cell r="F2736">
            <v>3</v>
          </cell>
        </row>
        <row r="2737">
          <cell r="A2737">
            <v>2018</v>
          </cell>
          <cell r="B2737" t="str">
            <v>Budget</v>
          </cell>
          <cell r="C2737" t="str">
            <v>Mar</v>
          </cell>
          <cell r="D2737" t="str">
            <v>Chairs</v>
          </cell>
          <cell r="E2737">
            <v>212379.55899999998</v>
          </cell>
          <cell r="F2737">
            <v>3</v>
          </cell>
        </row>
        <row r="2738">
          <cell r="A2738">
            <v>2019</v>
          </cell>
          <cell r="B2738" t="str">
            <v>Actual</v>
          </cell>
          <cell r="C2738" t="str">
            <v>Mar</v>
          </cell>
          <cell r="D2738" t="str">
            <v>Tables</v>
          </cell>
          <cell r="E2738">
            <v>79548.797999999995</v>
          </cell>
          <cell r="F2738">
            <v>3</v>
          </cell>
        </row>
        <row r="2739">
          <cell r="A2739">
            <v>2018</v>
          </cell>
          <cell r="B2739" t="str">
            <v>Budget</v>
          </cell>
          <cell r="C2739" t="str">
            <v>Mar</v>
          </cell>
          <cell r="D2739" t="str">
            <v>Kitchen</v>
          </cell>
          <cell r="E2739">
            <v>17432.421999999999</v>
          </cell>
          <cell r="F2739">
            <v>3</v>
          </cell>
        </row>
        <row r="2740">
          <cell r="A2740">
            <v>2019</v>
          </cell>
          <cell r="B2740" t="str">
            <v>Actual</v>
          </cell>
          <cell r="C2740" t="str">
            <v>Mar</v>
          </cell>
          <cell r="D2740" t="str">
            <v>Chairs</v>
          </cell>
          <cell r="E2740">
            <v>18628.350999999999</v>
          </cell>
          <cell r="F2740">
            <v>3</v>
          </cell>
        </row>
        <row r="2741">
          <cell r="A2741">
            <v>2019</v>
          </cell>
          <cell r="B2741" t="str">
            <v>Budget</v>
          </cell>
          <cell r="C2741" t="str">
            <v>Mar</v>
          </cell>
          <cell r="D2741" t="str">
            <v>Chairs</v>
          </cell>
          <cell r="E2741">
            <v>8966.7969999999987</v>
          </cell>
          <cell r="F2741">
            <v>3</v>
          </cell>
        </row>
        <row r="2742">
          <cell r="A2742">
            <v>2018</v>
          </cell>
          <cell r="B2742" t="str">
            <v>Actual</v>
          </cell>
          <cell r="C2742" t="str">
            <v>Mar</v>
          </cell>
          <cell r="D2742" t="str">
            <v>Chairs</v>
          </cell>
          <cell r="E2742">
            <v>1069544.196</v>
          </cell>
          <cell r="F2742">
            <v>3</v>
          </cell>
        </row>
        <row r="2743">
          <cell r="A2743">
            <v>2018</v>
          </cell>
          <cell r="B2743" t="str">
            <v>Budget</v>
          </cell>
          <cell r="C2743" t="str">
            <v>Mar</v>
          </cell>
          <cell r="D2743" t="str">
            <v>Tables</v>
          </cell>
          <cell r="E2743">
            <v>61088.243999999992</v>
          </cell>
          <cell r="F2743">
            <v>3</v>
          </cell>
        </row>
        <row r="2744">
          <cell r="A2744">
            <v>2019</v>
          </cell>
          <cell r="B2744" t="str">
            <v>Actual</v>
          </cell>
          <cell r="C2744" t="str">
            <v>Mar</v>
          </cell>
          <cell r="D2744" t="str">
            <v>Kitchen</v>
          </cell>
          <cell r="E2744">
            <v>167054.33499999999</v>
          </cell>
          <cell r="F2744">
            <v>3</v>
          </cell>
        </row>
        <row r="2745">
          <cell r="A2745">
            <v>2019</v>
          </cell>
          <cell r="B2745" t="str">
            <v>Budget</v>
          </cell>
          <cell r="C2745" t="str">
            <v>Mar</v>
          </cell>
          <cell r="D2745" t="str">
            <v>Chairs</v>
          </cell>
          <cell r="E2745">
            <v>1003998.7229999999</v>
          </cell>
          <cell r="F2745">
            <v>3</v>
          </cell>
        </row>
        <row r="2746">
          <cell r="A2746">
            <v>2018</v>
          </cell>
          <cell r="B2746" t="str">
            <v>Actual</v>
          </cell>
          <cell r="C2746" t="str">
            <v>Mar</v>
          </cell>
          <cell r="D2746" t="str">
            <v>Chairs</v>
          </cell>
          <cell r="E2746">
            <v>123325.72699999998</v>
          </cell>
          <cell r="F2746">
            <v>3</v>
          </cell>
        </row>
        <row r="2747">
          <cell r="A2747">
            <v>2019</v>
          </cell>
          <cell r="B2747" t="str">
            <v>Budget</v>
          </cell>
          <cell r="C2747" t="str">
            <v>Mar</v>
          </cell>
          <cell r="D2747" t="str">
            <v>Tables</v>
          </cell>
          <cell r="E2747">
            <v>237808.291</v>
          </cell>
          <cell r="F2747">
            <v>3</v>
          </cell>
        </row>
        <row r="2748">
          <cell r="A2748">
            <v>2019</v>
          </cell>
          <cell r="B2748" t="str">
            <v>Actual</v>
          </cell>
          <cell r="C2748" t="str">
            <v>Mar</v>
          </cell>
          <cell r="D2748" t="str">
            <v>Kitchen</v>
          </cell>
          <cell r="E2748">
            <v>44991.295999999995</v>
          </cell>
          <cell r="F2748">
            <v>3</v>
          </cell>
        </row>
        <row r="2749">
          <cell r="A2749">
            <v>2019</v>
          </cell>
          <cell r="B2749" t="str">
            <v>Budget</v>
          </cell>
          <cell r="C2749" t="str">
            <v>Mar</v>
          </cell>
          <cell r="D2749" t="str">
            <v>Chairs</v>
          </cell>
          <cell r="E2749">
            <v>39576.312999999995</v>
          </cell>
          <cell r="F2749">
            <v>3</v>
          </cell>
        </row>
        <row r="2750">
          <cell r="A2750">
            <v>2018</v>
          </cell>
          <cell r="B2750" t="str">
            <v>Actual</v>
          </cell>
          <cell r="C2750" t="str">
            <v>Mar</v>
          </cell>
          <cell r="D2750" t="str">
            <v>Chairs</v>
          </cell>
          <cell r="E2750">
            <v>424969.223</v>
          </cell>
          <cell r="F2750">
            <v>3</v>
          </cell>
        </row>
        <row r="2751">
          <cell r="A2751">
            <v>2018</v>
          </cell>
          <cell r="B2751" t="str">
            <v>Budget</v>
          </cell>
          <cell r="C2751" t="str">
            <v>Mar</v>
          </cell>
          <cell r="D2751" t="str">
            <v>Chairs</v>
          </cell>
          <cell r="E2751">
            <v>45465.496999999996</v>
          </cell>
          <cell r="F2751">
            <v>3</v>
          </cell>
        </row>
        <row r="2752">
          <cell r="A2752">
            <v>2018</v>
          </cell>
          <cell r="B2752" t="str">
            <v>Actual</v>
          </cell>
          <cell r="C2752" t="str">
            <v>Mar</v>
          </cell>
          <cell r="D2752" t="str">
            <v>Tables</v>
          </cell>
          <cell r="E2752">
            <v>96213.536999999997</v>
          </cell>
          <cell r="F2752">
            <v>3</v>
          </cell>
        </row>
        <row r="2753">
          <cell r="A2753">
            <v>2019</v>
          </cell>
          <cell r="B2753" t="str">
            <v>Budget</v>
          </cell>
          <cell r="C2753" t="str">
            <v>Mar</v>
          </cell>
          <cell r="D2753" t="str">
            <v>Kitchen</v>
          </cell>
          <cell r="E2753">
            <v>49296.947</v>
          </cell>
          <cell r="F2753">
            <v>3</v>
          </cell>
        </row>
        <row r="2754">
          <cell r="A2754">
            <v>2018</v>
          </cell>
          <cell r="B2754" t="str">
            <v>Actual</v>
          </cell>
          <cell r="C2754" t="str">
            <v>Mar</v>
          </cell>
          <cell r="D2754" t="str">
            <v>Accessories</v>
          </cell>
          <cell r="E2754">
            <v>2563550.0939999996</v>
          </cell>
          <cell r="F2754">
            <v>3</v>
          </cell>
        </row>
        <row r="2755">
          <cell r="A2755">
            <v>2019</v>
          </cell>
          <cell r="B2755" t="str">
            <v>Budget</v>
          </cell>
          <cell r="C2755" t="str">
            <v>Mar</v>
          </cell>
          <cell r="D2755" t="str">
            <v>Chairs</v>
          </cell>
          <cell r="E2755">
            <v>58528.644999999997</v>
          </cell>
          <cell r="F2755">
            <v>3</v>
          </cell>
        </row>
        <row r="2756">
          <cell r="A2756">
            <v>2019</v>
          </cell>
          <cell r="B2756" t="str">
            <v>Actual</v>
          </cell>
          <cell r="C2756" t="str">
            <v>Mar</v>
          </cell>
          <cell r="D2756" t="str">
            <v>Tables</v>
          </cell>
          <cell r="E2756">
            <v>646018.42899999989</v>
          </cell>
          <cell r="F2756">
            <v>3</v>
          </cell>
        </row>
        <row r="2757">
          <cell r="A2757">
            <v>2018</v>
          </cell>
          <cell r="B2757" t="str">
            <v>Budget</v>
          </cell>
          <cell r="C2757" t="str">
            <v>Mar</v>
          </cell>
          <cell r="D2757" t="str">
            <v>Kitchen</v>
          </cell>
          <cell r="E2757">
            <v>12502411.208000001</v>
          </cell>
          <cell r="F2757">
            <v>3</v>
          </cell>
        </row>
        <row r="2758">
          <cell r="A2758">
            <v>2019</v>
          </cell>
          <cell r="B2758" t="str">
            <v>Actual</v>
          </cell>
          <cell r="C2758" t="str">
            <v>Mar</v>
          </cell>
          <cell r="D2758" t="str">
            <v>Accessories</v>
          </cell>
          <cell r="E2758">
            <v>19154503.353999998</v>
          </cell>
          <cell r="F2758">
            <v>3</v>
          </cell>
        </row>
        <row r="2759">
          <cell r="A2759">
            <v>2019</v>
          </cell>
          <cell r="B2759" t="str">
            <v>Budget</v>
          </cell>
          <cell r="C2759" t="str">
            <v>Mar</v>
          </cell>
          <cell r="D2759" t="str">
            <v>Chairs</v>
          </cell>
          <cell r="E2759">
            <v>4805097.2479999997</v>
          </cell>
          <cell r="F2759">
            <v>3</v>
          </cell>
        </row>
        <row r="2760">
          <cell r="A2760">
            <v>2019</v>
          </cell>
          <cell r="B2760" t="str">
            <v>Actual</v>
          </cell>
          <cell r="C2760" t="str">
            <v>Mar</v>
          </cell>
          <cell r="D2760" t="str">
            <v>Tables</v>
          </cell>
          <cell r="E2760">
            <v>3352502.8319999995</v>
          </cell>
          <cell r="F2760">
            <v>3</v>
          </cell>
        </row>
        <row r="2761">
          <cell r="A2761">
            <v>2018</v>
          </cell>
          <cell r="B2761" t="str">
            <v>Budget</v>
          </cell>
          <cell r="C2761" t="str">
            <v>Mar</v>
          </cell>
          <cell r="D2761" t="str">
            <v>Kitchen</v>
          </cell>
          <cell r="E2761">
            <v>10387798.33</v>
          </cell>
          <cell r="F2761">
            <v>3</v>
          </cell>
        </row>
        <row r="2762">
          <cell r="A2762">
            <v>2018</v>
          </cell>
          <cell r="B2762" t="str">
            <v>Actual</v>
          </cell>
          <cell r="C2762" t="str">
            <v>Mar</v>
          </cell>
          <cell r="D2762" t="str">
            <v>Accessories</v>
          </cell>
          <cell r="E2762">
            <v>23333575.566</v>
          </cell>
          <cell r="F2762">
            <v>3</v>
          </cell>
        </row>
        <row r="2763">
          <cell r="A2763">
            <v>2018</v>
          </cell>
          <cell r="B2763" t="str">
            <v>Budget</v>
          </cell>
          <cell r="C2763" t="str">
            <v>Mar</v>
          </cell>
          <cell r="D2763" t="str">
            <v>Chairs</v>
          </cell>
          <cell r="E2763">
            <v>4734237.8020000001</v>
          </cell>
          <cell r="F2763">
            <v>3</v>
          </cell>
        </row>
        <row r="2764">
          <cell r="A2764">
            <v>2019</v>
          </cell>
          <cell r="B2764" t="str">
            <v>Actual</v>
          </cell>
          <cell r="C2764" t="str">
            <v>Mar</v>
          </cell>
          <cell r="D2764" t="str">
            <v>Tables</v>
          </cell>
          <cell r="E2764">
            <v>6283683.1119999997</v>
          </cell>
          <cell r="F2764">
            <v>3</v>
          </cell>
        </row>
        <row r="2765">
          <cell r="A2765">
            <v>2019</v>
          </cell>
          <cell r="B2765" t="str">
            <v>Budget</v>
          </cell>
          <cell r="C2765" t="str">
            <v>Mar</v>
          </cell>
          <cell r="D2765" t="str">
            <v>Kitchen</v>
          </cell>
          <cell r="E2765">
            <v>3089257.8219999997</v>
          </cell>
          <cell r="F2765">
            <v>3</v>
          </cell>
        </row>
        <row r="2766">
          <cell r="A2766">
            <v>2019</v>
          </cell>
          <cell r="B2766" t="str">
            <v>Actual</v>
          </cell>
          <cell r="C2766" t="str">
            <v>Mar</v>
          </cell>
          <cell r="D2766" t="str">
            <v>Accessories</v>
          </cell>
          <cell r="E2766">
            <v>2661308.2089999998</v>
          </cell>
          <cell r="F2766">
            <v>3</v>
          </cell>
        </row>
        <row r="2767">
          <cell r="A2767">
            <v>2019</v>
          </cell>
          <cell r="B2767" t="str">
            <v>Budget</v>
          </cell>
          <cell r="C2767" t="str">
            <v>Mar</v>
          </cell>
          <cell r="D2767" t="str">
            <v>Chairs</v>
          </cell>
          <cell r="E2767">
            <v>14038063.654999997</v>
          </cell>
          <cell r="F2767">
            <v>3</v>
          </cell>
        </row>
        <row r="2768">
          <cell r="A2768">
            <v>2018</v>
          </cell>
          <cell r="B2768" t="str">
            <v>Actual</v>
          </cell>
          <cell r="C2768" t="str">
            <v>Mar</v>
          </cell>
          <cell r="D2768" t="str">
            <v>Chairs</v>
          </cell>
          <cell r="E2768">
            <v>6583076.3949999996</v>
          </cell>
          <cell r="F2768">
            <v>3</v>
          </cell>
        </row>
        <row r="2769">
          <cell r="A2769">
            <v>2018</v>
          </cell>
          <cell r="B2769" t="str">
            <v>Budget</v>
          </cell>
          <cell r="C2769" t="str">
            <v>Mar</v>
          </cell>
          <cell r="D2769" t="str">
            <v>Tables</v>
          </cell>
          <cell r="E2769">
            <v>5752943.6579999998</v>
          </cell>
          <cell r="F2769">
            <v>3</v>
          </cell>
        </row>
        <row r="2770">
          <cell r="A2770">
            <v>2018</v>
          </cell>
          <cell r="B2770" t="str">
            <v>Actual</v>
          </cell>
          <cell r="C2770" t="str">
            <v>Mar</v>
          </cell>
          <cell r="D2770" t="str">
            <v>Kitchen</v>
          </cell>
          <cell r="E2770">
            <v>13050152.310999999</v>
          </cell>
          <cell r="F2770">
            <v>3</v>
          </cell>
        </row>
        <row r="2771">
          <cell r="A2771">
            <v>2019</v>
          </cell>
          <cell r="B2771" t="str">
            <v>Budget</v>
          </cell>
          <cell r="C2771" t="str">
            <v>Mar</v>
          </cell>
          <cell r="D2771" t="str">
            <v>Chairs</v>
          </cell>
          <cell r="E2771">
            <v>2683035.6069999998</v>
          </cell>
          <cell r="F2771">
            <v>3</v>
          </cell>
        </row>
        <row r="2772">
          <cell r="A2772">
            <v>2019</v>
          </cell>
          <cell r="B2772" t="str">
            <v>Actual</v>
          </cell>
          <cell r="C2772" t="str">
            <v>Mar</v>
          </cell>
          <cell r="D2772" t="str">
            <v>Tables</v>
          </cell>
          <cell r="E2772">
            <v>1547222.9079999998</v>
          </cell>
          <cell r="F2772">
            <v>3</v>
          </cell>
        </row>
        <row r="2773">
          <cell r="A2773">
            <v>2019</v>
          </cell>
          <cell r="B2773" t="str">
            <v>Budget</v>
          </cell>
          <cell r="C2773" t="str">
            <v>Mar</v>
          </cell>
          <cell r="D2773" t="str">
            <v>Kitchen</v>
          </cell>
          <cell r="E2773">
            <v>2628465.392</v>
          </cell>
          <cell r="F2773">
            <v>3</v>
          </cell>
        </row>
        <row r="2774">
          <cell r="A2774">
            <v>2019</v>
          </cell>
          <cell r="B2774" t="str">
            <v>Actual</v>
          </cell>
          <cell r="C2774" t="str">
            <v>Mar</v>
          </cell>
          <cell r="D2774" t="str">
            <v>Chairs</v>
          </cell>
          <cell r="E2774">
            <v>155426.117</v>
          </cell>
          <cell r="F2774">
            <v>3</v>
          </cell>
        </row>
        <row r="2775">
          <cell r="A2775">
            <v>2018</v>
          </cell>
          <cell r="B2775" t="str">
            <v>Budget</v>
          </cell>
          <cell r="C2775" t="str">
            <v>Mar</v>
          </cell>
          <cell r="D2775" t="str">
            <v>Tables</v>
          </cell>
          <cell r="E2775">
            <v>327028.34499999997</v>
          </cell>
          <cell r="F2775">
            <v>3</v>
          </cell>
        </row>
        <row r="2776">
          <cell r="A2776">
            <v>2018</v>
          </cell>
          <cell r="B2776" t="str">
            <v>Actual</v>
          </cell>
          <cell r="C2776" t="str">
            <v>Mar</v>
          </cell>
          <cell r="D2776" t="str">
            <v>Kitchen</v>
          </cell>
          <cell r="E2776">
            <v>274074.24800000002</v>
          </cell>
          <cell r="F2776">
            <v>3</v>
          </cell>
        </row>
        <row r="2777">
          <cell r="A2777">
            <v>2019</v>
          </cell>
          <cell r="B2777" t="str">
            <v>Budget</v>
          </cell>
          <cell r="C2777" t="str">
            <v>Mar</v>
          </cell>
          <cell r="D2777" t="str">
            <v>Chairs</v>
          </cell>
          <cell r="E2777">
            <v>561072.47</v>
          </cell>
          <cell r="F2777">
            <v>3</v>
          </cell>
        </row>
        <row r="2778">
          <cell r="A2778">
            <v>2019</v>
          </cell>
          <cell r="B2778" t="str">
            <v>Actual</v>
          </cell>
          <cell r="C2778" t="str">
            <v>Mar</v>
          </cell>
          <cell r="D2778" t="str">
            <v>Chairs</v>
          </cell>
          <cell r="E2778">
            <v>589727.97100000002</v>
          </cell>
          <cell r="F2778">
            <v>3</v>
          </cell>
        </row>
        <row r="2779">
          <cell r="A2779">
            <v>2019</v>
          </cell>
          <cell r="B2779" t="str">
            <v>Budget</v>
          </cell>
          <cell r="C2779" t="str">
            <v>Mar</v>
          </cell>
          <cell r="D2779" t="str">
            <v>Chairs</v>
          </cell>
          <cell r="E2779">
            <v>2216109.4899999998</v>
          </cell>
          <cell r="F2779">
            <v>3</v>
          </cell>
        </row>
        <row r="2780">
          <cell r="A2780">
            <v>2018</v>
          </cell>
          <cell r="B2780" t="str">
            <v>Actual</v>
          </cell>
          <cell r="C2780" t="str">
            <v>Mar</v>
          </cell>
          <cell r="D2780" t="str">
            <v>Chairs</v>
          </cell>
          <cell r="E2780">
            <v>257637.00199999998</v>
          </cell>
          <cell r="F2780">
            <v>3</v>
          </cell>
        </row>
        <row r="2781">
          <cell r="A2781">
            <v>2018</v>
          </cell>
          <cell r="B2781" t="str">
            <v>Budget</v>
          </cell>
          <cell r="C2781" t="str">
            <v>Mar</v>
          </cell>
          <cell r="D2781" t="str">
            <v>Chairs</v>
          </cell>
          <cell r="E2781">
            <v>2944.473</v>
          </cell>
          <cell r="F2781">
            <v>3</v>
          </cell>
        </row>
        <row r="2782">
          <cell r="A2782">
            <v>2019</v>
          </cell>
          <cell r="B2782" t="str">
            <v>Actual</v>
          </cell>
          <cell r="C2782" t="str">
            <v>Mar</v>
          </cell>
          <cell r="D2782" t="str">
            <v>Chairs</v>
          </cell>
          <cell r="E2782">
            <v>256.78099999999995</v>
          </cell>
          <cell r="F2782">
            <v>3</v>
          </cell>
        </row>
        <row r="2783">
          <cell r="A2783">
            <v>2019</v>
          </cell>
          <cell r="B2783" t="str">
            <v>Budget</v>
          </cell>
          <cell r="C2783" t="str">
            <v>Mar</v>
          </cell>
          <cell r="D2783" t="str">
            <v>Chairs</v>
          </cell>
          <cell r="E2783">
            <v>1609348.7829999998</v>
          </cell>
          <cell r="F2783">
            <v>3</v>
          </cell>
        </row>
        <row r="2784">
          <cell r="A2784">
            <v>2019</v>
          </cell>
          <cell r="B2784" t="str">
            <v>Actual</v>
          </cell>
          <cell r="C2784" t="str">
            <v>Mar</v>
          </cell>
          <cell r="D2784" t="str">
            <v>Chairs</v>
          </cell>
          <cell r="E2784">
            <v>1903087.284</v>
          </cell>
          <cell r="F2784">
            <v>3</v>
          </cell>
        </row>
        <row r="2785">
          <cell r="A2785">
            <v>2019</v>
          </cell>
          <cell r="B2785" t="str">
            <v>Budget</v>
          </cell>
          <cell r="C2785" t="str">
            <v>Mar</v>
          </cell>
          <cell r="D2785" t="str">
            <v>Chairs</v>
          </cell>
          <cell r="E2785">
            <v>1686475.0069999998</v>
          </cell>
          <cell r="F2785">
            <v>3</v>
          </cell>
        </row>
        <row r="2786">
          <cell r="A2786">
            <v>2019</v>
          </cell>
          <cell r="B2786" t="str">
            <v>Actual</v>
          </cell>
          <cell r="C2786" t="str">
            <v>Mar</v>
          </cell>
          <cell r="D2786" t="str">
            <v>Chairs</v>
          </cell>
          <cell r="E2786">
            <v>98159.873000000007</v>
          </cell>
          <cell r="F2786">
            <v>3</v>
          </cell>
        </row>
        <row r="2787">
          <cell r="A2787">
            <v>2019</v>
          </cell>
          <cell r="B2787" t="str">
            <v>Budget</v>
          </cell>
          <cell r="C2787" t="str">
            <v>Mar</v>
          </cell>
          <cell r="D2787" t="str">
            <v>Chairs</v>
          </cell>
          <cell r="E2787">
            <v>819723.674</v>
          </cell>
          <cell r="F2787">
            <v>3</v>
          </cell>
        </row>
        <row r="2788">
          <cell r="A2788">
            <v>2018</v>
          </cell>
          <cell r="B2788" t="str">
            <v>Actual</v>
          </cell>
          <cell r="C2788" t="str">
            <v>Mar</v>
          </cell>
          <cell r="D2788" t="str">
            <v>Chairs</v>
          </cell>
          <cell r="E2788">
            <v>1483340.1659999997</v>
          </cell>
          <cell r="F2788">
            <v>3</v>
          </cell>
        </row>
        <row r="2789">
          <cell r="A2789">
            <v>2018</v>
          </cell>
          <cell r="B2789" t="str">
            <v>Budget</v>
          </cell>
          <cell r="C2789" t="str">
            <v>Mar</v>
          </cell>
          <cell r="D2789" t="str">
            <v>Chairs</v>
          </cell>
          <cell r="E2789">
            <v>3886279.0819999995</v>
          </cell>
          <cell r="F2789">
            <v>3</v>
          </cell>
        </row>
        <row r="2790">
          <cell r="A2790">
            <v>2018</v>
          </cell>
          <cell r="B2790" t="str">
            <v>Actual</v>
          </cell>
          <cell r="C2790" t="str">
            <v>Mar</v>
          </cell>
          <cell r="D2790" t="str">
            <v>Chairs</v>
          </cell>
          <cell r="E2790">
            <v>2564181.102</v>
          </cell>
          <cell r="F2790">
            <v>3</v>
          </cell>
        </row>
        <row r="2791">
          <cell r="A2791">
            <v>2019</v>
          </cell>
          <cell r="B2791" t="str">
            <v>Budget</v>
          </cell>
          <cell r="C2791" t="str">
            <v>Mar</v>
          </cell>
          <cell r="D2791" t="str">
            <v>Chairs</v>
          </cell>
          <cell r="E2791">
            <v>196250.41799999998</v>
          </cell>
          <cell r="F2791">
            <v>3</v>
          </cell>
        </row>
        <row r="2792">
          <cell r="A2792">
            <v>2018</v>
          </cell>
          <cell r="B2792" t="str">
            <v>Actual</v>
          </cell>
          <cell r="C2792" t="str">
            <v>Mar</v>
          </cell>
          <cell r="D2792" t="str">
            <v>Chairs</v>
          </cell>
          <cell r="E2792">
            <v>574932.84100000001</v>
          </cell>
          <cell r="F2792">
            <v>3</v>
          </cell>
        </row>
        <row r="2793">
          <cell r="A2793">
            <v>2019</v>
          </cell>
          <cell r="B2793" t="str">
            <v>Budget</v>
          </cell>
          <cell r="C2793" t="str">
            <v>Mar</v>
          </cell>
          <cell r="D2793" t="str">
            <v>Chairs</v>
          </cell>
          <cell r="E2793">
            <v>6695805.4449999994</v>
          </cell>
          <cell r="F2793">
            <v>3</v>
          </cell>
        </row>
        <row r="2794">
          <cell r="A2794">
            <v>2018</v>
          </cell>
          <cell r="B2794" t="str">
            <v>Actual</v>
          </cell>
          <cell r="C2794" t="str">
            <v>Mar</v>
          </cell>
          <cell r="D2794" t="str">
            <v>Chairs</v>
          </cell>
          <cell r="E2794">
            <v>7971812.5479999995</v>
          </cell>
          <cell r="F2794">
            <v>3</v>
          </cell>
        </row>
        <row r="2795">
          <cell r="A2795">
            <v>2018</v>
          </cell>
          <cell r="B2795" t="str">
            <v>Budget</v>
          </cell>
          <cell r="C2795" t="str">
            <v>Mar</v>
          </cell>
          <cell r="D2795" t="str">
            <v>Chairs</v>
          </cell>
          <cell r="E2795">
            <v>2268403.8859999999</v>
          </cell>
          <cell r="F2795">
            <v>3</v>
          </cell>
        </row>
        <row r="2796">
          <cell r="A2796">
            <v>2019</v>
          </cell>
          <cell r="B2796" t="str">
            <v>Actual</v>
          </cell>
          <cell r="C2796" t="str">
            <v>Mar</v>
          </cell>
          <cell r="D2796" t="str">
            <v>Chairs</v>
          </cell>
          <cell r="E2796">
            <v>7056684.6910000006</v>
          </cell>
          <cell r="F2796">
            <v>3</v>
          </cell>
        </row>
        <row r="2797">
          <cell r="A2797">
            <v>2019</v>
          </cell>
          <cell r="B2797" t="str">
            <v>Budget</v>
          </cell>
          <cell r="C2797" t="str">
            <v>Mar</v>
          </cell>
          <cell r="D2797" t="str">
            <v>Chairs</v>
          </cell>
          <cell r="E2797">
            <v>10388201.277999999</v>
          </cell>
          <cell r="F2797">
            <v>3</v>
          </cell>
        </row>
        <row r="2798">
          <cell r="A2798">
            <v>2019</v>
          </cell>
          <cell r="B2798" t="str">
            <v>Actual</v>
          </cell>
          <cell r="C2798" t="str">
            <v>Mar</v>
          </cell>
          <cell r="D2798" t="str">
            <v>Chairs</v>
          </cell>
          <cell r="E2798">
            <v>18294879.75</v>
          </cell>
          <cell r="F2798">
            <v>3</v>
          </cell>
        </row>
        <row r="2799">
          <cell r="A2799">
            <v>2018</v>
          </cell>
          <cell r="B2799" t="str">
            <v>Budget</v>
          </cell>
          <cell r="C2799" t="str">
            <v>Mar</v>
          </cell>
          <cell r="D2799" t="str">
            <v>Chairs</v>
          </cell>
          <cell r="E2799">
            <v>62454367.324999996</v>
          </cell>
          <cell r="F2799">
            <v>3</v>
          </cell>
        </row>
        <row r="2800">
          <cell r="A2800">
            <v>2018</v>
          </cell>
          <cell r="B2800" t="str">
            <v>Actual</v>
          </cell>
          <cell r="C2800" t="str">
            <v>Mar</v>
          </cell>
          <cell r="D2800" t="str">
            <v>Chairs</v>
          </cell>
          <cell r="E2800">
            <v>2908648.3019999997</v>
          </cell>
          <cell r="F2800">
            <v>3</v>
          </cell>
        </row>
        <row r="2801">
          <cell r="A2801">
            <v>2019</v>
          </cell>
          <cell r="B2801" t="str">
            <v>Budget</v>
          </cell>
          <cell r="C2801" t="str">
            <v>Mar</v>
          </cell>
          <cell r="D2801" t="str">
            <v>Chairs</v>
          </cell>
          <cell r="E2801">
            <v>5115224.8139999993</v>
          </cell>
          <cell r="F2801">
            <v>3</v>
          </cell>
        </row>
        <row r="2802">
          <cell r="A2802">
            <v>2018</v>
          </cell>
          <cell r="B2802" t="str">
            <v>Actual</v>
          </cell>
          <cell r="C2802" t="str">
            <v>Apr</v>
          </cell>
          <cell r="D2802" t="str">
            <v>Chairs</v>
          </cell>
          <cell r="E2802">
            <v>266559.40500000003</v>
          </cell>
          <cell r="F2802">
            <v>4</v>
          </cell>
        </row>
        <row r="2803">
          <cell r="A2803">
            <v>2018</v>
          </cell>
          <cell r="B2803" t="str">
            <v>Budget</v>
          </cell>
          <cell r="C2803" t="str">
            <v>Apr</v>
          </cell>
          <cell r="D2803" t="str">
            <v>Tables</v>
          </cell>
          <cell r="E2803">
            <v>1293334.7349999999</v>
          </cell>
          <cell r="F2803">
            <v>4</v>
          </cell>
        </row>
        <row r="2804">
          <cell r="A2804">
            <v>2019</v>
          </cell>
          <cell r="B2804" t="str">
            <v>Actual</v>
          </cell>
          <cell r="C2804" t="str">
            <v>Apr</v>
          </cell>
          <cell r="D2804" t="str">
            <v>Kitchen</v>
          </cell>
          <cell r="E2804">
            <v>1014650.1189999998</v>
          </cell>
          <cell r="F2804">
            <v>4</v>
          </cell>
        </row>
        <row r="2805">
          <cell r="A2805">
            <v>2019</v>
          </cell>
          <cell r="B2805" t="str">
            <v>Budget</v>
          </cell>
          <cell r="C2805" t="str">
            <v>Apr</v>
          </cell>
          <cell r="D2805" t="str">
            <v>Chairs</v>
          </cell>
          <cell r="E2805">
            <v>1083804.449</v>
          </cell>
          <cell r="F2805">
            <v>4</v>
          </cell>
        </row>
        <row r="2806">
          <cell r="A2806">
            <v>2018</v>
          </cell>
          <cell r="B2806" t="str">
            <v>Actual</v>
          </cell>
          <cell r="C2806" t="str">
            <v>Apr</v>
          </cell>
          <cell r="D2806" t="str">
            <v>Chairs</v>
          </cell>
          <cell r="E2806">
            <v>152511.12099999998</v>
          </cell>
          <cell r="F2806">
            <v>4</v>
          </cell>
        </row>
        <row r="2807">
          <cell r="A2807">
            <v>2019</v>
          </cell>
          <cell r="B2807" t="str">
            <v>Budget</v>
          </cell>
          <cell r="C2807" t="str">
            <v>Apr</v>
          </cell>
          <cell r="D2807" t="str">
            <v>Chairs</v>
          </cell>
          <cell r="E2807">
            <v>36229.220999999998</v>
          </cell>
          <cell r="F2807">
            <v>4</v>
          </cell>
        </row>
        <row r="2808">
          <cell r="A2808">
            <v>2018</v>
          </cell>
          <cell r="B2808" t="str">
            <v>Actual</v>
          </cell>
          <cell r="C2808" t="str">
            <v>Apr</v>
          </cell>
          <cell r="D2808" t="str">
            <v>Chairs</v>
          </cell>
          <cell r="E2808">
            <v>4191.0749999999998</v>
          </cell>
          <cell r="F2808">
            <v>4</v>
          </cell>
        </row>
        <row r="2809">
          <cell r="A2809">
            <v>2019</v>
          </cell>
          <cell r="B2809" t="str">
            <v>Budget</v>
          </cell>
          <cell r="C2809" t="str">
            <v>Apr</v>
          </cell>
          <cell r="D2809" t="str">
            <v>Chairs</v>
          </cell>
          <cell r="E2809">
            <v>268057.88799999998</v>
          </cell>
          <cell r="F2809">
            <v>4</v>
          </cell>
        </row>
        <row r="2810">
          <cell r="A2810">
            <v>2018</v>
          </cell>
          <cell r="B2810" t="str">
            <v>Actual</v>
          </cell>
          <cell r="C2810" t="str">
            <v>Apr</v>
          </cell>
          <cell r="D2810" t="str">
            <v>Tables</v>
          </cell>
          <cell r="E2810">
            <v>431631.641</v>
          </cell>
          <cell r="F2810">
            <v>4</v>
          </cell>
        </row>
        <row r="2811">
          <cell r="A2811">
            <v>2018</v>
          </cell>
          <cell r="B2811" t="str">
            <v>Budget</v>
          </cell>
          <cell r="C2811" t="str">
            <v>Apr</v>
          </cell>
          <cell r="D2811" t="str">
            <v>Kitchen</v>
          </cell>
          <cell r="E2811">
            <v>1937999.7489999998</v>
          </cell>
          <cell r="F2811">
            <v>4</v>
          </cell>
        </row>
        <row r="2812">
          <cell r="A2812">
            <v>2018</v>
          </cell>
          <cell r="B2812" t="str">
            <v>Actual</v>
          </cell>
          <cell r="C2812" t="str">
            <v>Apr</v>
          </cell>
          <cell r="D2812" t="str">
            <v>Chairs</v>
          </cell>
          <cell r="E2812">
            <v>293744.83599999995</v>
          </cell>
          <cell r="F2812">
            <v>4</v>
          </cell>
        </row>
        <row r="2813">
          <cell r="A2813">
            <v>2019</v>
          </cell>
          <cell r="B2813" t="str">
            <v>Budget</v>
          </cell>
          <cell r="C2813" t="str">
            <v>Apr</v>
          </cell>
          <cell r="D2813" t="str">
            <v>Chairs</v>
          </cell>
          <cell r="E2813">
            <v>39986.086000000003</v>
          </cell>
          <cell r="F2813">
            <v>4</v>
          </cell>
        </row>
        <row r="2814">
          <cell r="A2814">
            <v>2019</v>
          </cell>
          <cell r="B2814" t="str">
            <v>Actual</v>
          </cell>
          <cell r="C2814" t="str">
            <v>Apr</v>
          </cell>
          <cell r="D2814" t="str">
            <v>Chairs</v>
          </cell>
          <cell r="E2814">
            <v>371402.55599999992</v>
          </cell>
          <cell r="F2814">
            <v>4</v>
          </cell>
        </row>
        <row r="2815">
          <cell r="A2815">
            <v>2018</v>
          </cell>
          <cell r="B2815" t="str">
            <v>Budget</v>
          </cell>
          <cell r="C2815" t="str">
            <v>Apr</v>
          </cell>
          <cell r="D2815" t="str">
            <v>Tables</v>
          </cell>
          <cell r="E2815">
            <v>45731.027999999998</v>
          </cell>
          <cell r="F2815">
            <v>4</v>
          </cell>
        </row>
        <row r="2816">
          <cell r="A2816">
            <v>2018</v>
          </cell>
          <cell r="B2816" t="str">
            <v>Actual</v>
          </cell>
          <cell r="C2816" t="str">
            <v>Apr</v>
          </cell>
          <cell r="D2816" t="str">
            <v>Kitchen</v>
          </cell>
          <cell r="E2816">
            <v>-6143.2210000000005</v>
          </cell>
          <cell r="F2816">
            <v>4</v>
          </cell>
        </row>
        <row r="2817">
          <cell r="A2817">
            <v>2018</v>
          </cell>
          <cell r="B2817" t="str">
            <v>Budget</v>
          </cell>
          <cell r="C2817" t="str">
            <v>Apr</v>
          </cell>
          <cell r="D2817" t="str">
            <v>Chairs</v>
          </cell>
          <cell r="E2817">
            <v>26592.587</v>
          </cell>
          <cell r="F2817">
            <v>4</v>
          </cell>
        </row>
        <row r="2818">
          <cell r="A2818">
            <v>2018</v>
          </cell>
          <cell r="B2818" t="str">
            <v>Actual</v>
          </cell>
          <cell r="C2818" t="str">
            <v>Apr</v>
          </cell>
          <cell r="D2818" t="str">
            <v>Chairs</v>
          </cell>
          <cell r="E2818">
            <v>52485.097000000002</v>
          </cell>
          <cell r="F2818">
            <v>4</v>
          </cell>
        </row>
        <row r="2819">
          <cell r="A2819">
            <v>2019</v>
          </cell>
          <cell r="B2819" t="str">
            <v>Budget</v>
          </cell>
          <cell r="C2819" t="str">
            <v>Apr</v>
          </cell>
          <cell r="D2819" t="str">
            <v>Tables</v>
          </cell>
          <cell r="E2819">
            <v>124443.557</v>
          </cell>
          <cell r="F2819">
            <v>4</v>
          </cell>
        </row>
        <row r="2820">
          <cell r="A2820">
            <v>2019</v>
          </cell>
          <cell r="B2820" t="str">
            <v>Actual</v>
          </cell>
          <cell r="C2820" t="str">
            <v>Apr</v>
          </cell>
          <cell r="D2820" t="str">
            <v>Kitchen</v>
          </cell>
          <cell r="E2820">
            <v>168030.37999999998</v>
          </cell>
          <cell r="F2820">
            <v>4</v>
          </cell>
        </row>
        <row r="2821">
          <cell r="A2821">
            <v>2018</v>
          </cell>
          <cell r="B2821" t="str">
            <v>Budget</v>
          </cell>
          <cell r="C2821" t="str">
            <v>Apr</v>
          </cell>
          <cell r="D2821" t="str">
            <v>Chairs</v>
          </cell>
          <cell r="E2821">
            <v>5525.1909999999998</v>
          </cell>
          <cell r="F2821">
            <v>4</v>
          </cell>
        </row>
        <row r="2822">
          <cell r="A2822">
            <v>2019</v>
          </cell>
          <cell r="B2822" t="str">
            <v>Actual</v>
          </cell>
          <cell r="C2822" t="str">
            <v>Apr</v>
          </cell>
          <cell r="D2822" t="str">
            <v>Chairs</v>
          </cell>
          <cell r="E2822">
            <v>197.49799999999999</v>
          </cell>
          <cell r="F2822">
            <v>4</v>
          </cell>
        </row>
        <row r="2823">
          <cell r="A2823">
            <v>2018</v>
          </cell>
          <cell r="B2823" t="str">
            <v>Budget</v>
          </cell>
          <cell r="C2823" t="str">
            <v>Apr</v>
          </cell>
          <cell r="D2823" t="str">
            <v>Chairs</v>
          </cell>
          <cell r="E2823">
            <v>19766.054</v>
          </cell>
          <cell r="F2823">
            <v>4</v>
          </cell>
        </row>
        <row r="2824">
          <cell r="A2824">
            <v>2019</v>
          </cell>
          <cell r="B2824" t="str">
            <v>Actual</v>
          </cell>
          <cell r="C2824" t="str">
            <v>Apr</v>
          </cell>
          <cell r="D2824" t="str">
            <v>Tables</v>
          </cell>
          <cell r="E2824">
            <v>14358.672999999999</v>
          </cell>
          <cell r="F2824">
            <v>4</v>
          </cell>
        </row>
        <row r="2825">
          <cell r="A2825">
            <v>2018</v>
          </cell>
          <cell r="B2825" t="str">
            <v>Budget</v>
          </cell>
          <cell r="C2825" t="str">
            <v>Apr</v>
          </cell>
          <cell r="D2825" t="str">
            <v>Kitchen</v>
          </cell>
          <cell r="E2825">
            <v>191282.49</v>
          </cell>
          <cell r="F2825">
            <v>4</v>
          </cell>
        </row>
        <row r="2826">
          <cell r="A2826">
            <v>2019</v>
          </cell>
          <cell r="B2826" t="str">
            <v>Actual</v>
          </cell>
          <cell r="C2826" t="str">
            <v>Apr</v>
          </cell>
          <cell r="D2826" t="str">
            <v>Accessories</v>
          </cell>
          <cell r="E2826">
            <v>102178.09699999999</v>
          </cell>
          <cell r="F2826">
            <v>4</v>
          </cell>
        </row>
        <row r="2827">
          <cell r="A2827">
            <v>2019</v>
          </cell>
          <cell r="B2827" t="str">
            <v>Budget</v>
          </cell>
          <cell r="C2827" t="str">
            <v>Apr</v>
          </cell>
          <cell r="D2827" t="str">
            <v>Chairs</v>
          </cell>
          <cell r="E2827">
            <v>23660.566999999995</v>
          </cell>
          <cell r="F2827">
            <v>4</v>
          </cell>
        </row>
        <row r="2828">
          <cell r="A2828">
            <v>2019</v>
          </cell>
          <cell r="B2828" t="str">
            <v>Actual</v>
          </cell>
          <cell r="C2828" t="str">
            <v>Apr</v>
          </cell>
          <cell r="D2828" t="str">
            <v>Tables</v>
          </cell>
          <cell r="E2828">
            <v>51961.56</v>
          </cell>
          <cell r="F2828">
            <v>4</v>
          </cell>
        </row>
        <row r="2829">
          <cell r="A2829">
            <v>2019</v>
          </cell>
          <cell r="B2829" t="str">
            <v>Budget</v>
          </cell>
          <cell r="C2829" t="str">
            <v>Apr</v>
          </cell>
          <cell r="D2829" t="str">
            <v>Kitchen</v>
          </cell>
          <cell r="E2829">
            <v>61623.407999999996</v>
          </cell>
          <cell r="F2829">
            <v>4</v>
          </cell>
        </row>
        <row r="2830">
          <cell r="A2830">
            <v>2019</v>
          </cell>
          <cell r="B2830" t="str">
            <v>Actual</v>
          </cell>
          <cell r="C2830" t="str">
            <v>Apr</v>
          </cell>
          <cell r="D2830" t="str">
            <v>Accessories</v>
          </cell>
          <cell r="E2830">
            <v>123713.94699999999</v>
          </cell>
          <cell r="F2830">
            <v>4</v>
          </cell>
        </row>
        <row r="2831">
          <cell r="A2831">
            <v>2019</v>
          </cell>
          <cell r="B2831" t="str">
            <v>Budget</v>
          </cell>
          <cell r="C2831" t="str">
            <v>Apr</v>
          </cell>
          <cell r="D2831" t="str">
            <v>Chairs</v>
          </cell>
          <cell r="E2831">
            <v>56845.774999999994</v>
          </cell>
          <cell r="F2831">
            <v>4</v>
          </cell>
        </row>
        <row r="2832">
          <cell r="A2832">
            <v>2018</v>
          </cell>
          <cell r="B2832" t="str">
            <v>Actual</v>
          </cell>
          <cell r="C2832" t="str">
            <v>Apr</v>
          </cell>
          <cell r="D2832" t="str">
            <v>Tables</v>
          </cell>
          <cell r="E2832">
            <v>8942.3389999999999</v>
          </cell>
          <cell r="F2832">
            <v>4</v>
          </cell>
        </row>
        <row r="2833">
          <cell r="A2833">
            <v>2019</v>
          </cell>
          <cell r="B2833" t="str">
            <v>Budget</v>
          </cell>
          <cell r="C2833" t="str">
            <v>Apr</v>
          </cell>
          <cell r="D2833" t="str">
            <v>Kitchen</v>
          </cell>
          <cell r="E2833">
            <v>33618.9</v>
          </cell>
          <cell r="F2833">
            <v>4</v>
          </cell>
        </row>
        <row r="2834">
          <cell r="A2834">
            <v>2018</v>
          </cell>
          <cell r="B2834" t="str">
            <v>Actual</v>
          </cell>
          <cell r="C2834" t="str">
            <v>Apr</v>
          </cell>
          <cell r="D2834" t="str">
            <v>Accessories</v>
          </cell>
          <cell r="E2834">
            <v>57006.676999999996</v>
          </cell>
          <cell r="F2834">
            <v>4</v>
          </cell>
        </row>
        <row r="2835">
          <cell r="A2835">
            <v>2019</v>
          </cell>
          <cell r="B2835" t="str">
            <v>Budget</v>
          </cell>
          <cell r="C2835" t="str">
            <v>Apr</v>
          </cell>
          <cell r="D2835" t="str">
            <v>Chairs</v>
          </cell>
          <cell r="E2835">
            <v>35670.725999999995</v>
          </cell>
          <cell r="F2835">
            <v>4</v>
          </cell>
        </row>
        <row r="2836">
          <cell r="A2836">
            <v>2018</v>
          </cell>
          <cell r="B2836" t="str">
            <v>Actual</v>
          </cell>
          <cell r="C2836" t="str">
            <v>Apr</v>
          </cell>
          <cell r="D2836" t="str">
            <v>Tables</v>
          </cell>
          <cell r="E2836">
            <v>174078.296</v>
          </cell>
          <cell r="F2836">
            <v>4</v>
          </cell>
        </row>
        <row r="2837">
          <cell r="A2837">
            <v>2018</v>
          </cell>
          <cell r="B2837" t="str">
            <v>Budget</v>
          </cell>
          <cell r="C2837" t="str">
            <v>Apr</v>
          </cell>
          <cell r="D2837" t="str">
            <v>Kitchen</v>
          </cell>
          <cell r="E2837">
            <v>167393.345</v>
          </cell>
          <cell r="F2837">
            <v>4</v>
          </cell>
        </row>
        <row r="2838">
          <cell r="A2838">
            <v>2019</v>
          </cell>
          <cell r="B2838" t="str">
            <v>Actual</v>
          </cell>
          <cell r="C2838" t="str">
            <v>Apr</v>
          </cell>
          <cell r="D2838" t="str">
            <v>Accessories</v>
          </cell>
          <cell r="E2838">
            <v>1011092.3829999999</v>
          </cell>
          <cell r="F2838">
            <v>4</v>
          </cell>
        </row>
        <row r="2839">
          <cell r="A2839">
            <v>2018</v>
          </cell>
          <cell r="B2839" t="str">
            <v>Budget</v>
          </cell>
          <cell r="C2839" t="str">
            <v>Apr</v>
          </cell>
          <cell r="D2839" t="str">
            <v>Chairs</v>
          </cell>
          <cell r="E2839">
            <v>5625.585</v>
          </cell>
          <cell r="F2839">
            <v>4</v>
          </cell>
        </row>
        <row r="2840">
          <cell r="A2840">
            <v>2019</v>
          </cell>
          <cell r="B2840" t="str">
            <v>Actual</v>
          </cell>
          <cell r="C2840" t="str">
            <v>Apr</v>
          </cell>
          <cell r="D2840" t="str">
            <v>Chairs</v>
          </cell>
          <cell r="E2840">
            <v>61122.95</v>
          </cell>
          <cell r="F2840">
            <v>4</v>
          </cell>
        </row>
        <row r="2841">
          <cell r="A2841">
            <v>2019</v>
          </cell>
          <cell r="B2841" t="str">
            <v>Budget</v>
          </cell>
          <cell r="C2841" t="str">
            <v>Apr</v>
          </cell>
          <cell r="D2841" t="str">
            <v>Tables</v>
          </cell>
          <cell r="E2841">
            <v>41384.531999999999</v>
          </cell>
          <cell r="F2841">
            <v>4</v>
          </cell>
        </row>
        <row r="2842">
          <cell r="A2842">
            <v>2018</v>
          </cell>
          <cell r="B2842" t="str">
            <v>Actual</v>
          </cell>
          <cell r="C2842" t="str">
            <v>Apr</v>
          </cell>
          <cell r="D2842" t="str">
            <v>Kitchen</v>
          </cell>
          <cell r="E2842">
            <v>57110.409999999996</v>
          </cell>
          <cell r="F2842">
            <v>4</v>
          </cell>
        </row>
        <row r="2843">
          <cell r="A2843">
            <v>2019</v>
          </cell>
          <cell r="B2843" t="str">
            <v>Budget</v>
          </cell>
          <cell r="C2843" t="str">
            <v>Apr</v>
          </cell>
          <cell r="D2843" t="str">
            <v>Chairs</v>
          </cell>
          <cell r="E2843">
            <v>71347.535000000003</v>
          </cell>
          <cell r="F2843">
            <v>4</v>
          </cell>
        </row>
        <row r="2844">
          <cell r="A2844">
            <v>2019</v>
          </cell>
          <cell r="B2844" t="str">
            <v>Actual</v>
          </cell>
          <cell r="C2844" t="str">
            <v>Apr</v>
          </cell>
          <cell r="D2844" t="str">
            <v>Tables</v>
          </cell>
          <cell r="E2844">
            <v>15737.546999999999</v>
          </cell>
          <cell r="F2844">
            <v>4</v>
          </cell>
        </row>
        <row r="2845">
          <cell r="A2845">
            <v>2019</v>
          </cell>
          <cell r="B2845" t="str">
            <v>Budget</v>
          </cell>
          <cell r="C2845" t="str">
            <v>Apr</v>
          </cell>
          <cell r="D2845" t="str">
            <v>Kitchen</v>
          </cell>
          <cell r="E2845">
            <v>27953.645999999997</v>
          </cell>
          <cell r="F2845">
            <v>4</v>
          </cell>
        </row>
        <row r="2846">
          <cell r="A2846">
            <v>2019</v>
          </cell>
          <cell r="B2846" t="str">
            <v>Actual</v>
          </cell>
          <cell r="C2846" t="str">
            <v>Apr</v>
          </cell>
          <cell r="D2846" t="str">
            <v>Chairs</v>
          </cell>
          <cell r="E2846">
            <v>41005.439999999995</v>
          </cell>
          <cell r="F2846">
            <v>4</v>
          </cell>
        </row>
        <row r="2847">
          <cell r="A2847">
            <v>2019</v>
          </cell>
          <cell r="B2847" t="str">
            <v>Budget</v>
          </cell>
          <cell r="C2847" t="str">
            <v>Apr</v>
          </cell>
          <cell r="D2847" t="str">
            <v>Tables</v>
          </cell>
          <cell r="E2847">
            <v>178310.84599999999</v>
          </cell>
          <cell r="F2847">
            <v>4</v>
          </cell>
        </row>
        <row r="2848">
          <cell r="A2848">
            <v>2019</v>
          </cell>
          <cell r="B2848" t="str">
            <v>Actual</v>
          </cell>
          <cell r="C2848" t="str">
            <v>Apr</v>
          </cell>
          <cell r="D2848" t="str">
            <v>Kitchen</v>
          </cell>
          <cell r="E2848">
            <v>357861.99399999995</v>
          </cell>
          <cell r="F2848">
            <v>4</v>
          </cell>
        </row>
        <row r="2849">
          <cell r="A2849">
            <v>2018</v>
          </cell>
          <cell r="B2849" t="str">
            <v>Budget</v>
          </cell>
          <cell r="C2849" t="str">
            <v>Apr</v>
          </cell>
          <cell r="D2849" t="str">
            <v>Chairs</v>
          </cell>
          <cell r="E2849">
            <v>107566.928</v>
          </cell>
          <cell r="F2849">
            <v>4</v>
          </cell>
        </row>
        <row r="2850">
          <cell r="A2850">
            <v>2019</v>
          </cell>
          <cell r="B2850" t="str">
            <v>Actual</v>
          </cell>
          <cell r="C2850" t="str">
            <v>Apr</v>
          </cell>
          <cell r="D2850" t="str">
            <v>Chairs</v>
          </cell>
          <cell r="E2850">
            <v>48776.252</v>
          </cell>
          <cell r="F2850">
            <v>4</v>
          </cell>
        </row>
        <row r="2851">
          <cell r="A2851">
            <v>2018</v>
          </cell>
          <cell r="B2851" t="str">
            <v>Budget</v>
          </cell>
          <cell r="C2851" t="str">
            <v>Apr</v>
          </cell>
          <cell r="D2851" t="str">
            <v>Chairs</v>
          </cell>
          <cell r="E2851">
            <v>140543.64799999999</v>
          </cell>
          <cell r="F2851">
            <v>4</v>
          </cell>
        </row>
        <row r="2852">
          <cell r="A2852">
            <v>2019</v>
          </cell>
          <cell r="B2852" t="str">
            <v>Actual</v>
          </cell>
          <cell r="C2852" t="str">
            <v>Apr</v>
          </cell>
          <cell r="D2852" t="str">
            <v>Chairs</v>
          </cell>
          <cell r="E2852">
            <v>190924.44700000001</v>
          </cell>
          <cell r="F2852">
            <v>4</v>
          </cell>
        </row>
        <row r="2853">
          <cell r="A2853">
            <v>2018</v>
          </cell>
          <cell r="B2853" t="str">
            <v>Budget</v>
          </cell>
          <cell r="C2853" t="str">
            <v>Apr</v>
          </cell>
          <cell r="D2853" t="str">
            <v>Chairs</v>
          </cell>
          <cell r="E2853">
            <v>227233.09700000001</v>
          </cell>
          <cell r="F2853">
            <v>4</v>
          </cell>
        </row>
        <row r="2854">
          <cell r="A2854">
            <v>2018</v>
          </cell>
          <cell r="B2854" t="str">
            <v>Actual</v>
          </cell>
          <cell r="C2854" t="str">
            <v>Apr</v>
          </cell>
          <cell r="D2854" t="str">
            <v>Chairs</v>
          </cell>
          <cell r="E2854">
            <v>20575.281999999999</v>
          </cell>
          <cell r="F2854">
            <v>4</v>
          </cell>
        </row>
        <row r="2855">
          <cell r="A2855">
            <v>2018</v>
          </cell>
          <cell r="B2855" t="str">
            <v>Budget</v>
          </cell>
          <cell r="C2855" t="str">
            <v>Apr</v>
          </cell>
          <cell r="D2855" t="str">
            <v>Chairs</v>
          </cell>
          <cell r="E2855">
            <v>135956.53399999999</v>
          </cell>
          <cell r="F2855">
            <v>4</v>
          </cell>
        </row>
        <row r="2856">
          <cell r="A2856">
            <v>2019</v>
          </cell>
          <cell r="B2856" t="str">
            <v>Actual</v>
          </cell>
          <cell r="C2856" t="str">
            <v>Apr</v>
          </cell>
          <cell r="D2856" t="str">
            <v>Chairs</v>
          </cell>
          <cell r="E2856">
            <v>1151988.0119999999</v>
          </cell>
          <cell r="F2856">
            <v>4</v>
          </cell>
        </row>
        <row r="2857">
          <cell r="A2857">
            <v>2018</v>
          </cell>
          <cell r="B2857" t="str">
            <v>Budget</v>
          </cell>
          <cell r="C2857" t="str">
            <v>Apr</v>
          </cell>
          <cell r="D2857" t="str">
            <v>Chairs</v>
          </cell>
          <cell r="E2857">
            <v>92414.38499999998</v>
          </cell>
          <cell r="F2857">
            <v>4</v>
          </cell>
        </row>
        <row r="2858">
          <cell r="A2858">
            <v>2019</v>
          </cell>
          <cell r="B2858" t="str">
            <v>Actual</v>
          </cell>
          <cell r="C2858" t="str">
            <v>Apr</v>
          </cell>
          <cell r="D2858" t="str">
            <v>Chairs</v>
          </cell>
          <cell r="E2858">
            <v>198609.30600000001</v>
          </cell>
          <cell r="F2858">
            <v>4</v>
          </cell>
        </row>
        <row r="2859">
          <cell r="A2859">
            <v>2019</v>
          </cell>
          <cell r="B2859" t="str">
            <v>Budget</v>
          </cell>
          <cell r="C2859" t="str">
            <v>Apr</v>
          </cell>
          <cell r="D2859" t="str">
            <v>Chairs</v>
          </cell>
          <cell r="E2859">
            <v>-88705.686999999991</v>
          </cell>
          <cell r="F2859">
            <v>4</v>
          </cell>
        </row>
        <row r="2860">
          <cell r="A2860">
            <v>2018</v>
          </cell>
          <cell r="B2860" t="str">
            <v>Actual</v>
          </cell>
          <cell r="C2860" t="str">
            <v>Apr</v>
          </cell>
          <cell r="D2860" t="str">
            <v>Chairs</v>
          </cell>
          <cell r="E2860">
            <v>112192.43</v>
          </cell>
          <cell r="F2860">
            <v>4</v>
          </cell>
        </row>
        <row r="2861">
          <cell r="A2861">
            <v>2018</v>
          </cell>
          <cell r="B2861" t="str">
            <v>Budget</v>
          </cell>
          <cell r="C2861" t="str">
            <v>Apr</v>
          </cell>
          <cell r="D2861" t="str">
            <v>Chairs</v>
          </cell>
          <cell r="E2861">
            <v>176169.95199999999</v>
          </cell>
          <cell r="F2861">
            <v>4</v>
          </cell>
        </row>
        <row r="2862">
          <cell r="A2862">
            <v>2018</v>
          </cell>
          <cell r="B2862" t="str">
            <v>Actual</v>
          </cell>
          <cell r="C2862" t="str">
            <v>Apr</v>
          </cell>
          <cell r="D2862" t="str">
            <v>Chairs</v>
          </cell>
          <cell r="E2862">
            <v>96772.29800000001</v>
          </cell>
          <cell r="F2862">
            <v>4</v>
          </cell>
        </row>
        <row r="2863">
          <cell r="A2863">
            <v>2018</v>
          </cell>
          <cell r="B2863" t="str">
            <v>Budget</v>
          </cell>
          <cell r="C2863" t="str">
            <v>Apr</v>
          </cell>
          <cell r="D2863" t="str">
            <v>Chairs</v>
          </cell>
          <cell r="E2863">
            <v>15025.982999999998</v>
          </cell>
          <cell r="F2863">
            <v>4</v>
          </cell>
        </row>
        <row r="2864">
          <cell r="A2864">
            <v>2019</v>
          </cell>
          <cell r="B2864" t="str">
            <v>Actual</v>
          </cell>
          <cell r="C2864" t="str">
            <v>Apr</v>
          </cell>
          <cell r="D2864" t="str">
            <v>Chairs</v>
          </cell>
          <cell r="E2864">
            <v>118655.08199999999</v>
          </cell>
          <cell r="F2864">
            <v>4</v>
          </cell>
        </row>
        <row r="2865">
          <cell r="A2865">
            <v>2018</v>
          </cell>
          <cell r="B2865" t="str">
            <v>Budget</v>
          </cell>
          <cell r="C2865" t="str">
            <v>Apr</v>
          </cell>
          <cell r="D2865" t="str">
            <v>Chairs</v>
          </cell>
          <cell r="E2865">
            <v>170515.28899999999</v>
          </cell>
          <cell r="F2865">
            <v>4</v>
          </cell>
        </row>
        <row r="2866">
          <cell r="A2866">
            <v>2018</v>
          </cell>
          <cell r="B2866" t="str">
            <v>Actual</v>
          </cell>
          <cell r="C2866" t="str">
            <v>Apr</v>
          </cell>
          <cell r="D2866" t="str">
            <v>Chairs</v>
          </cell>
          <cell r="E2866">
            <v>83433.146999999997</v>
          </cell>
          <cell r="F2866">
            <v>4</v>
          </cell>
        </row>
        <row r="2867">
          <cell r="A2867">
            <v>2018</v>
          </cell>
          <cell r="B2867" t="str">
            <v>Budget</v>
          </cell>
          <cell r="C2867" t="str">
            <v>Apr</v>
          </cell>
          <cell r="D2867" t="str">
            <v>Chairs</v>
          </cell>
          <cell r="E2867">
            <v>211483.01300000001</v>
          </cell>
          <cell r="F2867">
            <v>4</v>
          </cell>
        </row>
        <row r="2868">
          <cell r="A2868">
            <v>2018</v>
          </cell>
          <cell r="B2868" t="str">
            <v>Actual</v>
          </cell>
          <cell r="C2868" t="str">
            <v>Apr</v>
          </cell>
          <cell r="D2868" t="str">
            <v>Chairs</v>
          </cell>
          <cell r="E2868">
            <v>92818.620999999999</v>
          </cell>
          <cell r="F2868">
            <v>4</v>
          </cell>
        </row>
        <row r="2869">
          <cell r="A2869">
            <v>2019</v>
          </cell>
          <cell r="B2869" t="str">
            <v>Budget</v>
          </cell>
          <cell r="C2869" t="str">
            <v>Apr</v>
          </cell>
          <cell r="D2869" t="str">
            <v>Chairs</v>
          </cell>
          <cell r="E2869">
            <v>86456.607999999993</v>
          </cell>
          <cell r="F2869">
            <v>4</v>
          </cell>
        </row>
        <row r="2870">
          <cell r="A2870">
            <v>2019</v>
          </cell>
          <cell r="B2870" t="str">
            <v>Actual</v>
          </cell>
          <cell r="C2870" t="str">
            <v>Apr</v>
          </cell>
          <cell r="D2870" t="str">
            <v>Chairs</v>
          </cell>
          <cell r="E2870">
            <v>21666.785</v>
          </cell>
          <cell r="F2870">
            <v>4</v>
          </cell>
        </row>
        <row r="2871">
          <cell r="A2871">
            <v>2019</v>
          </cell>
          <cell r="B2871" t="str">
            <v>Budget</v>
          </cell>
          <cell r="C2871" t="str">
            <v>Apr</v>
          </cell>
          <cell r="D2871" t="str">
            <v>Chairs</v>
          </cell>
          <cell r="E2871">
            <v>14155.791999999999</v>
          </cell>
          <cell r="F2871">
            <v>4</v>
          </cell>
        </row>
        <row r="2872">
          <cell r="A2872">
            <v>2019</v>
          </cell>
          <cell r="B2872" t="str">
            <v>Actual</v>
          </cell>
          <cell r="C2872" t="str">
            <v>Apr</v>
          </cell>
          <cell r="D2872" t="str">
            <v>Chairs</v>
          </cell>
          <cell r="E2872">
            <v>21469.370999999999</v>
          </cell>
          <cell r="F2872">
            <v>4</v>
          </cell>
        </row>
        <row r="2873">
          <cell r="A2873">
            <v>2019</v>
          </cell>
          <cell r="B2873" t="str">
            <v>Budget</v>
          </cell>
          <cell r="C2873" t="str">
            <v>Apr</v>
          </cell>
          <cell r="D2873" t="str">
            <v>Chairs</v>
          </cell>
          <cell r="E2873">
            <v>28996.807000000001</v>
          </cell>
          <cell r="F2873">
            <v>4</v>
          </cell>
        </row>
        <row r="2874">
          <cell r="A2874">
            <v>2018</v>
          </cell>
          <cell r="B2874" t="str">
            <v>Actual</v>
          </cell>
          <cell r="C2874" t="str">
            <v>Apr</v>
          </cell>
          <cell r="D2874" t="str">
            <v>Chairs</v>
          </cell>
          <cell r="E2874">
            <v>1421725.5499999998</v>
          </cell>
          <cell r="F2874">
            <v>4</v>
          </cell>
        </row>
        <row r="2875">
          <cell r="A2875">
            <v>2018</v>
          </cell>
          <cell r="B2875" t="str">
            <v>Budget</v>
          </cell>
          <cell r="C2875" t="str">
            <v>Apr</v>
          </cell>
          <cell r="D2875" t="str">
            <v>Tables</v>
          </cell>
          <cell r="E2875">
            <v>1093.232</v>
          </cell>
          <cell r="F2875">
            <v>4</v>
          </cell>
        </row>
        <row r="2876">
          <cell r="A2876">
            <v>2018</v>
          </cell>
          <cell r="B2876" t="str">
            <v>Actual</v>
          </cell>
          <cell r="C2876" t="str">
            <v>Apr</v>
          </cell>
          <cell r="D2876" t="str">
            <v>Kitchen</v>
          </cell>
          <cell r="E2876">
            <v>414583.65199999994</v>
          </cell>
          <cell r="F2876">
            <v>4</v>
          </cell>
        </row>
        <row r="2877">
          <cell r="A2877">
            <v>2018</v>
          </cell>
          <cell r="B2877" t="str">
            <v>Budget</v>
          </cell>
          <cell r="C2877" t="str">
            <v>Apr</v>
          </cell>
          <cell r="D2877" t="str">
            <v>Chairs</v>
          </cell>
          <cell r="E2877">
            <v>284504.82199999999</v>
          </cell>
          <cell r="F2877">
            <v>4</v>
          </cell>
        </row>
        <row r="2878">
          <cell r="A2878">
            <v>2018</v>
          </cell>
          <cell r="B2878" t="str">
            <v>Actual</v>
          </cell>
          <cell r="C2878" t="str">
            <v>Apr</v>
          </cell>
          <cell r="D2878" t="str">
            <v>Chairs</v>
          </cell>
          <cell r="E2878">
            <v>1354471.2439999999</v>
          </cell>
          <cell r="F2878">
            <v>4</v>
          </cell>
        </row>
        <row r="2879">
          <cell r="A2879">
            <v>2018</v>
          </cell>
          <cell r="B2879" t="str">
            <v>Budget</v>
          </cell>
          <cell r="C2879" t="str">
            <v>Apr</v>
          </cell>
          <cell r="D2879" t="str">
            <v>Chairs</v>
          </cell>
          <cell r="E2879">
            <v>493593.82799999998</v>
          </cell>
          <cell r="F2879">
            <v>4</v>
          </cell>
        </row>
        <row r="2880">
          <cell r="A2880">
            <v>2019</v>
          </cell>
          <cell r="B2880" t="str">
            <v>Actual</v>
          </cell>
          <cell r="C2880" t="str">
            <v>Apr</v>
          </cell>
          <cell r="D2880" t="str">
            <v>Chairs</v>
          </cell>
          <cell r="E2880">
            <v>-57700.159999999996</v>
          </cell>
          <cell r="F2880">
            <v>4</v>
          </cell>
        </row>
        <row r="2881">
          <cell r="A2881">
            <v>2019</v>
          </cell>
          <cell r="B2881" t="str">
            <v>Budget</v>
          </cell>
          <cell r="C2881" t="str">
            <v>Apr</v>
          </cell>
          <cell r="D2881" t="str">
            <v>Chairs</v>
          </cell>
          <cell r="E2881">
            <v>217154.95199999999</v>
          </cell>
          <cell r="F2881">
            <v>4</v>
          </cell>
        </row>
        <row r="2882">
          <cell r="A2882">
            <v>2018</v>
          </cell>
          <cell r="B2882" t="str">
            <v>Actual</v>
          </cell>
          <cell r="C2882" t="str">
            <v>Apr</v>
          </cell>
          <cell r="D2882" t="str">
            <v>Tables</v>
          </cell>
          <cell r="E2882">
            <v>-17891.670999999998</v>
          </cell>
          <cell r="F2882">
            <v>4</v>
          </cell>
        </row>
        <row r="2883">
          <cell r="A2883">
            <v>2019</v>
          </cell>
          <cell r="B2883" t="str">
            <v>Budget</v>
          </cell>
          <cell r="C2883" t="str">
            <v>Apr</v>
          </cell>
          <cell r="D2883" t="str">
            <v>Kitchen</v>
          </cell>
          <cell r="E2883">
            <v>-17891.670999999998</v>
          </cell>
          <cell r="F2883">
            <v>4</v>
          </cell>
        </row>
        <row r="2884">
          <cell r="A2884">
            <v>2019</v>
          </cell>
          <cell r="B2884" t="str">
            <v>Actual</v>
          </cell>
          <cell r="C2884" t="str">
            <v>Apr</v>
          </cell>
          <cell r="D2884" t="str">
            <v>Chairs</v>
          </cell>
          <cell r="E2884">
            <v>89819.45</v>
          </cell>
          <cell r="F2884">
            <v>4</v>
          </cell>
        </row>
        <row r="2885">
          <cell r="A2885">
            <v>2019</v>
          </cell>
          <cell r="B2885" t="str">
            <v>Budget</v>
          </cell>
          <cell r="C2885" t="str">
            <v>Apr</v>
          </cell>
          <cell r="D2885" t="str">
            <v>Chairs</v>
          </cell>
          <cell r="E2885">
            <v>16489.493999999999</v>
          </cell>
          <cell r="F2885">
            <v>4</v>
          </cell>
        </row>
        <row r="2886">
          <cell r="A2886">
            <v>2018</v>
          </cell>
          <cell r="B2886" t="str">
            <v>Actual</v>
          </cell>
          <cell r="C2886" t="str">
            <v>Apr</v>
          </cell>
          <cell r="D2886" t="str">
            <v>Chairs</v>
          </cell>
          <cell r="E2886">
            <v>309948.00899999996</v>
          </cell>
          <cell r="F2886">
            <v>4</v>
          </cell>
        </row>
        <row r="2887">
          <cell r="A2887">
            <v>2018</v>
          </cell>
          <cell r="B2887" t="str">
            <v>Budget</v>
          </cell>
          <cell r="C2887" t="str">
            <v>Apr</v>
          </cell>
          <cell r="D2887" t="str">
            <v>Tables</v>
          </cell>
          <cell r="E2887">
            <v>514549.07699999993</v>
          </cell>
          <cell r="F2887">
            <v>4</v>
          </cell>
        </row>
        <row r="2888">
          <cell r="A2888">
            <v>2018</v>
          </cell>
          <cell r="B2888" t="str">
            <v>Actual</v>
          </cell>
          <cell r="C2888" t="str">
            <v>Apr</v>
          </cell>
          <cell r="D2888" t="str">
            <v>Kitchen</v>
          </cell>
          <cell r="E2888">
            <v>86300.556999999986</v>
          </cell>
          <cell r="F2888">
            <v>4</v>
          </cell>
        </row>
        <row r="2889">
          <cell r="A2889">
            <v>2019</v>
          </cell>
          <cell r="B2889" t="str">
            <v>Budget</v>
          </cell>
          <cell r="C2889" t="str">
            <v>Apr</v>
          </cell>
          <cell r="D2889" t="str">
            <v>Chairs</v>
          </cell>
          <cell r="E2889">
            <v>97534.030999999988</v>
          </cell>
          <cell r="F2889">
            <v>4</v>
          </cell>
        </row>
        <row r="2890">
          <cell r="A2890">
            <v>2018</v>
          </cell>
          <cell r="B2890" t="str">
            <v>Actual</v>
          </cell>
          <cell r="C2890" t="str">
            <v>Apr</v>
          </cell>
          <cell r="D2890" t="str">
            <v>Chairs</v>
          </cell>
          <cell r="E2890">
            <v>1606.941</v>
          </cell>
          <cell r="F2890">
            <v>4</v>
          </cell>
        </row>
        <row r="2891">
          <cell r="A2891">
            <v>2019</v>
          </cell>
          <cell r="B2891" t="str">
            <v>Budget</v>
          </cell>
          <cell r="C2891" t="str">
            <v>Apr</v>
          </cell>
          <cell r="D2891" t="str">
            <v>Tables</v>
          </cell>
          <cell r="E2891">
            <v>14255.660999999998</v>
          </cell>
          <cell r="F2891">
            <v>4</v>
          </cell>
        </row>
        <row r="2892">
          <cell r="A2892">
            <v>2018</v>
          </cell>
          <cell r="B2892" t="str">
            <v>Actual</v>
          </cell>
          <cell r="C2892" t="str">
            <v>Apr</v>
          </cell>
          <cell r="D2892" t="str">
            <v>Kitchen</v>
          </cell>
          <cell r="E2892">
            <v>36428.510999999999</v>
          </cell>
          <cell r="F2892">
            <v>4</v>
          </cell>
        </row>
        <row r="2893">
          <cell r="A2893">
            <v>2019</v>
          </cell>
          <cell r="B2893" t="str">
            <v>Budget</v>
          </cell>
          <cell r="C2893" t="str">
            <v>Apr</v>
          </cell>
          <cell r="D2893" t="str">
            <v>Chairs</v>
          </cell>
          <cell r="E2893">
            <v>100320.087</v>
          </cell>
          <cell r="F2893">
            <v>4</v>
          </cell>
        </row>
        <row r="2894">
          <cell r="A2894">
            <v>2019</v>
          </cell>
          <cell r="B2894" t="str">
            <v>Actual</v>
          </cell>
          <cell r="C2894" t="str">
            <v>Apr</v>
          </cell>
          <cell r="D2894" t="str">
            <v>Chairs</v>
          </cell>
          <cell r="E2894">
            <v>80128.180999999997</v>
          </cell>
          <cell r="F2894">
            <v>4</v>
          </cell>
        </row>
        <row r="2895">
          <cell r="A2895">
            <v>2019</v>
          </cell>
          <cell r="B2895" t="str">
            <v>Budget</v>
          </cell>
          <cell r="C2895" t="str">
            <v>Apr</v>
          </cell>
          <cell r="D2895" t="str">
            <v>Tables</v>
          </cell>
          <cell r="E2895">
            <v>11000.156999999999</v>
          </cell>
          <cell r="F2895">
            <v>4</v>
          </cell>
        </row>
        <row r="2896">
          <cell r="A2896">
            <v>2018</v>
          </cell>
          <cell r="B2896" t="str">
            <v>Actual</v>
          </cell>
          <cell r="C2896" t="str">
            <v>Apr</v>
          </cell>
          <cell r="D2896" t="str">
            <v>Kitchen</v>
          </cell>
          <cell r="E2896">
            <v>89835.311999999991</v>
          </cell>
          <cell r="F2896">
            <v>4</v>
          </cell>
        </row>
        <row r="2897">
          <cell r="A2897">
            <v>2018</v>
          </cell>
          <cell r="B2897" t="str">
            <v>Budget</v>
          </cell>
          <cell r="C2897" t="str">
            <v>Apr</v>
          </cell>
          <cell r="D2897" t="str">
            <v>Accessories</v>
          </cell>
          <cell r="E2897">
            <v>91356.75499999999</v>
          </cell>
          <cell r="F2897">
            <v>4</v>
          </cell>
        </row>
        <row r="2898">
          <cell r="A2898">
            <v>2019</v>
          </cell>
          <cell r="B2898" t="str">
            <v>Actual</v>
          </cell>
          <cell r="C2898" t="str">
            <v>Apr</v>
          </cell>
          <cell r="D2898" t="str">
            <v>Chairs</v>
          </cell>
          <cell r="E2898">
            <v>150109.77799999999</v>
          </cell>
          <cell r="F2898">
            <v>4</v>
          </cell>
        </row>
        <row r="2899">
          <cell r="A2899">
            <v>2019</v>
          </cell>
          <cell r="B2899" t="str">
            <v>Budget</v>
          </cell>
          <cell r="C2899" t="str">
            <v>Apr</v>
          </cell>
          <cell r="D2899" t="str">
            <v>Tables</v>
          </cell>
          <cell r="E2899">
            <v>157416.133</v>
          </cell>
          <cell r="F2899">
            <v>4</v>
          </cell>
        </row>
        <row r="2900">
          <cell r="A2900">
            <v>2018</v>
          </cell>
          <cell r="B2900" t="str">
            <v>Actual</v>
          </cell>
          <cell r="C2900" t="str">
            <v>Apr</v>
          </cell>
          <cell r="D2900" t="str">
            <v>Kitchen</v>
          </cell>
          <cell r="E2900">
            <v>41100.262000000002</v>
          </cell>
          <cell r="F2900">
            <v>4</v>
          </cell>
        </row>
        <row r="2901">
          <cell r="A2901">
            <v>2019</v>
          </cell>
          <cell r="B2901" t="str">
            <v>Budget</v>
          </cell>
          <cell r="C2901" t="str">
            <v>Apr</v>
          </cell>
          <cell r="D2901" t="str">
            <v>Accessories</v>
          </cell>
          <cell r="E2901">
            <v>235818.17699999997</v>
          </cell>
          <cell r="F2901">
            <v>4</v>
          </cell>
        </row>
        <row r="2902">
          <cell r="A2902">
            <v>2018</v>
          </cell>
          <cell r="B2902" t="str">
            <v>Actual</v>
          </cell>
          <cell r="C2902" t="str">
            <v>Apr</v>
          </cell>
          <cell r="D2902" t="str">
            <v>Chairs</v>
          </cell>
          <cell r="E2902">
            <v>20414.883999999998</v>
          </cell>
          <cell r="F2902">
            <v>4</v>
          </cell>
        </row>
        <row r="2903">
          <cell r="A2903">
            <v>2018</v>
          </cell>
          <cell r="B2903" t="str">
            <v>Budget</v>
          </cell>
          <cell r="C2903" t="str">
            <v>Apr</v>
          </cell>
          <cell r="D2903" t="str">
            <v>Tables</v>
          </cell>
          <cell r="E2903">
            <v>257167.92499999999</v>
          </cell>
          <cell r="F2903">
            <v>4</v>
          </cell>
        </row>
        <row r="2904">
          <cell r="A2904">
            <v>2018</v>
          </cell>
          <cell r="B2904" t="str">
            <v>Actual</v>
          </cell>
          <cell r="C2904" t="str">
            <v>Apr</v>
          </cell>
          <cell r="D2904" t="str">
            <v>Kitchen</v>
          </cell>
          <cell r="E2904">
            <v>3049.375</v>
          </cell>
          <cell r="F2904">
            <v>4</v>
          </cell>
        </row>
        <row r="2905">
          <cell r="A2905">
            <v>2018</v>
          </cell>
          <cell r="B2905" t="str">
            <v>Budget</v>
          </cell>
          <cell r="C2905" t="str">
            <v>Apr</v>
          </cell>
          <cell r="D2905" t="str">
            <v>Accessories</v>
          </cell>
          <cell r="E2905">
            <v>39363.141999999993</v>
          </cell>
          <cell r="F2905">
            <v>4</v>
          </cell>
        </row>
        <row r="2906">
          <cell r="A2906">
            <v>2019</v>
          </cell>
          <cell r="B2906" t="str">
            <v>Actual</v>
          </cell>
          <cell r="C2906" t="str">
            <v>Apr</v>
          </cell>
          <cell r="D2906" t="str">
            <v>Chairs</v>
          </cell>
          <cell r="E2906">
            <v>85058.322999999989</v>
          </cell>
          <cell r="F2906">
            <v>4</v>
          </cell>
        </row>
        <row r="2907">
          <cell r="A2907">
            <v>2018</v>
          </cell>
          <cell r="B2907" t="str">
            <v>Budget</v>
          </cell>
          <cell r="C2907" t="str">
            <v>Apr</v>
          </cell>
          <cell r="D2907" t="str">
            <v>Tables</v>
          </cell>
          <cell r="E2907">
            <v>15376.248999999998</v>
          </cell>
          <cell r="F2907">
            <v>4</v>
          </cell>
        </row>
        <row r="2908">
          <cell r="A2908">
            <v>2019</v>
          </cell>
          <cell r="B2908" t="str">
            <v>Actual</v>
          </cell>
          <cell r="C2908" t="str">
            <v>Apr</v>
          </cell>
          <cell r="D2908" t="str">
            <v>Kitchen</v>
          </cell>
          <cell r="E2908">
            <v>33053.992999999995</v>
          </cell>
          <cell r="F2908">
            <v>4</v>
          </cell>
        </row>
        <row r="2909">
          <cell r="A2909">
            <v>2019</v>
          </cell>
          <cell r="B2909" t="str">
            <v>Budget</v>
          </cell>
          <cell r="C2909" t="str">
            <v>Apr</v>
          </cell>
          <cell r="D2909" t="str">
            <v>Accessories</v>
          </cell>
          <cell r="E2909">
            <v>30306.989999999994</v>
          </cell>
          <cell r="F2909">
            <v>4</v>
          </cell>
        </row>
        <row r="2910">
          <cell r="A2910">
            <v>2018</v>
          </cell>
          <cell r="B2910" t="str">
            <v>Actual</v>
          </cell>
          <cell r="C2910" t="str">
            <v>Apr</v>
          </cell>
          <cell r="D2910" t="str">
            <v>Chairs</v>
          </cell>
          <cell r="E2910">
            <v>153302.99599999998</v>
          </cell>
          <cell r="F2910">
            <v>4</v>
          </cell>
        </row>
        <row r="2911">
          <cell r="A2911">
            <v>2019</v>
          </cell>
          <cell r="B2911" t="str">
            <v>Budget</v>
          </cell>
          <cell r="C2911" t="str">
            <v>Apr</v>
          </cell>
          <cell r="D2911" t="str">
            <v>Tables</v>
          </cell>
          <cell r="E2911">
            <v>157588.62</v>
          </cell>
          <cell r="F2911">
            <v>4</v>
          </cell>
        </row>
        <row r="2912">
          <cell r="A2912">
            <v>2019</v>
          </cell>
          <cell r="B2912" t="str">
            <v>Actual</v>
          </cell>
          <cell r="C2912" t="str">
            <v>Apr</v>
          </cell>
          <cell r="D2912" t="str">
            <v>Kitchen</v>
          </cell>
          <cell r="E2912">
            <v>103836.65599999999</v>
          </cell>
          <cell r="F2912">
            <v>4</v>
          </cell>
        </row>
        <row r="2913">
          <cell r="A2913">
            <v>2018</v>
          </cell>
          <cell r="B2913" t="str">
            <v>Budget</v>
          </cell>
          <cell r="C2913" t="str">
            <v>Apr</v>
          </cell>
          <cell r="D2913" t="str">
            <v>Accessories</v>
          </cell>
          <cell r="E2913">
            <v>1620.9969999999998</v>
          </cell>
          <cell r="F2913">
            <v>4</v>
          </cell>
        </row>
        <row r="2914">
          <cell r="A2914">
            <v>2018</v>
          </cell>
          <cell r="B2914" t="str">
            <v>Actual</v>
          </cell>
          <cell r="C2914" t="str">
            <v>Apr</v>
          </cell>
          <cell r="D2914" t="str">
            <v>Chairs</v>
          </cell>
          <cell r="E2914">
            <v>44764.166999999994</v>
          </cell>
          <cell r="F2914">
            <v>4</v>
          </cell>
        </row>
        <row r="2915">
          <cell r="A2915">
            <v>2019</v>
          </cell>
          <cell r="B2915" t="str">
            <v>Budget</v>
          </cell>
          <cell r="C2915" t="str">
            <v>Apr</v>
          </cell>
          <cell r="D2915" t="str">
            <v>Chairs</v>
          </cell>
          <cell r="E2915">
            <v>81665.688999999998</v>
          </cell>
          <cell r="F2915">
            <v>4</v>
          </cell>
        </row>
        <row r="2916">
          <cell r="A2916">
            <v>2019</v>
          </cell>
          <cell r="B2916" t="str">
            <v>Actual</v>
          </cell>
          <cell r="C2916" t="str">
            <v>Apr</v>
          </cell>
          <cell r="D2916" t="str">
            <v>Tables</v>
          </cell>
          <cell r="E2916">
            <v>40906.263999999996</v>
          </cell>
          <cell r="F2916">
            <v>4</v>
          </cell>
        </row>
        <row r="2917">
          <cell r="A2917">
            <v>2019</v>
          </cell>
          <cell r="B2917" t="str">
            <v>Budget</v>
          </cell>
          <cell r="C2917" t="str">
            <v>Apr</v>
          </cell>
          <cell r="D2917" t="str">
            <v>Kitchen</v>
          </cell>
          <cell r="E2917">
            <v>1123440.6679999998</v>
          </cell>
          <cell r="F2917">
            <v>4</v>
          </cell>
        </row>
        <row r="2918">
          <cell r="A2918">
            <v>2018</v>
          </cell>
          <cell r="B2918" t="str">
            <v>Actual</v>
          </cell>
          <cell r="C2918" t="str">
            <v>Apr</v>
          </cell>
          <cell r="D2918" t="str">
            <v>Chairs</v>
          </cell>
          <cell r="E2918">
            <v>38295.970999999998</v>
          </cell>
          <cell r="F2918">
            <v>4</v>
          </cell>
        </row>
        <row r="2919">
          <cell r="A2919">
            <v>2018</v>
          </cell>
          <cell r="B2919" t="str">
            <v>Budget</v>
          </cell>
          <cell r="C2919" t="str">
            <v>Apr</v>
          </cell>
          <cell r="D2919" t="str">
            <v>Tables</v>
          </cell>
          <cell r="E2919">
            <v>16603.271999999997</v>
          </cell>
          <cell r="F2919">
            <v>4</v>
          </cell>
        </row>
        <row r="2920">
          <cell r="A2920">
            <v>2019</v>
          </cell>
          <cell r="B2920" t="str">
            <v>Actual</v>
          </cell>
          <cell r="C2920" t="str">
            <v>Apr</v>
          </cell>
          <cell r="D2920" t="str">
            <v>Kitchen</v>
          </cell>
          <cell r="E2920">
            <v>-165054.80599999998</v>
          </cell>
          <cell r="F2920">
            <v>4</v>
          </cell>
        </row>
        <row r="2921">
          <cell r="A2921">
            <v>2018</v>
          </cell>
          <cell r="B2921" t="str">
            <v>Budget</v>
          </cell>
          <cell r="C2921" t="str">
            <v>Apr</v>
          </cell>
          <cell r="D2921" t="str">
            <v>Chairs</v>
          </cell>
          <cell r="E2921">
            <v>66175.983999999997</v>
          </cell>
          <cell r="F2921">
            <v>4</v>
          </cell>
        </row>
        <row r="2922">
          <cell r="A2922">
            <v>2019</v>
          </cell>
          <cell r="B2922" t="str">
            <v>Actual</v>
          </cell>
          <cell r="C2922" t="str">
            <v>Apr</v>
          </cell>
          <cell r="D2922" t="str">
            <v>Tables</v>
          </cell>
          <cell r="E2922">
            <v>57327.745999999999</v>
          </cell>
          <cell r="F2922">
            <v>4</v>
          </cell>
        </row>
        <row r="2923">
          <cell r="A2923">
            <v>2018</v>
          </cell>
          <cell r="B2923" t="str">
            <v>Budget</v>
          </cell>
          <cell r="C2923" t="str">
            <v>Apr</v>
          </cell>
          <cell r="D2923" t="str">
            <v>Kitchen</v>
          </cell>
          <cell r="E2923">
            <v>5334.259</v>
          </cell>
          <cell r="F2923">
            <v>4</v>
          </cell>
        </row>
        <row r="2924">
          <cell r="A2924">
            <v>2018</v>
          </cell>
          <cell r="B2924" t="str">
            <v>Actual</v>
          </cell>
          <cell r="C2924" t="str">
            <v>Apr</v>
          </cell>
          <cell r="D2924" t="str">
            <v>Chairs</v>
          </cell>
          <cell r="E2924">
            <v>65311.581999999995</v>
          </cell>
          <cell r="F2924">
            <v>4</v>
          </cell>
        </row>
        <row r="2925">
          <cell r="A2925">
            <v>2019</v>
          </cell>
          <cell r="B2925" t="str">
            <v>Budget</v>
          </cell>
          <cell r="C2925" t="str">
            <v>Apr</v>
          </cell>
          <cell r="D2925" t="str">
            <v>Chairs</v>
          </cell>
          <cell r="E2925">
            <v>26528.116999999998</v>
          </cell>
          <cell r="F2925">
            <v>4</v>
          </cell>
        </row>
        <row r="2926">
          <cell r="A2926">
            <v>2018</v>
          </cell>
          <cell r="B2926" t="str">
            <v>Actual</v>
          </cell>
          <cell r="C2926" t="str">
            <v>Apr</v>
          </cell>
          <cell r="D2926" t="str">
            <v>Chairs</v>
          </cell>
          <cell r="E2926">
            <v>26209.028999999999</v>
          </cell>
          <cell r="F2926">
            <v>4</v>
          </cell>
        </row>
        <row r="2927">
          <cell r="A2927">
            <v>2018</v>
          </cell>
          <cell r="B2927" t="str">
            <v>Budget</v>
          </cell>
          <cell r="C2927" t="str">
            <v>Apr</v>
          </cell>
          <cell r="D2927" t="str">
            <v>Chairs</v>
          </cell>
          <cell r="E2927">
            <v>51832.297999999995</v>
          </cell>
          <cell r="F2927">
            <v>4</v>
          </cell>
        </row>
        <row r="2928">
          <cell r="A2928">
            <v>2018</v>
          </cell>
          <cell r="B2928" t="str">
            <v>Actual</v>
          </cell>
          <cell r="C2928" t="str">
            <v>Apr</v>
          </cell>
          <cell r="D2928" t="str">
            <v>Chairs</v>
          </cell>
          <cell r="E2928">
            <v>-1438.8639999999998</v>
          </cell>
          <cell r="F2928">
            <v>4</v>
          </cell>
        </row>
        <row r="2929">
          <cell r="A2929">
            <v>2019</v>
          </cell>
          <cell r="B2929" t="str">
            <v>Budget</v>
          </cell>
          <cell r="C2929" t="str">
            <v>Apr</v>
          </cell>
          <cell r="D2929" t="str">
            <v>Chairs</v>
          </cell>
          <cell r="E2929">
            <v>9432.9479999999985</v>
          </cell>
          <cell r="F2929">
            <v>4</v>
          </cell>
        </row>
        <row r="2930">
          <cell r="A2930">
            <v>2018</v>
          </cell>
          <cell r="B2930" t="str">
            <v>Actual</v>
          </cell>
          <cell r="C2930" t="str">
            <v>Apr</v>
          </cell>
          <cell r="D2930" t="str">
            <v>Chairs</v>
          </cell>
          <cell r="E2930">
            <v>198014.41099999996</v>
          </cell>
          <cell r="F2930">
            <v>4</v>
          </cell>
        </row>
        <row r="2931">
          <cell r="A2931">
            <v>2018</v>
          </cell>
          <cell r="B2931" t="str">
            <v>Budget</v>
          </cell>
          <cell r="C2931" t="str">
            <v>Apr</v>
          </cell>
          <cell r="D2931" t="str">
            <v>Chairs</v>
          </cell>
          <cell r="E2931">
            <v>105834.04999999999</v>
          </cell>
          <cell r="F2931">
            <v>4</v>
          </cell>
        </row>
        <row r="2932">
          <cell r="A2932">
            <v>2018</v>
          </cell>
          <cell r="B2932" t="str">
            <v>Actual</v>
          </cell>
          <cell r="C2932" t="str">
            <v>Apr</v>
          </cell>
          <cell r="D2932" t="str">
            <v>Chairs</v>
          </cell>
          <cell r="E2932">
            <v>40985.342999999993</v>
          </cell>
          <cell r="F2932">
            <v>4</v>
          </cell>
        </row>
        <row r="2933">
          <cell r="A2933">
            <v>2018</v>
          </cell>
          <cell r="B2933" t="str">
            <v>Budget</v>
          </cell>
          <cell r="C2933" t="str">
            <v>Apr</v>
          </cell>
          <cell r="D2933" t="str">
            <v>Chairs</v>
          </cell>
          <cell r="E2933">
            <v>8050.5249999999996</v>
          </cell>
          <cell r="F2933">
            <v>4</v>
          </cell>
        </row>
        <row r="2934">
          <cell r="A2934">
            <v>2018</v>
          </cell>
          <cell r="B2934" t="str">
            <v>Actual</v>
          </cell>
          <cell r="C2934" t="str">
            <v>Apr</v>
          </cell>
          <cell r="D2934" t="str">
            <v>Chairs</v>
          </cell>
          <cell r="E2934">
            <v>6603.8770000000004</v>
          </cell>
          <cell r="F2934">
            <v>4</v>
          </cell>
        </row>
        <row r="2935">
          <cell r="A2935">
            <v>2018</v>
          </cell>
          <cell r="B2935" t="str">
            <v>Budget</v>
          </cell>
          <cell r="C2935" t="str">
            <v>Apr</v>
          </cell>
          <cell r="D2935" t="str">
            <v>Chairs</v>
          </cell>
          <cell r="E2935">
            <v>1930592.8109999998</v>
          </cell>
          <cell r="F2935">
            <v>4</v>
          </cell>
        </row>
        <row r="2936">
          <cell r="A2936">
            <v>2019</v>
          </cell>
          <cell r="B2936" t="str">
            <v>Actual</v>
          </cell>
          <cell r="C2936" t="str">
            <v>Apr</v>
          </cell>
          <cell r="D2936" t="str">
            <v>Chairs</v>
          </cell>
          <cell r="E2936">
            <v>89509.335999999996</v>
          </cell>
          <cell r="F2936">
            <v>4</v>
          </cell>
        </row>
        <row r="2937">
          <cell r="A2937">
            <v>2018</v>
          </cell>
          <cell r="B2937" t="str">
            <v>Budget</v>
          </cell>
          <cell r="C2937" t="str">
            <v>Apr</v>
          </cell>
          <cell r="D2937" t="str">
            <v>Chairs</v>
          </cell>
          <cell r="E2937">
            <v>342479.24900000001</v>
          </cell>
          <cell r="F2937">
            <v>4</v>
          </cell>
        </row>
        <row r="2938">
          <cell r="A2938">
            <v>2018</v>
          </cell>
          <cell r="B2938" t="str">
            <v>Actual</v>
          </cell>
          <cell r="C2938" t="str">
            <v>Apr</v>
          </cell>
          <cell r="D2938" t="str">
            <v>Chairs</v>
          </cell>
          <cell r="E2938">
            <v>23297.435000000001</v>
          </cell>
          <cell r="F2938">
            <v>4</v>
          </cell>
        </row>
        <row r="2939">
          <cell r="A2939">
            <v>2019</v>
          </cell>
          <cell r="B2939" t="str">
            <v>Budget</v>
          </cell>
          <cell r="C2939" t="str">
            <v>Apr</v>
          </cell>
          <cell r="D2939" t="str">
            <v>Chairs</v>
          </cell>
          <cell r="E2939">
            <v>461263.50199999998</v>
          </cell>
          <cell r="F2939">
            <v>4</v>
          </cell>
        </row>
        <row r="2940">
          <cell r="A2940">
            <v>2019</v>
          </cell>
          <cell r="B2940" t="str">
            <v>Actual</v>
          </cell>
          <cell r="C2940" t="str">
            <v>Apr</v>
          </cell>
          <cell r="D2940" t="str">
            <v>Chairs</v>
          </cell>
          <cell r="E2940">
            <v>1211609.378</v>
          </cell>
          <cell r="F2940">
            <v>4</v>
          </cell>
        </row>
        <row r="2941">
          <cell r="A2941">
            <v>2019</v>
          </cell>
          <cell r="B2941" t="str">
            <v>Budget</v>
          </cell>
          <cell r="C2941" t="str">
            <v>Apr</v>
          </cell>
          <cell r="D2941" t="str">
            <v>Chairs</v>
          </cell>
          <cell r="E2941">
            <v>431717.51699999999</v>
          </cell>
          <cell r="F2941">
            <v>4</v>
          </cell>
        </row>
        <row r="2942">
          <cell r="A2942">
            <v>2019</v>
          </cell>
          <cell r="B2942" t="str">
            <v>Actual</v>
          </cell>
          <cell r="C2942" t="str">
            <v>Apr</v>
          </cell>
          <cell r="D2942" t="str">
            <v>Chairs</v>
          </cell>
          <cell r="E2942">
            <v>1604003.0930000001</v>
          </cell>
          <cell r="F2942">
            <v>4</v>
          </cell>
        </row>
        <row r="2943">
          <cell r="A2943">
            <v>2018</v>
          </cell>
          <cell r="B2943" t="str">
            <v>Budget</v>
          </cell>
          <cell r="C2943" t="str">
            <v>Apr</v>
          </cell>
          <cell r="D2943" t="str">
            <v>Chairs</v>
          </cell>
          <cell r="E2943">
            <v>2127766.9840000002</v>
          </cell>
          <cell r="F2943">
            <v>4</v>
          </cell>
        </row>
        <row r="2944">
          <cell r="A2944">
            <v>2019</v>
          </cell>
          <cell r="B2944" t="str">
            <v>Actual</v>
          </cell>
          <cell r="C2944" t="str">
            <v>Apr</v>
          </cell>
          <cell r="D2944" t="str">
            <v>Chairs</v>
          </cell>
          <cell r="E2944">
            <v>1228485.923</v>
          </cell>
          <cell r="F2944">
            <v>4</v>
          </cell>
        </row>
        <row r="2945">
          <cell r="A2945">
            <v>2019</v>
          </cell>
          <cell r="B2945" t="str">
            <v>Budget</v>
          </cell>
          <cell r="C2945" t="str">
            <v>Apr</v>
          </cell>
          <cell r="D2945" t="str">
            <v>Chairs</v>
          </cell>
          <cell r="E2945">
            <v>874476.8899999999</v>
          </cell>
          <cell r="F2945">
            <v>4</v>
          </cell>
        </row>
        <row r="2946">
          <cell r="A2946">
            <v>2019</v>
          </cell>
          <cell r="B2946" t="str">
            <v>Actual</v>
          </cell>
          <cell r="C2946" t="str">
            <v>Apr</v>
          </cell>
          <cell r="D2946" t="str">
            <v>Chairs</v>
          </cell>
          <cell r="E2946">
            <v>37036.656999999999</v>
          </cell>
          <cell r="F2946">
            <v>4</v>
          </cell>
        </row>
        <row r="2947">
          <cell r="A2947">
            <v>2018</v>
          </cell>
          <cell r="B2947" t="str">
            <v>Budget</v>
          </cell>
          <cell r="C2947" t="str">
            <v>Apr</v>
          </cell>
          <cell r="D2947" t="str">
            <v>Chairs</v>
          </cell>
          <cell r="E2947">
            <v>37619.911</v>
          </cell>
          <cell r="F2947">
            <v>4</v>
          </cell>
        </row>
        <row r="2948">
          <cell r="A2948">
            <v>2018</v>
          </cell>
          <cell r="B2948" t="str">
            <v>Actual</v>
          </cell>
          <cell r="C2948" t="str">
            <v>Apr</v>
          </cell>
          <cell r="D2948" t="str">
            <v>Chairs</v>
          </cell>
          <cell r="E2948">
            <v>247238.24999999997</v>
          </cell>
          <cell r="F2948">
            <v>4</v>
          </cell>
        </row>
        <row r="2949">
          <cell r="A2949">
            <v>2018</v>
          </cell>
          <cell r="B2949" t="str">
            <v>Budget</v>
          </cell>
          <cell r="C2949" t="str">
            <v>Apr</v>
          </cell>
          <cell r="D2949" t="str">
            <v>Chairs</v>
          </cell>
          <cell r="E2949">
            <v>306991.91599999997</v>
          </cell>
          <cell r="F2949">
            <v>4</v>
          </cell>
        </row>
        <row r="2950">
          <cell r="A2950">
            <v>2019</v>
          </cell>
          <cell r="B2950" t="str">
            <v>Actual</v>
          </cell>
          <cell r="C2950" t="str">
            <v>Apr</v>
          </cell>
          <cell r="D2950" t="str">
            <v>Tables</v>
          </cell>
          <cell r="E2950">
            <v>311754.36599999998</v>
          </cell>
          <cell r="F2950">
            <v>4</v>
          </cell>
        </row>
        <row r="2951">
          <cell r="A2951">
            <v>2019</v>
          </cell>
          <cell r="B2951" t="str">
            <v>Budget</v>
          </cell>
          <cell r="C2951" t="str">
            <v>Apr</v>
          </cell>
          <cell r="D2951" t="str">
            <v>Kitchen</v>
          </cell>
          <cell r="E2951">
            <v>401474.51399999997</v>
          </cell>
          <cell r="F2951">
            <v>4</v>
          </cell>
        </row>
        <row r="2952">
          <cell r="A2952">
            <v>2018</v>
          </cell>
          <cell r="B2952" t="str">
            <v>Actual</v>
          </cell>
          <cell r="C2952" t="str">
            <v>Apr</v>
          </cell>
          <cell r="D2952" t="str">
            <v>Chairs</v>
          </cell>
          <cell r="E2952">
            <v>149190.18799999999</v>
          </cell>
          <cell r="F2952">
            <v>4</v>
          </cell>
        </row>
        <row r="2953">
          <cell r="A2953">
            <v>2019</v>
          </cell>
          <cell r="B2953" t="str">
            <v>Budget</v>
          </cell>
          <cell r="C2953" t="str">
            <v>Apr</v>
          </cell>
          <cell r="D2953" t="str">
            <v>Chairs</v>
          </cell>
          <cell r="E2953">
            <v>7455.1329999999998</v>
          </cell>
          <cell r="F2953">
            <v>4</v>
          </cell>
        </row>
        <row r="2954">
          <cell r="A2954">
            <v>2019</v>
          </cell>
          <cell r="B2954" t="str">
            <v>Actual</v>
          </cell>
          <cell r="C2954" t="str">
            <v>Apr</v>
          </cell>
          <cell r="D2954" t="str">
            <v>Chairs</v>
          </cell>
          <cell r="E2954">
            <v>586190.61899999995</v>
          </cell>
          <cell r="F2954">
            <v>4</v>
          </cell>
        </row>
        <row r="2955">
          <cell r="A2955">
            <v>2018</v>
          </cell>
          <cell r="B2955" t="str">
            <v>Budget</v>
          </cell>
          <cell r="C2955" t="str">
            <v>Apr</v>
          </cell>
          <cell r="D2955" t="str">
            <v>Chairs</v>
          </cell>
          <cell r="E2955">
            <v>417182.598</v>
          </cell>
          <cell r="F2955">
            <v>4</v>
          </cell>
        </row>
        <row r="2956">
          <cell r="A2956">
            <v>2019</v>
          </cell>
          <cell r="B2956" t="str">
            <v>Actual</v>
          </cell>
          <cell r="C2956" t="str">
            <v>Apr</v>
          </cell>
          <cell r="D2956" t="str">
            <v>Chairs</v>
          </cell>
          <cell r="E2956">
            <v>400075.36799999996</v>
          </cell>
          <cell r="F2956">
            <v>4</v>
          </cell>
        </row>
        <row r="2957">
          <cell r="A2957">
            <v>2018</v>
          </cell>
          <cell r="B2957" t="str">
            <v>Budget</v>
          </cell>
          <cell r="C2957" t="str">
            <v>Apr</v>
          </cell>
          <cell r="D2957" t="str">
            <v>Tables</v>
          </cell>
          <cell r="E2957">
            <v>187379.13599999997</v>
          </cell>
          <cell r="F2957">
            <v>4</v>
          </cell>
        </row>
        <row r="2958">
          <cell r="A2958">
            <v>2019</v>
          </cell>
          <cell r="B2958" t="str">
            <v>Actual</v>
          </cell>
          <cell r="C2958" t="str">
            <v>Apr</v>
          </cell>
          <cell r="D2958" t="str">
            <v>Kitchen</v>
          </cell>
          <cell r="E2958">
            <v>144621.56099999999</v>
          </cell>
          <cell r="F2958">
            <v>4</v>
          </cell>
        </row>
        <row r="2959">
          <cell r="A2959">
            <v>2019</v>
          </cell>
          <cell r="B2959" t="str">
            <v>Budget</v>
          </cell>
          <cell r="C2959" t="str">
            <v>Apr</v>
          </cell>
          <cell r="D2959" t="str">
            <v>Chairs</v>
          </cell>
          <cell r="E2959">
            <v>121025.44299999998</v>
          </cell>
          <cell r="F2959">
            <v>4</v>
          </cell>
        </row>
        <row r="2960">
          <cell r="A2960">
            <v>2018</v>
          </cell>
          <cell r="B2960" t="str">
            <v>Actual</v>
          </cell>
          <cell r="C2960" t="str">
            <v>Apr</v>
          </cell>
          <cell r="D2960" t="str">
            <v>Chairs</v>
          </cell>
          <cell r="E2960">
            <v>432349.04299999995</v>
          </cell>
          <cell r="F2960">
            <v>4</v>
          </cell>
        </row>
        <row r="2961">
          <cell r="A2961">
            <v>2018</v>
          </cell>
          <cell r="B2961" t="str">
            <v>Budget</v>
          </cell>
          <cell r="C2961" t="str">
            <v>Apr</v>
          </cell>
          <cell r="D2961" t="str">
            <v>Chairs</v>
          </cell>
          <cell r="E2961">
            <v>217075.65599999999</v>
          </cell>
          <cell r="F2961">
            <v>4</v>
          </cell>
        </row>
        <row r="2962">
          <cell r="A2962">
            <v>2018</v>
          </cell>
          <cell r="B2962" t="str">
            <v>Actual</v>
          </cell>
          <cell r="C2962" t="str">
            <v>Apr</v>
          </cell>
          <cell r="D2962" t="str">
            <v>Tables</v>
          </cell>
          <cell r="E2962">
            <v>474268.68999999994</v>
          </cell>
          <cell r="F2962">
            <v>4</v>
          </cell>
        </row>
        <row r="2963">
          <cell r="A2963">
            <v>2019</v>
          </cell>
          <cell r="B2963" t="str">
            <v>Budget</v>
          </cell>
          <cell r="C2963" t="str">
            <v>Apr</v>
          </cell>
          <cell r="D2963" t="str">
            <v>Kitchen</v>
          </cell>
          <cell r="E2963">
            <v>82454.392999999996</v>
          </cell>
          <cell r="F2963">
            <v>4</v>
          </cell>
        </row>
        <row r="2964">
          <cell r="A2964">
            <v>2018</v>
          </cell>
          <cell r="B2964" t="str">
            <v>Actual</v>
          </cell>
          <cell r="C2964" t="str">
            <v>Apr</v>
          </cell>
          <cell r="D2964" t="str">
            <v>Chairs</v>
          </cell>
          <cell r="E2964">
            <v>127363.10999999999</v>
          </cell>
          <cell r="F2964">
            <v>4</v>
          </cell>
        </row>
        <row r="2965">
          <cell r="A2965">
            <v>2018</v>
          </cell>
          <cell r="B2965" t="str">
            <v>Budget</v>
          </cell>
          <cell r="C2965" t="str">
            <v>Apr</v>
          </cell>
          <cell r="D2965" t="str">
            <v>Chairs</v>
          </cell>
          <cell r="E2965">
            <v>33017.523000000001</v>
          </cell>
          <cell r="F2965">
            <v>4</v>
          </cell>
        </row>
        <row r="2966">
          <cell r="A2966">
            <v>2018</v>
          </cell>
          <cell r="B2966" t="str">
            <v>Actual</v>
          </cell>
          <cell r="C2966" t="str">
            <v>Apr</v>
          </cell>
          <cell r="D2966" t="str">
            <v>Tables</v>
          </cell>
          <cell r="E2966">
            <v>37507.932000000001</v>
          </cell>
          <cell r="F2966">
            <v>4</v>
          </cell>
        </row>
        <row r="2967">
          <cell r="A2967">
            <v>2018</v>
          </cell>
          <cell r="B2967" t="str">
            <v>Budget</v>
          </cell>
          <cell r="C2967" t="str">
            <v>Apr</v>
          </cell>
          <cell r="D2967" t="str">
            <v>Kitchen</v>
          </cell>
          <cell r="E2967">
            <v>394960.08299999993</v>
          </cell>
          <cell r="F2967">
            <v>4</v>
          </cell>
        </row>
        <row r="2968">
          <cell r="A2968">
            <v>2018</v>
          </cell>
          <cell r="B2968" t="str">
            <v>Actual</v>
          </cell>
          <cell r="C2968" t="str">
            <v>Apr</v>
          </cell>
          <cell r="D2968" t="str">
            <v>Chairs</v>
          </cell>
          <cell r="E2968">
            <v>50286.572</v>
          </cell>
          <cell r="F2968">
            <v>4</v>
          </cell>
        </row>
        <row r="2969">
          <cell r="A2969">
            <v>2018</v>
          </cell>
          <cell r="B2969" t="str">
            <v>Budget</v>
          </cell>
          <cell r="C2969" t="str">
            <v>Apr</v>
          </cell>
          <cell r="D2969" t="str">
            <v>Chairs</v>
          </cell>
          <cell r="E2969">
            <v>34694.057999999997</v>
          </cell>
          <cell r="F2969">
            <v>4</v>
          </cell>
        </row>
        <row r="2970">
          <cell r="A2970">
            <v>2019</v>
          </cell>
          <cell r="B2970" t="str">
            <v>Actual</v>
          </cell>
          <cell r="C2970" t="str">
            <v>Apr</v>
          </cell>
          <cell r="D2970" t="str">
            <v>Tables</v>
          </cell>
          <cell r="E2970">
            <v>99196.50999999998</v>
          </cell>
          <cell r="F2970">
            <v>4</v>
          </cell>
        </row>
        <row r="2971">
          <cell r="A2971">
            <v>2018</v>
          </cell>
          <cell r="B2971" t="str">
            <v>Budget</v>
          </cell>
          <cell r="C2971" t="str">
            <v>Apr</v>
          </cell>
          <cell r="D2971" t="str">
            <v>Chairs</v>
          </cell>
          <cell r="E2971">
            <v>137055.149</v>
          </cell>
          <cell r="F2971">
            <v>4</v>
          </cell>
        </row>
        <row r="2972">
          <cell r="A2972">
            <v>2019</v>
          </cell>
          <cell r="B2972" t="str">
            <v>Actual</v>
          </cell>
          <cell r="C2972" t="str">
            <v>Apr</v>
          </cell>
          <cell r="D2972" t="str">
            <v>Tables</v>
          </cell>
          <cell r="E2972">
            <v>276871.15399999998</v>
          </cell>
          <cell r="F2972">
            <v>4</v>
          </cell>
        </row>
        <row r="2973">
          <cell r="A2973">
            <v>2019</v>
          </cell>
          <cell r="B2973" t="str">
            <v>Budget</v>
          </cell>
          <cell r="C2973" t="str">
            <v>Apr</v>
          </cell>
          <cell r="D2973" t="str">
            <v>Kitchen</v>
          </cell>
          <cell r="E2973">
            <v>169654.8</v>
          </cell>
          <cell r="F2973">
            <v>4</v>
          </cell>
        </row>
        <row r="2974">
          <cell r="A2974">
            <v>2019</v>
          </cell>
          <cell r="B2974" t="str">
            <v>Actual</v>
          </cell>
          <cell r="C2974" t="str">
            <v>Apr</v>
          </cell>
          <cell r="D2974" t="str">
            <v>Accessories</v>
          </cell>
          <cell r="E2974">
            <v>534363.33299999998</v>
          </cell>
          <cell r="F2974">
            <v>4</v>
          </cell>
        </row>
        <row r="2975">
          <cell r="A2975">
            <v>2018</v>
          </cell>
          <cell r="B2975" t="str">
            <v>Budget</v>
          </cell>
          <cell r="C2975" t="str">
            <v>Apr</v>
          </cell>
          <cell r="D2975" t="str">
            <v>Chairs</v>
          </cell>
          <cell r="E2975">
            <v>106770.95099999999</v>
          </cell>
          <cell r="F2975">
            <v>4</v>
          </cell>
        </row>
        <row r="2976">
          <cell r="A2976">
            <v>2019</v>
          </cell>
          <cell r="B2976" t="str">
            <v>Actual</v>
          </cell>
          <cell r="C2976" t="str">
            <v>Apr</v>
          </cell>
          <cell r="D2976" t="str">
            <v>Tables</v>
          </cell>
          <cell r="E2976">
            <v>415273.94299999997</v>
          </cell>
          <cell r="F2976">
            <v>4</v>
          </cell>
        </row>
        <row r="2977">
          <cell r="A2977">
            <v>2018</v>
          </cell>
          <cell r="B2977" t="str">
            <v>Budget</v>
          </cell>
          <cell r="C2977" t="str">
            <v>Apr</v>
          </cell>
          <cell r="D2977" t="str">
            <v>Kitchen</v>
          </cell>
          <cell r="E2977">
            <v>282430.44899999996</v>
          </cell>
          <cell r="F2977">
            <v>4</v>
          </cell>
        </row>
        <row r="2978">
          <cell r="A2978">
            <v>2019</v>
          </cell>
          <cell r="B2978" t="str">
            <v>Actual</v>
          </cell>
          <cell r="C2978" t="str">
            <v>Apr</v>
          </cell>
          <cell r="D2978" t="str">
            <v>Accessories</v>
          </cell>
          <cell r="E2978">
            <v>254555.33599999998</v>
          </cell>
          <cell r="F2978">
            <v>4</v>
          </cell>
        </row>
        <row r="2979">
          <cell r="A2979">
            <v>2019</v>
          </cell>
          <cell r="B2979" t="str">
            <v>Budget</v>
          </cell>
          <cell r="C2979" t="str">
            <v>Apr</v>
          </cell>
          <cell r="D2979" t="str">
            <v>Chairs</v>
          </cell>
          <cell r="E2979">
            <v>14607.298999999999</v>
          </cell>
          <cell r="F2979">
            <v>4</v>
          </cell>
        </row>
        <row r="2980">
          <cell r="A2980">
            <v>2019</v>
          </cell>
          <cell r="B2980" t="str">
            <v>Actual</v>
          </cell>
          <cell r="C2980" t="str">
            <v>Apr</v>
          </cell>
          <cell r="D2980" t="str">
            <v>Tables</v>
          </cell>
          <cell r="E2980">
            <v>207192.08299999998</v>
          </cell>
          <cell r="F2980">
            <v>4</v>
          </cell>
        </row>
        <row r="2981">
          <cell r="A2981">
            <v>2019</v>
          </cell>
          <cell r="B2981" t="str">
            <v>Budget</v>
          </cell>
          <cell r="C2981" t="str">
            <v>Apr</v>
          </cell>
          <cell r="D2981" t="str">
            <v>Kitchen</v>
          </cell>
          <cell r="E2981">
            <v>725101.29999999993</v>
          </cell>
          <cell r="F2981">
            <v>4</v>
          </cell>
        </row>
        <row r="2982">
          <cell r="A2982">
            <v>2019</v>
          </cell>
          <cell r="B2982" t="str">
            <v>Actual</v>
          </cell>
          <cell r="C2982" t="str">
            <v>Apr</v>
          </cell>
          <cell r="D2982" t="str">
            <v>Accessories</v>
          </cell>
          <cell r="E2982">
            <v>199435.24299999999</v>
          </cell>
          <cell r="F2982">
            <v>4</v>
          </cell>
        </row>
        <row r="2983">
          <cell r="A2983">
            <v>2019</v>
          </cell>
          <cell r="B2983" t="str">
            <v>Budget</v>
          </cell>
          <cell r="C2983" t="str">
            <v>Apr</v>
          </cell>
          <cell r="D2983" t="str">
            <v>Chairs</v>
          </cell>
          <cell r="E2983">
            <v>39596.241999999998</v>
          </cell>
          <cell r="F2983">
            <v>4</v>
          </cell>
        </row>
        <row r="2984">
          <cell r="A2984">
            <v>2018</v>
          </cell>
          <cell r="B2984" t="str">
            <v>Actual</v>
          </cell>
          <cell r="C2984" t="str">
            <v>Apr</v>
          </cell>
          <cell r="D2984" t="str">
            <v>Tables</v>
          </cell>
          <cell r="E2984">
            <v>32074.713999999996</v>
          </cell>
          <cell r="F2984">
            <v>4</v>
          </cell>
        </row>
        <row r="2985">
          <cell r="A2985">
            <v>2018</v>
          </cell>
          <cell r="B2985" t="str">
            <v>Budget</v>
          </cell>
          <cell r="C2985" t="str">
            <v>Apr</v>
          </cell>
          <cell r="D2985" t="str">
            <v>Kitchen</v>
          </cell>
          <cell r="E2985">
            <v>2897.6149999999998</v>
          </cell>
          <cell r="F2985">
            <v>4</v>
          </cell>
        </row>
        <row r="2986">
          <cell r="A2986">
            <v>2019</v>
          </cell>
          <cell r="B2986" t="str">
            <v>Actual</v>
          </cell>
          <cell r="C2986" t="str">
            <v>Apr</v>
          </cell>
          <cell r="D2986" t="str">
            <v>Accessories</v>
          </cell>
          <cell r="E2986">
            <v>33308.869999999995</v>
          </cell>
          <cell r="F2986">
            <v>4</v>
          </cell>
        </row>
        <row r="2987">
          <cell r="A2987">
            <v>2019</v>
          </cell>
          <cell r="B2987" t="str">
            <v>Budget</v>
          </cell>
          <cell r="C2987" t="str">
            <v>Apr</v>
          </cell>
          <cell r="D2987" t="str">
            <v>Chairs</v>
          </cell>
          <cell r="E2987">
            <v>322527.31</v>
          </cell>
          <cell r="F2987">
            <v>4</v>
          </cell>
        </row>
        <row r="2988">
          <cell r="A2988">
            <v>2019</v>
          </cell>
          <cell r="B2988" t="str">
            <v>Actual</v>
          </cell>
          <cell r="C2988" t="str">
            <v>Apr</v>
          </cell>
          <cell r="D2988" t="str">
            <v>Chairs</v>
          </cell>
          <cell r="E2988">
            <v>86728.00499999999</v>
          </cell>
          <cell r="F2988">
            <v>4</v>
          </cell>
        </row>
        <row r="2989">
          <cell r="A2989">
            <v>2019</v>
          </cell>
          <cell r="B2989" t="str">
            <v>Budget</v>
          </cell>
          <cell r="C2989" t="str">
            <v>Apr</v>
          </cell>
          <cell r="D2989" t="str">
            <v>Tables</v>
          </cell>
          <cell r="E2989">
            <v>610696.83499999996</v>
          </cell>
          <cell r="F2989">
            <v>4</v>
          </cell>
        </row>
        <row r="2990">
          <cell r="A2990">
            <v>2019</v>
          </cell>
          <cell r="B2990" t="str">
            <v>Actual</v>
          </cell>
          <cell r="C2990" t="str">
            <v>Apr</v>
          </cell>
          <cell r="D2990" t="str">
            <v>Kitchen</v>
          </cell>
          <cell r="E2990">
            <v>37792.166999999994</v>
          </cell>
          <cell r="F2990">
            <v>4</v>
          </cell>
        </row>
        <row r="2991">
          <cell r="A2991">
            <v>2019</v>
          </cell>
          <cell r="B2991" t="str">
            <v>Budget</v>
          </cell>
          <cell r="C2991" t="str">
            <v>Apr</v>
          </cell>
          <cell r="D2991" t="str">
            <v>Chairs</v>
          </cell>
          <cell r="E2991">
            <v>201121.22100000002</v>
          </cell>
          <cell r="F2991">
            <v>4</v>
          </cell>
        </row>
        <row r="2992">
          <cell r="A2992">
            <v>2019</v>
          </cell>
          <cell r="B2992" t="str">
            <v>Actual</v>
          </cell>
          <cell r="C2992" t="str">
            <v>Apr</v>
          </cell>
          <cell r="D2992" t="str">
            <v>Tables</v>
          </cell>
          <cell r="E2992">
            <v>26111.455999999998</v>
          </cell>
          <cell r="F2992">
            <v>4</v>
          </cell>
        </row>
        <row r="2993">
          <cell r="A2993">
            <v>2019</v>
          </cell>
          <cell r="B2993" t="str">
            <v>Budget</v>
          </cell>
          <cell r="C2993" t="str">
            <v>Apr</v>
          </cell>
          <cell r="D2993" t="str">
            <v>Kitchen</v>
          </cell>
          <cell r="E2993">
            <v>56071.070999999996</v>
          </cell>
          <cell r="F2993">
            <v>4</v>
          </cell>
        </row>
        <row r="2994">
          <cell r="A2994">
            <v>2019</v>
          </cell>
          <cell r="B2994" t="str">
            <v>Actual</v>
          </cell>
          <cell r="C2994" t="str">
            <v>Apr</v>
          </cell>
          <cell r="D2994" t="str">
            <v>Chairs</v>
          </cell>
          <cell r="E2994">
            <v>134588.94399999999</v>
          </cell>
          <cell r="F2994">
            <v>4</v>
          </cell>
        </row>
        <row r="2995">
          <cell r="A2995">
            <v>2018</v>
          </cell>
          <cell r="B2995" t="str">
            <v>Budget</v>
          </cell>
          <cell r="C2995" t="str">
            <v>Apr</v>
          </cell>
          <cell r="D2995" t="str">
            <v>Tables</v>
          </cell>
          <cell r="E2995">
            <v>49761.522999999994</v>
          </cell>
          <cell r="F2995">
            <v>4</v>
          </cell>
        </row>
        <row r="2996">
          <cell r="A2996">
            <v>2019</v>
          </cell>
          <cell r="B2996" t="str">
            <v>Actual</v>
          </cell>
          <cell r="C2996" t="str">
            <v>Apr</v>
          </cell>
          <cell r="D2996" t="str">
            <v>Kitchen</v>
          </cell>
          <cell r="E2996">
            <v>75705.069999999992</v>
          </cell>
          <cell r="F2996">
            <v>4</v>
          </cell>
        </row>
        <row r="2997">
          <cell r="A2997">
            <v>2018</v>
          </cell>
          <cell r="B2997" t="str">
            <v>Budget</v>
          </cell>
          <cell r="C2997" t="str">
            <v>Apr</v>
          </cell>
          <cell r="D2997" t="str">
            <v>Chairs</v>
          </cell>
          <cell r="E2997">
            <v>94768.442999999985</v>
          </cell>
          <cell r="F2997">
            <v>4</v>
          </cell>
        </row>
        <row r="2998">
          <cell r="A2998">
            <v>2018</v>
          </cell>
          <cell r="B2998" t="str">
            <v>Actual</v>
          </cell>
          <cell r="C2998" t="str">
            <v>Apr</v>
          </cell>
          <cell r="D2998" t="str">
            <v>Chairs</v>
          </cell>
          <cell r="E2998">
            <v>78623.797000000006</v>
          </cell>
          <cell r="F2998">
            <v>4</v>
          </cell>
        </row>
        <row r="2999">
          <cell r="A2999">
            <v>2018</v>
          </cell>
          <cell r="B2999" t="str">
            <v>Budget</v>
          </cell>
          <cell r="C2999" t="str">
            <v>Apr</v>
          </cell>
          <cell r="D2999" t="str">
            <v>Chairs</v>
          </cell>
          <cell r="E2999">
            <v>154594.321</v>
          </cell>
          <cell r="F2999">
            <v>4</v>
          </cell>
        </row>
        <row r="3000">
          <cell r="A3000">
            <v>2019</v>
          </cell>
          <cell r="B3000" t="str">
            <v>Actual</v>
          </cell>
          <cell r="C3000" t="str">
            <v>Apr</v>
          </cell>
          <cell r="D3000" t="str">
            <v>Chairs</v>
          </cell>
          <cell r="E3000">
            <v>1504463.709</v>
          </cell>
          <cell r="F3000">
            <v>4</v>
          </cell>
        </row>
        <row r="3001">
          <cell r="A3001">
            <v>2019</v>
          </cell>
          <cell r="B3001" t="str">
            <v>Budget</v>
          </cell>
          <cell r="C3001" t="str">
            <v>Apr</v>
          </cell>
          <cell r="D3001" t="str">
            <v>Chairs</v>
          </cell>
          <cell r="E3001">
            <v>2509030.139</v>
          </cell>
          <cell r="F3001">
            <v>4</v>
          </cell>
        </row>
        <row r="3002">
          <cell r="A3002">
            <v>2019</v>
          </cell>
          <cell r="B3002" t="str">
            <v>Actual</v>
          </cell>
          <cell r="C3002" t="str">
            <v>Apr</v>
          </cell>
          <cell r="D3002" t="str">
            <v>Chairs</v>
          </cell>
          <cell r="E3002">
            <v>32722.332999999999</v>
          </cell>
          <cell r="F3002">
            <v>4</v>
          </cell>
        </row>
        <row r="3003">
          <cell r="A3003">
            <v>2018</v>
          </cell>
          <cell r="B3003" t="str">
            <v>Budget</v>
          </cell>
          <cell r="C3003" t="str">
            <v>Apr</v>
          </cell>
          <cell r="D3003" t="str">
            <v>Chairs</v>
          </cell>
          <cell r="E3003">
            <v>146082.94399999999</v>
          </cell>
          <cell r="F3003">
            <v>4</v>
          </cell>
        </row>
        <row r="3004">
          <cell r="A3004">
            <v>2018</v>
          </cell>
          <cell r="B3004" t="str">
            <v>Actual</v>
          </cell>
          <cell r="C3004" t="str">
            <v>Apr</v>
          </cell>
          <cell r="D3004" t="str">
            <v>Chairs</v>
          </cell>
          <cell r="E3004">
            <v>58092.993000000002</v>
          </cell>
          <cell r="F3004">
            <v>4</v>
          </cell>
        </row>
        <row r="3005">
          <cell r="A3005">
            <v>2018</v>
          </cell>
          <cell r="B3005" t="str">
            <v>Budget</v>
          </cell>
          <cell r="C3005" t="str">
            <v>Apr</v>
          </cell>
          <cell r="D3005" t="str">
            <v>Chairs</v>
          </cell>
          <cell r="E3005">
            <v>26149.402999999998</v>
          </cell>
          <cell r="F3005">
            <v>4</v>
          </cell>
        </row>
        <row r="3006">
          <cell r="A3006">
            <v>2019</v>
          </cell>
          <cell r="B3006" t="str">
            <v>Actual</v>
          </cell>
          <cell r="C3006" t="str">
            <v>Apr</v>
          </cell>
          <cell r="D3006" t="str">
            <v>Chairs</v>
          </cell>
          <cell r="E3006">
            <v>249989.94999999998</v>
          </cell>
          <cell r="F3006">
            <v>4</v>
          </cell>
        </row>
        <row r="3007">
          <cell r="A3007">
            <v>2019</v>
          </cell>
          <cell r="B3007" t="str">
            <v>Budget</v>
          </cell>
          <cell r="C3007" t="str">
            <v>Apr</v>
          </cell>
          <cell r="D3007" t="str">
            <v>Chairs</v>
          </cell>
          <cell r="E3007">
            <v>588728.35699999996</v>
          </cell>
          <cell r="F3007">
            <v>4</v>
          </cell>
        </row>
        <row r="3008">
          <cell r="A3008">
            <v>2019</v>
          </cell>
          <cell r="B3008" t="str">
            <v>Actual</v>
          </cell>
          <cell r="C3008" t="str">
            <v>Apr</v>
          </cell>
          <cell r="D3008" t="str">
            <v>Chairs</v>
          </cell>
          <cell r="E3008">
            <v>817280.84199999995</v>
          </cell>
          <cell r="F3008">
            <v>4</v>
          </cell>
        </row>
        <row r="3009">
          <cell r="A3009">
            <v>2019</v>
          </cell>
          <cell r="B3009" t="str">
            <v>Budget</v>
          </cell>
          <cell r="C3009" t="str">
            <v>Apr</v>
          </cell>
          <cell r="D3009" t="str">
            <v>Chairs</v>
          </cell>
          <cell r="E3009">
            <v>897026.20699999994</v>
          </cell>
          <cell r="F3009">
            <v>4</v>
          </cell>
        </row>
        <row r="3010">
          <cell r="A3010">
            <v>2018</v>
          </cell>
          <cell r="B3010" t="str">
            <v>Actual</v>
          </cell>
          <cell r="C3010" t="str">
            <v>Apr</v>
          </cell>
          <cell r="D3010" t="str">
            <v>Chairs</v>
          </cell>
          <cell r="E3010">
            <v>710175.76</v>
          </cell>
          <cell r="F3010">
            <v>4</v>
          </cell>
        </row>
        <row r="3011">
          <cell r="A3011">
            <v>2018</v>
          </cell>
          <cell r="B3011" t="str">
            <v>Budget</v>
          </cell>
          <cell r="C3011" t="str">
            <v>Apr</v>
          </cell>
          <cell r="D3011" t="str">
            <v>Chairs</v>
          </cell>
          <cell r="E3011">
            <v>6126.701</v>
          </cell>
          <cell r="F3011">
            <v>4</v>
          </cell>
        </row>
        <row r="3012">
          <cell r="A3012">
            <v>2019</v>
          </cell>
          <cell r="B3012" t="str">
            <v>Actual</v>
          </cell>
          <cell r="C3012" t="str">
            <v>Apr</v>
          </cell>
          <cell r="D3012" t="str">
            <v>Chairs</v>
          </cell>
          <cell r="E3012">
            <v>608922.83899999992</v>
          </cell>
          <cell r="F3012">
            <v>4</v>
          </cell>
        </row>
        <row r="3013">
          <cell r="A3013">
            <v>2018</v>
          </cell>
          <cell r="B3013" t="str">
            <v>Budget</v>
          </cell>
          <cell r="C3013" t="str">
            <v>Apr</v>
          </cell>
          <cell r="D3013" t="str">
            <v>Chairs</v>
          </cell>
          <cell r="E3013">
            <v>5000.1980000000003</v>
          </cell>
          <cell r="F3013">
            <v>4</v>
          </cell>
        </row>
        <row r="3014">
          <cell r="A3014">
            <v>2019</v>
          </cell>
          <cell r="B3014" t="str">
            <v>Actual</v>
          </cell>
          <cell r="C3014" t="str">
            <v>Apr</v>
          </cell>
          <cell r="D3014" t="str">
            <v>Chairs</v>
          </cell>
          <cell r="E3014">
            <v>83584.745999999999</v>
          </cell>
          <cell r="F3014">
            <v>4</v>
          </cell>
        </row>
        <row r="3015">
          <cell r="A3015">
            <v>2019</v>
          </cell>
          <cell r="B3015" t="str">
            <v>Budget</v>
          </cell>
          <cell r="C3015" t="str">
            <v>Apr</v>
          </cell>
          <cell r="D3015" t="str">
            <v>Chairs</v>
          </cell>
          <cell r="E3015">
            <v>423453.53399999999</v>
          </cell>
          <cell r="F3015">
            <v>4</v>
          </cell>
        </row>
        <row r="3016">
          <cell r="A3016">
            <v>2018</v>
          </cell>
          <cell r="B3016" t="str">
            <v>Actual</v>
          </cell>
          <cell r="C3016" t="str">
            <v>Apr</v>
          </cell>
          <cell r="D3016" t="str">
            <v>Chairs</v>
          </cell>
          <cell r="E3016">
            <v>432252.35199999996</v>
          </cell>
          <cell r="F3016">
            <v>4</v>
          </cell>
        </row>
        <row r="3017">
          <cell r="A3017">
            <v>2018</v>
          </cell>
          <cell r="B3017" t="str">
            <v>Budget</v>
          </cell>
          <cell r="C3017" t="str">
            <v>Apr</v>
          </cell>
          <cell r="D3017" t="str">
            <v>Chairs</v>
          </cell>
          <cell r="E3017">
            <v>1295809.942</v>
          </cell>
          <cell r="F3017">
            <v>4</v>
          </cell>
        </row>
        <row r="3018">
          <cell r="A3018">
            <v>2018</v>
          </cell>
          <cell r="B3018" t="str">
            <v>Actual</v>
          </cell>
          <cell r="C3018" t="str">
            <v>Apr</v>
          </cell>
          <cell r="D3018" t="str">
            <v>Chairs</v>
          </cell>
          <cell r="E3018">
            <v>125209.90999999999</v>
          </cell>
          <cell r="F3018">
            <v>4</v>
          </cell>
        </row>
        <row r="3019">
          <cell r="A3019">
            <v>2019</v>
          </cell>
          <cell r="B3019" t="str">
            <v>Budget</v>
          </cell>
          <cell r="C3019" t="str">
            <v>Apr</v>
          </cell>
          <cell r="D3019" t="str">
            <v>Chairs</v>
          </cell>
          <cell r="E3019">
            <v>69241.122999999992</v>
          </cell>
          <cell r="F3019">
            <v>4</v>
          </cell>
        </row>
        <row r="3020">
          <cell r="A3020">
            <v>2019</v>
          </cell>
          <cell r="B3020" t="str">
            <v>Actual</v>
          </cell>
          <cell r="C3020" t="str">
            <v>Apr</v>
          </cell>
          <cell r="D3020" t="str">
            <v>Chairs</v>
          </cell>
          <cell r="E3020">
            <v>460689.467</v>
          </cell>
          <cell r="F3020">
            <v>4</v>
          </cell>
        </row>
        <row r="3021">
          <cell r="A3021">
            <v>2018</v>
          </cell>
          <cell r="B3021" t="str">
            <v>Budget</v>
          </cell>
          <cell r="C3021" t="str">
            <v>Apr</v>
          </cell>
          <cell r="D3021" t="str">
            <v>Chairs</v>
          </cell>
          <cell r="E3021">
            <v>247800.94499999998</v>
          </cell>
          <cell r="F3021">
            <v>4</v>
          </cell>
        </row>
        <row r="3022">
          <cell r="A3022">
            <v>2018</v>
          </cell>
          <cell r="B3022" t="str">
            <v>Actual</v>
          </cell>
          <cell r="C3022" t="str">
            <v>Apr</v>
          </cell>
          <cell r="D3022" t="str">
            <v>Chairs</v>
          </cell>
          <cell r="E3022">
            <v>501435.90699999995</v>
          </cell>
          <cell r="F3022">
            <v>4</v>
          </cell>
        </row>
        <row r="3023">
          <cell r="A3023">
            <v>2018</v>
          </cell>
          <cell r="B3023" t="str">
            <v>Budget</v>
          </cell>
          <cell r="C3023" t="str">
            <v>Apr</v>
          </cell>
          <cell r="D3023" t="str">
            <v>Tables</v>
          </cell>
          <cell r="E3023">
            <v>99600.332999999999</v>
          </cell>
          <cell r="F3023">
            <v>4</v>
          </cell>
        </row>
        <row r="3024">
          <cell r="A3024">
            <v>2019</v>
          </cell>
          <cell r="B3024" t="str">
            <v>Actual</v>
          </cell>
          <cell r="C3024" t="str">
            <v>Apr</v>
          </cell>
          <cell r="D3024" t="str">
            <v>Kitchen</v>
          </cell>
          <cell r="E3024">
            <v>64982.12</v>
          </cell>
          <cell r="F3024">
            <v>4</v>
          </cell>
        </row>
        <row r="3025">
          <cell r="A3025">
            <v>2019</v>
          </cell>
          <cell r="B3025" t="str">
            <v>Budget</v>
          </cell>
          <cell r="C3025" t="str">
            <v>Apr</v>
          </cell>
          <cell r="D3025" t="str">
            <v>Chairs</v>
          </cell>
          <cell r="E3025">
            <v>606062.56200000003</v>
          </cell>
          <cell r="F3025">
            <v>4</v>
          </cell>
        </row>
        <row r="3026">
          <cell r="A3026">
            <v>2018</v>
          </cell>
          <cell r="B3026" t="str">
            <v>Actual</v>
          </cell>
          <cell r="C3026" t="str">
            <v>Apr</v>
          </cell>
          <cell r="D3026" t="str">
            <v>Chairs</v>
          </cell>
          <cell r="E3026">
            <v>375698.141</v>
          </cell>
          <cell r="F3026">
            <v>4</v>
          </cell>
        </row>
        <row r="3027">
          <cell r="A3027">
            <v>2019</v>
          </cell>
          <cell r="B3027" t="str">
            <v>Budget</v>
          </cell>
          <cell r="C3027" t="str">
            <v>Apr</v>
          </cell>
          <cell r="D3027" t="str">
            <v>Chairs</v>
          </cell>
          <cell r="E3027">
            <v>33689.074999999997</v>
          </cell>
          <cell r="F3027">
            <v>4</v>
          </cell>
        </row>
        <row r="3028">
          <cell r="A3028">
            <v>2019</v>
          </cell>
          <cell r="B3028" t="str">
            <v>Actual</v>
          </cell>
          <cell r="C3028" t="str">
            <v>Apr</v>
          </cell>
          <cell r="D3028" t="str">
            <v>Chairs</v>
          </cell>
          <cell r="E3028">
            <v>102149.48099999999</v>
          </cell>
          <cell r="F3028">
            <v>4</v>
          </cell>
        </row>
        <row r="3029">
          <cell r="A3029">
            <v>2018</v>
          </cell>
          <cell r="B3029" t="str">
            <v>Budget</v>
          </cell>
          <cell r="C3029" t="str">
            <v>Apr</v>
          </cell>
          <cell r="D3029" t="str">
            <v>Chairs</v>
          </cell>
          <cell r="E3029">
            <v>296744.02100000001</v>
          </cell>
          <cell r="F3029">
            <v>4</v>
          </cell>
        </row>
        <row r="3030">
          <cell r="A3030">
            <v>2019</v>
          </cell>
          <cell r="B3030" t="str">
            <v>Actual</v>
          </cell>
          <cell r="C3030" t="str">
            <v>Apr</v>
          </cell>
          <cell r="D3030" t="str">
            <v>Tables</v>
          </cell>
          <cell r="E3030">
            <v>24219.755000000001</v>
          </cell>
          <cell r="F3030">
            <v>4</v>
          </cell>
        </row>
        <row r="3031">
          <cell r="A3031">
            <v>2018</v>
          </cell>
          <cell r="B3031" t="str">
            <v>Budget</v>
          </cell>
          <cell r="C3031" t="str">
            <v>Apr</v>
          </cell>
          <cell r="D3031" t="str">
            <v>Kitchen</v>
          </cell>
          <cell r="E3031">
            <v>20.58</v>
          </cell>
          <cell r="F3031">
            <v>4</v>
          </cell>
        </row>
        <row r="3032">
          <cell r="A3032">
            <v>2018</v>
          </cell>
          <cell r="B3032" t="str">
            <v>Actual</v>
          </cell>
          <cell r="C3032" t="str">
            <v>Apr</v>
          </cell>
          <cell r="D3032" t="str">
            <v>Chairs</v>
          </cell>
          <cell r="E3032">
            <v>-1589519.3579999998</v>
          </cell>
          <cell r="F3032">
            <v>4</v>
          </cell>
        </row>
        <row r="3033">
          <cell r="A3033">
            <v>2018</v>
          </cell>
          <cell r="B3033" t="str">
            <v>Budget</v>
          </cell>
          <cell r="C3033" t="str">
            <v>Apr</v>
          </cell>
          <cell r="D3033" t="str">
            <v>Chairs</v>
          </cell>
          <cell r="E3033">
            <v>-132463.261</v>
          </cell>
          <cell r="F3033">
            <v>4</v>
          </cell>
        </row>
        <row r="3034">
          <cell r="A3034">
            <v>2019</v>
          </cell>
          <cell r="B3034" t="str">
            <v>Actual</v>
          </cell>
          <cell r="C3034" t="str">
            <v>Apr</v>
          </cell>
          <cell r="D3034" t="str">
            <v>Chairs</v>
          </cell>
          <cell r="E3034">
            <v>76767.690999999992</v>
          </cell>
          <cell r="F3034">
            <v>4</v>
          </cell>
        </row>
        <row r="3035">
          <cell r="A3035">
            <v>2018</v>
          </cell>
          <cell r="B3035" t="str">
            <v>Budget</v>
          </cell>
          <cell r="C3035" t="str">
            <v>Apr</v>
          </cell>
          <cell r="D3035" t="str">
            <v>Tables</v>
          </cell>
          <cell r="E3035">
            <v>31765.999999999996</v>
          </cell>
          <cell r="F3035">
            <v>4</v>
          </cell>
        </row>
        <row r="3036">
          <cell r="A3036">
            <v>2018</v>
          </cell>
          <cell r="B3036" t="str">
            <v>Actual</v>
          </cell>
          <cell r="C3036" t="str">
            <v>Apr</v>
          </cell>
          <cell r="D3036" t="str">
            <v>Kitchen</v>
          </cell>
          <cell r="E3036">
            <v>108309.103</v>
          </cell>
          <cell r="F3036">
            <v>4</v>
          </cell>
        </row>
        <row r="3037">
          <cell r="A3037">
            <v>2019</v>
          </cell>
          <cell r="B3037" t="str">
            <v>Budget</v>
          </cell>
          <cell r="C3037" t="str">
            <v>Apr</v>
          </cell>
          <cell r="D3037" t="str">
            <v>Chairs</v>
          </cell>
          <cell r="E3037">
            <v>12182.897999999999</v>
          </cell>
          <cell r="F3037">
            <v>4</v>
          </cell>
        </row>
        <row r="3038">
          <cell r="A3038">
            <v>2018</v>
          </cell>
          <cell r="B3038" t="str">
            <v>Actual</v>
          </cell>
          <cell r="C3038" t="str">
            <v>Apr</v>
          </cell>
          <cell r="D3038" t="str">
            <v>Chairs</v>
          </cell>
          <cell r="E3038">
            <v>16631.041000000001</v>
          </cell>
          <cell r="F3038">
            <v>4</v>
          </cell>
        </row>
        <row r="3039">
          <cell r="A3039">
            <v>2019</v>
          </cell>
          <cell r="B3039" t="str">
            <v>Budget</v>
          </cell>
          <cell r="C3039" t="str">
            <v>Apr</v>
          </cell>
          <cell r="D3039" t="str">
            <v>Tables</v>
          </cell>
          <cell r="E3039">
            <v>351453.90700000001</v>
          </cell>
          <cell r="F3039">
            <v>4</v>
          </cell>
        </row>
        <row r="3040">
          <cell r="A3040">
            <v>2019</v>
          </cell>
          <cell r="B3040" t="str">
            <v>Actual</v>
          </cell>
          <cell r="C3040" t="str">
            <v>Apr</v>
          </cell>
          <cell r="D3040" t="str">
            <v>Kitchen</v>
          </cell>
          <cell r="E3040">
            <v>114784.719</v>
          </cell>
          <cell r="F3040">
            <v>4</v>
          </cell>
        </row>
        <row r="3041">
          <cell r="A3041">
            <v>2019</v>
          </cell>
          <cell r="B3041" t="str">
            <v>Budget</v>
          </cell>
          <cell r="C3041" t="str">
            <v>Apr</v>
          </cell>
          <cell r="D3041" t="str">
            <v>Chairs</v>
          </cell>
          <cell r="E3041">
            <v>182136.47199999998</v>
          </cell>
          <cell r="F3041">
            <v>4</v>
          </cell>
        </row>
        <row r="3042">
          <cell r="A3042">
            <v>2018</v>
          </cell>
          <cell r="B3042" t="str">
            <v>Actual</v>
          </cell>
          <cell r="C3042" t="str">
            <v>Apr</v>
          </cell>
          <cell r="D3042" t="str">
            <v>Chairs</v>
          </cell>
          <cell r="E3042">
            <v>2349066.5869999998</v>
          </cell>
          <cell r="F3042">
            <v>4</v>
          </cell>
        </row>
        <row r="3043">
          <cell r="A3043">
            <v>2019</v>
          </cell>
          <cell r="B3043" t="str">
            <v>Budget</v>
          </cell>
          <cell r="C3043" t="str">
            <v>Apr</v>
          </cell>
          <cell r="D3043" t="str">
            <v>Chairs</v>
          </cell>
          <cell r="E3043">
            <v>394759.967</v>
          </cell>
          <cell r="F3043">
            <v>4</v>
          </cell>
        </row>
        <row r="3044">
          <cell r="A3044">
            <v>2018</v>
          </cell>
          <cell r="B3044" t="str">
            <v>Actual</v>
          </cell>
          <cell r="C3044" t="str">
            <v>Apr</v>
          </cell>
          <cell r="D3044" t="str">
            <v>Tables</v>
          </cell>
          <cell r="E3044">
            <v>101726.212</v>
          </cell>
          <cell r="F3044">
            <v>4</v>
          </cell>
        </row>
        <row r="3045">
          <cell r="A3045">
            <v>2018</v>
          </cell>
          <cell r="B3045" t="str">
            <v>Budget</v>
          </cell>
          <cell r="C3045" t="str">
            <v>Apr</v>
          </cell>
          <cell r="D3045" t="str">
            <v>Kitchen</v>
          </cell>
          <cell r="E3045">
            <v>107420.299</v>
          </cell>
          <cell r="F3045">
            <v>4</v>
          </cell>
        </row>
        <row r="3046">
          <cell r="A3046">
            <v>2019</v>
          </cell>
          <cell r="B3046" t="str">
            <v>Actual</v>
          </cell>
          <cell r="C3046" t="str">
            <v>Apr</v>
          </cell>
          <cell r="D3046" t="str">
            <v>Accessories</v>
          </cell>
          <cell r="E3046">
            <v>154307.39799999999</v>
          </cell>
          <cell r="F3046">
            <v>4</v>
          </cell>
        </row>
        <row r="3047">
          <cell r="A3047">
            <v>2019</v>
          </cell>
          <cell r="B3047" t="str">
            <v>Budget</v>
          </cell>
          <cell r="C3047" t="str">
            <v>Apr</v>
          </cell>
          <cell r="D3047" t="str">
            <v>Chairs</v>
          </cell>
          <cell r="E3047">
            <v>532278.41099999996</v>
          </cell>
          <cell r="F3047">
            <v>4</v>
          </cell>
        </row>
        <row r="3048">
          <cell r="A3048">
            <v>2018</v>
          </cell>
          <cell r="B3048" t="str">
            <v>Actual</v>
          </cell>
          <cell r="C3048" t="str">
            <v>Apr</v>
          </cell>
          <cell r="D3048" t="str">
            <v>Tables</v>
          </cell>
          <cell r="E3048">
            <v>37695.545999999995</v>
          </cell>
          <cell r="F3048">
            <v>4</v>
          </cell>
        </row>
        <row r="3049">
          <cell r="A3049">
            <v>2019</v>
          </cell>
          <cell r="B3049" t="str">
            <v>Budget</v>
          </cell>
          <cell r="C3049" t="str">
            <v>Apr</v>
          </cell>
          <cell r="D3049" t="str">
            <v>Kitchen</v>
          </cell>
          <cell r="E3049">
            <v>407576.79899999994</v>
          </cell>
          <cell r="F3049">
            <v>4</v>
          </cell>
        </row>
        <row r="3050">
          <cell r="A3050">
            <v>2019</v>
          </cell>
          <cell r="B3050" t="str">
            <v>Actual</v>
          </cell>
          <cell r="C3050" t="str">
            <v>Apr</v>
          </cell>
          <cell r="D3050" t="str">
            <v>Accessories</v>
          </cell>
          <cell r="E3050">
            <v>241434.91399999999</v>
          </cell>
          <cell r="F3050">
            <v>4</v>
          </cell>
        </row>
        <row r="3051">
          <cell r="A3051">
            <v>2018</v>
          </cell>
          <cell r="B3051" t="str">
            <v>Budget</v>
          </cell>
          <cell r="C3051" t="str">
            <v>Apr</v>
          </cell>
          <cell r="D3051" t="str">
            <v>Chairs</v>
          </cell>
          <cell r="E3051">
            <v>414092.266</v>
          </cell>
          <cell r="F3051">
            <v>4</v>
          </cell>
        </row>
        <row r="3052">
          <cell r="A3052">
            <v>2019</v>
          </cell>
          <cell r="B3052" t="str">
            <v>Actual</v>
          </cell>
          <cell r="C3052" t="str">
            <v>Apr</v>
          </cell>
          <cell r="D3052" t="str">
            <v>Tables</v>
          </cell>
          <cell r="E3052">
            <v>917835.94699999993</v>
          </cell>
          <cell r="F3052">
            <v>4</v>
          </cell>
        </row>
        <row r="3053">
          <cell r="A3053">
            <v>2018</v>
          </cell>
          <cell r="B3053" t="str">
            <v>Budget</v>
          </cell>
          <cell r="C3053" t="str">
            <v>Apr</v>
          </cell>
          <cell r="D3053" t="str">
            <v>Kitchen</v>
          </cell>
          <cell r="E3053">
            <v>750263.61199999985</v>
          </cell>
          <cell r="F3053">
            <v>4</v>
          </cell>
        </row>
        <row r="3054">
          <cell r="A3054">
            <v>2018</v>
          </cell>
          <cell r="B3054" t="str">
            <v>Actual</v>
          </cell>
          <cell r="C3054" t="str">
            <v>Apr</v>
          </cell>
          <cell r="D3054" t="str">
            <v>Accessories</v>
          </cell>
          <cell r="E3054">
            <v>32767.664999999997</v>
          </cell>
          <cell r="F3054">
            <v>4</v>
          </cell>
        </row>
        <row r="3055">
          <cell r="A3055">
            <v>2018</v>
          </cell>
          <cell r="B3055" t="str">
            <v>Budget</v>
          </cell>
          <cell r="C3055" t="str">
            <v>Apr</v>
          </cell>
          <cell r="D3055" t="str">
            <v>Chairs</v>
          </cell>
          <cell r="E3055">
            <v>15644.643</v>
          </cell>
          <cell r="F3055">
            <v>4</v>
          </cell>
        </row>
        <row r="3056">
          <cell r="A3056">
            <v>2019</v>
          </cell>
          <cell r="B3056" t="str">
            <v>Actual</v>
          </cell>
          <cell r="C3056" t="str">
            <v>Apr</v>
          </cell>
          <cell r="D3056" t="str">
            <v>Tables</v>
          </cell>
          <cell r="E3056">
            <v>17852.610999999997</v>
          </cell>
          <cell r="F3056">
            <v>4</v>
          </cell>
        </row>
        <row r="3057">
          <cell r="A3057">
            <v>2019</v>
          </cell>
          <cell r="B3057" t="str">
            <v>Budget</v>
          </cell>
          <cell r="C3057" t="str">
            <v>Apr</v>
          </cell>
          <cell r="D3057" t="str">
            <v>Kitchen</v>
          </cell>
          <cell r="E3057">
            <v>1642101.9719999998</v>
          </cell>
          <cell r="F3057">
            <v>4</v>
          </cell>
        </row>
        <row r="3058">
          <cell r="A3058">
            <v>2018</v>
          </cell>
          <cell r="B3058" t="str">
            <v>Actual</v>
          </cell>
          <cell r="C3058" t="str">
            <v>Apr</v>
          </cell>
          <cell r="D3058" t="str">
            <v>Accessories</v>
          </cell>
          <cell r="E3058">
            <v>178420.66899999999</v>
          </cell>
          <cell r="F3058">
            <v>4</v>
          </cell>
        </row>
        <row r="3059">
          <cell r="A3059">
            <v>2019</v>
          </cell>
          <cell r="B3059" t="str">
            <v>Budget</v>
          </cell>
          <cell r="C3059" t="str">
            <v>Apr</v>
          </cell>
          <cell r="D3059" t="str">
            <v>Chairs</v>
          </cell>
          <cell r="E3059">
            <v>197097.446</v>
          </cell>
          <cell r="F3059">
            <v>4</v>
          </cell>
        </row>
        <row r="3060">
          <cell r="A3060">
            <v>2018</v>
          </cell>
          <cell r="B3060" t="str">
            <v>Actual</v>
          </cell>
          <cell r="C3060" t="str">
            <v>Apr</v>
          </cell>
          <cell r="D3060" t="str">
            <v>Chairs</v>
          </cell>
          <cell r="E3060">
            <v>1319879.4839999999</v>
          </cell>
          <cell r="F3060">
            <v>4</v>
          </cell>
        </row>
        <row r="3061">
          <cell r="A3061">
            <v>2019</v>
          </cell>
          <cell r="B3061" t="str">
            <v>Budget</v>
          </cell>
          <cell r="C3061" t="str">
            <v>Apr</v>
          </cell>
          <cell r="D3061" t="str">
            <v>Tables</v>
          </cell>
          <cell r="E3061">
            <v>477194.01799999998</v>
          </cell>
          <cell r="F3061">
            <v>4</v>
          </cell>
        </row>
        <row r="3062">
          <cell r="A3062">
            <v>2019</v>
          </cell>
          <cell r="B3062" t="str">
            <v>Actual</v>
          </cell>
          <cell r="C3062" t="str">
            <v>Apr</v>
          </cell>
          <cell r="D3062" t="str">
            <v>Kitchen</v>
          </cell>
          <cell r="E3062">
            <v>19227.929</v>
          </cell>
          <cell r="F3062">
            <v>4</v>
          </cell>
        </row>
        <row r="3063">
          <cell r="A3063">
            <v>2019</v>
          </cell>
          <cell r="B3063" t="str">
            <v>Budget</v>
          </cell>
          <cell r="C3063" t="str">
            <v>Apr</v>
          </cell>
          <cell r="D3063" t="str">
            <v>Chairs</v>
          </cell>
          <cell r="E3063">
            <v>414745.723</v>
          </cell>
          <cell r="F3063">
            <v>4</v>
          </cell>
        </row>
        <row r="3064">
          <cell r="A3064">
            <v>2019</v>
          </cell>
          <cell r="B3064" t="str">
            <v>Actual</v>
          </cell>
          <cell r="C3064" t="str">
            <v>Apr</v>
          </cell>
          <cell r="D3064" t="str">
            <v>Tables</v>
          </cell>
          <cell r="E3064">
            <v>1241168.4109999998</v>
          </cell>
          <cell r="F3064">
            <v>4</v>
          </cell>
        </row>
        <row r="3065">
          <cell r="A3065">
            <v>2019</v>
          </cell>
          <cell r="B3065" t="str">
            <v>Budget</v>
          </cell>
          <cell r="C3065" t="str">
            <v>Apr</v>
          </cell>
          <cell r="D3065" t="str">
            <v>Kitchen</v>
          </cell>
          <cell r="E3065">
            <v>192672.87899999996</v>
          </cell>
          <cell r="F3065">
            <v>4</v>
          </cell>
        </row>
        <row r="3066">
          <cell r="A3066">
            <v>2018</v>
          </cell>
          <cell r="B3066" t="str">
            <v>Actual</v>
          </cell>
          <cell r="C3066" t="str">
            <v>Apr</v>
          </cell>
          <cell r="D3066" t="str">
            <v>Chairs</v>
          </cell>
          <cell r="E3066">
            <v>1441984.5020000001</v>
          </cell>
          <cell r="F3066">
            <v>4</v>
          </cell>
        </row>
        <row r="3067">
          <cell r="A3067">
            <v>2019</v>
          </cell>
          <cell r="B3067" t="str">
            <v>Budget</v>
          </cell>
          <cell r="C3067" t="str">
            <v>Apr</v>
          </cell>
          <cell r="D3067" t="str">
            <v>Tables</v>
          </cell>
          <cell r="E3067">
            <v>13657964.523</v>
          </cell>
          <cell r="F3067">
            <v>4</v>
          </cell>
        </row>
        <row r="3068">
          <cell r="A3068">
            <v>2019</v>
          </cell>
          <cell r="B3068" t="str">
            <v>Actual</v>
          </cell>
          <cell r="C3068" t="str">
            <v>Apr</v>
          </cell>
          <cell r="D3068" t="str">
            <v>Kitchen</v>
          </cell>
          <cell r="E3068">
            <v>1103809.182</v>
          </cell>
          <cell r="F3068">
            <v>4</v>
          </cell>
        </row>
        <row r="3069">
          <cell r="A3069">
            <v>2019</v>
          </cell>
          <cell r="B3069" t="str">
            <v>Budget</v>
          </cell>
          <cell r="C3069" t="str">
            <v>Apr</v>
          </cell>
          <cell r="D3069" t="str">
            <v>Chairs</v>
          </cell>
          <cell r="E3069">
            <v>502417.74799999996</v>
          </cell>
          <cell r="F3069">
            <v>4</v>
          </cell>
        </row>
        <row r="3070">
          <cell r="A3070">
            <v>2019</v>
          </cell>
          <cell r="B3070" t="str">
            <v>Actual</v>
          </cell>
          <cell r="C3070" t="str">
            <v>Apr</v>
          </cell>
          <cell r="D3070" t="str">
            <v>Chairs</v>
          </cell>
          <cell r="E3070">
            <v>2362380.6009999998</v>
          </cell>
          <cell r="F3070">
            <v>4</v>
          </cell>
        </row>
        <row r="3071">
          <cell r="A3071">
            <v>2018</v>
          </cell>
          <cell r="B3071" t="str">
            <v>Budget</v>
          </cell>
          <cell r="C3071" t="str">
            <v>Apr</v>
          </cell>
          <cell r="D3071" t="str">
            <v>Chairs</v>
          </cell>
          <cell r="E3071">
            <v>1764238.8819999998</v>
          </cell>
          <cell r="F3071">
            <v>4</v>
          </cell>
        </row>
        <row r="3072">
          <cell r="A3072">
            <v>2019</v>
          </cell>
          <cell r="B3072" t="str">
            <v>Actual</v>
          </cell>
          <cell r="C3072" t="str">
            <v>Apr</v>
          </cell>
          <cell r="D3072" t="str">
            <v>Chairs</v>
          </cell>
          <cell r="E3072">
            <v>1397573.4639999999</v>
          </cell>
          <cell r="F3072">
            <v>4</v>
          </cell>
        </row>
        <row r="3073">
          <cell r="A3073">
            <v>2019</v>
          </cell>
          <cell r="B3073" t="str">
            <v>Budget</v>
          </cell>
          <cell r="C3073" t="str">
            <v>Apr</v>
          </cell>
          <cell r="D3073" t="str">
            <v>Chairs</v>
          </cell>
          <cell r="E3073">
            <v>966697.76699999999</v>
          </cell>
          <cell r="F3073">
            <v>4</v>
          </cell>
        </row>
        <row r="3074">
          <cell r="A3074">
            <v>2019</v>
          </cell>
          <cell r="B3074" t="str">
            <v>Actual</v>
          </cell>
          <cell r="C3074" t="str">
            <v>Apr</v>
          </cell>
          <cell r="D3074" t="str">
            <v>Chairs</v>
          </cell>
          <cell r="E3074">
            <v>209259.323</v>
          </cell>
          <cell r="F3074">
            <v>4</v>
          </cell>
        </row>
        <row r="3075">
          <cell r="A3075">
            <v>2019</v>
          </cell>
          <cell r="B3075" t="str">
            <v>Budget</v>
          </cell>
          <cell r="C3075" t="str">
            <v>Apr</v>
          </cell>
          <cell r="D3075" t="str">
            <v>Chairs</v>
          </cell>
          <cell r="E3075">
            <v>2002865.3259999999</v>
          </cell>
          <cell r="F3075">
            <v>4</v>
          </cell>
        </row>
        <row r="3076">
          <cell r="A3076">
            <v>2018</v>
          </cell>
          <cell r="B3076" t="str">
            <v>Actual</v>
          </cell>
          <cell r="C3076" t="str">
            <v>Apr</v>
          </cell>
          <cell r="D3076" t="str">
            <v>Chairs</v>
          </cell>
          <cell r="E3076">
            <v>820328.3409999999</v>
          </cell>
          <cell r="F3076">
            <v>4</v>
          </cell>
        </row>
        <row r="3077">
          <cell r="A3077">
            <v>2019</v>
          </cell>
          <cell r="B3077" t="str">
            <v>Budget</v>
          </cell>
          <cell r="C3077" t="str">
            <v>Apr</v>
          </cell>
          <cell r="D3077" t="str">
            <v>Chairs</v>
          </cell>
          <cell r="E3077">
            <v>695041.38899999997</v>
          </cell>
          <cell r="F3077">
            <v>4</v>
          </cell>
        </row>
        <row r="3078">
          <cell r="A3078">
            <v>2018</v>
          </cell>
          <cell r="B3078" t="str">
            <v>Actual</v>
          </cell>
          <cell r="C3078" t="str">
            <v>Apr</v>
          </cell>
          <cell r="D3078" t="str">
            <v>Chairs</v>
          </cell>
          <cell r="E3078">
            <v>232378.36999999997</v>
          </cell>
          <cell r="F3078">
            <v>4</v>
          </cell>
        </row>
        <row r="3079">
          <cell r="A3079">
            <v>2018</v>
          </cell>
          <cell r="B3079" t="str">
            <v>Budget</v>
          </cell>
          <cell r="C3079" t="str">
            <v>Apr</v>
          </cell>
          <cell r="D3079" t="str">
            <v>Chairs</v>
          </cell>
          <cell r="E3079">
            <v>1099615.895</v>
          </cell>
          <cell r="F3079">
            <v>4</v>
          </cell>
        </row>
        <row r="3080">
          <cell r="A3080">
            <v>2018</v>
          </cell>
          <cell r="B3080" t="str">
            <v>Actual</v>
          </cell>
          <cell r="C3080" t="str">
            <v>Apr</v>
          </cell>
          <cell r="D3080" t="str">
            <v>Chairs</v>
          </cell>
          <cell r="E3080">
            <v>208099.61199999996</v>
          </cell>
          <cell r="F3080">
            <v>4</v>
          </cell>
        </row>
        <row r="3081">
          <cell r="A3081">
            <v>2019</v>
          </cell>
          <cell r="B3081" t="str">
            <v>Budget</v>
          </cell>
          <cell r="C3081" t="str">
            <v>Apr</v>
          </cell>
          <cell r="D3081" t="str">
            <v>Chairs</v>
          </cell>
          <cell r="E3081">
            <v>412133.44200000004</v>
          </cell>
          <cell r="F3081">
            <v>4</v>
          </cell>
        </row>
        <row r="3082">
          <cell r="A3082">
            <v>2019</v>
          </cell>
          <cell r="B3082" t="str">
            <v>Actual</v>
          </cell>
          <cell r="C3082" t="str">
            <v>Apr</v>
          </cell>
          <cell r="D3082" t="str">
            <v>Chairs</v>
          </cell>
          <cell r="E3082">
            <v>967308.18099999998</v>
          </cell>
          <cell r="F3082">
            <v>4</v>
          </cell>
        </row>
        <row r="3083">
          <cell r="A3083">
            <v>2018</v>
          </cell>
          <cell r="B3083" t="str">
            <v>Budget</v>
          </cell>
          <cell r="C3083" t="str">
            <v>Apr</v>
          </cell>
          <cell r="D3083" t="str">
            <v>Chairs</v>
          </cell>
          <cell r="E3083">
            <v>1702467.1510000001</v>
          </cell>
          <cell r="F3083">
            <v>4</v>
          </cell>
        </row>
        <row r="3084">
          <cell r="A3084">
            <v>2018</v>
          </cell>
          <cell r="B3084" t="str">
            <v>Actual</v>
          </cell>
          <cell r="C3084" t="str">
            <v>Apr</v>
          </cell>
          <cell r="D3084" t="str">
            <v>Chairs</v>
          </cell>
          <cell r="E3084">
            <v>1125976.362</v>
          </cell>
          <cell r="F3084">
            <v>4</v>
          </cell>
        </row>
        <row r="3085">
          <cell r="A3085">
            <v>2018</v>
          </cell>
          <cell r="B3085" t="str">
            <v>Budget</v>
          </cell>
          <cell r="C3085" t="str">
            <v>Apr</v>
          </cell>
          <cell r="D3085" t="str">
            <v>Chairs</v>
          </cell>
          <cell r="E3085">
            <v>2074868.3059999999</v>
          </cell>
          <cell r="F3085">
            <v>4</v>
          </cell>
        </row>
        <row r="3086">
          <cell r="A3086">
            <v>2018</v>
          </cell>
          <cell r="B3086" t="str">
            <v>Actual</v>
          </cell>
          <cell r="C3086" t="str">
            <v>Apr</v>
          </cell>
          <cell r="D3086" t="str">
            <v>Chairs</v>
          </cell>
          <cell r="E3086">
            <v>2629249.0979999998</v>
          </cell>
          <cell r="F3086">
            <v>4</v>
          </cell>
        </row>
        <row r="3087">
          <cell r="A3087">
            <v>2018</v>
          </cell>
          <cell r="B3087" t="str">
            <v>Budget</v>
          </cell>
          <cell r="C3087" t="str">
            <v>Apr</v>
          </cell>
          <cell r="D3087" t="str">
            <v>Chairs</v>
          </cell>
          <cell r="E3087">
            <v>7700800.7649999987</v>
          </cell>
          <cell r="F3087">
            <v>4</v>
          </cell>
        </row>
        <row r="3088">
          <cell r="A3088">
            <v>2018</v>
          </cell>
          <cell r="B3088" t="str">
            <v>Actual</v>
          </cell>
          <cell r="C3088" t="str">
            <v>Apr</v>
          </cell>
          <cell r="D3088" t="str">
            <v>Chairs</v>
          </cell>
          <cell r="E3088">
            <v>430700.94200000004</v>
          </cell>
          <cell r="F3088">
            <v>4</v>
          </cell>
        </row>
        <row r="3089">
          <cell r="A3089">
            <v>2018</v>
          </cell>
          <cell r="B3089" t="str">
            <v>Budget</v>
          </cell>
          <cell r="C3089" t="str">
            <v>Apr</v>
          </cell>
          <cell r="D3089" t="str">
            <v>Chairs</v>
          </cell>
          <cell r="E3089">
            <v>1043107.4289999999</v>
          </cell>
          <cell r="F3089">
            <v>4</v>
          </cell>
        </row>
        <row r="3090">
          <cell r="A3090">
            <v>2019</v>
          </cell>
          <cell r="B3090" t="str">
            <v>Actual</v>
          </cell>
          <cell r="C3090" t="str">
            <v>Apr</v>
          </cell>
          <cell r="D3090" t="str">
            <v>Chairs</v>
          </cell>
          <cell r="E3090">
            <v>387185.95299999998</v>
          </cell>
          <cell r="F3090">
            <v>4</v>
          </cell>
        </row>
        <row r="3091">
          <cell r="A3091">
            <v>2018</v>
          </cell>
          <cell r="B3091" t="str">
            <v>Budget</v>
          </cell>
          <cell r="C3091" t="str">
            <v>Apr</v>
          </cell>
          <cell r="D3091" t="str">
            <v>Chairs</v>
          </cell>
          <cell r="E3091">
            <v>5035560.0469999993</v>
          </cell>
          <cell r="F3091">
            <v>4</v>
          </cell>
        </row>
        <row r="3092">
          <cell r="A3092">
            <v>2019</v>
          </cell>
          <cell r="B3092" t="str">
            <v>Actual</v>
          </cell>
          <cell r="C3092" t="str">
            <v>Apr</v>
          </cell>
          <cell r="D3092" t="str">
            <v>Chairs</v>
          </cell>
          <cell r="E3092">
            <v>135229.745</v>
          </cell>
          <cell r="F3092">
            <v>4</v>
          </cell>
        </row>
        <row r="3093">
          <cell r="A3093">
            <v>2018</v>
          </cell>
          <cell r="B3093" t="str">
            <v>Budget</v>
          </cell>
          <cell r="C3093" t="str">
            <v>Apr</v>
          </cell>
          <cell r="D3093" t="str">
            <v>Chairs</v>
          </cell>
          <cell r="E3093">
            <v>361193.93099999998</v>
          </cell>
          <cell r="F3093">
            <v>4</v>
          </cell>
        </row>
        <row r="3094">
          <cell r="A3094">
            <v>2019</v>
          </cell>
          <cell r="B3094" t="str">
            <v>Actual</v>
          </cell>
          <cell r="C3094" t="str">
            <v>Apr</v>
          </cell>
          <cell r="D3094" t="str">
            <v>Chairs</v>
          </cell>
          <cell r="E3094">
            <v>4085507.1599999997</v>
          </cell>
          <cell r="F3094">
            <v>4</v>
          </cell>
        </row>
        <row r="3095">
          <cell r="A3095">
            <v>2019</v>
          </cell>
          <cell r="B3095" t="str">
            <v>Budget</v>
          </cell>
          <cell r="C3095" t="str">
            <v>Apr</v>
          </cell>
          <cell r="D3095" t="str">
            <v>Tables</v>
          </cell>
          <cell r="E3095">
            <v>1488978.8900000001</v>
          </cell>
          <cell r="F3095">
            <v>4</v>
          </cell>
        </row>
        <row r="3096">
          <cell r="A3096">
            <v>2019</v>
          </cell>
          <cell r="B3096" t="str">
            <v>Actual</v>
          </cell>
          <cell r="C3096" t="str">
            <v>Apr</v>
          </cell>
          <cell r="D3096" t="str">
            <v>Kitchen</v>
          </cell>
          <cell r="E3096">
            <v>2382860.4169999999</v>
          </cell>
          <cell r="F3096">
            <v>4</v>
          </cell>
        </row>
        <row r="3097">
          <cell r="A3097">
            <v>2019</v>
          </cell>
          <cell r="B3097" t="str">
            <v>Budget</v>
          </cell>
          <cell r="C3097" t="str">
            <v>Apr</v>
          </cell>
          <cell r="D3097" t="str">
            <v>Chairs</v>
          </cell>
          <cell r="E3097">
            <v>129137.58899999998</v>
          </cell>
          <cell r="F3097">
            <v>4</v>
          </cell>
        </row>
        <row r="3098">
          <cell r="A3098">
            <v>2018</v>
          </cell>
          <cell r="B3098" t="str">
            <v>Actual</v>
          </cell>
          <cell r="C3098" t="str">
            <v>Apr</v>
          </cell>
          <cell r="D3098" t="str">
            <v>Chairs</v>
          </cell>
          <cell r="E3098">
            <v>3499783.7419999996</v>
          </cell>
          <cell r="F3098">
            <v>4</v>
          </cell>
        </row>
        <row r="3099">
          <cell r="A3099">
            <v>2019</v>
          </cell>
          <cell r="B3099" t="str">
            <v>Budget</v>
          </cell>
          <cell r="C3099" t="str">
            <v>Apr</v>
          </cell>
          <cell r="D3099" t="str">
            <v>Chairs</v>
          </cell>
          <cell r="E3099">
            <v>708807.29499999993</v>
          </cell>
          <cell r="F3099">
            <v>4</v>
          </cell>
        </row>
        <row r="3100">
          <cell r="A3100">
            <v>2019</v>
          </cell>
          <cell r="B3100" t="str">
            <v>Actual</v>
          </cell>
          <cell r="C3100" t="str">
            <v>Apr</v>
          </cell>
          <cell r="D3100" t="str">
            <v>Chairs</v>
          </cell>
          <cell r="E3100">
            <v>1204270.186</v>
          </cell>
          <cell r="F3100">
            <v>4</v>
          </cell>
        </row>
        <row r="3101">
          <cell r="A3101">
            <v>2018</v>
          </cell>
          <cell r="B3101" t="str">
            <v>Budget</v>
          </cell>
          <cell r="C3101" t="str">
            <v>Apr</v>
          </cell>
          <cell r="D3101" t="str">
            <v>Chairs</v>
          </cell>
          <cell r="E3101">
            <v>1837954.7619999999</v>
          </cell>
          <cell r="F3101">
            <v>4</v>
          </cell>
        </row>
        <row r="3102">
          <cell r="A3102">
            <v>2019</v>
          </cell>
          <cell r="B3102" t="str">
            <v>Actual</v>
          </cell>
          <cell r="C3102" t="str">
            <v>Apr</v>
          </cell>
          <cell r="D3102" t="str">
            <v>Tables</v>
          </cell>
          <cell r="E3102">
            <v>1825112.723</v>
          </cell>
          <cell r="F3102">
            <v>4</v>
          </cell>
        </row>
        <row r="3103">
          <cell r="A3103">
            <v>2018</v>
          </cell>
          <cell r="B3103" t="str">
            <v>Budget</v>
          </cell>
          <cell r="C3103" t="str">
            <v>Apr</v>
          </cell>
          <cell r="D3103" t="str">
            <v>Kitchen</v>
          </cell>
          <cell r="E3103">
            <v>1481406.1709999999</v>
          </cell>
          <cell r="F3103">
            <v>4</v>
          </cell>
        </row>
        <row r="3104">
          <cell r="A3104">
            <v>2019</v>
          </cell>
          <cell r="B3104" t="str">
            <v>Actual</v>
          </cell>
          <cell r="C3104" t="str">
            <v>Apr</v>
          </cell>
          <cell r="D3104" t="str">
            <v>Chairs</v>
          </cell>
          <cell r="E3104">
            <v>2636295.6059999997</v>
          </cell>
          <cell r="F3104">
            <v>4</v>
          </cell>
        </row>
        <row r="3105">
          <cell r="A3105">
            <v>2019</v>
          </cell>
          <cell r="B3105" t="str">
            <v>Budget</v>
          </cell>
          <cell r="C3105" t="str">
            <v>Apr</v>
          </cell>
          <cell r="D3105" t="str">
            <v>Chairs</v>
          </cell>
          <cell r="E3105">
            <v>103769.295</v>
          </cell>
          <cell r="F3105">
            <v>4</v>
          </cell>
        </row>
        <row r="3106">
          <cell r="A3106">
            <v>2019</v>
          </cell>
          <cell r="B3106" t="str">
            <v>Actual</v>
          </cell>
          <cell r="C3106" t="str">
            <v>Apr</v>
          </cell>
          <cell r="D3106" t="str">
            <v>Chairs</v>
          </cell>
          <cell r="E3106">
            <v>-18002.634999999998</v>
          </cell>
          <cell r="F3106">
            <v>4</v>
          </cell>
        </row>
        <row r="3107">
          <cell r="A3107">
            <v>2019</v>
          </cell>
          <cell r="B3107" t="str">
            <v>Budget</v>
          </cell>
          <cell r="C3107" t="str">
            <v>Apr</v>
          </cell>
          <cell r="D3107" t="str">
            <v>Tables</v>
          </cell>
          <cell r="E3107">
            <v>148451.56899999999</v>
          </cell>
          <cell r="F3107">
            <v>4</v>
          </cell>
        </row>
        <row r="3108">
          <cell r="A3108">
            <v>2019</v>
          </cell>
          <cell r="B3108" t="str">
            <v>Actual</v>
          </cell>
          <cell r="C3108" t="str">
            <v>Apr</v>
          </cell>
          <cell r="D3108" t="str">
            <v>Kitchen</v>
          </cell>
          <cell r="E3108">
            <v>4939012.7009999994</v>
          </cell>
          <cell r="F3108">
            <v>4</v>
          </cell>
        </row>
        <row r="3109">
          <cell r="A3109">
            <v>2019</v>
          </cell>
          <cell r="B3109" t="str">
            <v>Budget</v>
          </cell>
          <cell r="C3109" t="str">
            <v>Apr</v>
          </cell>
          <cell r="D3109" t="str">
            <v>Chairs</v>
          </cell>
          <cell r="E3109">
            <v>3224905.9919999996</v>
          </cell>
          <cell r="F3109">
            <v>4</v>
          </cell>
        </row>
        <row r="3110">
          <cell r="A3110">
            <v>2019</v>
          </cell>
          <cell r="B3110" t="str">
            <v>Actual</v>
          </cell>
          <cell r="C3110" t="str">
            <v>Apr</v>
          </cell>
          <cell r="D3110" t="str">
            <v>Chairs</v>
          </cell>
          <cell r="E3110">
            <v>-29756.152999999998</v>
          </cell>
          <cell r="F3110">
            <v>4</v>
          </cell>
        </row>
        <row r="3111">
          <cell r="A3111">
            <v>2018</v>
          </cell>
          <cell r="B3111" t="str">
            <v>Budget</v>
          </cell>
          <cell r="C3111" t="str">
            <v>Apr</v>
          </cell>
          <cell r="D3111" t="str">
            <v>Tables</v>
          </cell>
          <cell r="E3111">
            <v>992973.66700000002</v>
          </cell>
          <cell r="F3111">
            <v>4</v>
          </cell>
        </row>
        <row r="3112">
          <cell r="A3112">
            <v>2019</v>
          </cell>
          <cell r="B3112" t="str">
            <v>Actual</v>
          </cell>
          <cell r="C3112" t="str">
            <v>Apr</v>
          </cell>
          <cell r="D3112" t="str">
            <v>Kitchen</v>
          </cell>
          <cell r="E3112">
            <v>-23472.287999999997</v>
          </cell>
          <cell r="F3112">
            <v>4</v>
          </cell>
        </row>
        <row r="3113">
          <cell r="A3113">
            <v>2019</v>
          </cell>
          <cell r="B3113" t="str">
            <v>Budget</v>
          </cell>
          <cell r="C3113" t="str">
            <v>Apr</v>
          </cell>
          <cell r="D3113" t="str">
            <v>Chairs</v>
          </cell>
          <cell r="E3113">
            <v>-11736.143999999998</v>
          </cell>
          <cell r="F3113">
            <v>4</v>
          </cell>
        </row>
        <row r="3114">
          <cell r="A3114">
            <v>2018</v>
          </cell>
          <cell r="B3114" t="str">
            <v>Actual</v>
          </cell>
          <cell r="C3114" t="str">
            <v>Apr</v>
          </cell>
          <cell r="D3114" t="str">
            <v>Chairs</v>
          </cell>
          <cell r="E3114">
            <v>4961666.43</v>
          </cell>
          <cell r="F3114">
            <v>4</v>
          </cell>
        </row>
        <row r="3115">
          <cell r="A3115">
            <v>2018</v>
          </cell>
          <cell r="B3115" t="str">
            <v>Budget</v>
          </cell>
          <cell r="C3115" t="str">
            <v>Apr</v>
          </cell>
          <cell r="D3115" t="str">
            <v>Chairs</v>
          </cell>
          <cell r="E3115">
            <v>2623930.0919999997</v>
          </cell>
          <cell r="F3115">
            <v>4</v>
          </cell>
        </row>
        <row r="3116">
          <cell r="A3116">
            <v>2018</v>
          </cell>
          <cell r="B3116" t="str">
            <v>Actual</v>
          </cell>
          <cell r="C3116" t="str">
            <v>Apr</v>
          </cell>
          <cell r="D3116" t="str">
            <v>Tables</v>
          </cell>
          <cell r="E3116">
            <v>3808865.2209999999</v>
          </cell>
          <cell r="F3116">
            <v>4</v>
          </cell>
        </row>
        <row r="3117">
          <cell r="A3117">
            <v>2018</v>
          </cell>
          <cell r="B3117" t="str">
            <v>Budget</v>
          </cell>
          <cell r="C3117" t="str">
            <v>Apr</v>
          </cell>
          <cell r="D3117" t="str">
            <v>Kitchen</v>
          </cell>
          <cell r="E3117">
            <v>3153351.8449999997</v>
          </cell>
          <cell r="F3117">
            <v>4</v>
          </cell>
        </row>
        <row r="3118">
          <cell r="A3118">
            <v>2019</v>
          </cell>
          <cell r="B3118" t="str">
            <v>Actual</v>
          </cell>
          <cell r="C3118" t="str">
            <v>Apr</v>
          </cell>
          <cell r="D3118" t="str">
            <v>Accessories</v>
          </cell>
          <cell r="E3118">
            <v>824793.53599999996</v>
          </cell>
          <cell r="F3118">
            <v>4</v>
          </cell>
        </row>
        <row r="3119">
          <cell r="A3119">
            <v>2019</v>
          </cell>
          <cell r="B3119" t="str">
            <v>Budget</v>
          </cell>
          <cell r="C3119" t="str">
            <v>Apr</v>
          </cell>
          <cell r="D3119" t="str">
            <v>Chairs</v>
          </cell>
          <cell r="E3119">
            <v>34189.049999999996</v>
          </cell>
          <cell r="F3119">
            <v>4</v>
          </cell>
        </row>
        <row r="3120">
          <cell r="A3120">
            <v>2018</v>
          </cell>
          <cell r="B3120" t="str">
            <v>Actual</v>
          </cell>
          <cell r="C3120" t="str">
            <v>Apr</v>
          </cell>
          <cell r="D3120" t="str">
            <v>Tables</v>
          </cell>
          <cell r="E3120">
            <v>9738231.845999999</v>
          </cell>
          <cell r="F3120">
            <v>4</v>
          </cell>
        </row>
        <row r="3121">
          <cell r="A3121">
            <v>2019</v>
          </cell>
          <cell r="B3121" t="str">
            <v>Budget</v>
          </cell>
          <cell r="C3121" t="str">
            <v>Apr</v>
          </cell>
          <cell r="D3121" t="str">
            <v>Kitchen</v>
          </cell>
          <cell r="E3121">
            <v>1269565.4159999997</v>
          </cell>
          <cell r="F3121">
            <v>4</v>
          </cell>
        </row>
        <row r="3122">
          <cell r="A3122">
            <v>2019</v>
          </cell>
          <cell r="B3122" t="str">
            <v>Actual</v>
          </cell>
          <cell r="C3122" t="str">
            <v>Apr</v>
          </cell>
          <cell r="D3122" t="str">
            <v>Accessories</v>
          </cell>
          <cell r="E3122">
            <v>881642.64999999991</v>
          </cell>
          <cell r="F3122">
            <v>4</v>
          </cell>
        </row>
        <row r="3123">
          <cell r="A3123">
            <v>2018</v>
          </cell>
          <cell r="B3123" t="str">
            <v>Budget</v>
          </cell>
          <cell r="C3123" t="str">
            <v>Apr</v>
          </cell>
          <cell r="D3123" t="str">
            <v>Chairs</v>
          </cell>
          <cell r="E3123">
            <v>635580.995</v>
          </cell>
          <cell r="F3123">
            <v>4</v>
          </cell>
        </row>
        <row r="3124">
          <cell r="A3124">
            <v>2019</v>
          </cell>
          <cell r="B3124" t="str">
            <v>Actual</v>
          </cell>
          <cell r="C3124" t="str">
            <v>Apr</v>
          </cell>
          <cell r="D3124" t="str">
            <v>Tables</v>
          </cell>
          <cell r="E3124">
            <v>2133349.9180000001</v>
          </cell>
          <cell r="F3124">
            <v>4</v>
          </cell>
        </row>
        <row r="3125">
          <cell r="A3125">
            <v>2019</v>
          </cell>
          <cell r="B3125" t="str">
            <v>Budget</v>
          </cell>
          <cell r="C3125" t="str">
            <v>Apr</v>
          </cell>
          <cell r="D3125" t="str">
            <v>Kitchen</v>
          </cell>
          <cell r="E3125">
            <v>289347.30299999996</v>
          </cell>
          <cell r="F3125">
            <v>4</v>
          </cell>
        </row>
        <row r="3126">
          <cell r="A3126">
            <v>2019</v>
          </cell>
          <cell r="B3126" t="str">
            <v>Actual</v>
          </cell>
          <cell r="C3126" t="str">
            <v>Apr</v>
          </cell>
          <cell r="D3126" t="str">
            <v>Accessories</v>
          </cell>
          <cell r="E3126">
            <v>382887.42099999997</v>
          </cell>
          <cell r="F3126">
            <v>4</v>
          </cell>
        </row>
        <row r="3127">
          <cell r="A3127">
            <v>2019</v>
          </cell>
          <cell r="B3127" t="str">
            <v>Budget</v>
          </cell>
          <cell r="C3127" t="str">
            <v>Apr</v>
          </cell>
          <cell r="D3127" t="str">
            <v>Chairs</v>
          </cell>
          <cell r="E3127">
            <v>3057298.0550000002</v>
          </cell>
          <cell r="F3127">
            <v>4</v>
          </cell>
        </row>
        <row r="3128">
          <cell r="A3128">
            <v>2018</v>
          </cell>
          <cell r="B3128" t="str">
            <v>Actual</v>
          </cell>
          <cell r="C3128" t="str">
            <v>Apr</v>
          </cell>
          <cell r="D3128" t="str">
            <v>Tables</v>
          </cell>
          <cell r="E3128">
            <v>267592.73099999997</v>
          </cell>
          <cell r="F3128">
            <v>4</v>
          </cell>
        </row>
        <row r="3129">
          <cell r="A3129">
            <v>2019</v>
          </cell>
          <cell r="B3129" t="str">
            <v>Budget</v>
          </cell>
          <cell r="C3129" t="str">
            <v>Apr</v>
          </cell>
          <cell r="D3129" t="str">
            <v>Kitchen</v>
          </cell>
          <cell r="E3129">
            <v>1816463.0120000001</v>
          </cell>
          <cell r="F3129">
            <v>4</v>
          </cell>
        </row>
        <row r="3130">
          <cell r="A3130">
            <v>2018</v>
          </cell>
          <cell r="B3130" t="str">
            <v>Actual</v>
          </cell>
          <cell r="C3130" t="str">
            <v>Apr</v>
          </cell>
          <cell r="D3130" t="str">
            <v>Accessories</v>
          </cell>
          <cell r="E3130">
            <v>921439.44900000002</v>
          </cell>
          <cell r="F3130">
            <v>4</v>
          </cell>
        </row>
        <row r="3131">
          <cell r="A3131">
            <v>2018</v>
          </cell>
          <cell r="B3131" t="str">
            <v>Budget</v>
          </cell>
          <cell r="C3131" t="str">
            <v>Apr</v>
          </cell>
          <cell r="D3131" t="str">
            <v>Chairs</v>
          </cell>
          <cell r="E3131">
            <v>3289.6289999999999</v>
          </cell>
          <cell r="F3131">
            <v>4</v>
          </cell>
        </row>
        <row r="3132">
          <cell r="A3132">
            <v>2019</v>
          </cell>
          <cell r="B3132" t="str">
            <v>Actual</v>
          </cell>
          <cell r="C3132" t="str">
            <v>Apr</v>
          </cell>
          <cell r="D3132" t="str">
            <v>Chairs</v>
          </cell>
          <cell r="E3132">
            <v>15644.201999999999</v>
          </cell>
          <cell r="F3132">
            <v>4</v>
          </cell>
        </row>
        <row r="3133">
          <cell r="A3133">
            <v>2019</v>
          </cell>
          <cell r="B3133" t="str">
            <v>Budget</v>
          </cell>
          <cell r="C3133" t="str">
            <v>Apr</v>
          </cell>
          <cell r="D3133" t="str">
            <v>Tables</v>
          </cell>
          <cell r="E3133">
            <v>425272.26</v>
          </cell>
          <cell r="F3133">
            <v>4</v>
          </cell>
        </row>
        <row r="3134">
          <cell r="A3134">
            <v>2018</v>
          </cell>
          <cell r="B3134" t="str">
            <v>Actual</v>
          </cell>
          <cell r="C3134" t="str">
            <v>Apr</v>
          </cell>
          <cell r="D3134" t="str">
            <v>Kitchen</v>
          </cell>
          <cell r="E3134">
            <v>211423.24</v>
          </cell>
          <cell r="F3134">
            <v>4</v>
          </cell>
        </row>
        <row r="3135">
          <cell r="A3135">
            <v>2019</v>
          </cell>
          <cell r="B3135" t="str">
            <v>Budget</v>
          </cell>
          <cell r="C3135" t="str">
            <v>Apr</v>
          </cell>
          <cell r="D3135" t="str">
            <v>Chairs</v>
          </cell>
          <cell r="E3135">
            <v>211423.24</v>
          </cell>
          <cell r="F3135">
            <v>4</v>
          </cell>
        </row>
        <row r="3136">
          <cell r="A3136">
            <v>2018</v>
          </cell>
          <cell r="B3136" t="str">
            <v>Actual</v>
          </cell>
          <cell r="C3136" t="str">
            <v>Apr</v>
          </cell>
          <cell r="D3136" t="str">
            <v>Tables</v>
          </cell>
          <cell r="E3136">
            <v>214080.15299999996</v>
          </cell>
          <cell r="F3136">
            <v>4</v>
          </cell>
        </row>
        <row r="3137">
          <cell r="A3137">
            <v>2018</v>
          </cell>
          <cell r="B3137" t="str">
            <v>Budget</v>
          </cell>
          <cell r="C3137" t="str">
            <v>Apr</v>
          </cell>
          <cell r="D3137" t="str">
            <v>Kitchen</v>
          </cell>
          <cell r="E3137">
            <v>53151.762999999992</v>
          </cell>
          <cell r="F3137">
            <v>4</v>
          </cell>
        </row>
        <row r="3138">
          <cell r="A3138">
            <v>2018</v>
          </cell>
          <cell r="B3138" t="str">
            <v>Actual</v>
          </cell>
          <cell r="C3138" t="str">
            <v>Apr</v>
          </cell>
          <cell r="D3138" t="str">
            <v>Chairs</v>
          </cell>
          <cell r="E3138">
            <v>635.4319999999999</v>
          </cell>
          <cell r="F3138">
            <v>4</v>
          </cell>
        </row>
        <row r="3139">
          <cell r="A3139">
            <v>2019</v>
          </cell>
          <cell r="B3139" t="str">
            <v>Budget</v>
          </cell>
          <cell r="C3139" t="str">
            <v>Apr</v>
          </cell>
          <cell r="D3139" t="str">
            <v>Tables</v>
          </cell>
          <cell r="E3139">
            <v>42376.18</v>
          </cell>
          <cell r="F3139">
            <v>4</v>
          </cell>
        </row>
        <row r="3140">
          <cell r="A3140">
            <v>2018</v>
          </cell>
          <cell r="B3140" t="str">
            <v>Actual</v>
          </cell>
          <cell r="C3140" t="str">
            <v>Apr</v>
          </cell>
          <cell r="D3140" t="str">
            <v>Kitchen</v>
          </cell>
          <cell r="E3140">
            <v>1133.048</v>
          </cell>
          <cell r="F3140">
            <v>4</v>
          </cell>
        </row>
        <row r="3141">
          <cell r="A3141">
            <v>2018</v>
          </cell>
          <cell r="B3141" t="str">
            <v>Budget</v>
          </cell>
          <cell r="C3141" t="str">
            <v>Apr</v>
          </cell>
          <cell r="D3141" t="str">
            <v>Chairs</v>
          </cell>
          <cell r="E3141">
            <v>54490.989000000001</v>
          </cell>
          <cell r="F3141">
            <v>4</v>
          </cell>
        </row>
        <row r="3142">
          <cell r="A3142">
            <v>2018</v>
          </cell>
          <cell r="B3142" t="str">
            <v>Actual</v>
          </cell>
          <cell r="C3142" t="str">
            <v>Apr</v>
          </cell>
          <cell r="D3142" t="str">
            <v>Chairs</v>
          </cell>
          <cell r="E3142">
            <v>61028.849000000002</v>
          </cell>
          <cell r="F3142">
            <v>4</v>
          </cell>
        </row>
        <row r="3143">
          <cell r="A3143">
            <v>2019</v>
          </cell>
          <cell r="B3143" t="str">
            <v>Budget</v>
          </cell>
          <cell r="C3143" t="str">
            <v>Apr</v>
          </cell>
          <cell r="D3143" t="str">
            <v>Chairs</v>
          </cell>
          <cell r="E3143">
            <v>95552.078999999998</v>
          </cell>
          <cell r="F3143">
            <v>4</v>
          </cell>
        </row>
        <row r="3144">
          <cell r="A3144">
            <v>2019</v>
          </cell>
          <cell r="B3144" t="str">
            <v>Actual</v>
          </cell>
          <cell r="C3144" t="str">
            <v>Apr</v>
          </cell>
          <cell r="D3144" t="str">
            <v>Chairs</v>
          </cell>
          <cell r="E3144">
            <v>-5677.5599999999995</v>
          </cell>
          <cell r="F3144">
            <v>4</v>
          </cell>
        </row>
        <row r="3145">
          <cell r="A3145">
            <v>2018</v>
          </cell>
          <cell r="B3145" t="str">
            <v>Budget</v>
          </cell>
          <cell r="C3145" t="str">
            <v>Apr</v>
          </cell>
          <cell r="D3145" t="str">
            <v>Chairs</v>
          </cell>
          <cell r="E3145">
            <v>110439.84</v>
          </cell>
          <cell r="F3145">
            <v>4</v>
          </cell>
        </row>
        <row r="3146">
          <cell r="A3146">
            <v>2019</v>
          </cell>
          <cell r="B3146" t="str">
            <v>Actual</v>
          </cell>
          <cell r="C3146" t="str">
            <v>Apr</v>
          </cell>
          <cell r="D3146" t="str">
            <v>Chairs</v>
          </cell>
          <cell r="E3146">
            <v>17407.838</v>
          </cell>
          <cell r="F3146">
            <v>4</v>
          </cell>
        </row>
        <row r="3147">
          <cell r="A3147">
            <v>2018</v>
          </cell>
          <cell r="B3147" t="str">
            <v>Budget</v>
          </cell>
          <cell r="C3147" t="str">
            <v>Apr</v>
          </cell>
          <cell r="D3147" t="str">
            <v>Chairs</v>
          </cell>
          <cell r="E3147">
            <v>254550.56899999996</v>
          </cell>
          <cell r="F3147">
            <v>4</v>
          </cell>
        </row>
        <row r="3148">
          <cell r="A3148">
            <v>2019</v>
          </cell>
          <cell r="B3148" t="str">
            <v>Actual</v>
          </cell>
          <cell r="C3148" t="str">
            <v>Apr</v>
          </cell>
          <cell r="D3148" t="str">
            <v>Chairs</v>
          </cell>
          <cell r="E3148">
            <v>234816.42799999996</v>
          </cell>
          <cell r="F3148">
            <v>4</v>
          </cell>
        </row>
        <row r="3149">
          <cell r="A3149">
            <v>2018</v>
          </cell>
          <cell r="B3149" t="str">
            <v>Budget</v>
          </cell>
          <cell r="C3149" t="str">
            <v>Apr</v>
          </cell>
          <cell r="D3149" t="str">
            <v>Chairs</v>
          </cell>
          <cell r="E3149">
            <v>12400.178</v>
          </cell>
          <cell r="F3149">
            <v>4</v>
          </cell>
        </row>
        <row r="3150">
          <cell r="A3150">
            <v>2019</v>
          </cell>
          <cell r="B3150" t="str">
            <v>Actual</v>
          </cell>
          <cell r="C3150" t="str">
            <v>Apr</v>
          </cell>
          <cell r="D3150" t="str">
            <v>Chairs</v>
          </cell>
          <cell r="E3150">
            <v>33878.123999999996</v>
          </cell>
          <cell r="F3150">
            <v>4</v>
          </cell>
        </row>
        <row r="3151">
          <cell r="A3151">
            <v>2018</v>
          </cell>
          <cell r="B3151" t="str">
            <v>Budget</v>
          </cell>
          <cell r="C3151" t="str">
            <v>Apr</v>
          </cell>
          <cell r="D3151" t="str">
            <v>Chairs</v>
          </cell>
          <cell r="E3151">
            <v>39295.178999999996</v>
          </cell>
          <cell r="F3151">
            <v>4</v>
          </cell>
        </row>
        <row r="3152">
          <cell r="A3152">
            <v>2019</v>
          </cell>
          <cell r="B3152" t="str">
            <v>Actual</v>
          </cell>
          <cell r="C3152" t="str">
            <v>Apr</v>
          </cell>
          <cell r="D3152" t="str">
            <v>Chairs</v>
          </cell>
          <cell r="E3152">
            <v>1907200.19</v>
          </cell>
          <cell r="F3152">
            <v>4</v>
          </cell>
        </row>
        <row r="3153">
          <cell r="A3153">
            <v>2018</v>
          </cell>
          <cell r="B3153" t="str">
            <v>Budget</v>
          </cell>
          <cell r="C3153" t="str">
            <v>Apr</v>
          </cell>
          <cell r="D3153" t="str">
            <v>Chairs</v>
          </cell>
          <cell r="E3153">
            <v>106153.95699999999</v>
          </cell>
          <cell r="F3153">
            <v>4</v>
          </cell>
        </row>
        <row r="3154">
          <cell r="A3154">
            <v>2018</v>
          </cell>
          <cell r="B3154" t="str">
            <v>Actual</v>
          </cell>
          <cell r="C3154" t="str">
            <v>Apr</v>
          </cell>
          <cell r="D3154" t="str">
            <v>Chairs</v>
          </cell>
          <cell r="E3154">
            <v>558014.478</v>
          </cell>
          <cell r="F3154">
            <v>4</v>
          </cell>
        </row>
        <row r="3155">
          <cell r="A3155">
            <v>2019</v>
          </cell>
          <cell r="B3155" t="str">
            <v>Budget</v>
          </cell>
          <cell r="C3155" t="str">
            <v>Apr</v>
          </cell>
          <cell r="D3155" t="str">
            <v>Chairs</v>
          </cell>
          <cell r="E3155">
            <v>132920.33299999998</v>
          </cell>
          <cell r="F3155">
            <v>4</v>
          </cell>
        </row>
        <row r="3156">
          <cell r="A3156">
            <v>2019</v>
          </cell>
          <cell r="B3156" t="str">
            <v>Actual</v>
          </cell>
          <cell r="C3156" t="str">
            <v>Apr</v>
          </cell>
          <cell r="D3156" t="str">
            <v>Chairs</v>
          </cell>
          <cell r="E3156">
            <v>28760.045999999998</v>
          </cell>
          <cell r="F3156">
            <v>4</v>
          </cell>
        </row>
        <row r="3157">
          <cell r="A3157">
            <v>2018</v>
          </cell>
          <cell r="B3157" t="str">
            <v>Budget</v>
          </cell>
          <cell r="C3157" t="str">
            <v>Apr</v>
          </cell>
          <cell r="D3157" t="str">
            <v>Chairs</v>
          </cell>
          <cell r="E3157">
            <v>85095.849999999991</v>
          </cell>
          <cell r="F3157">
            <v>4</v>
          </cell>
        </row>
        <row r="3158">
          <cell r="A3158">
            <v>2019</v>
          </cell>
          <cell r="B3158" t="str">
            <v>Actual</v>
          </cell>
          <cell r="C3158" t="str">
            <v>Apr</v>
          </cell>
          <cell r="D3158" t="str">
            <v>Chairs</v>
          </cell>
          <cell r="E3158">
            <v>67876.641000000003</v>
          </cell>
          <cell r="F3158">
            <v>4</v>
          </cell>
        </row>
        <row r="3159">
          <cell r="A3159">
            <v>2019</v>
          </cell>
          <cell r="B3159" t="str">
            <v>Budget</v>
          </cell>
          <cell r="C3159" t="str">
            <v>Apr</v>
          </cell>
          <cell r="D3159" t="str">
            <v>Chairs</v>
          </cell>
          <cell r="E3159">
            <v>269630.571</v>
          </cell>
          <cell r="F3159">
            <v>4</v>
          </cell>
        </row>
        <row r="3160">
          <cell r="A3160">
            <v>2019</v>
          </cell>
          <cell r="B3160" t="str">
            <v>Actual</v>
          </cell>
          <cell r="C3160" t="str">
            <v>Apr</v>
          </cell>
          <cell r="D3160" t="str">
            <v>Chairs</v>
          </cell>
          <cell r="E3160">
            <v>213091.99799999999</v>
          </cell>
          <cell r="F3160">
            <v>4</v>
          </cell>
        </row>
        <row r="3161">
          <cell r="A3161">
            <v>2019</v>
          </cell>
          <cell r="B3161" t="str">
            <v>Budget</v>
          </cell>
          <cell r="C3161" t="str">
            <v>Apr</v>
          </cell>
          <cell r="D3161" t="str">
            <v>Chairs</v>
          </cell>
          <cell r="E3161">
            <v>797902.54599999997</v>
          </cell>
          <cell r="F3161">
            <v>4</v>
          </cell>
        </row>
        <row r="3162">
          <cell r="A3162">
            <v>2018</v>
          </cell>
          <cell r="B3162" t="str">
            <v>Actual</v>
          </cell>
          <cell r="C3162" t="str">
            <v>Apr</v>
          </cell>
          <cell r="D3162" t="str">
            <v>Chairs</v>
          </cell>
          <cell r="E3162">
            <v>327396.97899999993</v>
          </cell>
          <cell r="F3162">
            <v>4</v>
          </cell>
        </row>
        <row r="3163">
          <cell r="A3163">
            <v>2019</v>
          </cell>
          <cell r="B3163" t="str">
            <v>Budget</v>
          </cell>
          <cell r="C3163" t="str">
            <v>Apr</v>
          </cell>
          <cell r="D3163" t="str">
            <v>Chairs</v>
          </cell>
          <cell r="E3163">
            <v>26394.886000000002</v>
          </cell>
          <cell r="F3163">
            <v>4</v>
          </cell>
        </row>
        <row r="3164">
          <cell r="A3164">
            <v>2018</v>
          </cell>
          <cell r="B3164" t="str">
            <v>Actual</v>
          </cell>
          <cell r="C3164" t="str">
            <v>Apr</v>
          </cell>
          <cell r="D3164" t="str">
            <v>Chairs</v>
          </cell>
          <cell r="E3164">
            <v>192365.13099999999</v>
          </cell>
          <cell r="F3164">
            <v>4</v>
          </cell>
        </row>
        <row r="3165">
          <cell r="A3165">
            <v>2018</v>
          </cell>
          <cell r="B3165" t="str">
            <v>Budget</v>
          </cell>
          <cell r="C3165" t="str">
            <v>Apr</v>
          </cell>
          <cell r="D3165" t="str">
            <v>Chairs</v>
          </cell>
          <cell r="E3165">
            <v>351919.022</v>
          </cell>
          <cell r="F3165">
            <v>4</v>
          </cell>
        </row>
        <row r="3166">
          <cell r="A3166">
            <v>2018</v>
          </cell>
          <cell r="B3166" t="str">
            <v>Actual</v>
          </cell>
          <cell r="C3166" t="str">
            <v>Apr</v>
          </cell>
          <cell r="D3166" t="str">
            <v>Chairs</v>
          </cell>
          <cell r="E3166">
            <v>662056.33899999992</v>
          </cell>
          <cell r="F3166">
            <v>4</v>
          </cell>
        </row>
        <row r="3167">
          <cell r="A3167">
            <v>2019</v>
          </cell>
          <cell r="B3167" t="str">
            <v>Budget</v>
          </cell>
          <cell r="C3167" t="str">
            <v>Apr</v>
          </cell>
          <cell r="D3167" t="str">
            <v>Tables</v>
          </cell>
          <cell r="E3167">
            <v>32026.981</v>
          </cell>
          <cell r="F3167">
            <v>4</v>
          </cell>
        </row>
        <row r="3168">
          <cell r="A3168">
            <v>2019</v>
          </cell>
          <cell r="B3168" t="str">
            <v>Actual</v>
          </cell>
          <cell r="C3168" t="str">
            <v>Apr</v>
          </cell>
          <cell r="D3168" t="str">
            <v>Kitchen</v>
          </cell>
          <cell r="E3168">
            <v>134007.35599999997</v>
          </cell>
          <cell r="F3168">
            <v>4</v>
          </cell>
        </row>
        <row r="3169">
          <cell r="A3169">
            <v>2018</v>
          </cell>
          <cell r="B3169" t="str">
            <v>Budget</v>
          </cell>
          <cell r="C3169" t="str">
            <v>Apr</v>
          </cell>
          <cell r="D3169" t="str">
            <v>Chairs</v>
          </cell>
          <cell r="E3169">
            <v>101932.36199999999</v>
          </cell>
          <cell r="F3169">
            <v>4</v>
          </cell>
        </row>
        <row r="3170">
          <cell r="A3170">
            <v>2018</v>
          </cell>
          <cell r="B3170" t="str">
            <v>Actual</v>
          </cell>
          <cell r="C3170" t="str">
            <v>Apr</v>
          </cell>
          <cell r="D3170" t="str">
            <v>Chairs</v>
          </cell>
          <cell r="E3170">
            <v>268556.03599999996</v>
          </cell>
          <cell r="F3170">
            <v>4</v>
          </cell>
        </row>
        <row r="3171">
          <cell r="A3171">
            <v>2019</v>
          </cell>
          <cell r="B3171" t="str">
            <v>Budget</v>
          </cell>
          <cell r="C3171" t="str">
            <v>Apr</v>
          </cell>
          <cell r="D3171" t="str">
            <v>Chairs</v>
          </cell>
          <cell r="E3171">
            <v>104097.15399999999</v>
          </cell>
          <cell r="F3171">
            <v>4</v>
          </cell>
        </row>
        <row r="3172">
          <cell r="A3172">
            <v>2018</v>
          </cell>
          <cell r="B3172" t="str">
            <v>Actual</v>
          </cell>
          <cell r="C3172" t="str">
            <v>Apr</v>
          </cell>
          <cell r="D3172" t="str">
            <v>Chairs</v>
          </cell>
          <cell r="E3172">
            <v>156918.47499999998</v>
          </cell>
          <cell r="F3172">
            <v>4</v>
          </cell>
        </row>
        <row r="3173">
          <cell r="A3173">
            <v>2018</v>
          </cell>
          <cell r="B3173" t="str">
            <v>Budget</v>
          </cell>
          <cell r="C3173" t="str">
            <v>Apr</v>
          </cell>
          <cell r="D3173" t="str">
            <v>Chairs</v>
          </cell>
          <cell r="E3173">
            <v>69860.846999999994</v>
          </cell>
          <cell r="F3173">
            <v>4</v>
          </cell>
        </row>
        <row r="3174">
          <cell r="A3174">
            <v>2019</v>
          </cell>
          <cell r="B3174" t="str">
            <v>Actual</v>
          </cell>
          <cell r="C3174" t="str">
            <v>Apr</v>
          </cell>
          <cell r="D3174" t="str">
            <v>Tables</v>
          </cell>
          <cell r="E3174">
            <v>38585.868999999999</v>
          </cell>
          <cell r="F3174">
            <v>4</v>
          </cell>
        </row>
        <row r="3175">
          <cell r="A3175">
            <v>2018</v>
          </cell>
          <cell r="B3175" t="str">
            <v>Budget</v>
          </cell>
          <cell r="C3175" t="str">
            <v>Apr</v>
          </cell>
          <cell r="D3175" t="str">
            <v>Kitchen</v>
          </cell>
          <cell r="E3175">
            <v>75282.829999999987</v>
          </cell>
          <cell r="F3175">
            <v>4</v>
          </cell>
        </row>
        <row r="3176">
          <cell r="A3176">
            <v>2018</v>
          </cell>
          <cell r="B3176" t="str">
            <v>Actual</v>
          </cell>
          <cell r="C3176" t="str">
            <v>Apr</v>
          </cell>
          <cell r="D3176" t="str">
            <v>Chairs</v>
          </cell>
          <cell r="E3176">
            <v>263910.37400000001</v>
          </cell>
          <cell r="F3176">
            <v>4</v>
          </cell>
        </row>
        <row r="3177">
          <cell r="A3177">
            <v>2019</v>
          </cell>
          <cell r="B3177" t="str">
            <v>Budget</v>
          </cell>
          <cell r="C3177" t="str">
            <v>Apr</v>
          </cell>
          <cell r="D3177" t="str">
            <v>Chairs</v>
          </cell>
          <cell r="E3177">
            <v>975426.59199999995</v>
          </cell>
          <cell r="F3177">
            <v>4</v>
          </cell>
        </row>
        <row r="3178">
          <cell r="A3178">
            <v>2019</v>
          </cell>
          <cell r="B3178" t="str">
            <v>Actual</v>
          </cell>
          <cell r="C3178" t="str">
            <v>Apr</v>
          </cell>
          <cell r="D3178" t="str">
            <v>Chairs</v>
          </cell>
          <cell r="E3178">
            <v>533416.11399999994</v>
          </cell>
          <cell r="F3178">
            <v>4</v>
          </cell>
        </row>
        <row r="3179">
          <cell r="A3179">
            <v>2019</v>
          </cell>
          <cell r="B3179" t="str">
            <v>Budget</v>
          </cell>
          <cell r="C3179" t="str">
            <v>Apr</v>
          </cell>
          <cell r="D3179" t="str">
            <v>Tables</v>
          </cell>
          <cell r="E3179">
            <v>168445.473</v>
          </cell>
          <cell r="F3179">
            <v>4</v>
          </cell>
        </row>
        <row r="3180">
          <cell r="A3180">
            <v>2018</v>
          </cell>
          <cell r="B3180" t="str">
            <v>Actual</v>
          </cell>
          <cell r="C3180" t="str">
            <v>Apr</v>
          </cell>
          <cell r="D3180" t="str">
            <v>Kitchen</v>
          </cell>
          <cell r="E3180">
            <v>393035.23700000002</v>
          </cell>
          <cell r="F3180">
            <v>4</v>
          </cell>
        </row>
        <row r="3181">
          <cell r="A3181">
            <v>2019</v>
          </cell>
          <cell r="B3181" t="str">
            <v>Budget</v>
          </cell>
          <cell r="C3181" t="str">
            <v>Apr</v>
          </cell>
          <cell r="D3181" t="str">
            <v>Chairs</v>
          </cell>
          <cell r="E3181">
            <v>75437.690999999992</v>
          </cell>
          <cell r="F3181">
            <v>4</v>
          </cell>
        </row>
        <row r="3182">
          <cell r="A3182">
            <v>2018</v>
          </cell>
          <cell r="B3182" t="str">
            <v>Actual</v>
          </cell>
          <cell r="C3182" t="str">
            <v>Apr</v>
          </cell>
          <cell r="D3182" t="str">
            <v>Chairs</v>
          </cell>
          <cell r="E3182">
            <v>44379.922999999995</v>
          </cell>
          <cell r="F3182">
            <v>4</v>
          </cell>
        </row>
        <row r="3183">
          <cell r="A3183">
            <v>2018</v>
          </cell>
          <cell r="B3183" t="str">
            <v>Budget</v>
          </cell>
          <cell r="C3183" t="str">
            <v>Apr</v>
          </cell>
          <cell r="D3183" t="str">
            <v>Tables</v>
          </cell>
          <cell r="E3183">
            <v>35961.526999999995</v>
          </cell>
          <cell r="F3183">
            <v>4</v>
          </cell>
        </row>
        <row r="3184">
          <cell r="A3184">
            <v>2019</v>
          </cell>
          <cell r="B3184" t="str">
            <v>Actual</v>
          </cell>
          <cell r="C3184" t="str">
            <v>Apr</v>
          </cell>
          <cell r="D3184" t="str">
            <v>Kitchen</v>
          </cell>
          <cell r="E3184">
            <v>2974.1950000000002</v>
          </cell>
          <cell r="F3184">
            <v>4</v>
          </cell>
        </row>
        <row r="3185">
          <cell r="A3185">
            <v>2019</v>
          </cell>
          <cell r="B3185" t="str">
            <v>Budget</v>
          </cell>
          <cell r="C3185" t="str">
            <v>Apr</v>
          </cell>
          <cell r="D3185" t="str">
            <v>Chairs</v>
          </cell>
          <cell r="E3185">
            <v>106655.024</v>
          </cell>
          <cell r="F3185">
            <v>4</v>
          </cell>
        </row>
        <row r="3186">
          <cell r="A3186">
            <v>2018</v>
          </cell>
          <cell r="B3186" t="str">
            <v>Actual</v>
          </cell>
          <cell r="C3186" t="str">
            <v>Apr</v>
          </cell>
          <cell r="D3186" t="str">
            <v>Chairs</v>
          </cell>
          <cell r="E3186">
            <v>37717.399999999994</v>
          </cell>
          <cell r="F3186">
            <v>4</v>
          </cell>
        </row>
        <row r="3187">
          <cell r="A3187">
            <v>2019</v>
          </cell>
          <cell r="B3187" t="str">
            <v>Budget</v>
          </cell>
          <cell r="C3187" t="str">
            <v>Apr</v>
          </cell>
          <cell r="D3187" t="str">
            <v>Chairs</v>
          </cell>
          <cell r="E3187">
            <v>65748.697</v>
          </cell>
          <cell r="F3187">
            <v>4</v>
          </cell>
        </row>
        <row r="3188">
          <cell r="A3188">
            <v>2019</v>
          </cell>
          <cell r="B3188" t="str">
            <v>Actual</v>
          </cell>
          <cell r="C3188" t="str">
            <v>Apr</v>
          </cell>
          <cell r="D3188" t="str">
            <v>Tables</v>
          </cell>
          <cell r="E3188">
            <v>103200.20899999999</v>
          </cell>
          <cell r="F3188">
            <v>4</v>
          </cell>
        </row>
        <row r="3189">
          <cell r="A3189">
            <v>2019</v>
          </cell>
          <cell r="B3189" t="str">
            <v>Budget</v>
          </cell>
          <cell r="C3189" t="str">
            <v>Apr</v>
          </cell>
          <cell r="D3189" t="str">
            <v>Kitchen</v>
          </cell>
          <cell r="E3189">
            <v>994303.03699999989</v>
          </cell>
          <cell r="F3189">
            <v>4</v>
          </cell>
        </row>
        <row r="3190">
          <cell r="A3190">
            <v>2018</v>
          </cell>
          <cell r="B3190" t="str">
            <v>Actual</v>
          </cell>
          <cell r="C3190" t="str">
            <v>Apr</v>
          </cell>
          <cell r="D3190" t="str">
            <v>Accessories</v>
          </cell>
          <cell r="E3190">
            <v>51038.567999999999</v>
          </cell>
          <cell r="F3190">
            <v>4</v>
          </cell>
        </row>
        <row r="3191">
          <cell r="A3191">
            <v>2018</v>
          </cell>
          <cell r="B3191" t="str">
            <v>Budget</v>
          </cell>
          <cell r="C3191" t="str">
            <v>Apr</v>
          </cell>
          <cell r="D3191" t="str">
            <v>Chairs</v>
          </cell>
          <cell r="E3191">
            <v>1116420.6199999999</v>
          </cell>
          <cell r="F3191">
            <v>4</v>
          </cell>
        </row>
        <row r="3192">
          <cell r="A3192">
            <v>2019</v>
          </cell>
          <cell r="B3192" t="str">
            <v>Actual</v>
          </cell>
          <cell r="C3192" t="str">
            <v>Apr</v>
          </cell>
          <cell r="D3192" t="str">
            <v>Tables</v>
          </cell>
          <cell r="E3192">
            <v>103385.37999999999</v>
          </cell>
          <cell r="F3192">
            <v>4</v>
          </cell>
        </row>
        <row r="3193">
          <cell r="A3193">
            <v>2019</v>
          </cell>
          <cell r="B3193" t="str">
            <v>Budget</v>
          </cell>
          <cell r="C3193" t="str">
            <v>Apr</v>
          </cell>
          <cell r="D3193" t="str">
            <v>Kitchen</v>
          </cell>
          <cell r="E3193">
            <v>503146.42699999997</v>
          </cell>
          <cell r="F3193">
            <v>4</v>
          </cell>
        </row>
        <row r="3194">
          <cell r="A3194">
            <v>2018</v>
          </cell>
          <cell r="B3194" t="str">
            <v>Actual</v>
          </cell>
          <cell r="C3194" t="str">
            <v>Apr</v>
          </cell>
          <cell r="D3194" t="str">
            <v>Accessories</v>
          </cell>
          <cell r="E3194">
            <v>282666.36999999994</v>
          </cell>
          <cell r="F3194">
            <v>4</v>
          </cell>
        </row>
        <row r="3195">
          <cell r="A3195">
            <v>2019</v>
          </cell>
          <cell r="B3195" t="str">
            <v>Budget</v>
          </cell>
          <cell r="C3195" t="str">
            <v>Apr</v>
          </cell>
          <cell r="D3195" t="str">
            <v>Chairs</v>
          </cell>
          <cell r="E3195">
            <v>126864.15</v>
          </cell>
          <cell r="F3195">
            <v>4</v>
          </cell>
        </row>
        <row r="3196">
          <cell r="A3196">
            <v>2019</v>
          </cell>
          <cell r="B3196" t="str">
            <v>Actual</v>
          </cell>
          <cell r="C3196" t="str">
            <v>Apr</v>
          </cell>
          <cell r="D3196" t="str">
            <v>Tables</v>
          </cell>
          <cell r="E3196">
            <v>856018.60399999993</v>
          </cell>
          <cell r="F3196">
            <v>4</v>
          </cell>
        </row>
        <row r="3197">
          <cell r="A3197">
            <v>2018</v>
          </cell>
          <cell r="B3197" t="str">
            <v>Budget</v>
          </cell>
          <cell r="C3197" t="str">
            <v>Apr</v>
          </cell>
          <cell r="D3197" t="str">
            <v>Kitchen</v>
          </cell>
          <cell r="E3197">
            <v>34259.273999999998</v>
          </cell>
          <cell r="F3197">
            <v>4</v>
          </cell>
        </row>
        <row r="3198">
          <cell r="A3198">
            <v>2019</v>
          </cell>
          <cell r="B3198" t="str">
            <v>Actual</v>
          </cell>
          <cell r="C3198" t="str">
            <v>Apr</v>
          </cell>
          <cell r="D3198" t="str">
            <v>Accessories</v>
          </cell>
          <cell r="E3198">
            <v>1613278.429</v>
          </cell>
          <cell r="F3198">
            <v>4</v>
          </cell>
        </row>
        <row r="3199">
          <cell r="A3199">
            <v>2018</v>
          </cell>
          <cell r="B3199" t="str">
            <v>Budget</v>
          </cell>
          <cell r="C3199" t="str">
            <v>Apr</v>
          </cell>
          <cell r="D3199" t="str">
            <v>Chairs</v>
          </cell>
          <cell r="E3199">
            <v>284051.74699999997</v>
          </cell>
          <cell r="F3199">
            <v>4</v>
          </cell>
        </row>
        <row r="3200">
          <cell r="A3200">
            <v>2018</v>
          </cell>
          <cell r="B3200" t="str">
            <v>Actual</v>
          </cell>
          <cell r="C3200" t="str">
            <v>Apr</v>
          </cell>
          <cell r="D3200" t="str">
            <v>Tables</v>
          </cell>
          <cell r="E3200">
            <v>5555343.6259999992</v>
          </cell>
          <cell r="F3200">
            <v>4</v>
          </cell>
        </row>
        <row r="3201">
          <cell r="A3201">
            <v>2019</v>
          </cell>
          <cell r="B3201" t="str">
            <v>Budget</v>
          </cell>
          <cell r="C3201" t="str">
            <v>Apr</v>
          </cell>
          <cell r="D3201" t="str">
            <v>Kitchen</v>
          </cell>
          <cell r="E3201">
            <v>122363.178</v>
          </cell>
          <cell r="F3201">
            <v>4</v>
          </cell>
        </row>
        <row r="3202">
          <cell r="A3202">
            <v>2019</v>
          </cell>
          <cell r="B3202" t="str">
            <v>Actual</v>
          </cell>
          <cell r="C3202" t="str">
            <v>Apr</v>
          </cell>
          <cell r="D3202" t="str">
            <v>Accessories</v>
          </cell>
          <cell r="E3202">
            <v>57743.048999999999</v>
          </cell>
          <cell r="F3202">
            <v>4</v>
          </cell>
        </row>
        <row r="3203">
          <cell r="A3203">
            <v>2019</v>
          </cell>
          <cell r="B3203" t="str">
            <v>Budget</v>
          </cell>
          <cell r="C3203" t="str">
            <v>Apr</v>
          </cell>
          <cell r="D3203" t="str">
            <v>Chairs</v>
          </cell>
          <cell r="E3203">
            <v>871599.20399999991</v>
          </cell>
          <cell r="F3203">
            <v>4</v>
          </cell>
        </row>
        <row r="3204">
          <cell r="A3204">
            <v>2018</v>
          </cell>
          <cell r="B3204" t="str">
            <v>Actual</v>
          </cell>
          <cell r="C3204" t="str">
            <v>Apr</v>
          </cell>
          <cell r="D3204" t="str">
            <v>Chairs</v>
          </cell>
          <cell r="E3204">
            <v>805567.55999999994</v>
          </cell>
          <cell r="F3204">
            <v>4</v>
          </cell>
        </row>
        <row r="3205">
          <cell r="A3205">
            <v>2019</v>
          </cell>
          <cell r="B3205" t="str">
            <v>Budget</v>
          </cell>
          <cell r="C3205" t="str">
            <v>Apr</v>
          </cell>
          <cell r="D3205" t="str">
            <v>Tables</v>
          </cell>
          <cell r="E3205">
            <v>-41381.192999999999</v>
          </cell>
          <cell r="F3205">
            <v>4</v>
          </cell>
        </row>
        <row r="3206">
          <cell r="A3206">
            <v>2019</v>
          </cell>
          <cell r="B3206" t="str">
            <v>Actual</v>
          </cell>
          <cell r="C3206" t="str">
            <v>Apr</v>
          </cell>
          <cell r="D3206" t="str">
            <v>Kitchen</v>
          </cell>
          <cell r="E3206">
            <v>12891549.530999998</v>
          </cell>
          <cell r="F3206">
            <v>4</v>
          </cell>
        </row>
        <row r="3207">
          <cell r="A3207">
            <v>2018</v>
          </cell>
          <cell r="B3207" t="str">
            <v>Budget</v>
          </cell>
          <cell r="C3207" t="str">
            <v>Apr</v>
          </cell>
          <cell r="D3207" t="str">
            <v>Chairs</v>
          </cell>
          <cell r="E3207">
            <v>64213.505999999994</v>
          </cell>
          <cell r="F3207">
            <v>4</v>
          </cell>
        </row>
        <row r="3208">
          <cell r="A3208">
            <v>2019</v>
          </cell>
          <cell r="B3208" t="str">
            <v>Actual</v>
          </cell>
          <cell r="C3208" t="str">
            <v>Apr</v>
          </cell>
          <cell r="D3208" t="str">
            <v>Tables</v>
          </cell>
          <cell r="E3208">
            <v>62781.977999999988</v>
          </cell>
          <cell r="F3208">
            <v>4</v>
          </cell>
        </row>
        <row r="3209">
          <cell r="A3209">
            <v>2018</v>
          </cell>
          <cell r="B3209" t="str">
            <v>Budget</v>
          </cell>
          <cell r="C3209" t="str">
            <v>Apr</v>
          </cell>
          <cell r="D3209" t="str">
            <v>Kitchen</v>
          </cell>
          <cell r="E3209">
            <v>327811.02899999998</v>
          </cell>
          <cell r="F3209">
            <v>4</v>
          </cell>
        </row>
        <row r="3210">
          <cell r="A3210">
            <v>2019</v>
          </cell>
          <cell r="B3210" t="str">
            <v>Actual</v>
          </cell>
          <cell r="C3210" t="str">
            <v>Apr</v>
          </cell>
          <cell r="D3210" t="str">
            <v>Chairs</v>
          </cell>
          <cell r="E3210">
            <v>148882.65</v>
          </cell>
          <cell r="F3210">
            <v>4</v>
          </cell>
        </row>
        <row r="3211">
          <cell r="A3211">
            <v>2019</v>
          </cell>
          <cell r="B3211" t="str">
            <v>Budget</v>
          </cell>
          <cell r="C3211" t="str">
            <v>Apr</v>
          </cell>
          <cell r="D3211" t="str">
            <v>Tables</v>
          </cell>
          <cell r="E3211">
            <v>46528.677999999993</v>
          </cell>
          <cell r="F3211">
            <v>4</v>
          </cell>
        </row>
        <row r="3212">
          <cell r="A3212">
            <v>2018</v>
          </cell>
          <cell r="B3212" t="str">
            <v>Actual</v>
          </cell>
          <cell r="C3212" t="str">
            <v>Apr</v>
          </cell>
          <cell r="D3212" t="str">
            <v>Kitchen</v>
          </cell>
          <cell r="E3212">
            <v>378159.50199999998</v>
          </cell>
          <cell r="F3212">
            <v>4</v>
          </cell>
        </row>
        <row r="3213">
          <cell r="A3213">
            <v>2019</v>
          </cell>
          <cell r="B3213" t="str">
            <v>Budget</v>
          </cell>
          <cell r="C3213" t="str">
            <v>Apr</v>
          </cell>
          <cell r="D3213" t="str">
            <v>Chairs</v>
          </cell>
          <cell r="E3213">
            <v>81563.005999999994</v>
          </cell>
          <cell r="F3213">
            <v>4</v>
          </cell>
        </row>
        <row r="3214">
          <cell r="A3214">
            <v>2019</v>
          </cell>
          <cell r="B3214" t="str">
            <v>Actual</v>
          </cell>
          <cell r="C3214" t="str">
            <v>Apr</v>
          </cell>
          <cell r="D3214" t="str">
            <v>Chairs</v>
          </cell>
          <cell r="E3214">
            <v>33185.383000000002</v>
          </cell>
          <cell r="F3214">
            <v>4</v>
          </cell>
        </row>
        <row r="3215">
          <cell r="A3215">
            <v>2019</v>
          </cell>
          <cell r="B3215" t="str">
            <v>Budget</v>
          </cell>
          <cell r="C3215" t="str">
            <v>Apr</v>
          </cell>
          <cell r="D3215" t="str">
            <v>Chairs</v>
          </cell>
          <cell r="E3215">
            <v>270808.60099999997</v>
          </cell>
          <cell r="F3215">
            <v>4</v>
          </cell>
        </row>
        <row r="3216">
          <cell r="A3216">
            <v>2018</v>
          </cell>
          <cell r="B3216" t="str">
            <v>Actual</v>
          </cell>
          <cell r="C3216" t="str">
            <v>Apr</v>
          </cell>
          <cell r="D3216" t="str">
            <v>Chairs</v>
          </cell>
          <cell r="E3216">
            <v>20966.273999999998</v>
          </cell>
          <cell r="F3216">
            <v>4</v>
          </cell>
        </row>
        <row r="3217">
          <cell r="A3217">
            <v>2018</v>
          </cell>
          <cell r="B3217" t="str">
            <v>Budget</v>
          </cell>
          <cell r="C3217" t="str">
            <v>Apr</v>
          </cell>
          <cell r="D3217" t="str">
            <v>Chairs</v>
          </cell>
          <cell r="E3217">
            <v>242169.92799999996</v>
          </cell>
          <cell r="F3217">
            <v>4</v>
          </cell>
        </row>
        <row r="3218">
          <cell r="A3218">
            <v>2018</v>
          </cell>
          <cell r="B3218" t="str">
            <v>Actual</v>
          </cell>
          <cell r="C3218" t="str">
            <v>Apr</v>
          </cell>
          <cell r="D3218" t="str">
            <v>Chairs</v>
          </cell>
          <cell r="E3218">
            <v>69088.200999999986</v>
          </cell>
          <cell r="F3218">
            <v>4</v>
          </cell>
        </row>
        <row r="3219">
          <cell r="A3219">
            <v>2019</v>
          </cell>
          <cell r="B3219" t="str">
            <v>Budget</v>
          </cell>
          <cell r="C3219" t="str">
            <v>Apr</v>
          </cell>
          <cell r="D3219" t="str">
            <v>Chairs</v>
          </cell>
          <cell r="E3219">
            <v>74800.704999999987</v>
          </cell>
          <cell r="F3219">
            <v>4</v>
          </cell>
        </row>
        <row r="3220">
          <cell r="A3220">
            <v>2019</v>
          </cell>
          <cell r="B3220" t="str">
            <v>Actual</v>
          </cell>
          <cell r="C3220" t="str">
            <v>Apr</v>
          </cell>
          <cell r="D3220" t="str">
            <v>Chairs</v>
          </cell>
          <cell r="E3220">
            <v>351640.02999999997</v>
          </cell>
          <cell r="F3220">
            <v>4</v>
          </cell>
        </row>
        <row r="3221">
          <cell r="A3221">
            <v>2018</v>
          </cell>
          <cell r="B3221" t="str">
            <v>Budget</v>
          </cell>
          <cell r="C3221" t="str">
            <v>Apr</v>
          </cell>
          <cell r="D3221" t="str">
            <v>Chairs</v>
          </cell>
          <cell r="E3221">
            <v>5384260.0419999994</v>
          </cell>
          <cell r="F3221">
            <v>4</v>
          </cell>
        </row>
        <row r="3222">
          <cell r="A3222">
            <v>2019</v>
          </cell>
          <cell r="B3222" t="str">
            <v>Actual</v>
          </cell>
          <cell r="C3222" t="str">
            <v>Apr</v>
          </cell>
          <cell r="D3222" t="str">
            <v>Chairs</v>
          </cell>
          <cell r="E3222">
            <v>487931.33899999998</v>
          </cell>
          <cell r="F3222">
            <v>4</v>
          </cell>
        </row>
        <row r="3223">
          <cell r="A3223">
            <v>2018</v>
          </cell>
          <cell r="B3223" t="str">
            <v>Budget</v>
          </cell>
          <cell r="C3223" t="str">
            <v>Apr</v>
          </cell>
          <cell r="D3223" t="str">
            <v>Chairs</v>
          </cell>
          <cell r="E3223">
            <v>1235886.1199999999</v>
          </cell>
          <cell r="F3223">
            <v>4</v>
          </cell>
        </row>
        <row r="3224">
          <cell r="A3224">
            <v>2019</v>
          </cell>
          <cell r="B3224" t="str">
            <v>Actual</v>
          </cell>
          <cell r="C3224" t="str">
            <v>Apr</v>
          </cell>
          <cell r="D3224" t="str">
            <v>Chairs</v>
          </cell>
          <cell r="E3224">
            <v>233245.24299999999</v>
          </cell>
          <cell r="F3224">
            <v>4</v>
          </cell>
        </row>
        <row r="3225">
          <cell r="A3225">
            <v>2019</v>
          </cell>
          <cell r="B3225" t="str">
            <v>Budget</v>
          </cell>
          <cell r="C3225" t="str">
            <v>Apr</v>
          </cell>
          <cell r="D3225" t="str">
            <v>Chairs</v>
          </cell>
          <cell r="E3225">
            <v>878940.05499999993</v>
          </cell>
          <cell r="F3225">
            <v>4</v>
          </cell>
        </row>
        <row r="3226">
          <cell r="A3226">
            <v>2018</v>
          </cell>
          <cell r="B3226" t="str">
            <v>Actual</v>
          </cell>
          <cell r="C3226" t="str">
            <v>Apr</v>
          </cell>
          <cell r="D3226" t="str">
            <v>Chairs</v>
          </cell>
          <cell r="E3226">
            <v>1200045.0419999999</v>
          </cell>
          <cell r="F3226">
            <v>4</v>
          </cell>
        </row>
        <row r="3227">
          <cell r="A3227">
            <v>2018</v>
          </cell>
          <cell r="B3227" t="str">
            <v>Budget</v>
          </cell>
          <cell r="C3227" t="str">
            <v>Apr</v>
          </cell>
          <cell r="D3227" t="str">
            <v>Chairs</v>
          </cell>
          <cell r="E3227">
            <v>2632073.8079999997</v>
          </cell>
          <cell r="F3227">
            <v>4</v>
          </cell>
        </row>
        <row r="3228">
          <cell r="A3228">
            <v>2018</v>
          </cell>
          <cell r="B3228" t="str">
            <v>Actual</v>
          </cell>
          <cell r="C3228" t="str">
            <v>Apr</v>
          </cell>
          <cell r="D3228" t="str">
            <v>Chairs</v>
          </cell>
          <cell r="E3228">
            <v>2955847.4050000003</v>
          </cell>
          <cell r="F3228">
            <v>4</v>
          </cell>
        </row>
        <row r="3229">
          <cell r="A3229">
            <v>2018</v>
          </cell>
          <cell r="B3229" t="str">
            <v>Budget</v>
          </cell>
          <cell r="C3229" t="str">
            <v>Apr</v>
          </cell>
          <cell r="D3229" t="str">
            <v>Chairs</v>
          </cell>
          <cell r="E3229">
            <v>386264.17199999996</v>
          </cell>
          <cell r="F3229">
            <v>4</v>
          </cell>
        </row>
        <row r="3230">
          <cell r="A3230">
            <v>2018</v>
          </cell>
          <cell r="B3230" t="str">
            <v>Actual</v>
          </cell>
          <cell r="C3230" t="str">
            <v>Apr</v>
          </cell>
          <cell r="D3230" t="str">
            <v>Chairs</v>
          </cell>
          <cell r="E3230">
            <v>6444.5569999999998</v>
          </cell>
          <cell r="F3230">
            <v>4</v>
          </cell>
        </row>
        <row r="3231">
          <cell r="A3231">
            <v>2018</v>
          </cell>
          <cell r="B3231" t="str">
            <v>Budget</v>
          </cell>
          <cell r="C3231" t="str">
            <v>Apr</v>
          </cell>
          <cell r="D3231" t="str">
            <v>Chairs</v>
          </cell>
          <cell r="E3231">
            <v>191805.42499999999</v>
          </cell>
          <cell r="F3231">
            <v>4</v>
          </cell>
        </row>
        <row r="3232">
          <cell r="A3232">
            <v>2018</v>
          </cell>
          <cell r="B3232" t="str">
            <v>Actual</v>
          </cell>
          <cell r="C3232" t="str">
            <v>Apr</v>
          </cell>
          <cell r="D3232" t="str">
            <v>Chairs</v>
          </cell>
          <cell r="E3232">
            <v>86127.180999999997</v>
          </cell>
          <cell r="F3232">
            <v>4</v>
          </cell>
        </row>
        <row r="3233">
          <cell r="A3233">
            <v>2018</v>
          </cell>
          <cell r="B3233" t="str">
            <v>Budget</v>
          </cell>
          <cell r="C3233" t="str">
            <v>Apr</v>
          </cell>
          <cell r="D3233" t="str">
            <v>Chairs</v>
          </cell>
          <cell r="E3233">
            <v>695204.53099999996</v>
          </cell>
          <cell r="F3233">
            <v>4</v>
          </cell>
        </row>
        <row r="3234">
          <cell r="A3234">
            <v>2019</v>
          </cell>
          <cell r="B3234" t="str">
            <v>Actual</v>
          </cell>
          <cell r="C3234" t="str">
            <v>Apr</v>
          </cell>
          <cell r="D3234" t="str">
            <v>Chairs</v>
          </cell>
          <cell r="E3234">
            <v>440837.16599999997</v>
          </cell>
          <cell r="F3234">
            <v>4</v>
          </cell>
        </row>
        <row r="3235">
          <cell r="A3235">
            <v>2019</v>
          </cell>
          <cell r="B3235" t="str">
            <v>Budget</v>
          </cell>
          <cell r="C3235" t="str">
            <v>Apr</v>
          </cell>
          <cell r="D3235" t="str">
            <v>Chairs</v>
          </cell>
          <cell r="E3235">
            <v>608501.48099999991</v>
          </cell>
          <cell r="F3235">
            <v>4</v>
          </cell>
        </row>
        <row r="3236">
          <cell r="A3236">
            <v>2018</v>
          </cell>
          <cell r="B3236" t="str">
            <v>Actual</v>
          </cell>
          <cell r="C3236" t="str">
            <v>Apr</v>
          </cell>
          <cell r="D3236" t="str">
            <v>Chairs</v>
          </cell>
          <cell r="E3236">
            <v>99073.631999999998</v>
          </cell>
          <cell r="F3236">
            <v>4</v>
          </cell>
        </row>
        <row r="3237">
          <cell r="A3237">
            <v>2018</v>
          </cell>
          <cell r="B3237" t="str">
            <v>Budget</v>
          </cell>
          <cell r="C3237" t="str">
            <v>Apr</v>
          </cell>
          <cell r="D3237" t="str">
            <v>Chairs</v>
          </cell>
          <cell r="E3237">
            <v>59604.72</v>
          </cell>
          <cell r="F3237">
            <v>4</v>
          </cell>
        </row>
        <row r="3238">
          <cell r="A3238">
            <v>2019</v>
          </cell>
          <cell r="B3238" t="str">
            <v>Actual</v>
          </cell>
          <cell r="C3238" t="str">
            <v>Apr</v>
          </cell>
          <cell r="D3238" t="str">
            <v>Chairs</v>
          </cell>
          <cell r="E3238">
            <v>93383.226999999984</v>
          </cell>
          <cell r="F3238">
            <v>4</v>
          </cell>
        </row>
        <row r="3239">
          <cell r="A3239">
            <v>2019</v>
          </cell>
          <cell r="B3239" t="str">
            <v>Budget</v>
          </cell>
          <cell r="C3239" t="str">
            <v>Apr</v>
          </cell>
          <cell r="D3239" t="str">
            <v>Tables</v>
          </cell>
          <cell r="E3239">
            <v>224904.25999999998</v>
          </cell>
          <cell r="F3239">
            <v>4</v>
          </cell>
        </row>
        <row r="3240">
          <cell r="A3240">
            <v>2019</v>
          </cell>
          <cell r="B3240" t="str">
            <v>Actual</v>
          </cell>
          <cell r="C3240" t="str">
            <v>Apr</v>
          </cell>
          <cell r="D3240" t="str">
            <v>Kitchen</v>
          </cell>
          <cell r="E3240">
            <v>151199.00599999999</v>
          </cell>
          <cell r="F3240">
            <v>4</v>
          </cell>
        </row>
        <row r="3241">
          <cell r="A3241">
            <v>2018</v>
          </cell>
          <cell r="B3241" t="str">
            <v>Budget</v>
          </cell>
          <cell r="C3241" t="str">
            <v>Apr</v>
          </cell>
          <cell r="D3241" t="str">
            <v>Chairs</v>
          </cell>
          <cell r="E3241">
            <v>2231859.9939999999</v>
          </cell>
          <cell r="F3241">
            <v>4</v>
          </cell>
        </row>
        <row r="3242">
          <cell r="A3242">
            <v>2018</v>
          </cell>
          <cell r="B3242" t="str">
            <v>Actual</v>
          </cell>
          <cell r="C3242" t="str">
            <v>Apr</v>
          </cell>
          <cell r="D3242" t="str">
            <v>Chairs</v>
          </cell>
          <cell r="E3242">
            <v>129668.93799999999</v>
          </cell>
          <cell r="F3242">
            <v>4</v>
          </cell>
        </row>
        <row r="3243">
          <cell r="A3243">
            <v>2019</v>
          </cell>
          <cell r="B3243" t="str">
            <v>Budget</v>
          </cell>
          <cell r="C3243" t="str">
            <v>Apr</v>
          </cell>
          <cell r="D3243" t="str">
            <v>Chairs</v>
          </cell>
          <cell r="E3243">
            <v>115691.15599999999</v>
          </cell>
          <cell r="F3243">
            <v>4</v>
          </cell>
        </row>
        <row r="3244">
          <cell r="A3244">
            <v>2018</v>
          </cell>
          <cell r="B3244" t="str">
            <v>Actual</v>
          </cell>
          <cell r="C3244" t="str">
            <v>Apr</v>
          </cell>
          <cell r="D3244" t="str">
            <v>Chairs</v>
          </cell>
          <cell r="E3244">
            <v>538035.91799999995</v>
          </cell>
          <cell r="F3244">
            <v>4</v>
          </cell>
        </row>
        <row r="3245">
          <cell r="A3245">
            <v>2019</v>
          </cell>
          <cell r="B3245" t="str">
            <v>Budget</v>
          </cell>
          <cell r="C3245" t="str">
            <v>Apr</v>
          </cell>
          <cell r="D3245" t="str">
            <v>Chairs</v>
          </cell>
          <cell r="E3245">
            <v>146893.15199999997</v>
          </cell>
          <cell r="F3245">
            <v>4</v>
          </cell>
        </row>
        <row r="3246">
          <cell r="A3246">
            <v>2019</v>
          </cell>
          <cell r="B3246" t="str">
            <v>Actual</v>
          </cell>
          <cell r="C3246" t="str">
            <v>Apr</v>
          </cell>
          <cell r="D3246" t="str">
            <v>Tables</v>
          </cell>
          <cell r="E3246">
            <v>364509.41099999996</v>
          </cell>
          <cell r="F3246">
            <v>4</v>
          </cell>
        </row>
        <row r="3247">
          <cell r="A3247">
            <v>2018</v>
          </cell>
          <cell r="B3247" t="str">
            <v>Budget</v>
          </cell>
          <cell r="C3247" t="str">
            <v>Apr</v>
          </cell>
          <cell r="D3247" t="str">
            <v>Kitchen</v>
          </cell>
          <cell r="E3247">
            <v>2502781.6519999998</v>
          </cell>
          <cell r="F3247">
            <v>4</v>
          </cell>
        </row>
        <row r="3248">
          <cell r="A3248">
            <v>2018</v>
          </cell>
          <cell r="B3248" t="str">
            <v>Actual</v>
          </cell>
          <cell r="C3248" t="str">
            <v>Apr</v>
          </cell>
          <cell r="D3248" t="str">
            <v>Chairs</v>
          </cell>
          <cell r="E3248">
            <v>359857.61</v>
          </cell>
          <cell r="F3248">
            <v>4</v>
          </cell>
        </row>
        <row r="3249">
          <cell r="A3249">
            <v>2019</v>
          </cell>
          <cell r="B3249" t="str">
            <v>Budget</v>
          </cell>
          <cell r="C3249" t="str">
            <v>Apr</v>
          </cell>
          <cell r="D3249" t="str">
            <v>Chairs</v>
          </cell>
          <cell r="E3249">
            <v>895632.75900000008</v>
          </cell>
          <cell r="F3249">
            <v>4</v>
          </cell>
        </row>
        <row r="3250">
          <cell r="A3250">
            <v>2018</v>
          </cell>
          <cell r="B3250" t="str">
            <v>Actual</v>
          </cell>
          <cell r="C3250" t="str">
            <v>Apr</v>
          </cell>
          <cell r="D3250" t="str">
            <v>Chairs</v>
          </cell>
          <cell r="E3250">
            <v>891280.48800000001</v>
          </cell>
          <cell r="F3250">
            <v>4</v>
          </cell>
        </row>
        <row r="3251">
          <cell r="A3251">
            <v>2019</v>
          </cell>
          <cell r="B3251" t="str">
            <v>Budget</v>
          </cell>
          <cell r="C3251" t="str">
            <v>Apr</v>
          </cell>
          <cell r="D3251" t="str">
            <v>Tables</v>
          </cell>
          <cell r="E3251">
            <v>202513.91999999998</v>
          </cell>
          <cell r="F3251">
            <v>4</v>
          </cell>
        </row>
        <row r="3252">
          <cell r="A3252">
            <v>2018</v>
          </cell>
          <cell r="B3252" t="str">
            <v>Actual</v>
          </cell>
          <cell r="C3252" t="str">
            <v>Apr</v>
          </cell>
          <cell r="D3252" t="str">
            <v>Kitchen</v>
          </cell>
          <cell r="E3252">
            <v>202983.424</v>
          </cell>
          <cell r="F3252">
            <v>4</v>
          </cell>
        </row>
        <row r="3253">
          <cell r="A3253">
            <v>2018</v>
          </cell>
          <cell r="B3253" t="str">
            <v>Budget</v>
          </cell>
          <cell r="C3253" t="str">
            <v>Apr</v>
          </cell>
          <cell r="D3253" t="str">
            <v>Chairs</v>
          </cell>
          <cell r="E3253">
            <v>402058.49599999998</v>
          </cell>
          <cell r="F3253">
            <v>4</v>
          </cell>
        </row>
        <row r="3254">
          <cell r="A3254">
            <v>2018</v>
          </cell>
          <cell r="B3254" t="str">
            <v>Actual</v>
          </cell>
          <cell r="C3254" t="str">
            <v>Apr</v>
          </cell>
          <cell r="D3254" t="str">
            <v>Chairs</v>
          </cell>
          <cell r="E3254">
            <v>403931.13599999994</v>
          </cell>
          <cell r="F3254">
            <v>4</v>
          </cell>
        </row>
        <row r="3255">
          <cell r="A3255">
            <v>2019</v>
          </cell>
          <cell r="B3255" t="str">
            <v>Budget</v>
          </cell>
          <cell r="C3255" t="str">
            <v>Apr</v>
          </cell>
          <cell r="D3255" t="str">
            <v>Tables</v>
          </cell>
          <cell r="E3255">
            <v>2935.7299999999996</v>
          </cell>
          <cell r="F3255">
            <v>4</v>
          </cell>
        </row>
        <row r="3256">
          <cell r="A3256">
            <v>2018</v>
          </cell>
          <cell r="B3256" t="str">
            <v>Actual</v>
          </cell>
          <cell r="C3256" t="str">
            <v>Apr</v>
          </cell>
          <cell r="D3256" t="str">
            <v>Kitchen</v>
          </cell>
          <cell r="E3256">
            <v>142656.416</v>
          </cell>
          <cell r="F3256">
            <v>4</v>
          </cell>
        </row>
        <row r="3257">
          <cell r="A3257">
            <v>2018</v>
          </cell>
          <cell r="B3257" t="str">
            <v>Budget</v>
          </cell>
          <cell r="C3257" t="str">
            <v>Apr</v>
          </cell>
          <cell r="D3257" t="str">
            <v>Chairs</v>
          </cell>
          <cell r="E3257">
            <v>201893.538</v>
          </cell>
          <cell r="F3257">
            <v>4</v>
          </cell>
        </row>
        <row r="3258">
          <cell r="A3258">
            <v>2018</v>
          </cell>
          <cell r="B3258" t="str">
            <v>Actual</v>
          </cell>
          <cell r="C3258" t="str">
            <v>Apr</v>
          </cell>
          <cell r="D3258" t="str">
            <v>Chairs</v>
          </cell>
          <cell r="E3258">
            <v>69193.508999999991</v>
          </cell>
          <cell r="F3258">
            <v>4</v>
          </cell>
        </row>
        <row r="3259">
          <cell r="A3259">
            <v>2018</v>
          </cell>
          <cell r="B3259" t="str">
            <v>Budget</v>
          </cell>
          <cell r="C3259" t="str">
            <v>Apr</v>
          </cell>
          <cell r="D3259" t="str">
            <v>Chairs</v>
          </cell>
          <cell r="E3259">
            <v>22861.978999999999</v>
          </cell>
          <cell r="F3259">
            <v>4</v>
          </cell>
        </row>
        <row r="3260">
          <cell r="A3260">
            <v>2018</v>
          </cell>
          <cell r="B3260" t="str">
            <v>Actual</v>
          </cell>
          <cell r="C3260" t="str">
            <v>Apr</v>
          </cell>
          <cell r="D3260" t="str">
            <v>Tables</v>
          </cell>
          <cell r="E3260">
            <v>21017.605</v>
          </cell>
          <cell r="F3260">
            <v>4</v>
          </cell>
        </row>
        <row r="3261">
          <cell r="A3261">
            <v>2019</v>
          </cell>
          <cell r="B3261" t="str">
            <v>Budget</v>
          </cell>
          <cell r="C3261" t="str">
            <v>Apr</v>
          </cell>
          <cell r="D3261" t="str">
            <v>Kitchen</v>
          </cell>
          <cell r="E3261">
            <v>107490.299</v>
          </cell>
          <cell r="F3261">
            <v>4</v>
          </cell>
        </row>
        <row r="3262">
          <cell r="A3262">
            <v>2019</v>
          </cell>
          <cell r="B3262" t="str">
            <v>Actual</v>
          </cell>
          <cell r="C3262" t="str">
            <v>Apr</v>
          </cell>
          <cell r="D3262" t="str">
            <v>Accessories</v>
          </cell>
          <cell r="E3262">
            <v>52349.758999999991</v>
          </cell>
          <cell r="F3262">
            <v>4</v>
          </cell>
        </row>
        <row r="3263">
          <cell r="A3263">
            <v>2018</v>
          </cell>
          <cell r="B3263" t="str">
            <v>Budget</v>
          </cell>
          <cell r="C3263" t="str">
            <v>Apr</v>
          </cell>
          <cell r="D3263" t="str">
            <v>Chairs</v>
          </cell>
          <cell r="E3263">
            <v>125947.19899999999</v>
          </cell>
          <cell r="F3263">
            <v>4</v>
          </cell>
        </row>
        <row r="3264">
          <cell r="A3264">
            <v>2019</v>
          </cell>
          <cell r="B3264" t="str">
            <v>Actual</v>
          </cell>
          <cell r="C3264" t="str">
            <v>Apr</v>
          </cell>
          <cell r="D3264" t="str">
            <v>Tables</v>
          </cell>
          <cell r="E3264">
            <v>188360.34</v>
          </cell>
          <cell r="F3264">
            <v>4</v>
          </cell>
        </row>
        <row r="3265">
          <cell r="A3265">
            <v>2019</v>
          </cell>
          <cell r="B3265" t="str">
            <v>Budget</v>
          </cell>
          <cell r="C3265" t="str">
            <v>Apr</v>
          </cell>
          <cell r="D3265" t="str">
            <v>Kitchen</v>
          </cell>
          <cell r="E3265">
            <v>1121955.3029999998</v>
          </cell>
          <cell r="F3265">
            <v>4</v>
          </cell>
        </row>
        <row r="3266">
          <cell r="A3266">
            <v>2018</v>
          </cell>
          <cell r="B3266" t="str">
            <v>Actual</v>
          </cell>
          <cell r="C3266" t="str">
            <v>Apr</v>
          </cell>
          <cell r="D3266" t="str">
            <v>Accessories</v>
          </cell>
          <cell r="E3266">
            <v>9714.6839999999993</v>
          </cell>
          <cell r="F3266">
            <v>4</v>
          </cell>
        </row>
        <row r="3267">
          <cell r="A3267">
            <v>2019</v>
          </cell>
          <cell r="B3267" t="str">
            <v>Budget</v>
          </cell>
          <cell r="C3267" t="str">
            <v>Apr</v>
          </cell>
          <cell r="D3267" t="str">
            <v>Chairs</v>
          </cell>
          <cell r="E3267">
            <v>839429.07999999984</v>
          </cell>
          <cell r="F3267">
            <v>4</v>
          </cell>
        </row>
        <row r="3268">
          <cell r="A3268">
            <v>2018</v>
          </cell>
          <cell r="B3268" t="str">
            <v>Actual</v>
          </cell>
          <cell r="C3268" t="str">
            <v>Apr</v>
          </cell>
          <cell r="D3268" t="str">
            <v>Tables</v>
          </cell>
          <cell r="E3268">
            <v>29687.223999999998</v>
          </cell>
          <cell r="F3268">
            <v>4</v>
          </cell>
        </row>
        <row r="3269">
          <cell r="A3269">
            <v>2019</v>
          </cell>
          <cell r="B3269" t="str">
            <v>Budget</v>
          </cell>
          <cell r="C3269" t="str">
            <v>Apr</v>
          </cell>
          <cell r="D3269" t="str">
            <v>Kitchen</v>
          </cell>
          <cell r="E3269">
            <v>33319.229999999996</v>
          </cell>
          <cell r="F3269">
            <v>4</v>
          </cell>
        </row>
        <row r="3270">
          <cell r="A3270">
            <v>2019</v>
          </cell>
          <cell r="B3270" t="str">
            <v>Actual</v>
          </cell>
          <cell r="C3270" t="str">
            <v>Apr</v>
          </cell>
          <cell r="D3270" t="str">
            <v>Accessories</v>
          </cell>
          <cell r="E3270">
            <v>66783.891999999993</v>
          </cell>
          <cell r="F3270">
            <v>4</v>
          </cell>
        </row>
        <row r="3271">
          <cell r="A3271">
            <v>2019</v>
          </cell>
          <cell r="B3271" t="str">
            <v>Budget</v>
          </cell>
          <cell r="C3271" t="str">
            <v>Apr</v>
          </cell>
          <cell r="D3271" t="str">
            <v>Chairs</v>
          </cell>
          <cell r="E3271">
            <v>77297.22</v>
          </cell>
          <cell r="F3271">
            <v>4</v>
          </cell>
        </row>
        <row r="3272">
          <cell r="A3272">
            <v>2019</v>
          </cell>
          <cell r="B3272" t="str">
            <v>Actual</v>
          </cell>
          <cell r="C3272" t="str">
            <v>Apr</v>
          </cell>
          <cell r="D3272" t="str">
            <v>Tables</v>
          </cell>
          <cell r="E3272">
            <v>107253.99299999999</v>
          </cell>
          <cell r="F3272">
            <v>4</v>
          </cell>
        </row>
        <row r="3273">
          <cell r="A3273">
            <v>2019</v>
          </cell>
          <cell r="B3273" t="str">
            <v>Budget</v>
          </cell>
          <cell r="C3273" t="str">
            <v>Apr</v>
          </cell>
          <cell r="D3273" t="str">
            <v>Kitchen</v>
          </cell>
          <cell r="E3273">
            <v>399463.71499999997</v>
          </cell>
          <cell r="F3273">
            <v>4</v>
          </cell>
        </row>
        <row r="3274">
          <cell r="A3274">
            <v>2018</v>
          </cell>
          <cell r="B3274" t="str">
            <v>Actual</v>
          </cell>
          <cell r="C3274" t="str">
            <v>Apr</v>
          </cell>
          <cell r="D3274" t="str">
            <v>Accessories</v>
          </cell>
          <cell r="E3274">
            <v>25.914000000000001</v>
          </cell>
          <cell r="F3274">
            <v>4</v>
          </cell>
        </row>
        <row r="3275">
          <cell r="A3275">
            <v>2019</v>
          </cell>
          <cell r="B3275" t="str">
            <v>Budget</v>
          </cell>
          <cell r="C3275" t="str">
            <v>Apr</v>
          </cell>
          <cell r="D3275" t="str">
            <v>Chairs</v>
          </cell>
          <cell r="E3275">
            <v>350838.64899999998</v>
          </cell>
          <cell r="F3275">
            <v>4</v>
          </cell>
        </row>
        <row r="3276">
          <cell r="A3276">
            <v>2018</v>
          </cell>
          <cell r="B3276" t="str">
            <v>Actual</v>
          </cell>
          <cell r="C3276" t="str">
            <v>Apr</v>
          </cell>
          <cell r="D3276" t="str">
            <v>Chairs</v>
          </cell>
          <cell r="E3276">
            <v>820074.99699999997</v>
          </cell>
          <cell r="F3276">
            <v>4</v>
          </cell>
        </row>
        <row r="3277">
          <cell r="A3277">
            <v>2019</v>
          </cell>
          <cell r="B3277" t="str">
            <v>Budget</v>
          </cell>
          <cell r="C3277" t="str">
            <v>Apr</v>
          </cell>
          <cell r="D3277" t="str">
            <v>Tables</v>
          </cell>
          <cell r="E3277">
            <v>429401.74200000003</v>
          </cell>
          <cell r="F3277">
            <v>4</v>
          </cell>
        </row>
        <row r="3278">
          <cell r="A3278">
            <v>2019</v>
          </cell>
          <cell r="B3278" t="str">
            <v>Actual</v>
          </cell>
          <cell r="C3278" t="str">
            <v>Apr</v>
          </cell>
          <cell r="D3278" t="str">
            <v>Kitchen</v>
          </cell>
          <cell r="E3278">
            <v>207919.796</v>
          </cell>
          <cell r="F3278">
            <v>4</v>
          </cell>
        </row>
        <row r="3279">
          <cell r="A3279">
            <v>2018</v>
          </cell>
          <cell r="B3279" t="str">
            <v>Budget</v>
          </cell>
          <cell r="C3279" t="str">
            <v>Apr</v>
          </cell>
          <cell r="D3279" t="str">
            <v>Chairs</v>
          </cell>
          <cell r="E3279">
            <v>159298.88099999999</v>
          </cell>
          <cell r="F3279">
            <v>4</v>
          </cell>
        </row>
        <row r="3280">
          <cell r="A3280">
            <v>2018</v>
          </cell>
          <cell r="B3280" t="str">
            <v>Actual</v>
          </cell>
          <cell r="C3280" t="str">
            <v>Apr</v>
          </cell>
          <cell r="D3280" t="str">
            <v>Tables</v>
          </cell>
          <cell r="E3280">
            <v>95233.411000000007</v>
          </cell>
          <cell r="F3280">
            <v>4</v>
          </cell>
        </row>
        <row r="3281">
          <cell r="A3281">
            <v>2019</v>
          </cell>
          <cell r="B3281" t="str">
            <v>Budget</v>
          </cell>
          <cell r="C3281" t="str">
            <v>Apr</v>
          </cell>
          <cell r="D3281" t="str">
            <v>Kitchen</v>
          </cell>
          <cell r="E3281">
            <v>318031.67899999995</v>
          </cell>
          <cell r="F3281">
            <v>4</v>
          </cell>
        </row>
        <row r="3282">
          <cell r="A3282">
            <v>2019</v>
          </cell>
          <cell r="B3282" t="str">
            <v>Actual</v>
          </cell>
          <cell r="C3282" t="str">
            <v>Apr</v>
          </cell>
          <cell r="D3282" t="str">
            <v>Chairs</v>
          </cell>
          <cell r="E3282">
            <v>158422.446</v>
          </cell>
          <cell r="F3282">
            <v>4</v>
          </cell>
        </row>
        <row r="3283">
          <cell r="A3283">
            <v>2018</v>
          </cell>
          <cell r="B3283" t="str">
            <v>Budget</v>
          </cell>
          <cell r="C3283" t="str">
            <v>Apr</v>
          </cell>
          <cell r="D3283" t="str">
            <v>Tables</v>
          </cell>
          <cell r="E3283">
            <v>-3641653.5189999999</v>
          </cell>
          <cell r="F3283">
            <v>4</v>
          </cell>
        </row>
        <row r="3284">
          <cell r="A3284">
            <v>2019</v>
          </cell>
          <cell r="B3284" t="str">
            <v>Actual</v>
          </cell>
          <cell r="C3284" t="str">
            <v>Apr</v>
          </cell>
          <cell r="D3284" t="str">
            <v>Kitchen</v>
          </cell>
          <cell r="E3284">
            <v>111065.836</v>
          </cell>
          <cell r="F3284">
            <v>4</v>
          </cell>
        </row>
        <row r="3285">
          <cell r="A3285">
            <v>2018</v>
          </cell>
          <cell r="B3285" t="str">
            <v>Budget</v>
          </cell>
          <cell r="C3285" t="str">
            <v>Apr</v>
          </cell>
          <cell r="D3285" t="str">
            <v>Chairs</v>
          </cell>
          <cell r="E3285">
            <v>92112.72</v>
          </cell>
          <cell r="F3285">
            <v>4</v>
          </cell>
        </row>
        <row r="3286">
          <cell r="A3286">
            <v>2019</v>
          </cell>
          <cell r="B3286" t="str">
            <v>Actual</v>
          </cell>
          <cell r="C3286" t="str">
            <v>Apr</v>
          </cell>
          <cell r="D3286" t="str">
            <v>Chairs</v>
          </cell>
          <cell r="E3286">
            <v>418538.98799999995</v>
          </cell>
          <cell r="F3286">
            <v>4</v>
          </cell>
        </row>
        <row r="3287">
          <cell r="A3287">
            <v>2019</v>
          </cell>
          <cell r="B3287" t="str">
            <v>Budget</v>
          </cell>
          <cell r="C3287" t="str">
            <v>Apr</v>
          </cell>
          <cell r="D3287" t="str">
            <v>Chairs</v>
          </cell>
          <cell r="E3287">
            <v>95551.420999999988</v>
          </cell>
          <cell r="F3287">
            <v>4</v>
          </cell>
        </row>
        <row r="3288">
          <cell r="A3288">
            <v>2018</v>
          </cell>
          <cell r="B3288" t="str">
            <v>Actual</v>
          </cell>
          <cell r="C3288" t="str">
            <v>Apr</v>
          </cell>
          <cell r="D3288" t="str">
            <v>Chairs</v>
          </cell>
          <cell r="E3288">
            <v>83075.20199999999</v>
          </cell>
          <cell r="F3288">
            <v>4</v>
          </cell>
        </row>
        <row r="3289">
          <cell r="A3289">
            <v>2018</v>
          </cell>
          <cell r="B3289" t="str">
            <v>Budget</v>
          </cell>
          <cell r="C3289" t="str">
            <v>Apr</v>
          </cell>
          <cell r="D3289" t="str">
            <v>Chairs</v>
          </cell>
          <cell r="E3289">
            <v>11577.678</v>
          </cell>
          <cell r="F3289">
            <v>4</v>
          </cell>
        </row>
        <row r="3290">
          <cell r="A3290">
            <v>2018</v>
          </cell>
          <cell r="B3290" t="str">
            <v>Actual</v>
          </cell>
          <cell r="C3290" t="str">
            <v>Apr</v>
          </cell>
          <cell r="D3290" t="str">
            <v>Chairs</v>
          </cell>
          <cell r="E3290">
            <v>67228.231</v>
          </cell>
          <cell r="F3290">
            <v>4</v>
          </cell>
        </row>
        <row r="3291">
          <cell r="A3291">
            <v>2018</v>
          </cell>
          <cell r="B3291" t="str">
            <v>Budget</v>
          </cell>
          <cell r="C3291" t="str">
            <v>Apr</v>
          </cell>
          <cell r="D3291" t="str">
            <v>Chairs</v>
          </cell>
          <cell r="E3291">
            <v>286450.61899999995</v>
          </cell>
          <cell r="F3291">
            <v>4</v>
          </cell>
        </row>
        <row r="3292">
          <cell r="A3292">
            <v>2019</v>
          </cell>
          <cell r="B3292" t="str">
            <v>Actual</v>
          </cell>
          <cell r="C3292" t="str">
            <v>Apr</v>
          </cell>
          <cell r="D3292" t="str">
            <v>Chairs</v>
          </cell>
          <cell r="E3292">
            <v>82230.224999999991</v>
          </cell>
          <cell r="F3292">
            <v>4</v>
          </cell>
        </row>
        <row r="3293">
          <cell r="A3293">
            <v>2018</v>
          </cell>
          <cell r="B3293" t="str">
            <v>Budget</v>
          </cell>
          <cell r="C3293" t="str">
            <v>Apr</v>
          </cell>
          <cell r="D3293" t="str">
            <v>Chairs</v>
          </cell>
          <cell r="E3293">
            <v>85895.858999999997</v>
          </cell>
          <cell r="F3293">
            <v>4</v>
          </cell>
        </row>
        <row r="3294">
          <cell r="A3294">
            <v>2019</v>
          </cell>
          <cell r="B3294" t="str">
            <v>Actual</v>
          </cell>
          <cell r="C3294" t="str">
            <v>Apr</v>
          </cell>
          <cell r="D3294" t="str">
            <v>Chairs</v>
          </cell>
          <cell r="E3294">
            <v>52792.284999999996</v>
          </cell>
          <cell r="F3294">
            <v>4</v>
          </cell>
        </row>
        <row r="3295">
          <cell r="A3295">
            <v>2018</v>
          </cell>
          <cell r="B3295" t="str">
            <v>Budget</v>
          </cell>
          <cell r="C3295" t="str">
            <v>Apr</v>
          </cell>
          <cell r="D3295" t="str">
            <v>Chairs</v>
          </cell>
          <cell r="E3295">
            <v>58481.513999999996</v>
          </cell>
          <cell r="F3295">
            <v>4</v>
          </cell>
        </row>
        <row r="3296">
          <cell r="A3296">
            <v>2018</v>
          </cell>
          <cell r="B3296" t="str">
            <v>Actual</v>
          </cell>
          <cell r="C3296" t="str">
            <v>Apr</v>
          </cell>
          <cell r="D3296" t="str">
            <v>Chairs</v>
          </cell>
          <cell r="E3296">
            <v>45929.491999999998</v>
          </cell>
          <cell r="F3296">
            <v>4</v>
          </cell>
        </row>
        <row r="3297">
          <cell r="A3297">
            <v>2018</v>
          </cell>
          <cell r="B3297" t="str">
            <v>Budget</v>
          </cell>
          <cell r="C3297" t="str">
            <v>Apr</v>
          </cell>
          <cell r="D3297" t="str">
            <v>Chairs</v>
          </cell>
          <cell r="E3297">
            <v>465297.38500000001</v>
          </cell>
          <cell r="F3297">
            <v>4</v>
          </cell>
        </row>
        <row r="3298">
          <cell r="A3298">
            <v>2019</v>
          </cell>
          <cell r="B3298" t="str">
            <v>Actual</v>
          </cell>
          <cell r="C3298" t="str">
            <v>Apr</v>
          </cell>
          <cell r="D3298" t="str">
            <v>Chairs</v>
          </cell>
          <cell r="E3298">
            <v>919123.98899999994</v>
          </cell>
          <cell r="F3298">
            <v>4</v>
          </cell>
        </row>
        <row r="3299">
          <cell r="A3299">
            <v>2018</v>
          </cell>
          <cell r="B3299" t="str">
            <v>Budget</v>
          </cell>
          <cell r="C3299" t="str">
            <v>Apr</v>
          </cell>
          <cell r="D3299" t="str">
            <v>Chairs</v>
          </cell>
          <cell r="E3299">
            <v>458277.81299999997</v>
          </cell>
          <cell r="F3299">
            <v>4</v>
          </cell>
        </row>
        <row r="3300">
          <cell r="A3300">
            <v>2019</v>
          </cell>
          <cell r="B3300" t="str">
            <v>Actual</v>
          </cell>
          <cell r="C3300" t="str">
            <v>Apr</v>
          </cell>
          <cell r="D3300" t="str">
            <v>Chairs</v>
          </cell>
          <cell r="E3300">
            <v>447184.94799999997</v>
          </cell>
          <cell r="F3300">
            <v>4</v>
          </cell>
        </row>
        <row r="3301">
          <cell r="A3301">
            <v>2019</v>
          </cell>
          <cell r="B3301" t="str">
            <v>Budget</v>
          </cell>
          <cell r="C3301" t="str">
            <v>Apr</v>
          </cell>
          <cell r="D3301" t="str">
            <v>Chairs</v>
          </cell>
          <cell r="E3301">
            <v>388364.641</v>
          </cell>
          <cell r="F3301">
            <v>4</v>
          </cell>
        </row>
        <row r="3302">
          <cell r="A3302">
            <v>2018</v>
          </cell>
          <cell r="B3302" t="str">
            <v>Actual</v>
          </cell>
          <cell r="C3302" t="str">
            <v>Apr</v>
          </cell>
          <cell r="D3302" t="str">
            <v>Chairs</v>
          </cell>
          <cell r="E3302">
            <v>18589.556999999997</v>
          </cell>
          <cell r="F3302">
            <v>4</v>
          </cell>
        </row>
        <row r="3303">
          <cell r="A3303">
            <v>2018</v>
          </cell>
          <cell r="B3303" t="str">
            <v>Budget</v>
          </cell>
          <cell r="C3303" t="str">
            <v>Apr</v>
          </cell>
          <cell r="D3303" t="str">
            <v>Chairs</v>
          </cell>
          <cell r="E3303">
            <v>107691.465</v>
          </cell>
          <cell r="F3303">
            <v>4</v>
          </cell>
        </row>
        <row r="3304">
          <cell r="A3304">
            <v>2019</v>
          </cell>
          <cell r="B3304" t="str">
            <v>Actual</v>
          </cell>
          <cell r="C3304" t="str">
            <v>Apr</v>
          </cell>
          <cell r="D3304" t="str">
            <v>Chairs</v>
          </cell>
          <cell r="E3304">
            <v>62032.144999999997</v>
          </cell>
          <cell r="F3304">
            <v>4</v>
          </cell>
        </row>
        <row r="3305">
          <cell r="A3305">
            <v>2018</v>
          </cell>
          <cell r="B3305" t="str">
            <v>Budget</v>
          </cell>
          <cell r="C3305" t="str">
            <v>Apr</v>
          </cell>
          <cell r="D3305" t="str">
            <v>Chairs</v>
          </cell>
          <cell r="E3305">
            <v>61851.957999999999</v>
          </cell>
          <cell r="F3305">
            <v>4</v>
          </cell>
        </row>
        <row r="3306">
          <cell r="A3306">
            <v>2018</v>
          </cell>
          <cell r="B3306" t="str">
            <v>Actual</v>
          </cell>
          <cell r="C3306" t="str">
            <v>Apr</v>
          </cell>
          <cell r="D3306" t="str">
            <v>Chairs</v>
          </cell>
          <cell r="E3306">
            <v>73590.572999999989</v>
          </cell>
          <cell r="F3306">
            <v>4</v>
          </cell>
        </row>
        <row r="3307">
          <cell r="A3307">
            <v>2019</v>
          </cell>
          <cell r="B3307" t="str">
            <v>Budget</v>
          </cell>
          <cell r="C3307" t="str">
            <v>Apr</v>
          </cell>
          <cell r="D3307" t="str">
            <v>Chairs</v>
          </cell>
          <cell r="E3307">
            <v>132310.96900000001</v>
          </cell>
          <cell r="F3307">
            <v>4</v>
          </cell>
        </row>
        <row r="3308">
          <cell r="A3308">
            <v>2019</v>
          </cell>
          <cell r="B3308" t="str">
            <v>Actual</v>
          </cell>
          <cell r="C3308" t="str">
            <v>Apr</v>
          </cell>
          <cell r="D3308" t="str">
            <v>Chairs</v>
          </cell>
          <cell r="E3308">
            <v>56128.281999999992</v>
          </cell>
          <cell r="F3308">
            <v>4</v>
          </cell>
        </row>
        <row r="3309">
          <cell r="A3309">
            <v>2019</v>
          </cell>
          <cell r="B3309" t="str">
            <v>Budget</v>
          </cell>
          <cell r="C3309" t="str">
            <v>Apr</v>
          </cell>
          <cell r="D3309" t="str">
            <v>Chairs</v>
          </cell>
          <cell r="E3309">
            <v>52503.051999999996</v>
          </cell>
          <cell r="F3309">
            <v>4</v>
          </cell>
        </row>
        <row r="3310">
          <cell r="A3310">
            <v>2018</v>
          </cell>
          <cell r="B3310" t="str">
            <v>Actual</v>
          </cell>
          <cell r="C3310" t="str">
            <v>Apr</v>
          </cell>
          <cell r="D3310" t="str">
            <v>Chairs</v>
          </cell>
          <cell r="E3310">
            <v>57182.131999999991</v>
          </cell>
          <cell r="F3310">
            <v>4</v>
          </cell>
        </row>
        <row r="3311">
          <cell r="A3311">
            <v>2018</v>
          </cell>
          <cell r="B3311" t="str">
            <v>Budget</v>
          </cell>
          <cell r="C3311" t="str">
            <v>Apr</v>
          </cell>
          <cell r="D3311" t="str">
            <v>Tables</v>
          </cell>
          <cell r="E3311">
            <v>95785.024999999994</v>
          </cell>
          <cell r="F3311">
            <v>4</v>
          </cell>
        </row>
        <row r="3312">
          <cell r="A3312">
            <v>2019</v>
          </cell>
          <cell r="B3312" t="str">
            <v>Actual</v>
          </cell>
          <cell r="C3312" t="str">
            <v>Apr</v>
          </cell>
          <cell r="D3312" t="str">
            <v>Kitchen</v>
          </cell>
          <cell r="E3312">
            <v>60192.097000000002</v>
          </cell>
          <cell r="F3312">
            <v>4</v>
          </cell>
        </row>
        <row r="3313">
          <cell r="A3313">
            <v>2018</v>
          </cell>
          <cell r="B3313" t="str">
            <v>Budget</v>
          </cell>
          <cell r="C3313" t="str">
            <v>Apr</v>
          </cell>
          <cell r="D3313" t="str">
            <v>Chairs</v>
          </cell>
          <cell r="E3313">
            <v>157030.405</v>
          </cell>
          <cell r="F3313">
            <v>4</v>
          </cell>
        </row>
        <row r="3314">
          <cell r="A3314">
            <v>2018</v>
          </cell>
          <cell r="B3314" t="str">
            <v>Actual</v>
          </cell>
          <cell r="C3314" t="str">
            <v>Apr</v>
          </cell>
          <cell r="D3314" t="str">
            <v>Chairs</v>
          </cell>
          <cell r="E3314">
            <v>128612.72899999999</v>
          </cell>
          <cell r="F3314">
            <v>4</v>
          </cell>
        </row>
        <row r="3315">
          <cell r="A3315">
            <v>2019</v>
          </cell>
          <cell r="B3315" t="str">
            <v>Budget</v>
          </cell>
          <cell r="C3315" t="str">
            <v>Apr</v>
          </cell>
          <cell r="D3315" t="str">
            <v>Chairs</v>
          </cell>
          <cell r="E3315">
            <v>807259.55099999986</v>
          </cell>
          <cell r="F3315">
            <v>4</v>
          </cell>
        </row>
        <row r="3316">
          <cell r="A3316">
            <v>2019</v>
          </cell>
          <cell r="B3316" t="str">
            <v>Actual</v>
          </cell>
          <cell r="C3316" t="str">
            <v>Apr</v>
          </cell>
          <cell r="D3316" t="str">
            <v>Chairs</v>
          </cell>
          <cell r="E3316">
            <v>471175.06799999997</v>
          </cell>
          <cell r="F3316">
            <v>4</v>
          </cell>
        </row>
        <row r="3317">
          <cell r="A3317">
            <v>2018</v>
          </cell>
          <cell r="B3317" t="str">
            <v>Budget</v>
          </cell>
          <cell r="C3317" t="str">
            <v>Apr</v>
          </cell>
          <cell r="D3317" t="str">
            <v>Chairs</v>
          </cell>
          <cell r="E3317">
            <v>1770.6849999999999</v>
          </cell>
          <cell r="F3317">
            <v>4</v>
          </cell>
        </row>
        <row r="3318">
          <cell r="A3318">
            <v>2018</v>
          </cell>
          <cell r="B3318" t="str">
            <v>Actual</v>
          </cell>
          <cell r="C3318" t="str">
            <v>Apr</v>
          </cell>
          <cell r="D3318" t="str">
            <v>Tables</v>
          </cell>
          <cell r="E3318">
            <v>24638.242999999999</v>
          </cell>
          <cell r="F3318">
            <v>4</v>
          </cell>
        </row>
        <row r="3319">
          <cell r="A3319">
            <v>2018</v>
          </cell>
          <cell r="B3319" t="str">
            <v>Budget</v>
          </cell>
          <cell r="C3319" t="str">
            <v>Apr</v>
          </cell>
          <cell r="D3319" t="str">
            <v>Kitchen</v>
          </cell>
          <cell r="E3319">
            <v>20766.934999999998</v>
          </cell>
          <cell r="F3319">
            <v>4</v>
          </cell>
        </row>
        <row r="3320">
          <cell r="A3320">
            <v>2019</v>
          </cell>
          <cell r="B3320" t="str">
            <v>Actual</v>
          </cell>
          <cell r="C3320" t="str">
            <v>Apr</v>
          </cell>
          <cell r="D3320" t="str">
            <v>Chairs</v>
          </cell>
          <cell r="E3320">
            <v>7266338.4919999996</v>
          </cell>
          <cell r="F3320">
            <v>4</v>
          </cell>
        </row>
        <row r="3321">
          <cell r="A3321">
            <v>2019</v>
          </cell>
          <cell r="B3321" t="str">
            <v>Budget</v>
          </cell>
          <cell r="C3321" t="str">
            <v>Apr</v>
          </cell>
          <cell r="D3321" t="str">
            <v>Chairs</v>
          </cell>
          <cell r="E3321">
            <v>20269.220999999998</v>
          </cell>
          <cell r="F3321">
            <v>4</v>
          </cell>
        </row>
        <row r="3322">
          <cell r="A3322">
            <v>2018</v>
          </cell>
          <cell r="B3322" t="str">
            <v>Actual</v>
          </cell>
          <cell r="C3322" t="str">
            <v>Apr</v>
          </cell>
          <cell r="D3322" t="str">
            <v>Chairs</v>
          </cell>
          <cell r="E3322">
            <v>89708.947999999989</v>
          </cell>
          <cell r="F3322">
            <v>4</v>
          </cell>
        </row>
        <row r="3323">
          <cell r="A3323">
            <v>2019</v>
          </cell>
          <cell r="B3323" t="str">
            <v>Budget</v>
          </cell>
          <cell r="C3323" t="str">
            <v>Apr</v>
          </cell>
          <cell r="D3323" t="str">
            <v>Tables</v>
          </cell>
          <cell r="E3323">
            <v>36688.168999999994</v>
          </cell>
          <cell r="F3323">
            <v>4</v>
          </cell>
        </row>
        <row r="3324">
          <cell r="A3324">
            <v>2018</v>
          </cell>
          <cell r="B3324" t="str">
            <v>Actual</v>
          </cell>
          <cell r="C3324" t="str">
            <v>Apr</v>
          </cell>
          <cell r="D3324" t="str">
            <v>Kitchen</v>
          </cell>
          <cell r="E3324">
            <v>318988.299</v>
          </cell>
          <cell r="F3324">
            <v>4</v>
          </cell>
        </row>
        <row r="3325">
          <cell r="A3325">
            <v>2019</v>
          </cell>
          <cell r="B3325" t="str">
            <v>Budget</v>
          </cell>
          <cell r="C3325" t="str">
            <v>Apr</v>
          </cell>
          <cell r="D3325" t="str">
            <v>Chairs</v>
          </cell>
          <cell r="E3325">
            <v>945054.21499999985</v>
          </cell>
          <cell r="F3325">
            <v>4</v>
          </cell>
        </row>
        <row r="3326">
          <cell r="A3326">
            <v>2019</v>
          </cell>
          <cell r="B3326" t="str">
            <v>Actual</v>
          </cell>
          <cell r="C3326" t="str">
            <v>Apr</v>
          </cell>
          <cell r="D3326" t="str">
            <v>Chairs</v>
          </cell>
          <cell r="E3326">
            <v>107400.02699999999</v>
          </cell>
          <cell r="F3326">
            <v>4</v>
          </cell>
        </row>
        <row r="3327">
          <cell r="A3327">
            <v>2018</v>
          </cell>
          <cell r="B3327" t="str">
            <v>Budget</v>
          </cell>
          <cell r="C3327" t="str">
            <v>Apr</v>
          </cell>
          <cell r="D3327" t="str">
            <v>Tables</v>
          </cell>
          <cell r="E3327">
            <v>236965.54699999999</v>
          </cell>
          <cell r="F3327">
            <v>4</v>
          </cell>
        </row>
        <row r="3328">
          <cell r="A3328">
            <v>2018</v>
          </cell>
          <cell r="B3328" t="str">
            <v>Actual</v>
          </cell>
          <cell r="C3328" t="str">
            <v>Apr</v>
          </cell>
          <cell r="D3328" t="str">
            <v>Kitchen</v>
          </cell>
          <cell r="E3328">
            <v>459012.54699999996</v>
          </cell>
          <cell r="F3328">
            <v>4</v>
          </cell>
        </row>
        <row r="3329">
          <cell r="A3329">
            <v>2018</v>
          </cell>
          <cell r="B3329" t="str">
            <v>Budget</v>
          </cell>
          <cell r="C3329" t="str">
            <v>Apr</v>
          </cell>
          <cell r="D3329" t="str">
            <v>Chairs</v>
          </cell>
          <cell r="E3329">
            <v>255955.71400000001</v>
          </cell>
          <cell r="F3329">
            <v>4</v>
          </cell>
        </row>
        <row r="3330">
          <cell r="A3330">
            <v>2019</v>
          </cell>
          <cell r="B3330" t="str">
            <v>Actual</v>
          </cell>
          <cell r="C3330" t="str">
            <v>Apr</v>
          </cell>
          <cell r="D3330" t="str">
            <v>Chairs</v>
          </cell>
          <cell r="E3330">
            <v>76825.125999999989</v>
          </cell>
          <cell r="F3330">
            <v>4</v>
          </cell>
        </row>
        <row r="3331">
          <cell r="A3331">
            <v>2018</v>
          </cell>
          <cell r="B3331" t="str">
            <v>Budget</v>
          </cell>
          <cell r="C3331" t="str">
            <v>Apr</v>
          </cell>
          <cell r="D3331" t="str">
            <v>Chairs</v>
          </cell>
          <cell r="E3331">
            <v>614905.57799999998</v>
          </cell>
          <cell r="F3331">
            <v>4</v>
          </cell>
        </row>
        <row r="3332">
          <cell r="A3332">
            <v>2019</v>
          </cell>
          <cell r="B3332" t="str">
            <v>Actual</v>
          </cell>
          <cell r="C3332" t="str">
            <v>Apr</v>
          </cell>
          <cell r="D3332" t="str">
            <v>Tables</v>
          </cell>
          <cell r="E3332">
            <v>216347.37599999999</v>
          </cell>
          <cell r="F3332">
            <v>4</v>
          </cell>
        </row>
        <row r="3333">
          <cell r="A3333">
            <v>2018</v>
          </cell>
          <cell r="B3333" t="str">
            <v>Budget</v>
          </cell>
          <cell r="C3333" t="str">
            <v>Apr</v>
          </cell>
          <cell r="D3333" t="str">
            <v>Kitchen</v>
          </cell>
          <cell r="E3333">
            <v>32565.882999999998</v>
          </cell>
          <cell r="F3333">
            <v>4</v>
          </cell>
        </row>
        <row r="3334">
          <cell r="A3334">
            <v>2018</v>
          </cell>
          <cell r="B3334" t="str">
            <v>Actual</v>
          </cell>
          <cell r="C3334" t="str">
            <v>Apr</v>
          </cell>
          <cell r="D3334" t="str">
            <v>Accessories</v>
          </cell>
          <cell r="E3334">
            <v>142974.99299999999</v>
          </cell>
          <cell r="F3334">
            <v>4</v>
          </cell>
        </row>
        <row r="3335">
          <cell r="A3335">
            <v>2019</v>
          </cell>
          <cell r="B3335" t="str">
            <v>Budget</v>
          </cell>
          <cell r="C3335" t="str">
            <v>Apr</v>
          </cell>
          <cell r="D3335" t="str">
            <v>Chairs</v>
          </cell>
          <cell r="E3335">
            <v>84656.481</v>
          </cell>
          <cell r="F3335">
            <v>4</v>
          </cell>
        </row>
        <row r="3336">
          <cell r="A3336">
            <v>2019</v>
          </cell>
          <cell r="B3336" t="str">
            <v>Actual</v>
          </cell>
          <cell r="C3336" t="str">
            <v>Apr</v>
          </cell>
          <cell r="D3336" t="str">
            <v>Tables</v>
          </cell>
          <cell r="E3336">
            <v>3856.7269999999994</v>
          </cell>
          <cell r="F3336">
            <v>4</v>
          </cell>
        </row>
        <row r="3337">
          <cell r="A3337">
            <v>2018</v>
          </cell>
          <cell r="B3337" t="str">
            <v>Budget</v>
          </cell>
          <cell r="C3337" t="str">
            <v>Apr</v>
          </cell>
          <cell r="D3337" t="str">
            <v>Kitchen</v>
          </cell>
          <cell r="E3337">
            <v>12862.044999999998</v>
          </cell>
          <cell r="F3337">
            <v>4</v>
          </cell>
        </row>
        <row r="3338">
          <cell r="A3338">
            <v>2019</v>
          </cell>
          <cell r="B3338" t="str">
            <v>Actual</v>
          </cell>
          <cell r="C3338" t="str">
            <v>Apr</v>
          </cell>
          <cell r="D3338" t="str">
            <v>Accessories</v>
          </cell>
          <cell r="E3338">
            <v>217838.80299999999</v>
          </cell>
          <cell r="F3338">
            <v>4</v>
          </cell>
        </row>
        <row r="3339">
          <cell r="A3339">
            <v>2019</v>
          </cell>
          <cell r="B3339" t="str">
            <v>Budget</v>
          </cell>
          <cell r="C3339" t="str">
            <v>Apr</v>
          </cell>
          <cell r="D3339" t="str">
            <v>Chairs</v>
          </cell>
          <cell r="E3339">
            <v>485925.41899999999</v>
          </cell>
          <cell r="F3339">
            <v>4</v>
          </cell>
        </row>
        <row r="3340">
          <cell r="A3340">
            <v>2018</v>
          </cell>
          <cell r="B3340" t="str">
            <v>Actual</v>
          </cell>
          <cell r="C3340" t="str">
            <v>Apr</v>
          </cell>
          <cell r="D3340" t="str">
            <v>Tables</v>
          </cell>
          <cell r="E3340">
            <v>578805.07299999997</v>
          </cell>
          <cell r="F3340">
            <v>4</v>
          </cell>
        </row>
        <row r="3341">
          <cell r="A3341">
            <v>2018</v>
          </cell>
          <cell r="B3341" t="str">
            <v>Budget</v>
          </cell>
          <cell r="C3341" t="str">
            <v>Apr</v>
          </cell>
          <cell r="D3341" t="str">
            <v>Kitchen</v>
          </cell>
          <cell r="E3341">
            <v>180451.00499999998</v>
          </cell>
          <cell r="F3341">
            <v>4</v>
          </cell>
        </row>
        <row r="3342">
          <cell r="A3342">
            <v>2018</v>
          </cell>
          <cell r="B3342" t="str">
            <v>Actual</v>
          </cell>
          <cell r="C3342" t="str">
            <v>Apr</v>
          </cell>
          <cell r="D3342" t="str">
            <v>Accessories</v>
          </cell>
          <cell r="E3342">
            <v>31493.287</v>
          </cell>
          <cell r="F3342">
            <v>4</v>
          </cell>
        </row>
        <row r="3343">
          <cell r="A3343">
            <v>2018</v>
          </cell>
          <cell r="B3343" t="str">
            <v>Budget</v>
          </cell>
          <cell r="C3343" t="str">
            <v>Apr</v>
          </cell>
          <cell r="D3343" t="str">
            <v>Chairs</v>
          </cell>
          <cell r="E3343">
            <v>8469024.1370000001</v>
          </cell>
          <cell r="F3343">
            <v>4</v>
          </cell>
        </row>
        <row r="3344">
          <cell r="A3344">
            <v>2019</v>
          </cell>
          <cell r="B3344" t="str">
            <v>Actual</v>
          </cell>
          <cell r="C3344" t="str">
            <v>Apr</v>
          </cell>
          <cell r="D3344" t="str">
            <v>Tables</v>
          </cell>
          <cell r="E3344">
            <v>345084.22200000001</v>
          </cell>
          <cell r="F3344">
            <v>4</v>
          </cell>
        </row>
        <row r="3345">
          <cell r="A3345">
            <v>2019</v>
          </cell>
          <cell r="B3345" t="str">
            <v>Budget</v>
          </cell>
          <cell r="C3345" t="str">
            <v>Apr</v>
          </cell>
          <cell r="D3345" t="str">
            <v>Kitchen</v>
          </cell>
          <cell r="E3345">
            <v>487710.60799999995</v>
          </cell>
          <cell r="F3345">
            <v>4</v>
          </cell>
        </row>
        <row r="3346">
          <cell r="A3346">
            <v>2019</v>
          </cell>
          <cell r="B3346" t="str">
            <v>Actual</v>
          </cell>
          <cell r="C3346" t="str">
            <v>Apr</v>
          </cell>
          <cell r="D3346" t="str">
            <v>Accessories</v>
          </cell>
          <cell r="E3346">
            <v>606109.46900000004</v>
          </cell>
          <cell r="F3346">
            <v>4</v>
          </cell>
        </row>
        <row r="3347">
          <cell r="A3347">
            <v>2019</v>
          </cell>
          <cell r="B3347" t="str">
            <v>Budget</v>
          </cell>
          <cell r="C3347" t="str">
            <v>Apr</v>
          </cell>
          <cell r="D3347" t="str">
            <v>Chairs</v>
          </cell>
          <cell r="E3347">
            <v>259234.514</v>
          </cell>
          <cell r="F3347">
            <v>4</v>
          </cell>
        </row>
        <row r="3348">
          <cell r="A3348">
            <v>2018</v>
          </cell>
          <cell r="B3348" t="str">
            <v>Actual</v>
          </cell>
          <cell r="C3348" t="str">
            <v>Apr</v>
          </cell>
          <cell r="D3348" t="str">
            <v>Chairs</v>
          </cell>
          <cell r="E3348">
            <v>509884.05300000001</v>
          </cell>
          <cell r="F3348">
            <v>4</v>
          </cell>
        </row>
        <row r="3349">
          <cell r="A3349">
            <v>2019</v>
          </cell>
          <cell r="B3349" t="str">
            <v>Budget</v>
          </cell>
          <cell r="C3349" t="str">
            <v>Apr</v>
          </cell>
          <cell r="D3349" t="str">
            <v>Tables</v>
          </cell>
          <cell r="E3349">
            <v>207935.364</v>
          </cell>
          <cell r="F3349">
            <v>4</v>
          </cell>
        </row>
        <row r="3350">
          <cell r="A3350">
            <v>2018</v>
          </cell>
          <cell r="B3350" t="str">
            <v>Actual</v>
          </cell>
          <cell r="C3350" t="str">
            <v>Apr</v>
          </cell>
          <cell r="D3350" t="str">
            <v>Kitchen</v>
          </cell>
          <cell r="E3350">
            <v>203.61599999999999</v>
          </cell>
          <cell r="F3350">
            <v>4</v>
          </cell>
        </row>
        <row r="3351">
          <cell r="A3351">
            <v>2018</v>
          </cell>
          <cell r="B3351" t="str">
            <v>Budget</v>
          </cell>
          <cell r="C3351" t="str">
            <v>Apr</v>
          </cell>
          <cell r="D3351" t="str">
            <v>Chairs</v>
          </cell>
          <cell r="E3351">
            <v>709144.56900000002</v>
          </cell>
          <cell r="F3351">
            <v>4</v>
          </cell>
        </row>
        <row r="3352">
          <cell r="A3352">
            <v>2019</v>
          </cell>
          <cell r="B3352" t="str">
            <v>Actual</v>
          </cell>
          <cell r="C3352" t="str">
            <v>Apr</v>
          </cell>
          <cell r="D3352" t="str">
            <v>Tables</v>
          </cell>
          <cell r="E3352">
            <v>1861692.3709999998</v>
          </cell>
          <cell r="F3352">
            <v>4</v>
          </cell>
        </row>
        <row r="3353">
          <cell r="A3353">
            <v>2018</v>
          </cell>
          <cell r="B3353" t="str">
            <v>Budget</v>
          </cell>
          <cell r="C3353" t="str">
            <v>Apr</v>
          </cell>
          <cell r="D3353" t="str">
            <v>Kitchen</v>
          </cell>
          <cell r="E3353">
            <v>1176175.0909999998</v>
          </cell>
          <cell r="F3353">
            <v>4</v>
          </cell>
        </row>
        <row r="3354">
          <cell r="A3354">
            <v>2018</v>
          </cell>
          <cell r="B3354" t="str">
            <v>Actual</v>
          </cell>
          <cell r="C3354" t="str">
            <v>Apr</v>
          </cell>
          <cell r="D3354" t="str">
            <v>Chairs</v>
          </cell>
          <cell r="E3354">
            <v>282717.58899999998</v>
          </cell>
          <cell r="F3354">
            <v>4</v>
          </cell>
        </row>
        <row r="3355">
          <cell r="A3355">
            <v>2018</v>
          </cell>
          <cell r="B3355" t="str">
            <v>Budget</v>
          </cell>
          <cell r="C3355" t="str">
            <v>Apr</v>
          </cell>
          <cell r="D3355" t="str">
            <v>Tables</v>
          </cell>
          <cell r="E3355">
            <v>375462.39499999996</v>
          </cell>
          <cell r="F3355">
            <v>4</v>
          </cell>
        </row>
        <row r="3356">
          <cell r="A3356">
            <v>2019</v>
          </cell>
          <cell r="B3356" t="str">
            <v>Actual</v>
          </cell>
          <cell r="C3356" t="str">
            <v>Apr</v>
          </cell>
          <cell r="D3356" t="str">
            <v>Kitchen</v>
          </cell>
          <cell r="E3356">
            <v>181886.55099999998</v>
          </cell>
          <cell r="F3356">
            <v>4</v>
          </cell>
        </row>
        <row r="3357">
          <cell r="A3357">
            <v>2019</v>
          </cell>
          <cell r="B3357" t="str">
            <v>Budget</v>
          </cell>
          <cell r="C3357" t="str">
            <v>Apr</v>
          </cell>
          <cell r="D3357" t="str">
            <v>Chairs</v>
          </cell>
          <cell r="E3357">
            <v>2357091.4079999998</v>
          </cell>
          <cell r="F3357">
            <v>4</v>
          </cell>
        </row>
        <row r="3358">
          <cell r="A3358">
            <v>2018</v>
          </cell>
          <cell r="B3358" t="str">
            <v>Actual</v>
          </cell>
          <cell r="C3358" t="str">
            <v>Apr</v>
          </cell>
          <cell r="D3358" t="str">
            <v>Chairs</v>
          </cell>
          <cell r="E3358">
            <v>309080.28200000001</v>
          </cell>
          <cell r="F3358">
            <v>4</v>
          </cell>
        </row>
        <row r="3359">
          <cell r="A3359">
            <v>2019</v>
          </cell>
          <cell r="B3359" t="str">
            <v>Budget</v>
          </cell>
          <cell r="C3359" t="str">
            <v>Apr</v>
          </cell>
          <cell r="D3359" t="str">
            <v>Chairs</v>
          </cell>
          <cell r="E3359">
            <v>1838180.7150000001</v>
          </cell>
          <cell r="F3359">
            <v>4</v>
          </cell>
        </row>
        <row r="3360">
          <cell r="A3360">
            <v>2018</v>
          </cell>
          <cell r="B3360" t="str">
            <v>Actual</v>
          </cell>
          <cell r="C3360" t="str">
            <v>Apr</v>
          </cell>
          <cell r="D3360" t="str">
            <v>Chairs</v>
          </cell>
          <cell r="E3360">
            <v>1207394.321</v>
          </cell>
          <cell r="F3360">
            <v>4</v>
          </cell>
        </row>
        <row r="3361">
          <cell r="A3361">
            <v>2018</v>
          </cell>
          <cell r="B3361" t="str">
            <v>Budget</v>
          </cell>
          <cell r="C3361" t="str">
            <v>Apr</v>
          </cell>
          <cell r="D3361" t="str">
            <v>Chairs</v>
          </cell>
          <cell r="E3361">
            <v>1506287.139</v>
          </cell>
          <cell r="F3361">
            <v>4</v>
          </cell>
        </row>
        <row r="3362">
          <cell r="A3362">
            <v>2019</v>
          </cell>
          <cell r="B3362" t="str">
            <v>Actual</v>
          </cell>
          <cell r="C3362" t="str">
            <v>Apr</v>
          </cell>
          <cell r="D3362" t="str">
            <v>Chairs</v>
          </cell>
          <cell r="E3362">
            <v>-40594.847999999998</v>
          </cell>
          <cell r="F3362">
            <v>4</v>
          </cell>
        </row>
        <row r="3363">
          <cell r="A3363">
            <v>2019</v>
          </cell>
          <cell r="B3363" t="str">
            <v>Budget</v>
          </cell>
          <cell r="C3363" t="str">
            <v>Apr</v>
          </cell>
          <cell r="D3363" t="str">
            <v>Chairs</v>
          </cell>
          <cell r="E3363">
            <v>-52410.645000000004</v>
          </cell>
          <cell r="F3363">
            <v>4</v>
          </cell>
        </row>
        <row r="3364">
          <cell r="A3364">
            <v>2018</v>
          </cell>
          <cell r="B3364" t="str">
            <v>Actual</v>
          </cell>
          <cell r="C3364" t="str">
            <v>Apr</v>
          </cell>
          <cell r="D3364" t="str">
            <v>Chairs</v>
          </cell>
          <cell r="E3364">
            <v>1225106.2389999998</v>
          </cell>
          <cell r="F3364">
            <v>4</v>
          </cell>
        </row>
        <row r="3365">
          <cell r="A3365">
            <v>2018</v>
          </cell>
          <cell r="B3365" t="str">
            <v>Budget</v>
          </cell>
          <cell r="C3365" t="str">
            <v>Apr</v>
          </cell>
          <cell r="D3365" t="str">
            <v>Chairs</v>
          </cell>
          <cell r="E3365">
            <v>1582012.9989999998</v>
          </cell>
          <cell r="F3365">
            <v>4</v>
          </cell>
        </row>
        <row r="3366">
          <cell r="A3366">
            <v>2018</v>
          </cell>
          <cell r="B3366" t="str">
            <v>Actual</v>
          </cell>
          <cell r="C3366" t="str">
            <v>Apr</v>
          </cell>
          <cell r="D3366" t="str">
            <v>Chairs</v>
          </cell>
          <cell r="E3366">
            <v>468420.37199999992</v>
          </cell>
          <cell r="F3366">
            <v>4</v>
          </cell>
        </row>
        <row r="3367">
          <cell r="A3367">
            <v>2019</v>
          </cell>
          <cell r="B3367" t="str">
            <v>Budget</v>
          </cell>
          <cell r="C3367" t="str">
            <v>Apr</v>
          </cell>
          <cell r="D3367" t="str">
            <v>Chairs</v>
          </cell>
          <cell r="E3367">
            <v>277663.07799999998</v>
          </cell>
          <cell r="F3367">
            <v>4</v>
          </cell>
        </row>
        <row r="3368">
          <cell r="A3368">
            <v>2018</v>
          </cell>
          <cell r="B3368" t="str">
            <v>Actual</v>
          </cell>
          <cell r="C3368" t="str">
            <v>Apr</v>
          </cell>
          <cell r="D3368" t="str">
            <v>Chairs</v>
          </cell>
          <cell r="E3368">
            <v>102379.68299999999</v>
          </cell>
          <cell r="F3368">
            <v>4</v>
          </cell>
        </row>
        <row r="3369">
          <cell r="A3369">
            <v>2018</v>
          </cell>
          <cell r="B3369" t="str">
            <v>Budget</v>
          </cell>
          <cell r="C3369" t="str">
            <v>Apr</v>
          </cell>
          <cell r="D3369" t="str">
            <v>Chairs</v>
          </cell>
          <cell r="E3369">
            <v>203767.76699999999</v>
          </cell>
          <cell r="F3369">
            <v>4</v>
          </cell>
        </row>
        <row r="3370">
          <cell r="A3370">
            <v>2018</v>
          </cell>
          <cell r="B3370" t="str">
            <v>Actual</v>
          </cell>
          <cell r="C3370" t="str">
            <v>Apr</v>
          </cell>
          <cell r="D3370" t="str">
            <v>Chairs</v>
          </cell>
          <cell r="E3370">
            <v>66252.599000000002</v>
          </cell>
          <cell r="F3370">
            <v>4</v>
          </cell>
        </row>
        <row r="3371">
          <cell r="A3371">
            <v>2019</v>
          </cell>
          <cell r="B3371" t="str">
            <v>Budget</v>
          </cell>
          <cell r="C3371" t="str">
            <v>Apr</v>
          </cell>
          <cell r="D3371" t="str">
            <v>Chairs</v>
          </cell>
          <cell r="E3371">
            <v>2417013.5849999995</v>
          </cell>
          <cell r="F3371">
            <v>4</v>
          </cell>
        </row>
        <row r="3372">
          <cell r="A3372">
            <v>2018</v>
          </cell>
          <cell r="B3372" t="str">
            <v>Actual</v>
          </cell>
          <cell r="C3372" t="str">
            <v>Apr</v>
          </cell>
          <cell r="D3372" t="str">
            <v>Chairs</v>
          </cell>
          <cell r="E3372">
            <v>962828.34199999995</v>
          </cell>
          <cell r="F3372">
            <v>4</v>
          </cell>
        </row>
        <row r="3373">
          <cell r="A3373">
            <v>2019</v>
          </cell>
          <cell r="B3373" t="str">
            <v>Budget</v>
          </cell>
          <cell r="C3373" t="str">
            <v>Apr</v>
          </cell>
          <cell r="D3373" t="str">
            <v>Chairs</v>
          </cell>
          <cell r="E3373">
            <v>359024.701</v>
          </cell>
          <cell r="F3373">
            <v>4</v>
          </cell>
        </row>
        <row r="3374">
          <cell r="A3374">
            <v>2018</v>
          </cell>
          <cell r="B3374" t="str">
            <v>Actual</v>
          </cell>
          <cell r="C3374" t="str">
            <v>Apr</v>
          </cell>
          <cell r="D3374" t="str">
            <v>Chairs</v>
          </cell>
          <cell r="E3374">
            <v>811621.25799999991</v>
          </cell>
          <cell r="F3374">
            <v>4</v>
          </cell>
        </row>
        <row r="3375">
          <cell r="A3375">
            <v>2019</v>
          </cell>
          <cell r="B3375" t="str">
            <v>Budget</v>
          </cell>
          <cell r="C3375" t="str">
            <v>Apr</v>
          </cell>
          <cell r="D3375" t="str">
            <v>Chairs</v>
          </cell>
          <cell r="E3375">
            <v>-16665.473999999998</v>
          </cell>
          <cell r="F3375">
            <v>4</v>
          </cell>
        </row>
        <row r="3376">
          <cell r="A3376">
            <v>2019</v>
          </cell>
          <cell r="B3376" t="str">
            <v>Actual</v>
          </cell>
          <cell r="C3376" t="str">
            <v>Apr</v>
          </cell>
          <cell r="D3376" t="str">
            <v>Chairs</v>
          </cell>
          <cell r="E3376">
            <v>-6016.3179999999993</v>
          </cell>
          <cell r="F3376">
            <v>4</v>
          </cell>
        </row>
        <row r="3377">
          <cell r="A3377">
            <v>2018</v>
          </cell>
          <cell r="B3377" t="str">
            <v>Budget</v>
          </cell>
          <cell r="C3377" t="str">
            <v>Apr</v>
          </cell>
          <cell r="D3377" t="str">
            <v>Chairs</v>
          </cell>
          <cell r="E3377">
            <v>-1086522.3529999999</v>
          </cell>
          <cell r="F3377">
            <v>4</v>
          </cell>
        </row>
        <row r="3378">
          <cell r="A3378">
            <v>2019</v>
          </cell>
          <cell r="B3378" t="str">
            <v>Actual</v>
          </cell>
          <cell r="C3378" t="str">
            <v>Apr</v>
          </cell>
          <cell r="D3378" t="str">
            <v>Chairs</v>
          </cell>
          <cell r="E3378">
            <v>-13975.556</v>
          </cell>
          <cell r="F3378">
            <v>4</v>
          </cell>
        </row>
        <row r="3379">
          <cell r="A3379">
            <v>2018</v>
          </cell>
          <cell r="B3379" t="str">
            <v>Budget</v>
          </cell>
          <cell r="C3379" t="str">
            <v>Apr</v>
          </cell>
          <cell r="D3379" t="str">
            <v>Chairs</v>
          </cell>
          <cell r="E3379">
            <v>121167.23499999999</v>
          </cell>
          <cell r="F3379">
            <v>4</v>
          </cell>
        </row>
        <row r="3380">
          <cell r="A3380">
            <v>2018</v>
          </cell>
          <cell r="B3380" t="str">
            <v>Actual</v>
          </cell>
          <cell r="C3380" t="str">
            <v>Apr</v>
          </cell>
          <cell r="D3380" t="str">
            <v>Chairs</v>
          </cell>
          <cell r="E3380">
            <v>789716.92799999996</v>
          </cell>
          <cell r="F3380">
            <v>4</v>
          </cell>
        </row>
        <row r="3381">
          <cell r="A3381">
            <v>2018</v>
          </cell>
          <cell r="B3381" t="str">
            <v>Budget</v>
          </cell>
          <cell r="C3381" t="str">
            <v>Apr</v>
          </cell>
          <cell r="D3381" t="str">
            <v>Chairs</v>
          </cell>
          <cell r="E3381">
            <v>973621.4389999999</v>
          </cell>
          <cell r="F3381">
            <v>4</v>
          </cell>
        </row>
        <row r="3382">
          <cell r="A3382">
            <v>2019</v>
          </cell>
          <cell r="B3382" t="str">
            <v>Actual</v>
          </cell>
          <cell r="C3382" t="str">
            <v>Apr</v>
          </cell>
          <cell r="D3382" t="str">
            <v>Chairs</v>
          </cell>
          <cell r="E3382">
            <v>124485.928</v>
          </cell>
          <cell r="F3382">
            <v>4</v>
          </cell>
        </row>
        <row r="3383">
          <cell r="A3383">
            <v>2019</v>
          </cell>
          <cell r="B3383" t="str">
            <v>Budget</v>
          </cell>
          <cell r="C3383" t="str">
            <v>Apr</v>
          </cell>
          <cell r="D3383" t="str">
            <v>Tables</v>
          </cell>
          <cell r="E3383">
            <v>248206.95199999996</v>
          </cell>
          <cell r="F3383">
            <v>4</v>
          </cell>
        </row>
        <row r="3384">
          <cell r="A3384">
            <v>2018</v>
          </cell>
          <cell r="B3384" t="str">
            <v>Actual</v>
          </cell>
          <cell r="C3384" t="str">
            <v>Apr</v>
          </cell>
          <cell r="D3384" t="str">
            <v>Kitchen</v>
          </cell>
          <cell r="E3384">
            <v>2489.2350000000001</v>
          </cell>
          <cell r="F3384">
            <v>4</v>
          </cell>
        </row>
        <row r="3385">
          <cell r="A3385">
            <v>2018</v>
          </cell>
          <cell r="B3385" t="str">
            <v>Budget</v>
          </cell>
          <cell r="C3385" t="str">
            <v>Apr</v>
          </cell>
          <cell r="D3385" t="str">
            <v>Chairs</v>
          </cell>
          <cell r="E3385">
            <v>-380.25400000000002</v>
          </cell>
          <cell r="F3385">
            <v>4</v>
          </cell>
        </row>
        <row r="3386">
          <cell r="A3386">
            <v>2019</v>
          </cell>
          <cell r="B3386" t="str">
            <v>Actual</v>
          </cell>
          <cell r="C3386" t="str">
            <v>Apr</v>
          </cell>
          <cell r="D3386" t="str">
            <v>Chairs</v>
          </cell>
          <cell r="E3386">
            <v>495735.821</v>
          </cell>
          <cell r="F3386">
            <v>4</v>
          </cell>
        </row>
        <row r="3387">
          <cell r="A3387">
            <v>2018</v>
          </cell>
          <cell r="B3387" t="str">
            <v>Budget</v>
          </cell>
          <cell r="C3387" t="str">
            <v>Apr</v>
          </cell>
          <cell r="D3387" t="str">
            <v>Chairs</v>
          </cell>
          <cell r="E3387">
            <v>1486.107</v>
          </cell>
          <cell r="F3387">
            <v>4</v>
          </cell>
        </row>
        <row r="3388">
          <cell r="A3388">
            <v>2019</v>
          </cell>
          <cell r="B3388" t="str">
            <v>Actual</v>
          </cell>
          <cell r="C3388" t="str">
            <v>Apr</v>
          </cell>
          <cell r="D3388" t="str">
            <v>Chairs</v>
          </cell>
          <cell r="E3388">
            <v>6949.32</v>
          </cell>
          <cell r="F3388">
            <v>4</v>
          </cell>
        </row>
        <row r="3389">
          <cell r="A3389">
            <v>2018</v>
          </cell>
          <cell r="B3389" t="str">
            <v>Budget</v>
          </cell>
          <cell r="C3389" t="str">
            <v>Apr</v>
          </cell>
          <cell r="D3389" t="str">
            <v>Chairs</v>
          </cell>
          <cell r="E3389">
            <v>290420.46599999996</v>
          </cell>
          <cell r="F3389">
            <v>4</v>
          </cell>
        </row>
        <row r="3390">
          <cell r="A3390">
            <v>2018</v>
          </cell>
          <cell r="B3390" t="str">
            <v>Actual</v>
          </cell>
          <cell r="C3390" t="str">
            <v>Apr</v>
          </cell>
          <cell r="D3390" t="str">
            <v>Tables</v>
          </cell>
          <cell r="E3390">
            <v>135714.516</v>
          </cell>
          <cell r="F3390">
            <v>4</v>
          </cell>
        </row>
        <row r="3391">
          <cell r="A3391">
            <v>2018</v>
          </cell>
          <cell r="B3391" t="str">
            <v>Budget</v>
          </cell>
          <cell r="C3391" t="str">
            <v>Apr</v>
          </cell>
          <cell r="D3391" t="str">
            <v>Kitchen</v>
          </cell>
          <cell r="E3391">
            <v>62449.120999999992</v>
          </cell>
          <cell r="F3391">
            <v>4</v>
          </cell>
        </row>
        <row r="3392">
          <cell r="A3392">
            <v>2018</v>
          </cell>
          <cell r="B3392" t="str">
            <v>Actual</v>
          </cell>
          <cell r="C3392" t="str">
            <v>Apr</v>
          </cell>
          <cell r="D3392" t="str">
            <v>Chairs</v>
          </cell>
          <cell r="E3392">
            <v>161031.78</v>
          </cell>
          <cell r="F3392">
            <v>4</v>
          </cell>
        </row>
        <row r="3393">
          <cell r="A3393">
            <v>2019</v>
          </cell>
          <cell r="B3393" t="str">
            <v>Budget</v>
          </cell>
          <cell r="C3393" t="str">
            <v>Apr</v>
          </cell>
          <cell r="D3393" t="str">
            <v>Chairs</v>
          </cell>
          <cell r="E3393">
            <v>59753.11299999999</v>
          </cell>
          <cell r="F3393">
            <v>4</v>
          </cell>
        </row>
        <row r="3394">
          <cell r="A3394">
            <v>2018</v>
          </cell>
          <cell r="B3394" t="str">
            <v>Actual</v>
          </cell>
          <cell r="C3394" t="str">
            <v>Apr</v>
          </cell>
          <cell r="D3394" t="str">
            <v>Chairs</v>
          </cell>
          <cell r="E3394">
            <v>46196.429999999993</v>
          </cell>
          <cell r="F3394">
            <v>4</v>
          </cell>
        </row>
        <row r="3395">
          <cell r="A3395">
            <v>2018</v>
          </cell>
          <cell r="B3395" t="str">
            <v>Budget</v>
          </cell>
          <cell r="C3395" t="str">
            <v>Apr</v>
          </cell>
          <cell r="D3395" t="str">
            <v>Tables</v>
          </cell>
          <cell r="E3395">
            <v>36667.252999999997</v>
          </cell>
          <cell r="F3395">
            <v>4</v>
          </cell>
        </row>
        <row r="3396">
          <cell r="A3396">
            <v>2018</v>
          </cell>
          <cell r="B3396" t="str">
            <v>Actual</v>
          </cell>
          <cell r="C3396" t="str">
            <v>Apr</v>
          </cell>
          <cell r="D3396" t="str">
            <v>Kitchen</v>
          </cell>
          <cell r="E3396">
            <v>1164137.527</v>
          </cell>
          <cell r="F3396">
            <v>4</v>
          </cell>
        </row>
        <row r="3397">
          <cell r="A3397">
            <v>2019</v>
          </cell>
          <cell r="B3397" t="str">
            <v>Budget</v>
          </cell>
          <cell r="C3397" t="str">
            <v>Apr</v>
          </cell>
          <cell r="D3397" t="str">
            <v>Chairs</v>
          </cell>
          <cell r="E3397">
            <v>27170.087</v>
          </cell>
          <cell r="F3397">
            <v>4</v>
          </cell>
        </row>
        <row r="3398">
          <cell r="A3398">
            <v>2019</v>
          </cell>
          <cell r="B3398" t="str">
            <v>Actual</v>
          </cell>
          <cell r="C3398" t="str">
            <v>Apr</v>
          </cell>
          <cell r="D3398" t="str">
            <v>Chairs</v>
          </cell>
          <cell r="E3398">
            <v>932696.87699999998</v>
          </cell>
          <cell r="F3398">
            <v>4</v>
          </cell>
        </row>
        <row r="3399">
          <cell r="A3399">
            <v>2019</v>
          </cell>
          <cell r="B3399" t="str">
            <v>Budget</v>
          </cell>
          <cell r="C3399" t="str">
            <v>Apr</v>
          </cell>
          <cell r="D3399" t="str">
            <v>Tables</v>
          </cell>
          <cell r="E3399">
            <v>650392.90399999998</v>
          </cell>
          <cell r="F3399">
            <v>4</v>
          </cell>
        </row>
        <row r="3400">
          <cell r="A3400">
            <v>2019</v>
          </cell>
          <cell r="B3400" t="str">
            <v>Actual</v>
          </cell>
          <cell r="C3400" t="str">
            <v>Apr</v>
          </cell>
          <cell r="D3400" t="str">
            <v>Kitchen</v>
          </cell>
          <cell r="E3400">
            <v>682859.29599999997</v>
          </cell>
          <cell r="F3400">
            <v>4</v>
          </cell>
        </row>
        <row r="3401">
          <cell r="A3401">
            <v>2018</v>
          </cell>
          <cell r="B3401" t="str">
            <v>Budget</v>
          </cell>
          <cell r="C3401" t="str">
            <v>Apr</v>
          </cell>
          <cell r="D3401" t="str">
            <v>Chairs</v>
          </cell>
          <cell r="E3401">
            <v>287121.73699999996</v>
          </cell>
          <cell r="F3401">
            <v>4</v>
          </cell>
        </row>
        <row r="3402">
          <cell r="A3402">
            <v>2019</v>
          </cell>
          <cell r="B3402" t="str">
            <v>Actual</v>
          </cell>
          <cell r="C3402" t="str">
            <v>Apr</v>
          </cell>
          <cell r="D3402" t="str">
            <v>Chairs</v>
          </cell>
          <cell r="E3402">
            <v>246729.84700000001</v>
          </cell>
          <cell r="F3402">
            <v>4</v>
          </cell>
        </row>
        <row r="3403">
          <cell r="A3403">
            <v>2018</v>
          </cell>
          <cell r="B3403" t="str">
            <v>Budget</v>
          </cell>
          <cell r="C3403" t="str">
            <v>Apr</v>
          </cell>
          <cell r="D3403" t="str">
            <v>Chairs</v>
          </cell>
          <cell r="E3403">
            <v>962899.04200000002</v>
          </cell>
          <cell r="F3403">
            <v>4</v>
          </cell>
        </row>
        <row r="3404">
          <cell r="A3404">
            <v>2019</v>
          </cell>
          <cell r="B3404" t="str">
            <v>Actual</v>
          </cell>
          <cell r="C3404" t="str">
            <v>Apr</v>
          </cell>
          <cell r="D3404" t="str">
            <v>Tables</v>
          </cell>
          <cell r="E3404">
            <v>1306211.4939999999</v>
          </cell>
          <cell r="F3404">
            <v>4</v>
          </cell>
        </row>
        <row r="3405">
          <cell r="A3405">
            <v>2019</v>
          </cell>
          <cell r="B3405" t="str">
            <v>Budget</v>
          </cell>
          <cell r="C3405" t="str">
            <v>Apr</v>
          </cell>
          <cell r="D3405" t="str">
            <v>Kitchen</v>
          </cell>
          <cell r="E3405">
            <v>18487.601999999999</v>
          </cell>
          <cell r="F3405">
            <v>4</v>
          </cell>
        </row>
        <row r="3406">
          <cell r="A3406">
            <v>2019</v>
          </cell>
          <cell r="B3406" t="str">
            <v>Actual</v>
          </cell>
          <cell r="C3406" t="str">
            <v>Apr</v>
          </cell>
          <cell r="D3406" t="str">
            <v>Accessories</v>
          </cell>
          <cell r="E3406">
            <v>30664.55</v>
          </cell>
          <cell r="F3406">
            <v>4</v>
          </cell>
        </row>
        <row r="3407">
          <cell r="A3407">
            <v>2018</v>
          </cell>
          <cell r="B3407" t="str">
            <v>Budget</v>
          </cell>
          <cell r="C3407" t="str">
            <v>Apr</v>
          </cell>
          <cell r="D3407" t="str">
            <v>Chairs</v>
          </cell>
          <cell r="E3407">
            <v>373193.36599999998</v>
          </cell>
          <cell r="F3407">
            <v>4</v>
          </cell>
        </row>
        <row r="3408">
          <cell r="A3408">
            <v>2019</v>
          </cell>
          <cell r="B3408" t="str">
            <v>Actual</v>
          </cell>
          <cell r="C3408" t="str">
            <v>Apr</v>
          </cell>
          <cell r="D3408" t="str">
            <v>Tables</v>
          </cell>
          <cell r="E3408">
            <v>341887.91</v>
          </cell>
          <cell r="F3408">
            <v>4</v>
          </cell>
        </row>
        <row r="3409">
          <cell r="A3409">
            <v>2018</v>
          </cell>
          <cell r="B3409" t="str">
            <v>Budget</v>
          </cell>
          <cell r="C3409" t="str">
            <v>Apr</v>
          </cell>
          <cell r="D3409" t="str">
            <v>Kitchen</v>
          </cell>
          <cell r="E3409">
            <v>78991.415999999997</v>
          </cell>
          <cell r="F3409">
            <v>4</v>
          </cell>
        </row>
        <row r="3410">
          <cell r="A3410">
            <v>2019</v>
          </cell>
          <cell r="B3410" t="str">
            <v>Actual</v>
          </cell>
          <cell r="C3410" t="str">
            <v>Apr</v>
          </cell>
          <cell r="D3410" t="str">
            <v>Accessories</v>
          </cell>
          <cell r="E3410">
            <v>729086.04999999993</v>
          </cell>
          <cell r="F3410">
            <v>4</v>
          </cell>
        </row>
        <row r="3411">
          <cell r="A3411">
            <v>2019</v>
          </cell>
          <cell r="B3411" t="str">
            <v>Budget</v>
          </cell>
          <cell r="C3411" t="str">
            <v>Apr</v>
          </cell>
          <cell r="D3411" t="str">
            <v>Chairs</v>
          </cell>
          <cell r="E3411">
            <v>243113.53499999997</v>
          </cell>
          <cell r="F3411">
            <v>4</v>
          </cell>
        </row>
        <row r="3412">
          <cell r="A3412">
            <v>2018</v>
          </cell>
          <cell r="B3412" t="str">
            <v>Actual</v>
          </cell>
          <cell r="C3412" t="str">
            <v>Apr</v>
          </cell>
          <cell r="D3412" t="str">
            <v>Tables</v>
          </cell>
          <cell r="E3412">
            <v>154644.84</v>
          </cell>
          <cell r="F3412">
            <v>4</v>
          </cell>
        </row>
        <row r="3413">
          <cell r="A3413">
            <v>2019</v>
          </cell>
          <cell r="B3413" t="str">
            <v>Budget</v>
          </cell>
          <cell r="C3413" t="str">
            <v>Apr</v>
          </cell>
          <cell r="D3413" t="str">
            <v>Kitchen</v>
          </cell>
          <cell r="E3413">
            <v>28350.846999999998</v>
          </cell>
          <cell r="F3413">
            <v>4</v>
          </cell>
        </row>
        <row r="3414">
          <cell r="A3414">
            <v>2019</v>
          </cell>
          <cell r="B3414" t="str">
            <v>Actual</v>
          </cell>
          <cell r="C3414" t="str">
            <v>Apr</v>
          </cell>
          <cell r="D3414" t="str">
            <v>Accessories</v>
          </cell>
          <cell r="E3414">
            <v>367701.08199999999</v>
          </cell>
          <cell r="F3414">
            <v>4</v>
          </cell>
        </row>
        <row r="3415">
          <cell r="A3415">
            <v>2019</v>
          </cell>
          <cell r="B3415" t="str">
            <v>Budget</v>
          </cell>
          <cell r="C3415" t="str">
            <v>Apr</v>
          </cell>
          <cell r="D3415" t="str">
            <v>Chairs</v>
          </cell>
          <cell r="E3415">
            <v>240575.64299999998</v>
          </cell>
          <cell r="F3415">
            <v>4</v>
          </cell>
        </row>
        <row r="3416">
          <cell r="A3416">
            <v>2019</v>
          </cell>
          <cell r="B3416" t="str">
            <v>Actual</v>
          </cell>
          <cell r="C3416" t="str">
            <v>Apr</v>
          </cell>
          <cell r="D3416" t="str">
            <v>Tables</v>
          </cell>
          <cell r="E3416">
            <v>126493.40199999999</v>
          </cell>
          <cell r="F3416">
            <v>4</v>
          </cell>
        </row>
        <row r="3417">
          <cell r="A3417">
            <v>2018</v>
          </cell>
          <cell r="B3417" t="str">
            <v>Budget</v>
          </cell>
          <cell r="C3417" t="str">
            <v>Apr</v>
          </cell>
          <cell r="D3417" t="str">
            <v>Kitchen</v>
          </cell>
          <cell r="E3417">
            <v>295681.01500000001</v>
          </cell>
          <cell r="F3417">
            <v>4</v>
          </cell>
        </row>
        <row r="3418">
          <cell r="A3418">
            <v>2018</v>
          </cell>
          <cell r="B3418" t="str">
            <v>Actual</v>
          </cell>
          <cell r="C3418" t="str">
            <v>Apr</v>
          </cell>
          <cell r="D3418" t="str">
            <v>Accessories</v>
          </cell>
          <cell r="E3418">
            <v>32938.5</v>
          </cell>
          <cell r="F3418">
            <v>4</v>
          </cell>
        </row>
        <row r="3419">
          <cell r="A3419">
            <v>2018</v>
          </cell>
          <cell r="B3419" t="str">
            <v>Budget</v>
          </cell>
          <cell r="C3419" t="str">
            <v>Apr</v>
          </cell>
          <cell r="D3419" t="str">
            <v>Chairs</v>
          </cell>
          <cell r="E3419">
            <v>100871.988</v>
          </cell>
          <cell r="F3419">
            <v>4</v>
          </cell>
        </row>
        <row r="3420">
          <cell r="A3420">
            <v>2019</v>
          </cell>
          <cell r="B3420" t="str">
            <v>Actual</v>
          </cell>
          <cell r="C3420" t="str">
            <v>Apr</v>
          </cell>
          <cell r="D3420" t="str">
            <v>Chairs</v>
          </cell>
          <cell r="E3420">
            <v>95095.188999999984</v>
          </cell>
          <cell r="F3420">
            <v>4</v>
          </cell>
        </row>
        <row r="3421">
          <cell r="A3421">
            <v>2018</v>
          </cell>
          <cell r="B3421" t="str">
            <v>Budget</v>
          </cell>
          <cell r="C3421" t="str">
            <v>Apr</v>
          </cell>
          <cell r="D3421" t="str">
            <v>Tables</v>
          </cell>
          <cell r="E3421">
            <v>21445.843999999997</v>
          </cell>
          <cell r="F3421">
            <v>4</v>
          </cell>
        </row>
        <row r="3422">
          <cell r="A3422">
            <v>2019</v>
          </cell>
          <cell r="B3422" t="str">
            <v>Actual</v>
          </cell>
          <cell r="C3422" t="str">
            <v>Apr</v>
          </cell>
          <cell r="D3422" t="str">
            <v>Kitchen</v>
          </cell>
          <cell r="E3422">
            <v>420629.21599999996</v>
          </cell>
          <cell r="F3422">
            <v>4</v>
          </cell>
        </row>
        <row r="3423">
          <cell r="A3423">
            <v>2019</v>
          </cell>
          <cell r="B3423" t="str">
            <v>Budget</v>
          </cell>
          <cell r="C3423" t="str">
            <v>Apr</v>
          </cell>
          <cell r="D3423" t="str">
            <v>Chairs</v>
          </cell>
          <cell r="E3423">
            <v>772889.64899999998</v>
          </cell>
          <cell r="F3423">
            <v>4</v>
          </cell>
        </row>
        <row r="3424">
          <cell r="A3424">
            <v>2019</v>
          </cell>
          <cell r="B3424" t="str">
            <v>Actual</v>
          </cell>
          <cell r="C3424" t="str">
            <v>Apr</v>
          </cell>
          <cell r="D3424" t="str">
            <v>Tables</v>
          </cell>
          <cell r="E3424">
            <v>1289346.1909999999</v>
          </cell>
          <cell r="F3424">
            <v>4</v>
          </cell>
        </row>
        <row r="3425">
          <cell r="A3425">
            <v>2019</v>
          </cell>
          <cell r="B3425" t="str">
            <v>Budget</v>
          </cell>
          <cell r="C3425" t="str">
            <v>Apr</v>
          </cell>
          <cell r="D3425" t="str">
            <v>Kitchen</v>
          </cell>
          <cell r="E3425">
            <v>597602.23599999992</v>
          </cell>
          <cell r="F3425">
            <v>4</v>
          </cell>
        </row>
        <row r="3426">
          <cell r="A3426">
            <v>2018</v>
          </cell>
          <cell r="B3426" t="str">
            <v>Actual</v>
          </cell>
          <cell r="C3426" t="str">
            <v>Apr</v>
          </cell>
          <cell r="D3426" t="str">
            <v>Chairs</v>
          </cell>
          <cell r="E3426">
            <v>1087143.659</v>
          </cell>
          <cell r="F3426">
            <v>4</v>
          </cell>
        </row>
        <row r="3427">
          <cell r="A3427">
            <v>2018</v>
          </cell>
          <cell r="B3427" t="str">
            <v>Budget</v>
          </cell>
          <cell r="C3427" t="str">
            <v>Apr</v>
          </cell>
          <cell r="D3427" t="str">
            <v>Tables</v>
          </cell>
          <cell r="E3427">
            <v>1358689.115</v>
          </cell>
          <cell r="F3427">
            <v>4</v>
          </cell>
        </row>
        <row r="3428">
          <cell r="A3428">
            <v>2019</v>
          </cell>
          <cell r="B3428" t="str">
            <v>Actual</v>
          </cell>
          <cell r="C3428" t="str">
            <v>Apr</v>
          </cell>
          <cell r="D3428" t="str">
            <v>Kitchen</v>
          </cell>
          <cell r="E3428">
            <v>-2062.6689999999999</v>
          </cell>
          <cell r="F3428">
            <v>4</v>
          </cell>
        </row>
        <row r="3429">
          <cell r="A3429">
            <v>2019</v>
          </cell>
          <cell r="B3429" t="str">
            <v>Budget</v>
          </cell>
          <cell r="C3429" t="str">
            <v>Apr</v>
          </cell>
          <cell r="D3429" t="str">
            <v>Chairs</v>
          </cell>
          <cell r="E3429">
            <v>9718.6179999999986</v>
          </cell>
          <cell r="F3429">
            <v>4</v>
          </cell>
        </row>
        <row r="3430">
          <cell r="A3430">
            <v>2019</v>
          </cell>
          <cell r="B3430" t="str">
            <v>Actual</v>
          </cell>
          <cell r="C3430" t="str">
            <v>Apr</v>
          </cell>
          <cell r="D3430" t="str">
            <v>Chairs</v>
          </cell>
          <cell r="E3430">
            <v>7135.7159999999994</v>
          </cell>
          <cell r="F3430">
            <v>4</v>
          </cell>
        </row>
        <row r="3431">
          <cell r="A3431">
            <v>2018</v>
          </cell>
          <cell r="B3431" t="str">
            <v>Budget</v>
          </cell>
          <cell r="C3431" t="str">
            <v>Apr</v>
          </cell>
          <cell r="D3431" t="str">
            <v>Chairs</v>
          </cell>
          <cell r="E3431">
            <v>2181732.7069999999</v>
          </cell>
          <cell r="F3431">
            <v>4</v>
          </cell>
        </row>
        <row r="3432">
          <cell r="A3432">
            <v>2019</v>
          </cell>
          <cell r="B3432" t="str">
            <v>Actual</v>
          </cell>
          <cell r="C3432" t="str">
            <v>Apr</v>
          </cell>
          <cell r="D3432" t="str">
            <v>Chairs</v>
          </cell>
          <cell r="E3432">
            <v>603141.60199999996</v>
          </cell>
          <cell r="F3432">
            <v>4</v>
          </cell>
        </row>
        <row r="3433">
          <cell r="A3433">
            <v>2018</v>
          </cell>
          <cell r="B3433" t="str">
            <v>Budget</v>
          </cell>
          <cell r="C3433" t="str">
            <v>Apr</v>
          </cell>
          <cell r="D3433" t="str">
            <v>Chairs</v>
          </cell>
          <cell r="E3433">
            <v>271479.299</v>
          </cell>
          <cell r="F3433">
            <v>4</v>
          </cell>
        </row>
        <row r="3434">
          <cell r="A3434">
            <v>2018</v>
          </cell>
          <cell r="B3434" t="str">
            <v>Actual</v>
          </cell>
          <cell r="C3434" t="str">
            <v>Apr</v>
          </cell>
          <cell r="D3434" t="str">
            <v>Chairs</v>
          </cell>
          <cell r="E3434">
            <v>449493.8</v>
          </cell>
          <cell r="F3434">
            <v>4</v>
          </cell>
        </row>
        <row r="3435">
          <cell r="A3435">
            <v>2019</v>
          </cell>
          <cell r="B3435" t="str">
            <v>Budget</v>
          </cell>
          <cell r="C3435" t="str">
            <v>Apr</v>
          </cell>
          <cell r="D3435" t="str">
            <v>Chairs</v>
          </cell>
          <cell r="E3435">
            <v>-5862.4929999999995</v>
          </cell>
          <cell r="F3435">
            <v>4</v>
          </cell>
        </row>
        <row r="3436">
          <cell r="A3436">
            <v>2018</v>
          </cell>
          <cell r="B3436" t="str">
            <v>Actual</v>
          </cell>
          <cell r="C3436" t="str">
            <v>Apr</v>
          </cell>
          <cell r="D3436" t="str">
            <v>Chairs</v>
          </cell>
          <cell r="E3436">
            <v>-9315.5650000000005</v>
          </cell>
          <cell r="F3436">
            <v>4</v>
          </cell>
        </row>
        <row r="3437">
          <cell r="A3437">
            <v>2019</v>
          </cell>
          <cell r="B3437" t="str">
            <v>Budget</v>
          </cell>
          <cell r="C3437" t="str">
            <v>Apr</v>
          </cell>
          <cell r="D3437" t="str">
            <v>Chairs</v>
          </cell>
          <cell r="E3437">
            <v>-16943.248</v>
          </cell>
          <cell r="F3437">
            <v>4</v>
          </cell>
        </row>
        <row r="3438">
          <cell r="A3438">
            <v>2019</v>
          </cell>
          <cell r="B3438" t="str">
            <v>Actual</v>
          </cell>
          <cell r="C3438" t="str">
            <v>Apr</v>
          </cell>
          <cell r="D3438" t="str">
            <v>Chairs</v>
          </cell>
          <cell r="E3438">
            <v>6326.0259999999998</v>
          </cell>
          <cell r="F3438">
            <v>4</v>
          </cell>
        </row>
        <row r="3439">
          <cell r="A3439">
            <v>2018</v>
          </cell>
          <cell r="B3439" t="str">
            <v>Budget</v>
          </cell>
          <cell r="C3439" t="str">
            <v>Apr</v>
          </cell>
          <cell r="D3439" t="str">
            <v>Chairs</v>
          </cell>
          <cell r="E3439">
            <v>5352.1019999999999</v>
          </cell>
          <cell r="F3439">
            <v>4</v>
          </cell>
        </row>
        <row r="3440">
          <cell r="A3440">
            <v>2018</v>
          </cell>
          <cell r="B3440" t="str">
            <v>Actual</v>
          </cell>
          <cell r="C3440" t="str">
            <v>Apr</v>
          </cell>
          <cell r="D3440" t="str">
            <v>Chairs</v>
          </cell>
          <cell r="E3440">
            <v>2539240.1579999998</v>
          </cell>
          <cell r="F3440">
            <v>4</v>
          </cell>
        </row>
        <row r="3441">
          <cell r="A3441">
            <v>2018</v>
          </cell>
          <cell r="B3441" t="str">
            <v>Budget</v>
          </cell>
          <cell r="C3441" t="str">
            <v>Apr</v>
          </cell>
          <cell r="D3441" t="str">
            <v>Chairs</v>
          </cell>
          <cell r="E3441">
            <v>24347.406999999999</v>
          </cell>
          <cell r="F3441">
            <v>4</v>
          </cell>
        </row>
        <row r="3442">
          <cell r="A3442">
            <v>2019</v>
          </cell>
          <cell r="B3442" t="str">
            <v>Actual</v>
          </cell>
          <cell r="C3442" t="str">
            <v>Apr</v>
          </cell>
          <cell r="D3442" t="str">
            <v>Chairs</v>
          </cell>
          <cell r="E3442">
            <v>19245586.520999998</v>
          </cell>
          <cell r="F3442">
            <v>4</v>
          </cell>
        </row>
        <row r="3443">
          <cell r="A3443">
            <v>2019</v>
          </cell>
          <cell r="B3443" t="str">
            <v>Budget</v>
          </cell>
          <cell r="C3443" t="str">
            <v>Apr</v>
          </cell>
          <cell r="D3443" t="str">
            <v>Chairs</v>
          </cell>
          <cell r="E3443">
            <v>207966.00299999997</v>
          </cell>
          <cell r="F3443">
            <v>4</v>
          </cell>
        </row>
        <row r="3444">
          <cell r="A3444">
            <v>2018</v>
          </cell>
          <cell r="B3444" t="str">
            <v>Actual</v>
          </cell>
          <cell r="C3444" t="str">
            <v>Apr</v>
          </cell>
          <cell r="D3444" t="str">
            <v>Chairs</v>
          </cell>
          <cell r="E3444">
            <v>83266.301999999996</v>
          </cell>
          <cell r="F3444">
            <v>4</v>
          </cell>
        </row>
        <row r="3445">
          <cell r="A3445">
            <v>2018</v>
          </cell>
          <cell r="B3445" t="str">
            <v>Budget</v>
          </cell>
          <cell r="C3445" t="str">
            <v>Apr</v>
          </cell>
          <cell r="D3445" t="str">
            <v>Chairs</v>
          </cell>
          <cell r="E3445">
            <v>-119852.37599999999</v>
          </cell>
          <cell r="F3445">
            <v>4</v>
          </cell>
        </row>
        <row r="3446">
          <cell r="A3446">
            <v>2018</v>
          </cell>
          <cell r="B3446" t="str">
            <v>Actual</v>
          </cell>
          <cell r="C3446" t="str">
            <v>Apr</v>
          </cell>
          <cell r="D3446" t="str">
            <v>Chairs</v>
          </cell>
          <cell r="E3446">
            <v>25367011.991999999</v>
          </cell>
          <cell r="F3446">
            <v>4</v>
          </cell>
        </row>
        <row r="3447">
          <cell r="A3447">
            <v>2019</v>
          </cell>
          <cell r="B3447" t="str">
            <v>Budget</v>
          </cell>
          <cell r="C3447" t="str">
            <v>Apr</v>
          </cell>
          <cell r="D3447" t="str">
            <v>Chairs</v>
          </cell>
          <cell r="E3447">
            <v>21108.78</v>
          </cell>
          <cell r="F3447">
            <v>4</v>
          </cell>
        </row>
        <row r="3448">
          <cell r="A3448">
            <v>2018</v>
          </cell>
          <cell r="B3448" t="str">
            <v>Actual</v>
          </cell>
          <cell r="C3448" t="str">
            <v>Apr</v>
          </cell>
          <cell r="D3448" t="str">
            <v>Chairs</v>
          </cell>
          <cell r="E3448">
            <v>34441.763999999996</v>
          </cell>
          <cell r="F3448">
            <v>4</v>
          </cell>
        </row>
        <row r="3449">
          <cell r="A3449">
            <v>2018</v>
          </cell>
          <cell r="B3449" t="str">
            <v>Budget</v>
          </cell>
          <cell r="C3449" t="str">
            <v>Apr</v>
          </cell>
          <cell r="D3449" t="str">
            <v>Chairs</v>
          </cell>
          <cell r="E3449">
            <v>28718.528999999999</v>
          </cell>
          <cell r="F3449">
            <v>4</v>
          </cell>
        </row>
        <row r="3450">
          <cell r="A3450">
            <v>2019</v>
          </cell>
          <cell r="B3450" t="str">
            <v>Actual</v>
          </cell>
          <cell r="C3450" t="str">
            <v>Apr</v>
          </cell>
          <cell r="D3450" t="str">
            <v>Chairs</v>
          </cell>
          <cell r="E3450">
            <v>30170.125999999997</v>
          </cell>
          <cell r="F3450">
            <v>4</v>
          </cell>
        </row>
        <row r="3451">
          <cell r="A3451">
            <v>2018</v>
          </cell>
          <cell r="B3451" t="str">
            <v>Budget</v>
          </cell>
          <cell r="C3451" t="str">
            <v>Apr</v>
          </cell>
          <cell r="D3451" t="str">
            <v>Chairs</v>
          </cell>
          <cell r="E3451">
            <v>62489.62999999999</v>
          </cell>
          <cell r="F3451">
            <v>4</v>
          </cell>
        </row>
        <row r="3452">
          <cell r="A3452">
            <v>2018</v>
          </cell>
          <cell r="B3452" t="str">
            <v>Actual</v>
          </cell>
          <cell r="C3452" t="str">
            <v>Apr</v>
          </cell>
          <cell r="D3452" t="str">
            <v>Chairs</v>
          </cell>
          <cell r="E3452">
            <v>22247.931999999997</v>
          </cell>
          <cell r="F3452">
            <v>4</v>
          </cell>
        </row>
        <row r="3453">
          <cell r="A3453">
            <v>2018</v>
          </cell>
          <cell r="B3453" t="str">
            <v>Budget</v>
          </cell>
          <cell r="C3453" t="str">
            <v>Apr</v>
          </cell>
          <cell r="D3453" t="str">
            <v>Chairs</v>
          </cell>
          <cell r="E3453">
            <v>159117.51799999998</v>
          </cell>
          <cell r="F3453">
            <v>4</v>
          </cell>
        </row>
        <row r="3454">
          <cell r="A3454">
            <v>2019</v>
          </cell>
          <cell r="B3454" t="str">
            <v>Actual</v>
          </cell>
          <cell r="C3454" t="str">
            <v>Apr</v>
          </cell>
          <cell r="D3454" t="str">
            <v>Chairs</v>
          </cell>
          <cell r="E3454">
            <v>1274901.0959999999</v>
          </cell>
          <cell r="F3454">
            <v>4</v>
          </cell>
        </row>
        <row r="3455">
          <cell r="A3455">
            <v>2019</v>
          </cell>
          <cell r="B3455" t="str">
            <v>Budget</v>
          </cell>
          <cell r="C3455" t="str">
            <v>Apr</v>
          </cell>
          <cell r="D3455" t="str">
            <v>Tables</v>
          </cell>
          <cell r="E3455">
            <v>851856.07499999995</v>
          </cell>
          <cell r="F3455">
            <v>4</v>
          </cell>
        </row>
        <row r="3456">
          <cell r="A3456">
            <v>2019</v>
          </cell>
          <cell r="B3456" t="str">
            <v>Actual</v>
          </cell>
          <cell r="C3456" t="str">
            <v>Apr</v>
          </cell>
          <cell r="D3456" t="str">
            <v>Kitchen</v>
          </cell>
          <cell r="E3456">
            <v>649094.78899999999</v>
          </cell>
          <cell r="F3456">
            <v>4</v>
          </cell>
        </row>
        <row r="3457">
          <cell r="A3457">
            <v>2018</v>
          </cell>
          <cell r="B3457" t="str">
            <v>Budget</v>
          </cell>
          <cell r="C3457" t="str">
            <v>Apr</v>
          </cell>
          <cell r="D3457" t="str">
            <v>Chairs</v>
          </cell>
          <cell r="E3457">
            <v>434616.84699999995</v>
          </cell>
          <cell r="F3457">
            <v>4</v>
          </cell>
        </row>
        <row r="3458">
          <cell r="A3458">
            <v>2019</v>
          </cell>
          <cell r="B3458" t="str">
            <v>Actual</v>
          </cell>
          <cell r="C3458" t="str">
            <v>Apr</v>
          </cell>
          <cell r="D3458" t="str">
            <v>Chairs</v>
          </cell>
          <cell r="E3458">
            <v>-212986.23499999999</v>
          </cell>
          <cell r="F3458">
            <v>4</v>
          </cell>
        </row>
        <row r="3459">
          <cell r="A3459">
            <v>2019</v>
          </cell>
          <cell r="B3459" t="str">
            <v>Budget</v>
          </cell>
          <cell r="C3459" t="str">
            <v>Apr</v>
          </cell>
          <cell r="D3459" t="str">
            <v>Chairs</v>
          </cell>
          <cell r="E3459">
            <v>157508.26699999999</v>
          </cell>
          <cell r="F3459">
            <v>4</v>
          </cell>
        </row>
        <row r="3460">
          <cell r="A3460">
            <v>2018</v>
          </cell>
          <cell r="B3460" t="str">
            <v>Actual</v>
          </cell>
          <cell r="C3460" t="str">
            <v>Apr</v>
          </cell>
          <cell r="D3460" t="str">
            <v>Chairs</v>
          </cell>
          <cell r="E3460">
            <v>2582.2649999999999</v>
          </cell>
          <cell r="F3460">
            <v>4</v>
          </cell>
        </row>
        <row r="3461">
          <cell r="A3461">
            <v>2018</v>
          </cell>
          <cell r="B3461" t="str">
            <v>Budget</v>
          </cell>
          <cell r="C3461" t="str">
            <v>Apr</v>
          </cell>
          <cell r="D3461" t="str">
            <v>Chairs</v>
          </cell>
          <cell r="E3461">
            <v>2777.9359999999997</v>
          </cell>
          <cell r="F3461">
            <v>4</v>
          </cell>
        </row>
        <row r="3462">
          <cell r="A3462">
            <v>2018</v>
          </cell>
          <cell r="B3462" t="str">
            <v>Actual</v>
          </cell>
          <cell r="C3462" t="str">
            <v>Apr</v>
          </cell>
          <cell r="D3462" t="str">
            <v>Tables</v>
          </cell>
          <cell r="E3462">
            <v>311240.15999999997</v>
          </cell>
          <cell r="F3462">
            <v>4</v>
          </cell>
        </row>
        <row r="3463">
          <cell r="A3463">
            <v>2018</v>
          </cell>
          <cell r="B3463" t="str">
            <v>Budget</v>
          </cell>
          <cell r="C3463" t="str">
            <v>Apr</v>
          </cell>
          <cell r="D3463" t="str">
            <v>Kitchen</v>
          </cell>
          <cell r="E3463">
            <v>384300.85399999993</v>
          </cell>
          <cell r="F3463">
            <v>4</v>
          </cell>
        </row>
        <row r="3464">
          <cell r="A3464">
            <v>2018</v>
          </cell>
          <cell r="B3464" t="str">
            <v>Actual</v>
          </cell>
          <cell r="C3464" t="str">
            <v>Apr</v>
          </cell>
          <cell r="D3464" t="str">
            <v>Chairs</v>
          </cell>
          <cell r="E3464">
            <v>593000.84199999995</v>
          </cell>
          <cell r="F3464">
            <v>4</v>
          </cell>
        </row>
        <row r="3465">
          <cell r="A3465">
            <v>2018</v>
          </cell>
          <cell r="B3465" t="str">
            <v>Budget</v>
          </cell>
          <cell r="C3465" t="str">
            <v>Apr</v>
          </cell>
          <cell r="D3465" t="str">
            <v>Chairs</v>
          </cell>
          <cell r="E3465">
            <v>818828.55599999998</v>
          </cell>
          <cell r="F3465">
            <v>4</v>
          </cell>
        </row>
        <row r="3466">
          <cell r="A3466">
            <v>2018</v>
          </cell>
          <cell r="B3466" t="str">
            <v>Actual</v>
          </cell>
          <cell r="C3466" t="str">
            <v>Apr</v>
          </cell>
          <cell r="D3466" t="str">
            <v>Chairs</v>
          </cell>
          <cell r="E3466">
            <v>969431.28799999994</v>
          </cell>
          <cell r="F3466">
            <v>4</v>
          </cell>
        </row>
        <row r="3467">
          <cell r="A3467">
            <v>2019</v>
          </cell>
          <cell r="B3467" t="str">
            <v>Budget</v>
          </cell>
          <cell r="C3467" t="str">
            <v>Apr</v>
          </cell>
          <cell r="D3467" t="str">
            <v>Tables</v>
          </cell>
          <cell r="E3467">
            <v>2522374.6310000001</v>
          </cell>
          <cell r="F3467">
            <v>4</v>
          </cell>
        </row>
        <row r="3468">
          <cell r="A3468">
            <v>2019</v>
          </cell>
          <cell r="B3468" t="str">
            <v>Actual</v>
          </cell>
          <cell r="C3468" t="str">
            <v>Apr</v>
          </cell>
          <cell r="D3468" t="str">
            <v>Kitchen</v>
          </cell>
          <cell r="E3468">
            <v>113262.674</v>
          </cell>
          <cell r="F3468">
            <v>4</v>
          </cell>
        </row>
        <row r="3469">
          <cell r="A3469">
            <v>2018</v>
          </cell>
          <cell r="B3469" t="str">
            <v>Budget</v>
          </cell>
          <cell r="C3469" t="str">
            <v>Apr</v>
          </cell>
          <cell r="D3469" t="str">
            <v>Chairs</v>
          </cell>
          <cell r="E3469">
            <v>1034553.884</v>
          </cell>
          <cell r="F3469">
            <v>4</v>
          </cell>
        </row>
        <row r="3470">
          <cell r="A3470">
            <v>2018</v>
          </cell>
          <cell r="B3470" t="str">
            <v>Actual</v>
          </cell>
          <cell r="C3470" t="str">
            <v>Apr</v>
          </cell>
          <cell r="D3470" t="str">
            <v>Chairs</v>
          </cell>
          <cell r="E3470">
            <v>827747.41</v>
          </cell>
          <cell r="F3470">
            <v>4</v>
          </cell>
        </row>
        <row r="3471">
          <cell r="A3471">
            <v>2018</v>
          </cell>
          <cell r="B3471" t="str">
            <v>Budget</v>
          </cell>
          <cell r="C3471" t="str">
            <v>Apr</v>
          </cell>
          <cell r="D3471" t="str">
            <v>Tables</v>
          </cell>
          <cell r="E3471">
            <v>41304.76</v>
          </cell>
          <cell r="F3471">
            <v>4</v>
          </cell>
        </row>
        <row r="3472">
          <cell r="A3472">
            <v>2018</v>
          </cell>
          <cell r="B3472" t="str">
            <v>Actual</v>
          </cell>
          <cell r="C3472" t="str">
            <v>Apr</v>
          </cell>
          <cell r="D3472" t="str">
            <v>Kitchen</v>
          </cell>
          <cell r="E3472">
            <v>661112.16499999992</v>
          </cell>
          <cell r="F3472">
            <v>4</v>
          </cell>
        </row>
        <row r="3473">
          <cell r="A3473">
            <v>2018</v>
          </cell>
          <cell r="B3473" t="str">
            <v>Budget</v>
          </cell>
          <cell r="C3473" t="str">
            <v>Apr</v>
          </cell>
          <cell r="D3473" t="str">
            <v>Chairs</v>
          </cell>
          <cell r="E3473">
            <v>180111.96699999998</v>
          </cell>
          <cell r="F3473">
            <v>4</v>
          </cell>
        </row>
        <row r="3474">
          <cell r="A3474">
            <v>2019</v>
          </cell>
          <cell r="B3474" t="str">
            <v>Actual</v>
          </cell>
          <cell r="C3474" t="str">
            <v>Apr</v>
          </cell>
          <cell r="D3474" t="str">
            <v>Chairs</v>
          </cell>
          <cell r="E3474">
            <v>754079.1719999999</v>
          </cell>
          <cell r="F3474">
            <v>4</v>
          </cell>
        </row>
        <row r="3475">
          <cell r="A3475">
            <v>2018</v>
          </cell>
          <cell r="B3475" t="str">
            <v>Budget</v>
          </cell>
          <cell r="C3475" t="str">
            <v>Apr</v>
          </cell>
          <cell r="D3475" t="str">
            <v>Chairs</v>
          </cell>
          <cell r="E3475">
            <v>485607.85</v>
          </cell>
          <cell r="F3475">
            <v>4</v>
          </cell>
        </row>
        <row r="3476">
          <cell r="A3476">
            <v>2018</v>
          </cell>
          <cell r="B3476" t="str">
            <v>Actual</v>
          </cell>
          <cell r="C3476" t="str">
            <v>Apr</v>
          </cell>
          <cell r="D3476" t="str">
            <v>Tables</v>
          </cell>
          <cell r="E3476">
            <v>22835.911</v>
          </cell>
          <cell r="F3476">
            <v>4</v>
          </cell>
        </row>
        <row r="3477">
          <cell r="A3477">
            <v>2019</v>
          </cell>
          <cell r="B3477" t="str">
            <v>Budget</v>
          </cell>
          <cell r="C3477" t="str">
            <v>Apr</v>
          </cell>
          <cell r="D3477" t="str">
            <v>Kitchen</v>
          </cell>
          <cell r="E3477">
            <v>1793889.8459999997</v>
          </cell>
          <cell r="F3477">
            <v>4</v>
          </cell>
        </row>
        <row r="3478">
          <cell r="A3478">
            <v>2018</v>
          </cell>
          <cell r="B3478" t="str">
            <v>Actual</v>
          </cell>
          <cell r="C3478" t="str">
            <v>Apr</v>
          </cell>
          <cell r="D3478" t="str">
            <v>Accessories</v>
          </cell>
          <cell r="E3478">
            <v>25612.909</v>
          </cell>
          <cell r="F3478">
            <v>4</v>
          </cell>
        </row>
        <row r="3479">
          <cell r="A3479">
            <v>2018</v>
          </cell>
          <cell r="B3479" t="str">
            <v>Budget</v>
          </cell>
          <cell r="C3479" t="str">
            <v>Apr</v>
          </cell>
          <cell r="D3479" t="str">
            <v>Chairs</v>
          </cell>
          <cell r="E3479">
            <v>495816.951</v>
          </cell>
          <cell r="F3479">
            <v>4</v>
          </cell>
        </row>
        <row r="3480">
          <cell r="A3480">
            <v>2018</v>
          </cell>
          <cell r="B3480" t="str">
            <v>Actual</v>
          </cell>
          <cell r="C3480" t="str">
            <v>Apr</v>
          </cell>
          <cell r="D3480" t="str">
            <v>Tables</v>
          </cell>
          <cell r="E3480">
            <v>309793.33</v>
          </cell>
          <cell r="F3480">
            <v>4</v>
          </cell>
        </row>
        <row r="3481">
          <cell r="A3481">
            <v>2018</v>
          </cell>
          <cell r="B3481" t="str">
            <v>Budget</v>
          </cell>
          <cell r="C3481" t="str">
            <v>Apr</v>
          </cell>
          <cell r="D3481" t="str">
            <v>Kitchen</v>
          </cell>
          <cell r="E3481">
            <v>881914.50900000008</v>
          </cell>
          <cell r="F3481">
            <v>4</v>
          </cell>
        </row>
        <row r="3482">
          <cell r="A3482">
            <v>2019</v>
          </cell>
          <cell r="B3482" t="str">
            <v>Actual</v>
          </cell>
          <cell r="C3482" t="str">
            <v>Apr</v>
          </cell>
          <cell r="D3482" t="str">
            <v>Accessories</v>
          </cell>
          <cell r="E3482">
            <v>533598.821</v>
          </cell>
          <cell r="F3482">
            <v>4</v>
          </cell>
        </row>
        <row r="3483">
          <cell r="A3483">
            <v>2018</v>
          </cell>
          <cell r="B3483" t="str">
            <v>Budget</v>
          </cell>
          <cell r="C3483" t="str">
            <v>Apr</v>
          </cell>
          <cell r="D3483" t="str">
            <v>Chairs</v>
          </cell>
          <cell r="E3483">
            <v>288744.24599999998</v>
          </cell>
          <cell r="F3483">
            <v>4</v>
          </cell>
        </row>
        <row r="3484">
          <cell r="A3484">
            <v>2019</v>
          </cell>
          <cell r="B3484" t="str">
            <v>Actual</v>
          </cell>
          <cell r="C3484" t="str">
            <v>Apr</v>
          </cell>
          <cell r="D3484" t="str">
            <v>Tables</v>
          </cell>
          <cell r="E3484">
            <v>290323.92200000002</v>
          </cell>
          <cell r="F3484">
            <v>4</v>
          </cell>
        </row>
        <row r="3485">
          <cell r="A3485">
            <v>2019</v>
          </cell>
          <cell r="B3485" t="str">
            <v>Budget</v>
          </cell>
          <cell r="C3485" t="str">
            <v>Apr</v>
          </cell>
          <cell r="D3485" t="str">
            <v>Kitchen</v>
          </cell>
          <cell r="E3485">
            <v>7763.405999999999</v>
          </cell>
          <cell r="F3485">
            <v>4</v>
          </cell>
        </row>
        <row r="3486">
          <cell r="A3486">
            <v>2018</v>
          </cell>
          <cell r="B3486" t="str">
            <v>Actual</v>
          </cell>
          <cell r="C3486" t="str">
            <v>Apr</v>
          </cell>
          <cell r="D3486" t="str">
            <v>Accessories</v>
          </cell>
          <cell r="E3486">
            <v>63979.656999999992</v>
          </cell>
          <cell r="F3486">
            <v>4</v>
          </cell>
        </row>
        <row r="3487">
          <cell r="A3487">
            <v>2019</v>
          </cell>
          <cell r="B3487" t="str">
            <v>Budget</v>
          </cell>
          <cell r="C3487" t="str">
            <v>Apr</v>
          </cell>
          <cell r="D3487" t="str">
            <v>Chairs</v>
          </cell>
          <cell r="E3487">
            <v>75087.243000000002</v>
          </cell>
          <cell r="F3487">
            <v>4</v>
          </cell>
        </row>
        <row r="3488">
          <cell r="A3488">
            <v>2018</v>
          </cell>
          <cell r="B3488" t="str">
            <v>Actual</v>
          </cell>
          <cell r="C3488" t="str">
            <v>Apr</v>
          </cell>
          <cell r="D3488" t="str">
            <v>Tables</v>
          </cell>
          <cell r="E3488">
            <v>55701.078999999998</v>
          </cell>
          <cell r="F3488">
            <v>4</v>
          </cell>
        </row>
        <row r="3489">
          <cell r="A3489">
            <v>2019</v>
          </cell>
          <cell r="B3489" t="str">
            <v>Budget</v>
          </cell>
          <cell r="C3489" t="str">
            <v>Apr</v>
          </cell>
          <cell r="D3489" t="str">
            <v>Kitchen</v>
          </cell>
          <cell r="E3489">
            <v>492673.10399999993</v>
          </cell>
          <cell r="F3489">
            <v>4</v>
          </cell>
        </row>
        <row r="3490">
          <cell r="A3490">
            <v>2018</v>
          </cell>
          <cell r="B3490" t="str">
            <v>Actual</v>
          </cell>
          <cell r="C3490" t="str">
            <v>Apr</v>
          </cell>
          <cell r="D3490" t="str">
            <v>Accessories</v>
          </cell>
          <cell r="E3490">
            <v>4168.99</v>
          </cell>
          <cell r="F3490">
            <v>4</v>
          </cell>
        </row>
        <row r="3491">
          <cell r="A3491">
            <v>2019</v>
          </cell>
          <cell r="B3491" t="str">
            <v>Budget</v>
          </cell>
          <cell r="C3491" t="str">
            <v>Apr</v>
          </cell>
          <cell r="D3491" t="str">
            <v>Chairs</v>
          </cell>
          <cell r="E3491">
            <v>67465.09</v>
          </cell>
          <cell r="F3491">
            <v>4</v>
          </cell>
        </row>
        <row r="3492">
          <cell r="A3492">
            <v>2019</v>
          </cell>
          <cell r="B3492" t="str">
            <v>Actual</v>
          </cell>
          <cell r="C3492" t="str">
            <v>Apr</v>
          </cell>
          <cell r="D3492" t="str">
            <v>Chairs</v>
          </cell>
          <cell r="E3492">
            <v>209174.69299999997</v>
          </cell>
          <cell r="F3492">
            <v>4</v>
          </cell>
        </row>
        <row r="3493">
          <cell r="A3493">
            <v>2019</v>
          </cell>
          <cell r="B3493" t="str">
            <v>Budget</v>
          </cell>
          <cell r="C3493" t="str">
            <v>Apr</v>
          </cell>
          <cell r="D3493" t="str">
            <v>Tables</v>
          </cell>
          <cell r="E3493">
            <v>58036.166999999994</v>
          </cell>
          <cell r="F3493">
            <v>4</v>
          </cell>
        </row>
        <row r="3494">
          <cell r="A3494">
            <v>2019</v>
          </cell>
          <cell r="B3494" t="str">
            <v>Actual</v>
          </cell>
          <cell r="C3494" t="str">
            <v>Apr</v>
          </cell>
          <cell r="D3494" t="str">
            <v>Kitchen</v>
          </cell>
          <cell r="E3494">
            <v>322846.78999999998</v>
          </cell>
          <cell r="F3494">
            <v>4</v>
          </cell>
        </row>
        <row r="3495">
          <cell r="A3495">
            <v>2018</v>
          </cell>
          <cell r="B3495" t="str">
            <v>Budget</v>
          </cell>
          <cell r="C3495" t="str">
            <v>Apr</v>
          </cell>
          <cell r="D3495" t="str">
            <v>Chairs</v>
          </cell>
          <cell r="E3495">
            <v>1314902.8479999998</v>
          </cell>
          <cell r="F3495">
            <v>4</v>
          </cell>
        </row>
        <row r="3496">
          <cell r="A3496">
            <v>2019</v>
          </cell>
          <cell r="B3496" t="str">
            <v>Actual</v>
          </cell>
          <cell r="C3496" t="str">
            <v>Apr</v>
          </cell>
          <cell r="D3496" t="str">
            <v>Tables</v>
          </cell>
          <cell r="E3496">
            <v>879900.07700000005</v>
          </cell>
          <cell r="F3496">
            <v>4</v>
          </cell>
        </row>
        <row r="3497">
          <cell r="A3497">
            <v>2019</v>
          </cell>
          <cell r="B3497" t="str">
            <v>Budget</v>
          </cell>
          <cell r="C3497" t="str">
            <v>Apr</v>
          </cell>
          <cell r="D3497" t="str">
            <v>Kitchen</v>
          </cell>
          <cell r="E3497">
            <v>37175.424999999996</v>
          </cell>
          <cell r="F3497">
            <v>4</v>
          </cell>
        </row>
        <row r="3498">
          <cell r="A3498">
            <v>2019</v>
          </cell>
          <cell r="B3498" t="str">
            <v>Actual</v>
          </cell>
          <cell r="C3498" t="str">
            <v>Apr</v>
          </cell>
          <cell r="D3498" t="str">
            <v>Chairs</v>
          </cell>
          <cell r="E3498">
            <v>268470.57299999997</v>
          </cell>
          <cell r="F3498">
            <v>4</v>
          </cell>
        </row>
        <row r="3499">
          <cell r="A3499">
            <v>2018</v>
          </cell>
          <cell r="B3499" t="str">
            <v>Budget</v>
          </cell>
          <cell r="C3499" t="str">
            <v>Apr</v>
          </cell>
          <cell r="D3499" t="str">
            <v>Tables</v>
          </cell>
          <cell r="E3499">
            <v>548483.46</v>
          </cell>
          <cell r="F3499">
            <v>4</v>
          </cell>
        </row>
        <row r="3500">
          <cell r="A3500">
            <v>2018</v>
          </cell>
          <cell r="B3500" t="str">
            <v>Actual</v>
          </cell>
          <cell r="C3500" t="str">
            <v>Apr</v>
          </cell>
          <cell r="D3500" t="str">
            <v>Kitchen</v>
          </cell>
          <cell r="E3500">
            <v>6027533.4699999997</v>
          </cell>
          <cell r="F3500">
            <v>4</v>
          </cell>
        </row>
        <row r="3501">
          <cell r="A3501">
            <v>2019</v>
          </cell>
          <cell r="B3501" t="str">
            <v>Budget</v>
          </cell>
          <cell r="C3501" t="str">
            <v>Apr</v>
          </cell>
          <cell r="D3501" t="str">
            <v>Chairs</v>
          </cell>
          <cell r="E3501">
            <v>68551.517999999996</v>
          </cell>
          <cell r="F3501">
            <v>4</v>
          </cell>
        </row>
        <row r="3502">
          <cell r="A3502">
            <v>2018</v>
          </cell>
          <cell r="B3502" t="str">
            <v>Actual</v>
          </cell>
          <cell r="C3502" t="str">
            <v>Apr</v>
          </cell>
          <cell r="D3502" t="str">
            <v>Chairs</v>
          </cell>
          <cell r="E3502">
            <v>118391.12599999999</v>
          </cell>
          <cell r="F3502">
            <v>4</v>
          </cell>
        </row>
        <row r="3503">
          <cell r="A3503">
            <v>2019</v>
          </cell>
          <cell r="B3503" t="str">
            <v>Budget</v>
          </cell>
          <cell r="C3503" t="str">
            <v>Apr</v>
          </cell>
          <cell r="D3503" t="str">
            <v>Chairs</v>
          </cell>
          <cell r="E3503">
            <v>8704008.8239999991</v>
          </cell>
          <cell r="F3503">
            <v>4</v>
          </cell>
        </row>
        <row r="3504">
          <cell r="A3504">
            <v>2018</v>
          </cell>
          <cell r="B3504" t="str">
            <v>Actual</v>
          </cell>
          <cell r="C3504" t="str">
            <v>Apr</v>
          </cell>
          <cell r="D3504" t="str">
            <v>Chairs</v>
          </cell>
          <cell r="E3504">
            <v>57376.27</v>
          </cell>
          <cell r="F3504">
            <v>4</v>
          </cell>
        </row>
        <row r="3505">
          <cell r="A3505">
            <v>2018</v>
          </cell>
          <cell r="B3505" t="str">
            <v>Budget</v>
          </cell>
          <cell r="C3505" t="str">
            <v>Apr</v>
          </cell>
          <cell r="D3505" t="str">
            <v>Chairs</v>
          </cell>
          <cell r="E3505">
            <v>42809.395999999993</v>
          </cell>
          <cell r="F3505">
            <v>4</v>
          </cell>
        </row>
        <row r="3506">
          <cell r="A3506">
            <v>2019</v>
          </cell>
          <cell r="B3506" t="str">
            <v>Actual</v>
          </cell>
          <cell r="C3506" t="str">
            <v>Apr</v>
          </cell>
          <cell r="D3506" t="str">
            <v>Chairs</v>
          </cell>
          <cell r="E3506">
            <v>30794.014999999996</v>
          </cell>
          <cell r="F3506">
            <v>4</v>
          </cell>
        </row>
        <row r="3507">
          <cell r="A3507">
            <v>2018</v>
          </cell>
          <cell r="B3507" t="str">
            <v>Budget</v>
          </cell>
          <cell r="C3507" t="str">
            <v>Apr</v>
          </cell>
          <cell r="D3507" t="str">
            <v>Chairs</v>
          </cell>
          <cell r="E3507">
            <v>31028.262999999995</v>
          </cell>
          <cell r="F3507">
            <v>4</v>
          </cell>
        </row>
        <row r="3508">
          <cell r="A3508">
            <v>2019</v>
          </cell>
          <cell r="B3508" t="str">
            <v>Actual</v>
          </cell>
          <cell r="C3508" t="str">
            <v>Apr</v>
          </cell>
          <cell r="D3508" t="str">
            <v>Chairs</v>
          </cell>
          <cell r="E3508">
            <v>25378.661</v>
          </cell>
          <cell r="F3508">
            <v>4</v>
          </cell>
        </row>
        <row r="3509">
          <cell r="A3509">
            <v>2019</v>
          </cell>
          <cell r="B3509" t="str">
            <v>Budget</v>
          </cell>
          <cell r="C3509" t="str">
            <v>Apr</v>
          </cell>
          <cell r="D3509" t="str">
            <v>Chairs</v>
          </cell>
          <cell r="E3509">
            <v>9081.4570000000003</v>
          </cell>
          <cell r="F3509">
            <v>4</v>
          </cell>
        </row>
        <row r="3510">
          <cell r="A3510">
            <v>2019</v>
          </cell>
          <cell r="B3510" t="str">
            <v>Actual</v>
          </cell>
          <cell r="C3510" t="str">
            <v>Apr</v>
          </cell>
          <cell r="D3510" t="str">
            <v>Chairs</v>
          </cell>
          <cell r="E3510">
            <v>83724.095000000001</v>
          </cell>
          <cell r="F3510">
            <v>4</v>
          </cell>
        </row>
        <row r="3511">
          <cell r="A3511">
            <v>2018</v>
          </cell>
          <cell r="B3511" t="str">
            <v>Budget</v>
          </cell>
          <cell r="C3511" t="str">
            <v>Apr</v>
          </cell>
          <cell r="D3511" t="str">
            <v>Chairs</v>
          </cell>
          <cell r="E3511">
            <v>74873.476999999999</v>
          </cell>
          <cell r="F3511">
            <v>4</v>
          </cell>
        </row>
        <row r="3512">
          <cell r="A3512">
            <v>2018</v>
          </cell>
          <cell r="B3512" t="str">
            <v>Actual</v>
          </cell>
          <cell r="C3512" t="str">
            <v>Apr</v>
          </cell>
          <cell r="D3512" t="str">
            <v>Chairs</v>
          </cell>
          <cell r="E3512">
            <v>84696.177999999985</v>
          </cell>
          <cell r="F3512">
            <v>4</v>
          </cell>
        </row>
        <row r="3513">
          <cell r="A3513">
            <v>2018</v>
          </cell>
          <cell r="B3513" t="str">
            <v>Budget</v>
          </cell>
          <cell r="C3513" t="str">
            <v>Apr</v>
          </cell>
          <cell r="D3513" t="str">
            <v>Chairs</v>
          </cell>
          <cell r="E3513">
            <v>92085.77</v>
          </cell>
          <cell r="F3513">
            <v>4</v>
          </cell>
        </row>
        <row r="3514">
          <cell r="A3514">
            <v>2018</v>
          </cell>
          <cell r="B3514" t="str">
            <v>Actual</v>
          </cell>
          <cell r="C3514" t="str">
            <v>Apr</v>
          </cell>
          <cell r="D3514" t="str">
            <v>Chairs</v>
          </cell>
          <cell r="E3514">
            <v>125231.04999999999</v>
          </cell>
          <cell r="F3514">
            <v>4</v>
          </cell>
        </row>
        <row r="3515">
          <cell r="A3515">
            <v>2019</v>
          </cell>
          <cell r="B3515" t="str">
            <v>Budget</v>
          </cell>
          <cell r="C3515" t="str">
            <v>Apr</v>
          </cell>
          <cell r="D3515" t="str">
            <v>Chairs</v>
          </cell>
          <cell r="E3515">
            <v>737202.76</v>
          </cell>
          <cell r="F3515">
            <v>4</v>
          </cell>
        </row>
        <row r="3516">
          <cell r="A3516">
            <v>2018</v>
          </cell>
          <cell r="B3516" t="str">
            <v>Actual</v>
          </cell>
          <cell r="C3516" t="str">
            <v>Apr</v>
          </cell>
          <cell r="D3516" t="str">
            <v>Chairs</v>
          </cell>
          <cell r="E3516">
            <v>106585.507</v>
          </cell>
          <cell r="F3516">
            <v>4</v>
          </cell>
        </row>
        <row r="3517">
          <cell r="A3517">
            <v>2019</v>
          </cell>
          <cell r="B3517" t="str">
            <v>Budget</v>
          </cell>
          <cell r="C3517" t="str">
            <v>Apr</v>
          </cell>
          <cell r="D3517" t="str">
            <v>Chairs</v>
          </cell>
          <cell r="E3517">
            <v>3554716.361</v>
          </cell>
          <cell r="F3517">
            <v>4</v>
          </cell>
        </row>
        <row r="3518">
          <cell r="A3518">
            <v>2019</v>
          </cell>
          <cell r="B3518" t="str">
            <v>Actual</v>
          </cell>
          <cell r="C3518" t="str">
            <v>Apr</v>
          </cell>
          <cell r="D3518" t="str">
            <v>Chairs</v>
          </cell>
          <cell r="E3518">
            <v>470420.79699999996</v>
          </cell>
          <cell r="F3518">
            <v>4</v>
          </cell>
        </row>
        <row r="3519">
          <cell r="A3519">
            <v>2019</v>
          </cell>
          <cell r="B3519" t="str">
            <v>Budget</v>
          </cell>
          <cell r="C3519" t="str">
            <v>Apr</v>
          </cell>
          <cell r="D3519" t="str">
            <v>Chairs</v>
          </cell>
          <cell r="E3519">
            <v>561404.89299999992</v>
          </cell>
          <cell r="F3519">
            <v>4</v>
          </cell>
        </row>
        <row r="3520">
          <cell r="A3520">
            <v>2019</v>
          </cell>
          <cell r="B3520" t="str">
            <v>Actual</v>
          </cell>
          <cell r="C3520" t="str">
            <v>Apr</v>
          </cell>
          <cell r="D3520" t="str">
            <v>Chairs</v>
          </cell>
          <cell r="E3520">
            <v>528452.38599999994</v>
          </cell>
          <cell r="F3520">
            <v>4</v>
          </cell>
        </row>
        <row r="3521">
          <cell r="A3521">
            <v>2018</v>
          </cell>
          <cell r="B3521" t="str">
            <v>Budget</v>
          </cell>
          <cell r="C3521" t="str">
            <v>Apr</v>
          </cell>
          <cell r="D3521" t="str">
            <v>Chairs</v>
          </cell>
          <cell r="E3521">
            <v>238582.946</v>
          </cell>
          <cell r="F3521">
            <v>4</v>
          </cell>
        </row>
        <row r="3522">
          <cell r="A3522">
            <v>2018</v>
          </cell>
          <cell r="B3522" t="str">
            <v>Actual</v>
          </cell>
          <cell r="C3522" t="str">
            <v>Apr</v>
          </cell>
          <cell r="D3522" t="str">
            <v>Chairs</v>
          </cell>
          <cell r="E3522">
            <v>228446.20399999997</v>
          </cell>
          <cell r="F3522">
            <v>4</v>
          </cell>
        </row>
        <row r="3523">
          <cell r="A3523">
            <v>2018</v>
          </cell>
          <cell r="B3523" t="str">
            <v>Budget</v>
          </cell>
          <cell r="C3523" t="str">
            <v>Apr</v>
          </cell>
          <cell r="D3523" t="str">
            <v>Chairs</v>
          </cell>
          <cell r="E3523">
            <v>232858.53499999997</v>
          </cell>
          <cell r="F3523">
            <v>4</v>
          </cell>
        </row>
        <row r="3524">
          <cell r="A3524">
            <v>2019</v>
          </cell>
          <cell r="B3524" t="str">
            <v>Actual</v>
          </cell>
          <cell r="C3524" t="str">
            <v>Apr</v>
          </cell>
          <cell r="D3524" t="str">
            <v>Chairs</v>
          </cell>
          <cell r="E3524">
            <v>87239.656000000003</v>
          </cell>
          <cell r="F3524">
            <v>4</v>
          </cell>
        </row>
        <row r="3525">
          <cell r="A3525">
            <v>2018</v>
          </cell>
          <cell r="B3525" t="str">
            <v>Budget</v>
          </cell>
          <cell r="C3525" t="str">
            <v>Apr</v>
          </cell>
          <cell r="D3525" t="str">
            <v>Chairs</v>
          </cell>
          <cell r="E3525">
            <v>740497.10699999996</v>
          </cell>
          <cell r="F3525">
            <v>4</v>
          </cell>
        </row>
        <row r="3526">
          <cell r="A3526">
            <v>2019</v>
          </cell>
          <cell r="B3526" t="str">
            <v>Actual</v>
          </cell>
          <cell r="C3526" t="str">
            <v>Apr</v>
          </cell>
          <cell r="D3526" t="str">
            <v>Chairs</v>
          </cell>
          <cell r="E3526">
            <v>-38496.275999999998</v>
          </cell>
          <cell r="F3526">
            <v>4</v>
          </cell>
        </row>
        <row r="3527">
          <cell r="A3527">
            <v>2019</v>
          </cell>
          <cell r="B3527" t="str">
            <v>Budget</v>
          </cell>
          <cell r="C3527" t="str">
            <v>Apr</v>
          </cell>
          <cell r="D3527" t="str">
            <v>Tables</v>
          </cell>
          <cell r="E3527">
            <v>443410.02299999999</v>
          </cell>
          <cell r="F3527">
            <v>4</v>
          </cell>
        </row>
        <row r="3528">
          <cell r="A3528">
            <v>2019</v>
          </cell>
          <cell r="B3528" t="str">
            <v>Actual</v>
          </cell>
          <cell r="C3528" t="str">
            <v>Apr</v>
          </cell>
          <cell r="D3528" t="str">
            <v>Kitchen</v>
          </cell>
          <cell r="E3528">
            <v>169603.58099999998</v>
          </cell>
          <cell r="F3528">
            <v>4</v>
          </cell>
        </row>
        <row r="3529">
          <cell r="A3529">
            <v>2019</v>
          </cell>
          <cell r="B3529" t="str">
            <v>Budget</v>
          </cell>
          <cell r="C3529" t="str">
            <v>Apr</v>
          </cell>
          <cell r="D3529" t="str">
            <v>Chairs</v>
          </cell>
          <cell r="E3529">
            <v>596765.9879999999</v>
          </cell>
          <cell r="F3529">
            <v>4</v>
          </cell>
        </row>
        <row r="3530">
          <cell r="A3530">
            <v>2018</v>
          </cell>
          <cell r="B3530" t="str">
            <v>Actual</v>
          </cell>
          <cell r="C3530" t="str">
            <v>Apr</v>
          </cell>
          <cell r="D3530" t="str">
            <v>Chairs</v>
          </cell>
          <cell r="E3530">
            <v>38013.023999999998</v>
          </cell>
          <cell r="F3530">
            <v>4</v>
          </cell>
        </row>
        <row r="3531">
          <cell r="A3531">
            <v>2018</v>
          </cell>
          <cell r="B3531" t="str">
            <v>Budget</v>
          </cell>
          <cell r="C3531" t="str">
            <v>Apr</v>
          </cell>
          <cell r="D3531" t="str">
            <v>Chairs</v>
          </cell>
          <cell r="E3531">
            <v>96727.287999999986</v>
          </cell>
          <cell r="F3531">
            <v>4</v>
          </cell>
        </row>
        <row r="3532">
          <cell r="A3532">
            <v>2019</v>
          </cell>
          <cell r="B3532" t="str">
            <v>Actual</v>
          </cell>
          <cell r="C3532" t="str">
            <v>Apr</v>
          </cell>
          <cell r="D3532" t="str">
            <v>Chairs</v>
          </cell>
          <cell r="E3532">
            <v>-168933.359</v>
          </cell>
          <cell r="F3532">
            <v>4</v>
          </cell>
        </row>
        <row r="3533">
          <cell r="A3533">
            <v>2019</v>
          </cell>
          <cell r="B3533" t="str">
            <v>Budget</v>
          </cell>
          <cell r="C3533" t="str">
            <v>Apr</v>
          </cell>
          <cell r="D3533" t="str">
            <v>Chairs</v>
          </cell>
          <cell r="E3533">
            <v>-16056.921999999999</v>
          </cell>
          <cell r="F3533">
            <v>4</v>
          </cell>
        </row>
        <row r="3534">
          <cell r="A3534">
            <v>2018</v>
          </cell>
          <cell r="B3534" t="str">
            <v>Actual</v>
          </cell>
          <cell r="C3534" t="str">
            <v>Apr</v>
          </cell>
          <cell r="D3534" t="str">
            <v>Tables</v>
          </cell>
          <cell r="E3534">
            <v>464367.59599999996</v>
          </cell>
          <cell r="F3534">
            <v>4</v>
          </cell>
        </row>
        <row r="3535">
          <cell r="A3535">
            <v>2019</v>
          </cell>
          <cell r="B3535" t="str">
            <v>Budget</v>
          </cell>
          <cell r="C3535" t="str">
            <v>Apr</v>
          </cell>
          <cell r="D3535" t="str">
            <v>Kitchen</v>
          </cell>
          <cell r="E3535">
            <v>56461.173999999999</v>
          </cell>
          <cell r="F3535">
            <v>4</v>
          </cell>
        </row>
        <row r="3536">
          <cell r="A3536">
            <v>2019</v>
          </cell>
          <cell r="B3536" t="str">
            <v>Actual</v>
          </cell>
          <cell r="C3536" t="str">
            <v>Apr</v>
          </cell>
          <cell r="D3536" t="str">
            <v>Chairs</v>
          </cell>
          <cell r="E3536">
            <v>112213.31799999998</v>
          </cell>
          <cell r="F3536">
            <v>4</v>
          </cell>
        </row>
        <row r="3537">
          <cell r="A3537">
            <v>2019</v>
          </cell>
          <cell r="B3537" t="str">
            <v>Budget</v>
          </cell>
          <cell r="C3537" t="str">
            <v>Apr</v>
          </cell>
          <cell r="D3537" t="str">
            <v>Chairs</v>
          </cell>
          <cell r="E3537">
            <v>16342.612999999999</v>
          </cell>
          <cell r="F3537">
            <v>4</v>
          </cell>
        </row>
        <row r="3538">
          <cell r="A3538">
            <v>2018</v>
          </cell>
          <cell r="B3538" t="str">
            <v>Actual</v>
          </cell>
          <cell r="C3538" t="str">
            <v>Apr</v>
          </cell>
          <cell r="D3538" t="str">
            <v>Chairs</v>
          </cell>
          <cell r="E3538">
            <v>24788.329999999998</v>
          </cell>
          <cell r="F3538">
            <v>4</v>
          </cell>
        </row>
        <row r="3539">
          <cell r="A3539">
            <v>2019</v>
          </cell>
          <cell r="B3539" t="str">
            <v>Budget</v>
          </cell>
          <cell r="C3539" t="str">
            <v>Apr</v>
          </cell>
          <cell r="D3539" t="str">
            <v>Tables</v>
          </cell>
          <cell r="E3539">
            <v>25476.898999999998</v>
          </cell>
          <cell r="F3539">
            <v>4</v>
          </cell>
        </row>
        <row r="3540">
          <cell r="A3540">
            <v>2018</v>
          </cell>
          <cell r="B3540" t="str">
            <v>Actual</v>
          </cell>
          <cell r="C3540" t="str">
            <v>Apr</v>
          </cell>
          <cell r="D3540" t="str">
            <v>Kitchen</v>
          </cell>
          <cell r="E3540">
            <v>10391.128999999999</v>
          </cell>
          <cell r="F3540">
            <v>4</v>
          </cell>
        </row>
        <row r="3541">
          <cell r="A3541">
            <v>2019</v>
          </cell>
          <cell r="B3541" t="str">
            <v>Budget</v>
          </cell>
          <cell r="C3541" t="str">
            <v>Apr</v>
          </cell>
          <cell r="D3541" t="str">
            <v>Chairs</v>
          </cell>
          <cell r="E3541">
            <v>77973.013999999996</v>
          </cell>
          <cell r="F3541">
            <v>4</v>
          </cell>
        </row>
        <row r="3542">
          <cell r="A3542">
            <v>2019</v>
          </cell>
          <cell r="B3542" t="str">
            <v>Actual</v>
          </cell>
          <cell r="C3542" t="str">
            <v>Apr</v>
          </cell>
          <cell r="D3542" t="str">
            <v>Chairs</v>
          </cell>
          <cell r="E3542">
            <v>1553.0550000000001</v>
          </cell>
          <cell r="F3542">
            <v>4</v>
          </cell>
        </row>
        <row r="3543">
          <cell r="A3543">
            <v>2018</v>
          </cell>
          <cell r="B3543" t="str">
            <v>Budget</v>
          </cell>
          <cell r="C3543" t="str">
            <v>Apr</v>
          </cell>
          <cell r="D3543" t="str">
            <v>Tables</v>
          </cell>
          <cell r="E3543">
            <v>65606.050999999992</v>
          </cell>
          <cell r="F3543">
            <v>4</v>
          </cell>
        </row>
        <row r="3544">
          <cell r="A3544">
            <v>2018</v>
          </cell>
          <cell r="B3544" t="str">
            <v>Actual</v>
          </cell>
          <cell r="C3544" t="str">
            <v>Apr</v>
          </cell>
          <cell r="D3544" t="str">
            <v>Kitchen</v>
          </cell>
          <cell r="E3544">
            <v>32446.315999999995</v>
          </cell>
          <cell r="F3544">
            <v>4</v>
          </cell>
        </row>
        <row r="3545">
          <cell r="A3545">
            <v>2018</v>
          </cell>
          <cell r="B3545" t="str">
            <v>Budget</v>
          </cell>
          <cell r="C3545" t="str">
            <v>Apr</v>
          </cell>
          <cell r="D3545" t="str">
            <v>Chairs</v>
          </cell>
          <cell r="E3545">
            <v>153687.59699999998</v>
          </cell>
          <cell r="F3545">
            <v>4</v>
          </cell>
        </row>
        <row r="3546">
          <cell r="A3546">
            <v>2019</v>
          </cell>
          <cell r="B3546" t="str">
            <v>Actual</v>
          </cell>
          <cell r="C3546" t="str">
            <v>Apr</v>
          </cell>
          <cell r="D3546" t="str">
            <v>Chairs</v>
          </cell>
          <cell r="E3546">
            <v>133329.84</v>
          </cell>
          <cell r="F3546">
            <v>4</v>
          </cell>
        </row>
        <row r="3547">
          <cell r="A3547">
            <v>2018</v>
          </cell>
          <cell r="B3547" t="str">
            <v>Budget</v>
          </cell>
          <cell r="C3547" t="str">
            <v>Apr</v>
          </cell>
          <cell r="D3547" t="str">
            <v>Chairs</v>
          </cell>
          <cell r="E3547">
            <v>126790.75499999999</v>
          </cell>
          <cell r="F3547">
            <v>4</v>
          </cell>
        </row>
        <row r="3548">
          <cell r="A3548">
            <v>2018</v>
          </cell>
          <cell r="B3548" t="str">
            <v>Actual</v>
          </cell>
          <cell r="C3548" t="str">
            <v>Apr</v>
          </cell>
          <cell r="D3548" t="str">
            <v>Tables</v>
          </cell>
          <cell r="E3548">
            <v>574589.37899999996</v>
          </cell>
          <cell r="F3548">
            <v>4</v>
          </cell>
        </row>
        <row r="3549">
          <cell r="A3549">
            <v>2018</v>
          </cell>
          <cell r="B3549" t="str">
            <v>Budget</v>
          </cell>
          <cell r="C3549" t="str">
            <v>Apr</v>
          </cell>
          <cell r="D3549" t="str">
            <v>Kitchen</v>
          </cell>
          <cell r="E3549">
            <v>288948.84899999999</v>
          </cell>
          <cell r="F3549">
            <v>4</v>
          </cell>
        </row>
        <row r="3550">
          <cell r="A3550">
            <v>2018</v>
          </cell>
          <cell r="B3550" t="str">
            <v>Actual</v>
          </cell>
          <cell r="C3550" t="str">
            <v>Apr</v>
          </cell>
          <cell r="D3550" t="str">
            <v>Accessories</v>
          </cell>
          <cell r="E3550">
            <v>553769.31400000001</v>
          </cell>
          <cell r="F3550">
            <v>4</v>
          </cell>
        </row>
        <row r="3551">
          <cell r="A3551">
            <v>2018</v>
          </cell>
          <cell r="B3551" t="str">
            <v>Budget</v>
          </cell>
          <cell r="C3551" t="str">
            <v>Apr</v>
          </cell>
          <cell r="D3551" t="str">
            <v>Chairs</v>
          </cell>
          <cell r="E3551">
            <v>449203.10399999993</v>
          </cell>
          <cell r="F3551">
            <v>4</v>
          </cell>
        </row>
        <row r="3552">
          <cell r="A3552">
            <v>2018</v>
          </cell>
          <cell r="B3552" t="str">
            <v>Actual</v>
          </cell>
          <cell r="C3552" t="str">
            <v>Apr</v>
          </cell>
          <cell r="D3552" t="str">
            <v>Tables</v>
          </cell>
          <cell r="E3552">
            <v>88328.239999999991</v>
          </cell>
          <cell r="F3552">
            <v>4</v>
          </cell>
        </row>
        <row r="3553">
          <cell r="A3553">
            <v>2018</v>
          </cell>
          <cell r="B3553" t="str">
            <v>Budget</v>
          </cell>
          <cell r="C3553" t="str">
            <v>Apr</v>
          </cell>
          <cell r="D3553" t="str">
            <v>Kitchen</v>
          </cell>
          <cell r="E3553">
            <v>41780.220999999998</v>
          </cell>
          <cell r="F3553">
            <v>4</v>
          </cell>
        </row>
        <row r="3554">
          <cell r="A3554">
            <v>2018</v>
          </cell>
          <cell r="B3554" t="str">
            <v>Actual</v>
          </cell>
          <cell r="C3554" t="str">
            <v>Apr</v>
          </cell>
          <cell r="D3554" t="str">
            <v>Accessories</v>
          </cell>
          <cell r="E3554">
            <v>2229248.5599999996</v>
          </cell>
          <cell r="F3554">
            <v>4</v>
          </cell>
        </row>
        <row r="3555">
          <cell r="A3555">
            <v>2018</v>
          </cell>
          <cell r="B3555" t="str">
            <v>Budget</v>
          </cell>
          <cell r="C3555" t="str">
            <v>Apr</v>
          </cell>
          <cell r="D3555" t="str">
            <v>Chairs</v>
          </cell>
          <cell r="E3555">
            <v>53873.049999999996</v>
          </cell>
          <cell r="F3555">
            <v>4</v>
          </cell>
        </row>
        <row r="3556">
          <cell r="A3556">
            <v>2018</v>
          </cell>
          <cell r="B3556" t="str">
            <v>Actual</v>
          </cell>
          <cell r="C3556" t="str">
            <v>Apr</v>
          </cell>
          <cell r="D3556" t="str">
            <v>Tables</v>
          </cell>
          <cell r="E3556">
            <v>203826.62299999999</v>
          </cell>
          <cell r="F3556">
            <v>4</v>
          </cell>
        </row>
        <row r="3557">
          <cell r="A3557">
            <v>2019</v>
          </cell>
          <cell r="B3557" t="str">
            <v>Budget</v>
          </cell>
          <cell r="C3557" t="str">
            <v>Apr</v>
          </cell>
          <cell r="D3557" t="str">
            <v>Kitchen</v>
          </cell>
          <cell r="E3557">
            <v>22112.075999999997</v>
          </cell>
          <cell r="F3557">
            <v>4</v>
          </cell>
        </row>
        <row r="3558">
          <cell r="A3558">
            <v>2018</v>
          </cell>
          <cell r="B3558" t="str">
            <v>Actual</v>
          </cell>
          <cell r="C3558" t="str">
            <v>Apr</v>
          </cell>
          <cell r="D3558" t="str">
            <v>Accessories</v>
          </cell>
          <cell r="E3558">
            <v>16021.347999999998</v>
          </cell>
          <cell r="F3558">
            <v>4</v>
          </cell>
        </row>
        <row r="3559">
          <cell r="A3559">
            <v>2018</v>
          </cell>
          <cell r="B3559" t="str">
            <v>Budget</v>
          </cell>
          <cell r="C3559" t="str">
            <v>Apr</v>
          </cell>
          <cell r="D3559" t="str">
            <v>Chairs</v>
          </cell>
          <cell r="E3559">
            <v>90605.27</v>
          </cell>
          <cell r="F3559">
            <v>4</v>
          </cell>
        </row>
        <row r="3560">
          <cell r="A3560">
            <v>2018</v>
          </cell>
          <cell r="B3560" t="str">
            <v>Actual</v>
          </cell>
          <cell r="C3560" t="str">
            <v>Apr</v>
          </cell>
          <cell r="D3560" t="str">
            <v>Tables</v>
          </cell>
          <cell r="E3560">
            <v>-225319.45799999998</v>
          </cell>
          <cell r="F3560">
            <v>4</v>
          </cell>
        </row>
        <row r="3561">
          <cell r="A3561">
            <v>2018</v>
          </cell>
          <cell r="B3561" t="str">
            <v>Budget</v>
          </cell>
          <cell r="C3561" t="str">
            <v>Apr</v>
          </cell>
          <cell r="D3561" t="str">
            <v>Kitchen</v>
          </cell>
          <cell r="E3561">
            <v>116476.06599999999</v>
          </cell>
          <cell r="F3561">
            <v>4</v>
          </cell>
        </row>
        <row r="3562">
          <cell r="A3562">
            <v>2018</v>
          </cell>
          <cell r="B3562" t="str">
            <v>Actual</v>
          </cell>
          <cell r="C3562" t="str">
            <v>Apr</v>
          </cell>
          <cell r="D3562" t="str">
            <v>Accessories</v>
          </cell>
          <cell r="E3562">
            <v>1484538.6569999997</v>
          </cell>
          <cell r="F3562">
            <v>4</v>
          </cell>
        </row>
        <row r="3563">
          <cell r="A3563">
            <v>2018</v>
          </cell>
          <cell r="B3563" t="str">
            <v>Budget</v>
          </cell>
          <cell r="C3563" t="str">
            <v>Apr</v>
          </cell>
          <cell r="D3563" t="str">
            <v>Chairs</v>
          </cell>
          <cell r="E3563">
            <v>804493.05999999994</v>
          </cell>
          <cell r="F3563">
            <v>4</v>
          </cell>
        </row>
        <row r="3564">
          <cell r="A3564">
            <v>2019</v>
          </cell>
          <cell r="B3564" t="str">
            <v>Actual</v>
          </cell>
          <cell r="C3564" t="str">
            <v>Apr</v>
          </cell>
          <cell r="D3564" t="str">
            <v>Chairs</v>
          </cell>
          <cell r="E3564">
            <v>1947729.0769999998</v>
          </cell>
          <cell r="F3564">
            <v>4</v>
          </cell>
        </row>
        <row r="3565">
          <cell r="A3565">
            <v>2019</v>
          </cell>
          <cell r="B3565" t="str">
            <v>Budget</v>
          </cell>
          <cell r="C3565" t="str">
            <v>Apr</v>
          </cell>
          <cell r="D3565" t="str">
            <v>Tables</v>
          </cell>
          <cell r="E3565">
            <v>1009.4419999999999</v>
          </cell>
          <cell r="F3565">
            <v>4</v>
          </cell>
        </row>
        <row r="3566">
          <cell r="A3566">
            <v>2018</v>
          </cell>
          <cell r="B3566" t="str">
            <v>Actual</v>
          </cell>
          <cell r="C3566" t="str">
            <v>Apr</v>
          </cell>
          <cell r="D3566" t="str">
            <v>Kitchen</v>
          </cell>
          <cell r="E3566">
            <v>-139513.12199999997</v>
          </cell>
          <cell r="F3566">
            <v>4</v>
          </cell>
        </row>
        <row r="3567">
          <cell r="A3567">
            <v>2019</v>
          </cell>
          <cell r="B3567" t="str">
            <v>Budget</v>
          </cell>
          <cell r="C3567" t="str">
            <v>Apr</v>
          </cell>
          <cell r="D3567" t="str">
            <v>Chairs</v>
          </cell>
          <cell r="E3567">
            <v>9322.1169999999984</v>
          </cell>
          <cell r="F3567">
            <v>4</v>
          </cell>
        </row>
        <row r="3568">
          <cell r="A3568">
            <v>2018</v>
          </cell>
          <cell r="B3568" t="str">
            <v>Actual</v>
          </cell>
          <cell r="C3568" t="str">
            <v>Apr</v>
          </cell>
          <cell r="D3568" t="str">
            <v>Tables</v>
          </cell>
          <cell r="E3568">
            <v>851222.24599999993</v>
          </cell>
          <cell r="F3568">
            <v>4</v>
          </cell>
        </row>
        <row r="3569">
          <cell r="A3569">
            <v>2019</v>
          </cell>
          <cell r="B3569" t="str">
            <v>Budget</v>
          </cell>
          <cell r="C3569" t="str">
            <v>Apr</v>
          </cell>
          <cell r="D3569" t="str">
            <v>Kitchen</v>
          </cell>
          <cell r="E3569">
            <v>99688.357999999993</v>
          </cell>
          <cell r="F3569">
            <v>4</v>
          </cell>
        </row>
        <row r="3570">
          <cell r="A3570">
            <v>2019</v>
          </cell>
          <cell r="B3570" t="str">
            <v>Actual</v>
          </cell>
          <cell r="C3570" t="str">
            <v>Apr</v>
          </cell>
          <cell r="D3570" t="str">
            <v>Chairs</v>
          </cell>
          <cell r="E3570">
            <v>117384.12</v>
          </cell>
          <cell r="F3570">
            <v>4</v>
          </cell>
        </row>
        <row r="3571">
          <cell r="A3571">
            <v>2019</v>
          </cell>
          <cell r="B3571" t="str">
            <v>Budget</v>
          </cell>
          <cell r="C3571" t="str">
            <v>Apr</v>
          </cell>
          <cell r="D3571" t="str">
            <v>Tables</v>
          </cell>
          <cell r="E3571">
            <v>-158344.31200000001</v>
          </cell>
          <cell r="F3571">
            <v>4</v>
          </cell>
        </row>
        <row r="3572">
          <cell r="A3572">
            <v>2018</v>
          </cell>
          <cell r="B3572" t="str">
            <v>Actual</v>
          </cell>
          <cell r="C3572" t="str">
            <v>Apr</v>
          </cell>
          <cell r="D3572" t="str">
            <v>Kitchen</v>
          </cell>
          <cell r="E3572">
            <v>1248304.659</v>
          </cell>
          <cell r="F3572">
            <v>4</v>
          </cell>
        </row>
        <row r="3573">
          <cell r="A3573">
            <v>2018</v>
          </cell>
          <cell r="B3573" t="str">
            <v>Budget</v>
          </cell>
          <cell r="C3573" t="str">
            <v>Apr</v>
          </cell>
          <cell r="D3573" t="str">
            <v>Chairs</v>
          </cell>
          <cell r="E3573">
            <v>1923897.4019999998</v>
          </cell>
          <cell r="F3573">
            <v>4</v>
          </cell>
        </row>
        <row r="3574">
          <cell r="A3574">
            <v>2018</v>
          </cell>
          <cell r="B3574" t="str">
            <v>Actual</v>
          </cell>
          <cell r="C3574" t="str">
            <v>Apr</v>
          </cell>
          <cell r="D3574" t="str">
            <v>Chairs</v>
          </cell>
          <cell r="E3574">
            <v>1520642.8439999998</v>
          </cell>
          <cell r="F3574">
            <v>4</v>
          </cell>
        </row>
        <row r="3575">
          <cell r="A3575">
            <v>2018</v>
          </cell>
          <cell r="B3575" t="str">
            <v>Budget</v>
          </cell>
          <cell r="C3575" t="str">
            <v>Apr</v>
          </cell>
          <cell r="D3575" t="str">
            <v>Chairs</v>
          </cell>
          <cell r="E3575">
            <v>52209.177999999993</v>
          </cell>
          <cell r="F3575">
            <v>4</v>
          </cell>
        </row>
        <row r="3576">
          <cell r="A3576">
            <v>2019</v>
          </cell>
          <cell r="B3576" t="str">
            <v>Actual</v>
          </cell>
          <cell r="C3576" t="str">
            <v>Apr</v>
          </cell>
          <cell r="D3576" t="str">
            <v>Chairs</v>
          </cell>
          <cell r="E3576">
            <v>77571.599000000002</v>
          </cell>
          <cell r="F3576">
            <v>4</v>
          </cell>
        </row>
        <row r="3577">
          <cell r="A3577">
            <v>2018</v>
          </cell>
          <cell r="B3577" t="str">
            <v>Budget</v>
          </cell>
          <cell r="C3577" t="str">
            <v>Apr</v>
          </cell>
          <cell r="D3577" t="str">
            <v>Chairs</v>
          </cell>
          <cell r="E3577">
            <v>220364.62699999998</v>
          </cell>
          <cell r="F3577">
            <v>4</v>
          </cell>
        </row>
        <row r="3578">
          <cell r="A3578">
            <v>2019</v>
          </cell>
          <cell r="B3578" t="str">
            <v>Actual</v>
          </cell>
          <cell r="C3578" t="str">
            <v>Apr</v>
          </cell>
          <cell r="D3578" t="str">
            <v>Chairs</v>
          </cell>
          <cell r="E3578">
            <v>1430512.825</v>
          </cell>
          <cell r="F3578">
            <v>4</v>
          </cell>
        </row>
        <row r="3579">
          <cell r="A3579">
            <v>2018</v>
          </cell>
          <cell r="B3579" t="str">
            <v>Budget</v>
          </cell>
          <cell r="C3579" t="str">
            <v>Apr</v>
          </cell>
          <cell r="D3579" t="str">
            <v>Chairs</v>
          </cell>
          <cell r="E3579">
            <v>613569.86599999992</v>
          </cell>
          <cell r="F3579">
            <v>4</v>
          </cell>
        </row>
        <row r="3580">
          <cell r="A3580">
            <v>2018</v>
          </cell>
          <cell r="B3580" t="str">
            <v>Actual</v>
          </cell>
          <cell r="C3580" t="str">
            <v>Apr</v>
          </cell>
          <cell r="D3580" t="str">
            <v>Chairs</v>
          </cell>
          <cell r="E3580">
            <v>6019651.4699999997</v>
          </cell>
          <cell r="F3580">
            <v>4</v>
          </cell>
        </row>
        <row r="3581">
          <cell r="A3581">
            <v>2018</v>
          </cell>
          <cell r="B3581" t="str">
            <v>Budget</v>
          </cell>
          <cell r="C3581" t="str">
            <v>Apr</v>
          </cell>
          <cell r="D3581" t="str">
            <v>Chairs</v>
          </cell>
          <cell r="E3581">
            <v>1208169.8439999998</v>
          </cell>
          <cell r="F3581">
            <v>4</v>
          </cell>
        </row>
        <row r="3582">
          <cell r="A3582">
            <v>2018</v>
          </cell>
          <cell r="B3582" t="str">
            <v>Actual</v>
          </cell>
          <cell r="C3582" t="str">
            <v>Apr</v>
          </cell>
          <cell r="D3582" t="str">
            <v>Chairs</v>
          </cell>
          <cell r="E3582">
            <v>104401.129</v>
          </cell>
          <cell r="F3582">
            <v>4</v>
          </cell>
        </row>
        <row r="3583">
          <cell r="A3583">
            <v>2018</v>
          </cell>
          <cell r="B3583" t="str">
            <v>Budget</v>
          </cell>
          <cell r="C3583" t="str">
            <v>Apr</v>
          </cell>
          <cell r="D3583" t="str">
            <v>Chairs</v>
          </cell>
          <cell r="E3583">
            <v>621545.14099999995</v>
          </cell>
          <cell r="F3583">
            <v>4</v>
          </cell>
        </row>
        <row r="3584">
          <cell r="A3584">
            <v>2018</v>
          </cell>
          <cell r="B3584" t="str">
            <v>Actual</v>
          </cell>
          <cell r="C3584" t="str">
            <v>Apr</v>
          </cell>
          <cell r="D3584" t="str">
            <v>Chairs</v>
          </cell>
          <cell r="E3584">
            <v>2128832.5239999997</v>
          </cell>
          <cell r="F3584">
            <v>4</v>
          </cell>
        </row>
        <row r="3585">
          <cell r="A3585">
            <v>2018</v>
          </cell>
          <cell r="B3585" t="str">
            <v>Budget</v>
          </cell>
          <cell r="C3585" t="str">
            <v>Apr</v>
          </cell>
          <cell r="D3585" t="str">
            <v>Chairs</v>
          </cell>
          <cell r="E3585">
            <v>1726567.6749999998</v>
          </cell>
          <cell r="F3585">
            <v>4</v>
          </cell>
        </row>
        <row r="3586">
          <cell r="A3586">
            <v>2019</v>
          </cell>
          <cell r="B3586" t="str">
            <v>Actual</v>
          </cell>
          <cell r="C3586" t="str">
            <v>Apr</v>
          </cell>
          <cell r="D3586" t="str">
            <v>Chairs</v>
          </cell>
          <cell r="E3586">
            <v>749489.02</v>
          </cell>
          <cell r="F3586">
            <v>4</v>
          </cell>
        </row>
        <row r="3587">
          <cell r="A3587">
            <v>2018</v>
          </cell>
          <cell r="B3587" t="str">
            <v>Budget</v>
          </cell>
          <cell r="C3587" t="str">
            <v>Apr</v>
          </cell>
          <cell r="D3587" t="str">
            <v>Chairs</v>
          </cell>
          <cell r="E3587">
            <v>210602.67899999997</v>
          </cell>
          <cell r="F3587">
            <v>4</v>
          </cell>
        </row>
        <row r="3588">
          <cell r="A3588">
            <v>2019</v>
          </cell>
          <cell r="B3588" t="str">
            <v>Actual</v>
          </cell>
          <cell r="C3588" t="str">
            <v>Apr</v>
          </cell>
          <cell r="D3588" t="str">
            <v>Chairs</v>
          </cell>
          <cell r="E3588">
            <v>202508.92199999999</v>
          </cell>
          <cell r="F3588">
            <v>4</v>
          </cell>
        </row>
        <row r="3589">
          <cell r="A3589">
            <v>2018</v>
          </cell>
          <cell r="B3589" t="str">
            <v>Budget</v>
          </cell>
          <cell r="C3589" t="str">
            <v>Apr</v>
          </cell>
          <cell r="D3589" t="str">
            <v>Chairs</v>
          </cell>
          <cell r="E3589">
            <v>196632.66699999999</v>
          </cell>
          <cell r="F3589">
            <v>4</v>
          </cell>
        </row>
        <row r="3590">
          <cell r="A3590">
            <v>2019</v>
          </cell>
          <cell r="B3590" t="str">
            <v>Actual</v>
          </cell>
          <cell r="C3590" t="str">
            <v>Apr</v>
          </cell>
          <cell r="D3590" t="str">
            <v>Chairs</v>
          </cell>
          <cell r="E3590">
            <v>267635.10199999996</v>
          </cell>
          <cell r="F3590">
            <v>4</v>
          </cell>
        </row>
        <row r="3591">
          <cell r="A3591">
            <v>2018</v>
          </cell>
          <cell r="B3591" t="str">
            <v>Budget</v>
          </cell>
          <cell r="C3591" t="str">
            <v>Apr</v>
          </cell>
          <cell r="D3591" t="str">
            <v>Chairs</v>
          </cell>
          <cell r="E3591">
            <v>153283.11599999998</v>
          </cell>
          <cell r="F3591">
            <v>4</v>
          </cell>
        </row>
        <row r="3592">
          <cell r="A3592">
            <v>2018</v>
          </cell>
          <cell r="B3592" t="str">
            <v>Actual</v>
          </cell>
          <cell r="C3592" t="str">
            <v>Apr</v>
          </cell>
          <cell r="D3592" t="str">
            <v>Chairs</v>
          </cell>
          <cell r="E3592">
            <v>197763.405</v>
          </cell>
          <cell r="F3592">
            <v>4</v>
          </cell>
        </row>
        <row r="3593">
          <cell r="A3593">
            <v>2019</v>
          </cell>
          <cell r="B3593" t="str">
            <v>Budget</v>
          </cell>
          <cell r="C3593" t="str">
            <v>Apr</v>
          </cell>
          <cell r="D3593" t="str">
            <v>Chairs</v>
          </cell>
          <cell r="E3593">
            <v>73607.862999999998</v>
          </cell>
          <cell r="F3593">
            <v>4</v>
          </cell>
        </row>
        <row r="3594">
          <cell r="A3594">
            <v>2019</v>
          </cell>
          <cell r="B3594" t="str">
            <v>Actual</v>
          </cell>
          <cell r="C3594" t="str">
            <v>Apr</v>
          </cell>
          <cell r="D3594" t="str">
            <v>Chairs</v>
          </cell>
          <cell r="E3594">
            <v>129762.80799999999</v>
          </cell>
          <cell r="F3594">
            <v>4</v>
          </cell>
        </row>
        <row r="3595">
          <cell r="A3595">
            <v>2018</v>
          </cell>
          <cell r="B3595" t="str">
            <v>Budget</v>
          </cell>
          <cell r="C3595" t="str">
            <v>Apr</v>
          </cell>
          <cell r="D3595" t="str">
            <v>Chairs</v>
          </cell>
          <cell r="E3595">
            <v>47452.243999999999</v>
          </cell>
          <cell r="F3595">
            <v>4</v>
          </cell>
        </row>
        <row r="3596">
          <cell r="A3596">
            <v>2019</v>
          </cell>
          <cell r="B3596" t="str">
            <v>Actual</v>
          </cell>
          <cell r="C3596" t="str">
            <v>Apr</v>
          </cell>
          <cell r="D3596" t="str">
            <v>Chairs</v>
          </cell>
          <cell r="E3596">
            <v>48210.210999999996</v>
          </cell>
          <cell r="F3596">
            <v>4</v>
          </cell>
        </row>
        <row r="3597">
          <cell r="A3597">
            <v>2018</v>
          </cell>
          <cell r="B3597" t="str">
            <v>Budget</v>
          </cell>
          <cell r="C3597" t="str">
            <v>Apr</v>
          </cell>
          <cell r="D3597" t="str">
            <v>Chairs</v>
          </cell>
          <cell r="E3597">
            <v>188015.12100000001</v>
          </cell>
          <cell r="F3597">
            <v>4</v>
          </cell>
        </row>
        <row r="3598">
          <cell r="A3598">
            <v>2019</v>
          </cell>
          <cell r="B3598" t="str">
            <v>Actual</v>
          </cell>
          <cell r="C3598" t="str">
            <v>Apr</v>
          </cell>
          <cell r="D3598" t="str">
            <v>Chairs</v>
          </cell>
          <cell r="E3598">
            <v>69903.099000000002</v>
          </cell>
          <cell r="F3598">
            <v>4</v>
          </cell>
        </row>
        <row r="3599">
          <cell r="A3599">
            <v>2019</v>
          </cell>
          <cell r="B3599" t="str">
            <v>Budget</v>
          </cell>
          <cell r="C3599" t="str">
            <v>Apr</v>
          </cell>
          <cell r="D3599" t="str">
            <v>Tables</v>
          </cell>
          <cell r="E3599">
            <v>120692.91499999999</v>
          </cell>
          <cell r="F3599">
            <v>4</v>
          </cell>
        </row>
        <row r="3600">
          <cell r="A3600">
            <v>2019</v>
          </cell>
          <cell r="B3600" t="str">
            <v>Actual</v>
          </cell>
          <cell r="C3600" t="str">
            <v>Apr</v>
          </cell>
          <cell r="D3600" t="str">
            <v>Kitchen</v>
          </cell>
          <cell r="E3600">
            <v>505881.41799999995</v>
          </cell>
          <cell r="F3600">
            <v>4</v>
          </cell>
        </row>
        <row r="3601">
          <cell r="A3601">
            <v>2019</v>
          </cell>
          <cell r="B3601" t="str">
            <v>Budget</v>
          </cell>
          <cell r="C3601" t="str">
            <v>Apr</v>
          </cell>
          <cell r="D3601" t="str">
            <v>Chairs</v>
          </cell>
          <cell r="E3601">
            <v>773142.88100000005</v>
          </cell>
          <cell r="F3601">
            <v>4</v>
          </cell>
        </row>
        <row r="3602">
          <cell r="A3602">
            <v>2019</v>
          </cell>
          <cell r="B3602" t="str">
            <v>Actual</v>
          </cell>
          <cell r="C3602" t="str">
            <v>Apr</v>
          </cell>
          <cell r="D3602" t="str">
            <v>Chairs</v>
          </cell>
          <cell r="E3602">
            <v>99512.041999999987</v>
          </cell>
          <cell r="F3602">
            <v>4</v>
          </cell>
        </row>
        <row r="3603">
          <cell r="A3603">
            <v>2018</v>
          </cell>
          <cell r="B3603" t="str">
            <v>Budget</v>
          </cell>
          <cell r="C3603" t="str">
            <v>Apr</v>
          </cell>
          <cell r="D3603" t="str">
            <v>Chairs</v>
          </cell>
          <cell r="E3603">
            <v>127088.65399999999</v>
          </cell>
          <cell r="F3603">
            <v>4</v>
          </cell>
        </row>
        <row r="3604">
          <cell r="A3604">
            <v>2019</v>
          </cell>
          <cell r="B3604" t="str">
            <v>Actual</v>
          </cell>
          <cell r="C3604" t="str">
            <v>Apr</v>
          </cell>
          <cell r="D3604" t="str">
            <v>Chairs</v>
          </cell>
          <cell r="E3604">
            <v>37872.086000000003</v>
          </cell>
          <cell r="F3604">
            <v>4</v>
          </cell>
        </row>
        <row r="3605">
          <cell r="A3605">
            <v>2018</v>
          </cell>
          <cell r="B3605" t="str">
            <v>Budget</v>
          </cell>
          <cell r="C3605" t="str">
            <v>Apr</v>
          </cell>
          <cell r="D3605" t="str">
            <v>Chairs</v>
          </cell>
          <cell r="E3605">
            <v>50980.839</v>
          </cell>
          <cell r="F3605">
            <v>4</v>
          </cell>
        </row>
        <row r="3606">
          <cell r="A3606">
            <v>2019</v>
          </cell>
          <cell r="B3606" t="str">
            <v>Actual</v>
          </cell>
          <cell r="C3606" t="str">
            <v>Apr</v>
          </cell>
          <cell r="D3606" t="str">
            <v>Tables</v>
          </cell>
          <cell r="E3606">
            <v>18751.193999999996</v>
          </cell>
          <cell r="F3606">
            <v>4</v>
          </cell>
        </row>
        <row r="3607">
          <cell r="A3607">
            <v>2018</v>
          </cell>
          <cell r="B3607" t="str">
            <v>Budget</v>
          </cell>
          <cell r="C3607" t="str">
            <v>Apr</v>
          </cell>
          <cell r="D3607" t="str">
            <v>Kitchen</v>
          </cell>
          <cell r="E3607">
            <v>285329.54800000001</v>
          </cell>
          <cell r="F3607">
            <v>4</v>
          </cell>
        </row>
        <row r="3608">
          <cell r="A3608">
            <v>2019</v>
          </cell>
          <cell r="B3608" t="str">
            <v>Actual</v>
          </cell>
          <cell r="C3608" t="str">
            <v>Apr</v>
          </cell>
          <cell r="D3608" t="str">
            <v>Chairs</v>
          </cell>
          <cell r="E3608">
            <v>-177.85599999999999</v>
          </cell>
          <cell r="F3608">
            <v>4</v>
          </cell>
        </row>
        <row r="3609">
          <cell r="A3609">
            <v>2018</v>
          </cell>
          <cell r="B3609" t="str">
            <v>Budget</v>
          </cell>
          <cell r="C3609" t="str">
            <v>Apr</v>
          </cell>
          <cell r="D3609" t="str">
            <v>Chairs</v>
          </cell>
          <cell r="E3609">
            <v>1059745.253</v>
          </cell>
          <cell r="F3609">
            <v>4</v>
          </cell>
        </row>
        <row r="3610">
          <cell r="A3610">
            <v>2019</v>
          </cell>
          <cell r="B3610" t="str">
            <v>Actual</v>
          </cell>
          <cell r="C3610" t="str">
            <v>Apr</v>
          </cell>
          <cell r="D3610" t="str">
            <v>Chairs</v>
          </cell>
          <cell r="E3610">
            <v>522694.837</v>
          </cell>
          <cell r="F3610">
            <v>4</v>
          </cell>
        </row>
        <row r="3611">
          <cell r="A3611">
            <v>2018</v>
          </cell>
          <cell r="B3611" t="str">
            <v>Budget</v>
          </cell>
          <cell r="C3611" t="str">
            <v>Apr</v>
          </cell>
          <cell r="D3611" t="str">
            <v>Tables</v>
          </cell>
          <cell r="E3611">
            <v>193766.01300000001</v>
          </cell>
          <cell r="F3611">
            <v>4</v>
          </cell>
        </row>
        <row r="3612">
          <cell r="A3612">
            <v>2018</v>
          </cell>
          <cell r="B3612" t="str">
            <v>Actual</v>
          </cell>
          <cell r="C3612" t="str">
            <v>Apr</v>
          </cell>
          <cell r="D3612" t="str">
            <v>Kitchen</v>
          </cell>
          <cell r="E3612">
            <v>151890.05999999997</v>
          </cell>
          <cell r="F3612">
            <v>4</v>
          </cell>
        </row>
        <row r="3613">
          <cell r="A3613">
            <v>2018</v>
          </cell>
          <cell r="B3613" t="str">
            <v>Budget</v>
          </cell>
          <cell r="C3613" t="str">
            <v>Apr</v>
          </cell>
          <cell r="D3613" t="str">
            <v>Chairs</v>
          </cell>
          <cell r="E3613">
            <v>228261.992</v>
          </cell>
          <cell r="F3613">
            <v>4</v>
          </cell>
        </row>
        <row r="3614">
          <cell r="A3614">
            <v>2018</v>
          </cell>
          <cell r="B3614" t="str">
            <v>Actual</v>
          </cell>
          <cell r="C3614" t="str">
            <v>Apr</v>
          </cell>
          <cell r="D3614" t="str">
            <v>Chairs</v>
          </cell>
          <cell r="E3614">
            <v>374217.50799999991</v>
          </cell>
          <cell r="F3614">
            <v>4</v>
          </cell>
        </row>
        <row r="3615">
          <cell r="A3615">
            <v>2019</v>
          </cell>
          <cell r="B3615" t="str">
            <v>Budget</v>
          </cell>
          <cell r="C3615" t="str">
            <v>Apr</v>
          </cell>
          <cell r="D3615" t="str">
            <v>Tables</v>
          </cell>
          <cell r="E3615">
            <v>229154.44299999997</v>
          </cell>
          <cell r="F3615">
            <v>4</v>
          </cell>
        </row>
        <row r="3616">
          <cell r="A3616">
            <v>2018</v>
          </cell>
          <cell r="B3616" t="str">
            <v>Actual</v>
          </cell>
          <cell r="C3616" t="str">
            <v>Apr</v>
          </cell>
          <cell r="D3616" t="str">
            <v>Kitchen</v>
          </cell>
          <cell r="E3616">
            <v>285871.62799999997</v>
          </cell>
          <cell r="F3616">
            <v>4</v>
          </cell>
        </row>
        <row r="3617">
          <cell r="A3617">
            <v>2019</v>
          </cell>
          <cell r="B3617" t="str">
            <v>Budget</v>
          </cell>
          <cell r="C3617" t="str">
            <v>Apr</v>
          </cell>
          <cell r="D3617" t="str">
            <v>Chairs</v>
          </cell>
          <cell r="E3617">
            <v>650973.31599999999</v>
          </cell>
          <cell r="F3617">
            <v>4</v>
          </cell>
        </row>
        <row r="3618">
          <cell r="A3618">
            <v>2018</v>
          </cell>
          <cell r="B3618" t="str">
            <v>Actual</v>
          </cell>
          <cell r="C3618" t="str">
            <v>Apr</v>
          </cell>
          <cell r="D3618" t="str">
            <v>Chairs</v>
          </cell>
          <cell r="E3618">
            <v>762031.98400000005</v>
          </cell>
          <cell r="F3618">
            <v>4</v>
          </cell>
        </row>
        <row r="3619">
          <cell r="A3619">
            <v>2018</v>
          </cell>
          <cell r="B3619" t="str">
            <v>Budget</v>
          </cell>
          <cell r="C3619" t="str">
            <v>Apr</v>
          </cell>
          <cell r="D3619" t="str">
            <v>Chairs</v>
          </cell>
          <cell r="E3619">
            <v>386842.42800000001</v>
          </cell>
          <cell r="F3619">
            <v>4</v>
          </cell>
        </row>
        <row r="3620">
          <cell r="A3620">
            <v>2018</v>
          </cell>
          <cell r="B3620" t="str">
            <v>Actual</v>
          </cell>
          <cell r="C3620" t="str">
            <v>Apr</v>
          </cell>
          <cell r="D3620" t="str">
            <v>Tables</v>
          </cell>
          <cell r="E3620">
            <v>70388.527999999991</v>
          </cell>
          <cell r="F3620">
            <v>4</v>
          </cell>
        </row>
        <row r="3621">
          <cell r="A3621">
            <v>2019</v>
          </cell>
          <cell r="B3621" t="str">
            <v>Budget</v>
          </cell>
          <cell r="C3621" t="str">
            <v>Apr</v>
          </cell>
          <cell r="D3621" t="str">
            <v>Kitchen</v>
          </cell>
          <cell r="E3621">
            <v>347280.70999999996</v>
          </cell>
          <cell r="F3621">
            <v>4</v>
          </cell>
        </row>
        <row r="3622">
          <cell r="A3622">
            <v>2019</v>
          </cell>
          <cell r="B3622" t="str">
            <v>Actual</v>
          </cell>
          <cell r="C3622" t="str">
            <v>Apr</v>
          </cell>
          <cell r="D3622" t="str">
            <v>Accessories</v>
          </cell>
          <cell r="E3622">
            <v>551042.48499999999</v>
          </cell>
          <cell r="F3622">
            <v>4</v>
          </cell>
        </row>
        <row r="3623">
          <cell r="A3623">
            <v>2018</v>
          </cell>
          <cell r="B3623" t="str">
            <v>Budget</v>
          </cell>
          <cell r="C3623" t="str">
            <v>Apr</v>
          </cell>
          <cell r="D3623" t="str">
            <v>Chairs</v>
          </cell>
          <cell r="E3623">
            <v>486521.32199999993</v>
          </cell>
          <cell r="F3623">
            <v>4</v>
          </cell>
        </row>
        <row r="3624">
          <cell r="A3624">
            <v>2019</v>
          </cell>
          <cell r="B3624" t="str">
            <v>Actual</v>
          </cell>
          <cell r="C3624" t="str">
            <v>Apr</v>
          </cell>
          <cell r="D3624" t="str">
            <v>Tables</v>
          </cell>
          <cell r="E3624">
            <v>263581.84299999999</v>
          </cell>
          <cell r="F3624">
            <v>4</v>
          </cell>
        </row>
        <row r="3625">
          <cell r="A3625">
            <v>2018</v>
          </cell>
          <cell r="B3625" t="str">
            <v>Budget</v>
          </cell>
          <cell r="C3625" t="str">
            <v>Apr</v>
          </cell>
          <cell r="D3625" t="str">
            <v>Kitchen</v>
          </cell>
          <cell r="E3625">
            <v>39647.608</v>
          </cell>
          <cell r="F3625">
            <v>4</v>
          </cell>
        </row>
        <row r="3626">
          <cell r="A3626">
            <v>2018</v>
          </cell>
          <cell r="B3626" t="str">
            <v>Actual</v>
          </cell>
          <cell r="C3626" t="str">
            <v>Apr</v>
          </cell>
          <cell r="D3626" t="str">
            <v>Accessories</v>
          </cell>
          <cell r="E3626">
            <v>64951.222000000002</v>
          </cell>
          <cell r="F3626">
            <v>4</v>
          </cell>
        </row>
        <row r="3627">
          <cell r="A3627">
            <v>2019</v>
          </cell>
          <cell r="B3627" t="str">
            <v>Budget</v>
          </cell>
          <cell r="C3627" t="str">
            <v>Apr</v>
          </cell>
          <cell r="D3627" t="str">
            <v>Chairs</v>
          </cell>
          <cell r="E3627">
            <v>373653.24499999994</v>
          </cell>
          <cell r="F3627">
            <v>4</v>
          </cell>
        </row>
        <row r="3628">
          <cell r="A3628">
            <v>2018</v>
          </cell>
          <cell r="B3628" t="str">
            <v>Actual</v>
          </cell>
          <cell r="C3628" t="str">
            <v>Apr</v>
          </cell>
          <cell r="D3628" t="str">
            <v>Tables</v>
          </cell>
          <cell r="E3628">
            <v>564379.48</v>
          </cell>
          <cell r="F3628">
            <v>4</v>
          </cell>
        </row>
        <row r="3629">
          <cell r="A3629">
            <v>2018</v>
          </cell>
          <cell r="B3629" t="str">
            <v>Budget</v>
          </cell>
          <cell r="C3629" t="str">
            <v>Apr</v>
          </cell>
          <cell r="D3629" t="str">
            <v>Kitchen</v>
          </cell>
          <cell r="E3629">
            <v>292037.48699999996</v>
          </cell>
          <cell r="F3629">
            <v>4</v>
          </cell>
        </row>
        <row r="3630">
          <cell r="A3630">
            <v>2019</v>
          </cell>
          <cell r="B3630" t="str">
            <v>Actual</v>
          </cell>
          <cell r="C3630" t="str">
            <v>Apr</v>
          </cell>
          <cell r="D3630" t="str">
            <v>Accessories</v>
          </cell>
          <cell r="E3630">
            <v>39721.752</v>
          </cell>
          <cell r="F3630">
            <v>4</v>
          </cell>
        </row>
        <row r="3631">
          <cell r="A3631">
            <v>2019</v>
          </cell>
          <cell r="B3631" t="str">
            <v>Budget</v>
          </cell>
          <cell r="C3631" t="str">
            <v>Apr</v>
          </cell>
          <cell r="D3631" t="str">
            <v>Chairs</v>
          </cell>
          <cell r="E3631">
            <v>5941528.943</v>
          </cell>
          <cell r="F3631">
            <v>4</v>
          </cell>
        </row>
        <row r="3632">
          <cell r="A3632">
            <v>2019</v>
          </cell>
          <cell r="B3632" t="str">
            <v>Actual</v>
          </cell>
          <cell r="C3632" t="str">
            <v>Apr</v>
          </cell>
          <cell r="D3632" t="str">
            <v>Tables</v>
          </cell>
          <cell r="E3632">
            <v>79054.604999999996</v>
          </cell>
          <cell r="F3632">
            <v>4</v>
          </cell>
        </row>
        <row r="3633">
          <cell r="A3633">
            <v>2018</v>
          </cell>
          <cell r="B3633" t="str">
            <v>Budget</v>
          </cell>
          <cell r="C3633" t="str">
            <v>Apr</v>
          </cell>
          <cell r="D3633" t="str">
            <v>Kitchen</v>
          </cell>
          <cell r="E3633">
            <v>126246.204</v>
          </cell>
          <cell r="F3633">
            <v>4</v>
          </cell>
        </row>
        <row r="3634">
          <cell r="A3634">
            <v>2019</v>
          </cell>
          <cell r="B3634" t="str">
            <v>Actual</v>
          </cell>
          <cell r="C3634" t="str">
            <v>Apr</v>
          </cell>
          <cell r="D3634" t="str">
            <v>Accessories</v>
          </cell>
          <cell r="E3634">
            <v>321948.84399999998</v>
          </cell>
          <cell r="F3634">
            <v>4</v>
          </cell>
        </row>
        <row r="3635">
          <cell r="A3635">
            <v>2019</v>
          </cell>
          <cell r="B3635" t="str">
            <v>Budget</v>
          </cell>
          <cell r="C3635" t="str">
            <v>Apr</v>
          </cell>
          <cell r="D3635" t="str">
            <v>Chairs</v>
          </cell>
          <cell r="E3635">
            <v>403098.63299999991</v>
          </cell>
          <cell r="F3635">
            <v>4</v>
          </cell>
        </row>
        <row r="3636">
          <cell r="A3636">
            <v>2019</v>
          </cell>
          <cell r="B3636" t="str">
            <v>Actual</v>
          </cell>
          <cell r="C3636" t="str">
            <v>Apr</v>
          </cell>
          <cell r="D3636" t="str">
            <v>Chairs</v>
          </cell>
          <cell r="E3636">
            <v>108070.424</v>
          </cell>
          <cell r="F3636">
            <v>4</v>
          </cell>
        </row>
        <row r="3637">
          <cell r="A3637">
            <v>2019</v>
          </cell>
          <cell r="B3637" t="str">
            <v>Budget</v>
          </cell>
          <cell r="C3637" t="str">
            <v>Apr</v>
          </cell>
          <cell r="D3637" t="str">
            <v>Tables</v>
          </cell>
          <cell r="E3637">
            <v>459227.27199999994</v>
          </cell>
          <cell r="F3637">
            <v>4</v>
          </cell>
        </row>
        <row r="3638">
          <cell r="A3638">
            <v>2018</v>
          </cell>
          <cell r="B3638" t="str">
            <v>Actual</v>
          </cell>
          <cell r="C3638" t="str">
            <v>Apr</v>
          </cell>
          <cell r="D3638" t="str">
            <v>Kitchen</v>
          </cell>
          <cell r="E3638">
            <v>297814.60099999997</v>
          </cell>
          <cell r="F3638">
            <v>4</v>
          </cell>
        </row>
        <row r="3639">
          <cell r="A3639">
            <v>2018</v>
          </cell>
          <cell r="B3639" t="str">
            <v>Budget</v>
          </cell>
          <cell r="C3639" t="str">
            <v>Apr</v>
          </cell>
          <cell r="D3639" t="str">
            <v>Chairs</v>
          </cell>
          <cell r="E3639">
            <v>621568.27599999995</v>
          </cell>
          <cell r="F3639">
            <v>4</v>
          </cell>
        </row>
        <row r="3640">
          <cell r="A3640">
            <v>2019</v>
          </cell>
          <cell r="B3640" t="str">
            <v>Actual</v>
          </cell>
          <cell r="C3640" t="str">
            <v>Apr</v>
          </cell>
          <cell r="D3640" t="str">
            <v>Tables</v>
          </cell>
          <cell r="E3640">
            <v>1086407.371</v>
          </cell>
          <cell r="F3640">
            <v>4</v>
          </cell>
        </row>
        <row r="3641">
          <cell r="A3641">
            <v>2019</v>
          </cell>
          <cell r="B3641" t="str">
            <v>Budget</v>
          </cell>
          <cell r="C3641" t="str">
            <v>Apr</v>
          </cell>
          <cell r="D3641" t="str">
            <v>Kitchen</v>
          </cell>
          <cell r="E3641">
            <v>900716.16599999985</v>
          </cell>
          <cell r="F3641">
            <v>4</v>
          </cell>
        </row>
        <row r="3642">
          <cell r="A3642">
            <v>2018</v>
          </cell>
          <cell r="B3642" t="str">
            <v>Actual</v>
          </cell>
          <cell r="C3642" t="str">
            <v>Apr</v>
          </cell>
          <cell r="D3642" t="str">
            <v>Chairs</v>
          </cell>
          <cell r="E3642">
            <v>825823.92899999989</v>
          </cell>
          <cell r="F3642">
            <v>4</v>
          </cell>
        </row>
        <row r="3643">
          <cell r="A3643">
            <v>2018</v>
          </cell>
          <cell r="B3643" t="str">
            <v>Budget</v>
          </cell>
          <cell r="C3643" t="str">
            <v>Apr</v>
          </cell>
          <cell r="D3643" t="str">
            <v>Tables</v>
          </cell>
          <cell r="E3643">
            <v>35741.418999999994</v>
          </cell>
          <cell r="F3643">
            <v>4</v>
          </cell>
        </row>
        <row r="3644">
          <cell r="A3644">
            <v>2018</v>
          </cell>
          <cell r="B3644" t="str">
            <v>Actual</v>
          </cell>
          <cell r="C3644" t="str">
            <v>Apr</v>
          </cell>
          <cell r="D3644" t="str">
            <v>Kitchen</v>
          </cell>
          <cell r="E3644">
            <v>26402.844999999998</v>
          </cell>
          <cell r="F3644">
            <v>4</v>
          </cell>
        </row>
        <row r="3645">
          <cell r="A3645">
            <v>2018</v>
          </cell>
          <cell r="B3645" t="str">
            <v>Budget</v>
          </cell>
          <cell r="C3645" t="str">
            <v>Apr</v>
          </cell>
          <cell r="D3645" t="str">
            <v>Chairs</v>
          </cell>
          <cell r="E3645">
            <v>118354.35499999998</v>
          </cell>
          <cell r="F3645">
            <v>4</v>
          </cell>
        </row>
        <row r="3646">
          <cell r="A3646">
            <v>2019</v>
          </cell>
          <cell r="B3646" t="str">
            <v>Actual</v>
          </cell>
          <cell r="C3646" t="str">
            <v>Apr</v>
          </cell>
          <cell r="D3646" t="str">
            <v>Chairs</v>
          </cell>
          <cell r="E3646">
            <v>175609.399</v>
          </cell>
          <cell r="F3646">
            <v>4</v>
          </cell>
        </row>
        <row r="3647">
          <cell r="A3647">
            <v>2018</v>
          </cell>
          <cell r="B3647" t="str">
            <v>Budget</v>
          </cell>
          <cell r="C3647" t="str">
            <v>Apr</v>
          </cell>
          <cell r="D3647" t="str">
            <v>Chairs</v>
          </cell>
          <cell r="E3647">
            <v>135618.69999999998</v>
          </cell>
          <cell r="F3647">
            <v>4</v>
          </cell>
        </row>
        <row r="3648">
          <cell r="A3648">
            <v>2019</v>
          </cell>
          <cell r="B3648" t="str">
            <v>Actual</v>
          </cell>
          <cell r="C3648" t="str">
            <v>Apr</v>
          </cell>
          <cell r="D3648" t="str">
            <v>Chairs</v>
          </cell>
          <cell r="E3648">
            <v>1192499.875</v>
          </cell>
          <cell r="F3648">
            <v>4</v>
          </cell>
        </row>
        <row r="3649">
          <cell r="A3649">
            <v>2018</v>
          </cell>
          <cell r="B3649" t="str">
            <v>Budget</v>
          </cell>
          <cell r="C3649" t="str">
            <v>Apr</v>
          </cell>
          <cell r="D3649" t="str">
            <v>Chairs</v>
          </cell>
          <cell r="E3649">
            <v>857492.9439999999</v>
          </cell>
          <cell r="F3649">
            <v>4</v>
          </cell>
        </row>
        <row r="3650">
          <cell r="A3650">
            <v>2018</v>
          </cell>
          <cell r="B3650" t="str">
            <v>Actual</v>
          </cell>
          <cell r="C3650" t="str">
            <v>Apr</v>
          </cell>
          <cell r="D3650" t="str">
            <v>Chairs</v>
          </cell>
          <cell r="E3650">
            <v>165257.21799999999</v>
          </cell>
          <cell r="F3650">
            <v>4</v>
          </cell>
        </row>
        <row r="3651">
          <cell r="A3651">
            <v>2018</v>
          </cell>
          <cell r="B3651" t="str">
            <v>Budget</v>
          </cell>
          <cell r="C3651" t="str">
            <v>Apr</v>
          </cell>
          <cell r="D3651" t="str">
            <v>Chairs</v>
          </cell>
          <cell r="E3651">
            <v>203722.071</v>
          </cell>
          <cell r="F3651">
            <v>4</v>
          </cell>
        </row>
        <row r="3652">
          <cell r="A3652">
            <v>2019</v>
          </cell>
          <cell r="B3652" t="str">
            <v>Actual</v>
          </cell>
          <cell r="C3652" t="str">
            <v>Apr</v>
          </cell>
          <cell r="D3652" t="str">
            <v>Chairs</v>
          </cell>
          <cell r="E3652">
            <v>2159130.4980000001</v>
          </cell>
          <cell r="F3652">
            <v>4</v>
          </cell>
        </row>
        <row r="3653">
          <cell r="A3653">
            <v>2019</v>
          </cell>
          <cell r="B3653" t="str">
            <v>Budget</v>
          </cell>
          <cell r="C3653" t="str">
            <v>Apr</v>
          </cell>
          <cell r="D3653" t="str">
            <v>Chairs</v>
          </cell>
          <cell r="E3653">
            <v>1044075.6689999999</v>
          </cell>
          <cell r="F3653">
            <v>4</v>
          </cell>
        </row>
        <row r="3654">
          <cell r="A3654">
            <v>2019</v>
          </cell>
          <cell r="B3654" t="str">
            <v>Actual</v>
          </cell>
          <cell r="C3654" t="str">
            <v>Apr</v>
          </cell>
          <cell r="D3654" t="str">
            <v>Chairs</v>
          </cell>
          <cell r="E3654">
            <v>3668633.3459999999</v>
          </cell>
          <cell r="F3654">
            <v>4</v>
          </cell>
        </row>
        <row r="3655">
          <cell r="A3655">
            <v>2018</v>
          </cell>
          <cell r="B3655" t="str">
            <v>Budget</v>
          </cell>
          <cell r="C3655" t="str">
            <v>Apr</v>
          </cell>
          <cell r="D3655" t="str">
            <v>Chairs</v>
          </cell>
          <cell r="E3655">
            <v>53025.097999999998</v>
          </cell>
          <cell r="F3655">
            <v>4</v>
          </cell>
        </row>
        <row r="3656">
          <cell r="A3656">
            <v>2018</v>
          </cell>
          <cell r="B3656" t="str">
            <v>Actual</v>
          </cell>
          <cell r="C3656" t="str">
            <v>Apr</v>
          </cell>
          <cell r="D3656" t="str">
            <v>Chairs</v>
          </cell>
          <cell r="E3656">
            <v>417620.43399999995</v>
          </cell>
          <cell r="F3656">
            <v>4</v>
          </cell>
        </row>
        <row r="3657">
          <cell r="A3657">
            <v>2019</v>
          </cell>
          <cell r="B3657" t="str">
            <v>Budget</v>
          </cell>
          <cell r="C3657" t="str">
            <v>Apr</v>
          </cell>
          <cell r="D3657" t="str">
            <v>Chairs</v>
          </cell>
          <cell r="E3657">
            <v>961090.38199999998</v>
          </cell>
          <cell r="F3657">
            <v>4</v>
          </cell>
        </row>
        <row r="3658">
          <cell r="A3658">
            <v>2019</v>
          </cell>
          <cell r="B3658" t="str">
            <v>Actual</v>
          </cell>
          <cell r="C3658" t="str">
            <v>Apr</v>
          </cell>
          <cell r="D3658" t="str">
            <v>Chairs</v>
          </cell>
          <cell r="E3658">
            <v>318058.44</v>
          </cell>
          <cell r="F3658">
            <v>4</v>
          </cell>
        </row>
        <row r="3659">
          <cell r="A3659">
            <v>2018</v>
          </cell>
          <cell r="B3659" t="str">
            <v>Budget</v>
          </cell>
          <cell r="C3659" t="str">
            <v>Apr</v>
          </cell>
          <cell r="D3659" t="str">
            <v>Chairs</v>
          </cell>
          <cell r="E3659">
            <v>1200836.9309999999</v>
          </cell>
          <cell r="F3659">
            <v>4</v>
          </cell>
        </row>
        <row r="3660">
          <cell r="A3660">
            <v>2018</v>
          </cell>
          <cell r="B3660" t="str">
            <v>Actual</v>
          </cell>
          <cell r="C3660" t="str">
            <v>Apr</v>
          </cell>
          <cell r="D3660" t="str">
            <v>Chairs</v>
          </cell>
          <cell r="E3660">
            <v>4174763.6419999995</v>
          </cell>
          <cell r="F3660">
            <v>4</v>
          </cell>
        </row>
        <row r="3661">
          <cell r="A3661">
            <v>2019</v>
          </cell>
          <cell r="B3661" t="str">
            <v>Budget</v>
          </cell>
          <cell r="C3661" t="str">
            <v>Apr</v>
          </cell>
          <cell r="D3661" t="str">
            <v>Chairs</v>
          </cell>
          <cell r="E3661">
            <v>4048723.1609999998</v>
          </cell>
          <cell r="F3661">
            <v>4</v>
          </cell>
        </row>
        <row r="3662">
          <cell r="A3662">
            <v>2019</v>
          </cell>
          <cell r="B3662" t="str">
            <v>Actual</v>
          </cell>
          <cell r="C3662" t="str">
            <v>Apr</v>
          </cell>
          <cell r="D3662" t="str">
            <v>Chairs</v>
          </cell>
          <cell r="E3662">
            <v>20.474999999999998</v>
          </cell>
          <cell r="F3662">
            <v>4</v>
          </cell>
        </row>
        <row r="3663">
          <cell r="A3663">
            <v>2018</v>
          </cell>
          <cell r="B3663" t="str">
            <v>Budget</v>
          </cell>
          <cell r="C3663" t="str">
            <v>Apr</v>
          </cell>
          <cell r="D3663" t="str">
            <v>Chairs</v>
          </cell>
          <cell r="E3663">
            <v>1367423.862</v>
          </cell>
          <cell r="F3663">
            <v>4</v>
          </cell>
        </row>
        <row r="3664">
          <cell r="A3664">
            <v>2018</v>
          </cell>
          <cell r="B3664" t="str">
            <v>Actual</v>
          </cell>
          <cell r="C3664" t="str">
            <v>Apr</v>
          </cell>
          <cell r="D3664" t="str">
            <v>Chairs</v>
          </cell>
          <cell r="E3664">
            <v>140776.804</v>
          </cell>
          <cell r="F3664">
            <v>4</v>
          </cell>
        </row>
        <row r="3665">
          <cell r="A3665">
            <v>2019</v>
          </cell>
          <cell r="B3665" t="str">
            <v>Budget</v>
          </cell>
          <cell r="C3665" t="str">
            <v>Apr</v>
          </cell>
          <cell r="D3665" t="str">
            <v>Chairs</v>
          </cell>
          <cell r="E3665">
            <v>509076.38599999994</v>
          </cell>
          <cell r="F3665">
            <v>4</v>
          </cell>
        </row>
        <row r="3666">
          <cell r="A3666">
            <v>2019</v>
          </cell>
          <cell r="B3666" t="str">
            <v>Actual</v>
          </cell>
          <cell r="C3666" t="str">
            <v>Apr</v>
          </cell>
          <cell r="D3666" t="str">
            <v>Chairs</v>
          </cell>
          <cell r="E3666">
            <v>3259818.4009999996</v>
          </cell>
          <cell r="F3666">
            <v>4</v>
          </cell>
        </row>
        <row r="3667">
          <cell r="A3667">
            <v>2018</v>
          </cell>
          <cell r="B3667" t="str">
            <v>Budget</v>
          </cell>
          <cell r="C3667" t="str">
            <v>Apr</v>
          </cell>
          <cell r="D3667" t="str">
            <v>Chairs</v>
          </cell>
          <cell r="E3667">
            <v>909275.26199999987</v>
          </cell>
          <cell r="F3667">
            <v>4</v>
          </cell>
        </row>
        <row r="3668">
          <cell r="A3668">
            <v>2019</v>
          </cell>
          <cell r="B3668" t="str">
            <v>Actual</v>
          </cell>
          <cell r="C3668" t="str">
            <v>Apr</v>
          </cell>
          <cell r="D3668" t="str">
            <v>Chairs</v>
          </cell>
          <cell r="E3668">
            <v>1765129.5409999997</v>
          </cell>
          <cell r="F3668">
            <v>4</v>
          </cell>
        </row>
        <row r="3669">
          <cell r="A3669">
            <v>2019</v>
          </cell>
          <cell r="B3669" t="str">
            <v>Budget</v>
          </cell>
          <cell r="C3669" t="str">
            <v>Apr</v>
          </cell>
          <cell r="D3669" t="str">
            <v>Chairs</v>
          </cell>
          <cell r="E3669">
            <v>2149369.6839999999</v>
          </cell>
          <cell r="F3669">
            <v>4</v>
          </cell>
        </row>
        <row r="3670">
          <cell r="A3670">
            <v>2019</v>
          </cell>
          <cell r="B3670" t="str">
            <v>Actual</v>
          </cell>
          <cell r="C3670" t="str">
            <v>Apr</v>
          </cell>
          <cell r="D3670" t="str">
            <v>Chairs</v>
          </cell>
          <cell r="E3670">
            <v>417483.33199999999</v>
          </cell>
          <cell r="F3670">
            <v>4</v>
          </cell>
        </row>
        <row r="3671">
          <cell r="A3671">
            <v>2019</v>
          </cell>
          <cell r="B3671" t="str">
            <v>Budget</v>
          </cell>
          <cell r="C3671" t="str">
            <v>Apr</v>
          </cell>
          <cell r="D3671" t="str">
            <v>Tables</v>
          </cell>
          <cell r="E3671">
            <v>159360.516</v>
          </cell>
          <cell r="F3671">
            <v>4</v>
          </cell>
        </row>
        <row r="3672">
          <cell r="A3672">
            <v>2019</v>
          </cell>
          <cell r="B3672" t="str">
            <v>Actual</v>
          </cell>
          <cell r="C3672" t="str">
            <v>Apr</v>
          </cell>
          <cell r="D3672" t="str">
            <v>Kitchen</v>
          </cell>
          <cell r="E3672">
            <v>346480.68</v>
          </cell>
          <cell r="F3672">
            <v>4</v>
          </cell>
        </row>
        <row r="3673">
          <cell r="A3673">
            <v>2018</v>
          </cell>
          <cell r="B3673" t="str">
            <v>Budget</v>
          </cell>
          <cell r="C3673" t="str">
            <v>Apr</v>
          </cell>
          <cell r="D3673" t="str">
            <v>Chairs</v>
          </cell>
          <cell r="E3673">
            <v>268535.49099999998</v>
          </cell>
          <cell r="F3673">
            <v>4</v>
          </cell>
        </row>
        <row r="3674">
          <cell r="A3674">
            <v>2018</v>
          </cell>
          <cell r="B3674" t="str">
            <v>Actual</v>
          </cell>
          <cell r="C3674" t="str">
            <v>Apr</v>
          </cell>
          <cell r="D3674" t="str">
            <v>Chairs</v>
          </cell>
          <cell r="E3674">
            <v>1787687.8810000001</v>
          </cell>
          <cell r="F3674">
            <v>4</v>
          </cell>
        </row>
        <row r="3675">
          <cell r="A3675">
            <v>2019</v>
          </cell>
          <cell r="B3675" t="str">
            <v>Budget</v>
          </cell>
          <cell r="C3675" t="str">
            <v>Apr</v>
          </cell>
          <cell r="D3675" t="str">
            <v>Chairs</v>
          </cell>
          <cell r="E3675">
            <v>11539637.487</v>
          </cell>
          <cell r="F3675">
            <v>4</v>
          </cell>
        </row>
        <row r="3676">
          <cell r="A3676">
            <v>2018</v>
          </cell>
          <cell r="B3676" t="str">
            <v>Actual</v>
          </cell>
          <cell r="C3676" t="str">
            <v>Apr</v>
          </cell>
          <cell r="D3676" t="str">
            <v>Chairs</v>
          </cell>
          <cell r="E3676">
            <v>1181273.3799999999</v>
          </cell>
          <cell r="F3676">
            <v>4</v>
          </cell>
        </row>
        <row r="3677">
          <cell r="A3677">
            <v>2018</v>
          </cell>
          <cell r="B3677" t="str">
            <v>Budget</v>
          </cell>
          <cell r="C3677" t="str">
            <v>Apr</v>
          </cell>
          <cell r="D3677" t="str">
            <v>Chairs</v>
          </cell>
          <cell r="E3677">
            <v>1559012.63</v>
          </cell>
          <cell r="F3677">
            <v>4</v>
          </cell>
        </row>
        <row r="3678">
          <cell r="A3678">
            <v>2019</v>
          </cell>
          <cell r="B3678" t="str">
            <v>Actual</v>
          </cell>
          <cell r="C3678" t="str">
            <v>Apr</v>
          </cell>
          <cell r="D3678" t="str">
            <v>Tables</v>
          </cell>
          <cell r="E3678">
            <v>876774.81499999994</v>
          </cell>
          <cell r="F3678">
            <v>4</v>
          </cell>
        </row>
        <row r="3679">
          <cell r="A3679">
            <v>2019</v>
          </cell>
          <cell r="B3679" t="str">
            <v>Budget</v>
          </cell>
          <cell r="C3679" t="str">
            <v>Apr</v>
          </cell>
          <cell r="D3679" t="str">
            <v>Kitchen</v>
          </cell>
          <cell r="E3679">
            <v>2107858.8930000002</v>
          </cell>
          <cell r="F3679">
            <v>4</v>
          </cell>
        </row>
        <row r="3680">
          <cell r="A3680">
            <v>2019</v>
          </cell>
          <cell r="B3680" t="str">
            <v>Actual</v>
          </cell>
          <cell r="C3680" t="str">
            <v>Apr</v>
          </cell>
          <cell r="D3680" t="str">
            <v>Chairs</v>
          </cell>
          <cell r="E3680">
            <v>2901573.5209999997</v>
          </cell>
          <cell r="F3680">
            <v>4</v>
          </cell>
        </row>
        <row r="3681">
          <cell r="A3681">
            <v>2019</v>
          </cell>
          <cell r="B3681" t="str">
            <v>Budget</v>
          </cell>
          <cell r="C3681" t="str">
            <v>Apr</v>
          </cell>
          <cell r="D3681" t="str">
            <v>Chairs</v>
          </cell>
          <cell r="E3681">
            <v>1625071.406</v>
          </cell>
          <cell r="F3681">
            <v>4</v>
          </cell>
        </row>
        <row r="3682">
          <cell r="A3682">
            <v>2019</v>
          </cell>
          <cell r="B3682" t="str">
            <v>Actual</v>
          </cell>
          <cell r="C3682" t="str">
            <v>Apr</v>
          </cell>
          <cell r="D3682" t="str">
            <v>Chairs</v>
          </cell>
          <cell r="E3682">
            <v>129049.89299999998</v>
          </cell>
          <cell r="F3682">
            <v>4</v>
          </cell>
        </row>
        <row r="3683">
          <cell r="A3683">
            <v>2019</v>
          </cell>
          <cell r="B3683" t="str">
            <v>Budget</v>
          </cell>
          <cell r="C3683" t="str">
            <v>Apr</v>
          </cell>
          <cell r="D3683" t="str">
            <v>Tables</v>
          </cell>
          <cell r="E3683">
            <v>187161.17699999997</v>
          </cell>
          <cell r="F3683">
            <v>4</v>
          </cell>
        </row>
        <row r="3684">
          <cell r="A3684">
            <v>2018</v>
          </cell>
          <cell r="B3684" t="str">
            <v>Actual</v>
          </cell>
          <cell r="C3684" t="str">
            <v>Apr</v>
          </cell>
          <cell r="D3684" t="str">
            <v>Kitchen</v>
          </cell>
          <cell r="E3684">
            <v>1379962.2479999999</v>
          </cell>
          <cell r="F3684">
            <v>4</v>
          </cell>
        </row>
        <row r="3685">
          <cell r="A3685">
            <v>2018</v>
          </cell>
          <cell r="B3685" t="str">
            <v>Budget</v>
          </cell>
          <cell r="C3685" t="str">
            <v>Apr</v>
          </cell>
          <cell r="D3685" t="str">
            <v>Chairs</v>
          </cell>
          <cell r="E3685">
            <v>648889.13599999994</v>
          </cell>
          <cell r="F3685">
            <v>4</v>
          </cell>
        </row>
        <row r="3686">
          <cell r="A3686">
            <v>2019</v>
          </cell>
          <cell r="B3686" t="str">
            <v>Actual</v>
          </cell>
          <cell r="C3686" t="str">
            <v>Apr</v>
          </cell>
          <cell r="D3686" t="str">
            <v>Chairs</v>
          </cell>
          <cell r="E3686">
            <v>544791.98199999996</v>
          </cell>
          <cell r="F3686">
            <v>4</v>
          </cell>
        </row>
        <row r="3687">
          <cell r="A3687">
            <v>2018</v>
          </cell>
          <cell r="B3687" t="str">
            <v>Budget</v>
          </cell>
          <cell r="C3687" t="str">
            <v>Apr</v>
          </cell>
          <cell r="D3687" t="str">
            <v>Tables</v>
          </cell>
          <cell r="E3687">
            <v>3022799.7169999997</v>
          </cell>
          <cell r="F3687">
            <v>4</v>
          </cell>
        </row>
        <row r="3688">
          <cell r="A3688">
            <v>2019</v>
          </cell>
          <cell r="B3688" t="str">
            <v>Actual</v>
          </cell>
          <cell r="C3688" t="str">
            <v>Apr</v>
          </cell>
          <cell r="D3688" t="str">
            <v>Kitchen</v>
          </cell>
          <cell r="E3688">
            <v>400883.93799999997</v>
          </cell>
          <cell r="F3688">
            <v>4</v>
          </cell>
        </row>
        <row r="3689">
          <cell r="A3689">
            <v>2019</v>
          </cell>
          <cell r="B3689" t="str">
            <v>Budget</v>
          </cell>
          <cell r="C3689" t="str">
            <v>Apr</v>
          </cell>
          <cell r="D3689" t="str">
            <v>Chairs</v>
          </cell>
          <cell r="E3689">
            <v>663310.60599999991</v>
          </cell>
          <cell r="F3689">
            <v>4</v>
          </cell>
        </row>
        <row r="3690">
          <cell r="A3690">
            <v>2018</v>
          </cell>
          <cell r="B3690" t="str">
            <v>Actual</v>
          </cell>
          <cell r="C3690" t="str">
            <v>Apr</v>
          </cell>
          <cell r="D3690" t="str">
            <v>Chairs</v>
          </cell>
          <cell r="E3690">
            <v>57730.000999999989</v>
          </cell>
          <cell r="F3690">
            <v>4</v>
          </cell>
        </row>
        <row r="3691">
          <cell r="A3691">
            <v>2018</v>
          </cell>
          <cell r="B3691" t="str">
            <v>Budget</v>
          </cell>
          <cell r="C3691" t="str">
            <v>Apr</v>
          </cell>
          <cell r="D3691" t="str">
            <v>Chairs</v>
          </cell>
          <cell r="E3691">
            <v>338987.62799999997</v>
          </cell>
          <cell r="F3691">
            <v>4</v>
          </cell>
        </row>
        <row r="3692">
          <cell r="A3692">
            <v>2019</v>
          </cell>
          <cell r="B3692" t="str">
            <v>Actual</v>
          </cell>
          <cell r="C3692" t="str">
            <v>Apr</v>
          </cell>
          <cell r="D3692" t="str">
            <v>Tables</v>
          </cell>
          <cell r="E3692">
            <v>416705.23299999995</v>
          </cell>
          <cell r="F3692">
            <v>4</v>
          </cell>
        </row>
        <row r="3693">
          <cell r="A3693">
            <v>2018</v>
          </cell>
          <cell r="B3693" t="str">
            <v>Budget</v>
          </cell>
          <cell r="C3693" t="str">
            <v>Apr</v>
          </cell>
          <cell r="D3693" t="str">
            <v>Kitchen</v>
          </cell>
          <cell r="E3693">
            <v>471283.95299999998</v>
          </cell>
          <cell r="F3693">
            <v>4</v>
          </cell>
        </row>
        <row r="3694">
          <cell r="A3694">
            <v>2018</v>
          </cell>
          <cell r="B3694" t="str">
            <v>Actual</v>
          </cell>
          <cell r="C3694" t="str">
            <v>Apr</v>
          </cell>
          <cell r="D3694" t="str">
            <v>Accessories</v>
          </cell>
          <cell r="E3694">
            <v>35211.875999999997</v>
          </cell>
          <cell r="F3694">
            <v>4</v>
          </cell>
        </row>
        <row r="3695">
          <cell r="A3695">
            <v>2018</v>
          </cell>
          <cell r="B3695" t="str">
            <v>Budget</v>
          </cell>
          <cell r="C3695" t="str">
            <v>Apr</v>
          </cell>
          <cell r="D3695" t="str">
            <v>Chairs</v>
          </cell>
          <cell r="E3695">
            <v>1610083.2790000001</v>
          </cell>
          <cell r="F3695">
            <v>4</v>
          </cell>
        </row>
        <row r="3696">
          <cell r="A3696">
            <v>2018</v>
          </cell>
          <cell r="B3696" t="str">
            <v>Actual</v>
          </cell>
          <cell r="C3696" t="str">
            <v>Apr</v>
          </cell>
          <cell r="D3696" t="str">
            <v>Tables</v>
          </cell>
          <cell r="E3696">
            <v>204212.22499999998</v>
          </cell>
          <cell r="F3696">
            <v>4</v>
          </cell>
        </row>
        <row r="3697">
          <cell r="A3697">
            <v>2018</v>
          </cell>
          <cell r="B3697" t="str">
            <v>Budget</v>
          </cell>
          <cell r="C3697" t="str">
            <v>Apr</v>
          </cell>
          <cell r="D3697" t="str">
            <v>Kitchen</v>
          </cell>
          <cell r="E3697">
            <v>199018.21799999999</v>
          </cell>
          <cell r="F3697">
            <v>4</v>
          </cell>
        </row>
        <row r="3698">
          <cell r="A3698">
            <v>2018</v>
          </cell>
          <cell r="B3698" t="str">
            <v>Actual</v>
          </cell>
          <cell r="C3698" t="str">
            <v>Apr</v>
          </cell>
          <cell r="D3698" t="str">
            <v>Accessories</v>
          </cell>
          <cell r="E3698">
            <v>485351.89499999996</v>
          </cell>
          <cell r="F3698">
            <v>4</v>
          </cell>
        </row>
        <row r="3699">
          <cell r="A3699">
            <v>2019</v>
          </cell>
          <cell r="B3699" t="str">
            <v>Budget</v>
          </cell>
          <cell r="C3699" t="str">
            <v>Apr</v>
          </cell>
          <cell r="D3699" t="str">
            <v>Chairs</v>
          </cell>
          <cell r="E3699">
            <v>28122.345999999998</v>
          </cell>
          <cell r="F3699">
            <v>4</v>
          </cell>
        </row>
        <row r="3700">
          <cell r="A3700">
            <v>2019</v>
          </cell>
          <cell r="B3700" t="str">
            <v>Actual</v>
          </cell>
          <cell r="C3700" t="str">
            <v>Apr</v>
          </cell>
          <cell r="D3700" t="str">
            <v>Tables</v>
          </cell>
          <cell r="E3700">
            <v>136508.23199999999</v>
          </cell>
          <cell r="F3700">
            <v>4</v>
          </cell>
        </row>
        <row r="3701">
          <cell r="A3701">
            <v>2019</v>
          </cell>
          <cell r="B3701" t="str">
            <v>Budget</v>
          </cell>
          <cell r="C3701" t="str">
            <v>Apr</v>
          </cell>
          <cell r="D3701" t="str">
            <v>Kitchen</v>
          </cell>
          <cell r="E3701">
            <v>309328.663</v>
          </cell>
          <cell r="F3701">
            <v>4</v>
          </cell>
        </row>
        <row r="3702">
          <cell r="A3702">
            <v>2018</v>
          </cell>
          <cell r="B3702" t="str">
            <v>Actual</v>
          </cell>
          <cell r="C3702" t="str">
            <v>Apr</v>
          </cell>
          <cell r="D3702" t="str">
            <v>Accessories</v>
          </cell>
          <cell r="E3702">
            <v>40123.034</v>
          </cell>
          <cell r="F3702">
            <v>4</v>
          </cell>
        </row>
        <row r="3703">
          <cell r="A3703">
            <v>2018</v>
          </cell>
          <cell r="B3703" t="str">
            <v>Budget</v>
          </cell>
          <cell r="C3703" t="str">
            <v>Apr</v>
          </cell>
          <cell r="D3703" t="str">
            <v>Chairs</v>
          </cell>
          <cell r="E3703">
            <v>484427.44699999993</v>
          </cell>
          <cell r="F3703">
            <v>4</v>
          </cell>
        </row>
        <row r="3704">
          <cell r="A3704">
            <v>2019</v>
          </cell>
          <cell r="B3704" t="str">
            <v>Actual</v>
          </cell>
          <cell r="C3704" t="str">
            <v>Apr</v>
          </cell>
          <cell r="D3704" t="str">
            <v>Tables</v>
          </cell>
          <cell r="E3704">
            <v>99506.630999999979</v>
          </cell>
          <cell r="F3704">
            <v>4</v>
          </cell>
        </row>
        <row r="3705">
          <cell r="A3705">
            <v>2019</v>
          </cell>
          <cell r="B3705" t="str">
            <v>Budget</v>
          </cell>
          <cell r="C3705" t="str">
            <v>Apr</v>
          </cell>
          <cell r="D3705" t="str">
            <v>Kitchen</v>
          </cell>
          <cell r="E3705">
            <v>144816.448</v>
          </cell>
          <cell r="F3705">
            <v>4</v>
          </cell>
        </row>
        <row r="3706">
          <cell r="A3706">
            <v>2018</v>
          </cell>
          <cell r="B3706" t="str">
            <v>Actual</v>
          </cell>
          <cell r="C3706" t="str">
            <v>Apr</v>
          </cell>
          <cell r="D3706" t="str">
            <v>Accessories</v>
          </cell>
          <cell r="E3706">
            <v>232883.15399999995</v>
          </cell>
          <cell r="F3706">
            <v>4</v>
          </cell>
        </row>
        <row r="3707">
          <cell r="A3707">
            <v>2019</v>
          </cell>
          <cell r="B3707" t="str">
            <v>Budget</v>
          </cell>
          <cell r="C3707" t="str">
            <v>Apr</v>
          </cell>
          <cell r="D3707" t="str">
            <v>Chairs</v>
          </cell>
          <cell r="E3707">
            <v>38456.824000000001</v>
          </cell>
          <cell r="F3707">
            <v>4</v>
          </cell>
        </row>
        <row r="3708">
          <cell r="A3708">
            <v>2018</v>
          </cell>
          <cell r="B3708" t="str">
            <v>Actual</v>
          </cell>
          <cell r="C3708" t="str">
            <v>Apr</v>
          </cell>
          <cell r="D3708" t="str">
            <v>Chairs</v>
          </cell>
          <cell r="E3708">
            <v>575931.37699999998</v>
          </cell>
          <cell r="F3708">
            <v>4</v>
          </cell>
        </row>
        <row r="3709">
          <cell r="A3709">
            <v>2019</v>
          </cell>
          <cell r="B3709" t="str">
            <v>Budget</v>
          </cell>
          <cell r="C3709" t="str">
            <v>Apr</v>
          </cell>
          <cell r="D3709" t="str">
            <v>Tables</v>
          </cell>
          <cell r="E3709">
            <v>425391.90399999998</v>
          </cell>
          <cell r="F3709">
            <v>4</v>
          </cell>
        </row>
        <row r="3710">
          <cell r="A3710">
            <v>2019</v>
          </cell>
          <cell r="B3710" t="str">
            <v>Actual</v>
          </cell>
          <cell r="C3710" t="str">
            <v>Apr</v>
          </cell>
          <cell r="D3710" t="str">
            <v>Kitchen</v>
          </cell>
          <cell r="E3710">
            <v>114831.094</v>
          </cell>
          <cell r="F3710">
            <v>4</v>
          </cell>
        </row>
        <row r="3711">
          <cell r="A3711">
            <v>2018</v>
          </cell>
          <cell r="B3711" t="str">
            <v>Budget</v>
          </cell>
          <cell r="C3711" t="str">
            <v>Apr</v>
          </cell>
          <cell r="D3711" t="str">
            <v>Chairs</v>
          </cell>
          <cell r="E3711">
            <v>324031.28100000002</v>
          </cell>
          <cell r="F3711">
            <v>4</v>
          </cell>
        </row>
        <row r="3712">
          <cell r="A3712">
            <v>2019</v>
          </cell>
          <cell r="B3712" t="str">
            <v>Actual</v>
          </cell>
          <cell r="C3712" t="str">
            <v>Apr</v>
          </cell>
          <cell r="D3712" t="str">
            <v>Tables</v>
          </cell>
          <cell r="E3712">
            <v>27707.966999999997</v>
          </cell>
          <cell r="F3712">
            <v>4</v>
          </cell>
        </row>
        <row r="3713">
          <cell r="A3713">
            <v>2018</v>
          </cell>
          <cell r="B3713" t="str">
            <v>Budget</v>
          </cell>
          <cell r="C3713" t="str">
            <v>Apr</v>
          </cell>
          <cell r="D3713" t="str">
            <v>Kitchen</v>
          </cell>
          <cell r="E3713">
            <v>100485.62999999999</v>
          </cell>
          <cell r="F3713">
            <v>4</v>
          </cell>
        </row>
        <row r="3714">
          <cell r="A3714">
            <v>2018</v>
          </cell>
          <cell r="B3714" t="str">
            <v>Actual</v>
          </cell>
          <cell r="C3714" t="str">
            <v>Apr</v>
          </cell>
          <cell r="D3714" t="str">
            <v>Chairs</v>
          </cell>
          <cell r="E3714">
            <v>101742.76699999999</v>
          </cell>
          <cell r="F3714">
            <v>4</v>
          </cell>
        </row>
        <row r="3715">
          <cell r="A3715">
            <v>2019</v>
          </cell>
          <cell r="B3715" t="str">
            <v>Budget</v>
          </cell>
          <cell r="C3715" t="str">
            <v>Apr</v>
          </cell>
          <cell r="D3715" t="str">
            <v>Tables</v>
          </cell>
          <cell r="E3715">
            <v>165628.44899999999</v>
          </cell>
          <cell r="F3715">
            <v>4</v>
          </cell>
        </row>
        <row r="3716">
          <cell r="A3716">
            <v>2018</v>
          </cell>
          <cell r="B3716" t="str">
            <v>Actual</v>
          </cell>
          <cell r="C3716" t="str">
            <v>Apr</v>
          </cell>
          <cell r="D3716" t="str">
            <v>Kitchen</v>
          </cell>
          <cell r="E3716">
            <v>74749.786999999997</v>
          </cell>
          <cell r="F3716">
            <v>4</v>
          </cell>
        </row>
        <row r="3717">
          <cell r="A3717">
            <v>2018</v>
          </cell>
          <cell r="B3717" t="str">
            <v>Budget</v>
          </cell>
          <cell r="C3717" t="str">
            <v>Apr</v>
          </cell>
          <cell r="D3717" t="str">
            <v>Chairs</v>
          </cell>
          <cell r="E3717">
            <v>263856.663</v>
          </cell>
          <cell r="F3717">
            <v>4</v>
          </cell>
        </row>
        <row r="3718">
          <cell r="A3718">
            <v>2018</v>
          </cell>
          <cell r="B3718" t="str">
            <v>Actual</v>
          </cell>
          <cell r="C3718" t="str">
            <v>Apr</v>
          </cell>
          <cell r="D3718" t="str">
            <v>Chairs</v>
          </cell>
          <cell r="E3718">
            <v>80040.981999999989</v>
          </cell>
          <cell r="F3718">
            <v>4</v>
          </cell>
        </row>
        <row r="3719">
          <cell r="A3719">
            <v>2018</v>
          </cell>
          <cell r="B3719" t="str">
            <v>Budget</v>
          </cell>
          <cell r="C3719" t="str">
            <v>Apr</v>
          </cell>
          <cell r="D3719" t="str">
            <v>Chairs</v>
          </cell>
          <cell r="E3719">
            <v>126279.874</v>
          </cell>
          <cell r="F3719">
            <v>4</v>
          </cell>
        </row>
        <row r="3720">
          <cell r="A3720">
            <v>2018</v>
          </cell>
          <cell r="B3720" t="str">
            <v>Actual</v>
          </cell>
          <cell r="C3720" t="str">
            <v>Apr</v>
          </cell>
          <cell r="D3720" t="str">
            <v>Chairs</v>
          </cell>
          <cell r="E3720">
            <v>79469.053999999989</v>
          </cell>
          <cell r="F3720">
            <v>4</v>
          </cell>
        </row>
        <row r="3721">
          <cell r="A3721">
            <v>2018</v>
          </cell>
          <cell r="B3721" t="str">
            <v>Budget</v>
          </cell>
          <cell r="C3721" t="str">
            <v>Apr</v>
          </cell>
          <cell r="D3721" t="str">
            <v>Chairs</v>
          </cell>
          <cell r="E3721">
            <v>605643.10100000002</v>
          </cell>
          <cell r="F3721">
            <v>4</v>
          </cell>
        </row>
        <row r="3722">
          <cell r="A3722">
            <v>2019</v>
          </cell>
          <cell r="B3722" t="str">
            <v>Actual</v>
          </cell>
          <cell r="C3722" t="str">
            <v>Apr</v>
          </cell>
          <cell r="D3722" t="str">
            <v>Chairs</v>
          </cell>
          <cell r="E3722">
            <v>300075.86699999997</v>
          </cell>
          <cell r="F3722">
            <v>4</v>
          </cell>
        </row>
        <row r="3723">
          <cell r="A3723">
            <v>2018</v>
          </cell>
          <cell r="B3723" t="str">
            <v>Budget</v>
          </cell>
          <cell r="C3723" t="str">
            <v>Apr</v>
          </cell>
          <cell r="D3723" t="str">
            <v>Chairs</v>
          </cell>
          <cell r="E3723">
            <v>209451.87899999996</v>
          </cell>
          <cell r="F3723">
            <v>4</v>
          </cell>
        </row>
        <row r="3724">
          <cell r="A3724">
            <v>2018</v>
          </cell>
          <cell r="B3724" t="str">
            <v>Actual</v>
          </cell>
          <cell r="C3724" t="str">
            <v>Apr</v>
          </cell>
          <cell r="D3724" t="str">
            <v>Chairs</v>
          </cell>
          <cell r="E3724">
            <v>54118.826999999997</v>
          </cell>
          <cell r="F3724">
            <v>4</v>
          </cell>
        </row>
        <row r="3725">
          <cell r="A3725">
            <v>2018</v>
          </cell>
          <cell r="B3725" t="str">
            <v>Budget</v>
          </cell>
          <cell r="C3725" t="str">
            <v>Apr</v>
          </cell>
          <cell r="D3725" t="str">
            <v>Chairs</v>
          </cell>
          <cell r="E3725">
            <v>580433.41999999993</v>
          </cell>
          <cell r="F3725">
            <v>4</v>
          </cell>
        </row>
        <row r="3726">
          <cell r="A3726">
            <v>2019</v>
          </cell>
          <cell r="B3726" t="str">
            <v>Actual</v>
          </cell>
          <cell r="C3726" t="str">
            <v>Apr</v>
          </cell>
          <cell r="D3726" t="str">
            <v>Chairs</v>
          </cell>
          <cell r="E3726">
            <v>247977.821</v>
          </cell>
          <cell r="F3726">
            <v>4</v>
          </cell>
        </row>
        <row r="3727">
          <cell r="A3727">
            <v>2019</v>
          </cell>
          <cell r="B3727" t="str">
            <v>Budget</v>
          </cell>
          <cell r="C3727" t="str">
            <v>Apr</v>
          </cell>
          <cell r="D3727" t="str">
            <v>Chairs</v>
          </cell>
          <cell r="E3727">
            <v>208403.19499999998</v>
          </cell>
          <cell r="F3727">
            <v>4</v>
          </cell>
        </row>
        <row r="3728">
          <cell r="A3728">
            <v>2019</v>
          </cell>
          <cell r="B3728" t="str">
            <v>Actual</v>
          </cell>
          <cell r="C3728" t="str">
            <v>Apr</v>
          </cell>
          <cell r="D3728" t="str">
            <v>Chairs</v>
          </cell>
          <cell r="E3728">
            <v>156523.44399999999</v>
          </cell>
          <cell r="F3728">
            <v>4</v>
          </cell>
        </row>
        <row r="3729">
          <cell r="A3729">
            <v>2019</v>
          </cell>
          <cell r="B3729" t="str">
            <v>Budget</v>
          </cell>
          <cell r="C3729" t="str">
            <v>Apr</v>
          </cell>
          <cell r="D3729" t="str">
            <v>Chairs</v>
          </cell>
          <cell r="E3729">
            <v>-2493.8409999999999</v>
          </cell>
          <cell r="F3729">
            <v>4</v>
          </cell>
        </row>
        <row r="3730">
          <cell r="A3730">
            <v>2019</v>
          </cell>
          <cell r="B3730" t="str">
            <v>Actual</v>
          </cell>
          <cell r="C3730" t="str">
            <v>Apr</v>
          </cell>
          <cell r="D3730" t="str">
            <v>Chairs</v>
          </cell>
          <cell r="E3730">
            <v>2100499.247</v>
          </cell>
          <cell r="F3730">
            <v>4</v>
          </cell>
        </row>
        <row r="3731">
          <cell r="A3731">
            <v>2019</v>
          </cell>
          <cell r="B3731" t="str">
            <v>Budget</v>
          </cell>
          <cell r="C3731" t="str">
            <v>Apr</v>
          </cell>
          <cell r="D3731" t="str">
            <v>Chairs</v>
          </cell>
          <cell r="E3731">
            <v>85384.718999999997</v>
          </cell>
          <cell r="F3731">
            <v>4</v>
          </cell>
        </row>
        <row r="3732">
          <cell r="A3732">
            <v>2019</v>
          </cell>
          <cell r="B3732" t="str">
            <v>Actual</v>
          </cell>
          <cell r="C3732" t="str">
            <v>Apr</v>
          </cell>
          <cell r="D3732" t="str">
            <v>Chairs</v>
          </cell>
          <cell r="E3732">
            <v>223380.68900000001</v>
          </cell>
          <cell r="F3732">
            <v>4</v>
          </cell>
        </row>
        <row r="3733">
          <cell r="A3733">
            <v>2019</v>
          </cell>
          <cell r="B3733" t="str">
            <v>Budget</v>
          </cell>
          <cell r="C3733" t="str">
            <v>Apr</v>
          </cell>
          <cell r="D3733" t="str">
            <v>Chairs</v>
          </cell>
          <cell r="E3733">
            <v>712708.99699999997</v>
          </cell>
          <cell r="F3733">
            <v>4</v>
          </cell>
        </row>
        <row r="3734">
          <cell r="A3734">
            <v>2019</v>
          </cell>
          <cell r="B3734" t="str">
            <v>Actual</v>
          </cell>
          <cell r="C3734" t="str">
            <v>Apr</v>
          </cell>
          <cell r="D3734" t="str">
            <v>Chairs</v>
          </cell>
          <cell r="E3734">
            <v>323965.70500000002</v>
          </cell>
          <cell r="F3734">
            <v>4</v>
          </cell>
        </row>
        <row r="3735">
          <cell r="A3735">
            <v>2018</v>
          </cell>
          <cell r="B3735" t="str">
            <v>Budget</v>
          </cell>
          <cell r="C3735" t="str">
            <v>Apr</v>
          </cell>
          <cell r="D3735" t="str">
            <v>Chairs</v>
          </cell>
          <cell r="E3735">
            <v>423609.66899999999</v>
          </cell>
          <cell r="F3735">
            <v>4</v>
          </cell>
        </row>
        <row r="3736">
          <cell r="A3736">
            <v>2018</v>
          </cell>
          <cell r="B3736" t="str">
            <v>Actual</v>
          </cell>
          <cell r="C3736" t="str">
            <v>Apr</v>
          </cell>
          <cell r="D3736" t="str">
            <v>Chairs</v>
          </cell>
          <cell r="E3736">
            <v>148622.33399999997</v>
          </cell>
          <cell r="F3736">
            <v>4</v>
          </cell>
        </row>
        <row r="3737">
          <cell r="A3737">
            <v>2019</v>
          </cell>
          <cell r="B3737" t="str">
            <v>Budget</v>
          </cell>
          <cell r="C3737" t="str">
            <v>Apr</v>
          </cell>
          <cell r="D3737" t="str">
            <v>Chairs</v>
          </cell>
          <cell r="E3737">
            <v>208361.76899999997</v>
          </cell>
          <cell r="F3737">
            <v>4</v>
          </cell>
        </row>
        <row r="3738">
          <cell r="A3738">
            <v>2018</v>
          </cell>
          <cell r="B3738" t="str">
            <v>Actual</v>
          </cell>
          <cell r="C3738" t="str">
            <v>Apr</v>
          </cell>
          <cell r="D3738" t="str">
            <v>Chairs</v>
          </cell>
          <cell r="E3738">
            <v>296993.17899999995</v>
          </cell>
          <cell r="F3738">
            <v>4</v>
          </cell>
        </row>
        <row r="3739">
          <cell r="A3739">
            <v>2018</v>
          </cell>
          <cell r="B3739" t="str">
            <v>Budget</v>
          </cell>
          <cell r="C3739" t="str">
            <v>Apr</v>
          </cell>
          <cell r="D3739" t="str">
            <v>Chairs</v>
          </cell>
          <cell r="E3739">
            <v>24702.362999999998</v>
          </cell>
          <cell r="F3739">
            <v>4</v>
          </cell>
        </row>
        <row r="3740">
          <cell r="A3740">
            <v>2018</v>
          </cell>
          <cell r="B3740" t="str">
            <v>Actual</v>
          </cell>
          <cell r="C3740" t="str">
            <v>Apr</v>
          </cell>
          <cell r="D3740" t="str">
            <v>Chairs</v>
          </cell>
          <cell r="E3740">
            <v>117644.548</v>
          </cell>
          <cell r="F3740">
            <v>4</v>
          </cell>
        </row>
        <row r="3741">
          <cell r="A3741">
            <v>2019</v>
          </cell>
          <cell r="B3741" t="str">
            <v>Budget</v>
          </cell>
          <cell r="C3741" t="str">
            <v>Apr</v>
          </cell>
          <cell r="D3741" t="str">
            <v>Chairs</v>
          </cell>
          <cell r="E3741">
            <v>528346.12600000005</v>
          </cell>
          <cell r="F3741">
            <v>4</v>
          </cell>
        </row>
        <row r="3742">
          <cell r="A3742">
            <v>2019</v>
          </cell>
          <cell r="B3742" t="str">
            <v>Actual</v>
          </cell>
          <cell r="C3742" t="str">
            <v>Apr</v>
          </cell>
          <cell r="D3742" t="str">
            <v>Chairs</v>
          </cell>
          <cell r="E3742">
            <v>554025.18499999994</v>
          </cell>
          <cell r="F3742">
            <v>4</v>
          </cell>
        </row>
        <row r="3743">
          <cell r="A3743">
            <v>2019</v>
          </cell>
          <cell r="B3743" t="str">
            <v>Budget</v>
          </cell>
          <cell r="C3743" t="str">
            <v>Apr</v>
          </cell>
          <cell r="D3743" t="str">
            <v>Tables</v>
          </cell>
          <cell r="E3743">
            <v>331415.42699999997</v>
          </cell>
          <cell r="F3743">
            <v>4</v>
          </cell>
        </row>
        <row r="3744">
          <cell r="A3744">
            <v>2018</v>
          </cell>
          <cell r="B3744" t="str">
            <v>Actual</v>
          </cell>
          <cell r="C3744" t="str">
            <v>Apr</v>
          </cell>
          <cell r="D3744" t="str">
            <v>Kitchen</v>
          </cell>
          <cell r="E3744">
            <v>379975.67999999999</v>
          </cell>
          <cell r="F3744">
            <v>4</v>
          </cell>
        </row>
        <row r="3745">
          <cell r="A3745">
            <v>2019</v>
          </cell>
          <cell r="B3745" t="str">
            <v>Budget</v>
          </cell>
          <cell r="C3745" t="str">
            <v>Apr</v>
          </cell>
          <cell r="D3745" t="str">
            <v>Chairs</v>
          </cell>
          <cell r="E3745">
            <v>189856.8</v>
          </cell>
          <cell r="F3745">
            <v>4</v>
          </cell>
        </row>
        <row r="3746">
          <cell r="A3746">
            <v>2019</v>
          </cell>
          <cell r="B3746" t="str">
            <v>Actual</v>
          </cell>
          <cell r="C3746" t="str">
            <v>Apr</v>
          </cell>
          <cell r="D3746" t="str">
            <v>Chairs</v>
          </cell>
          <cell r="E3746">
            <v>25268.929</v>
          </cell>
          <cell r="F3746">
            <v>4</v>
          </cell>
        </row>
        <row r="3747">
          <cell r="A3747">
            <v>2019</v>
          </cell>
          <cell r="B3747" t="str">
            <v>Budget</v>
          </cell>
          <cell r="C3747" t="str">
            <v>Apr</v>
          </cell>
          <cell r="D3747" t="str">
            <v>Chairs</v>
          </cell>
          <cell r="E3747">
            <v>3579.17</v>
          </cell>
          <cell r="F3747">
            <v>4</v>
          </cell>
        </row>
        <row r="3748">
          <cell r="A3748">
            <v>2019</v>
          </cell>
          <cell r="B3748" t="str">
            <v>Actual</v>
          </cell>
          <cell r="C3748" t="str">
            <v>Apr</v>
          </cell>
          <cell r="D3748" t="str">
            <v>Chairs</v>
          </cell>
          <cell r="E3748">
            <v>20964.887999999999</v>
          </cell>
          <cell r="F3748">
            <v>4</v>
          </cell>
        </row>
        <row r="3749">
          <cell r="A3749">
            <v>2018</v>
          </cell>
          <cell r="B3749" t="str">
            <v>Budget</v>
          </cell>
          <cell r="C3749" t="str">
            <v>Apr</v>
          </cell>
          <cell r="D3749" t="str">
            <v>Chairs</v>
          </cell>
          <cell r="E3749">
            <v>14553.21</v>
          </cell>
          <cell r="F3749">
            <v>4</v>
          </cell>
        </row>
        <row r="3750">
          <cell r="A3750">
            <v>2019</v>
          </cell>
          <cell r="B3750" t="str">
            <v>Actual</v>
          </cell>
          <cell r="C3750" t="str">
            <v>Apr</v>
          </cell>
          <cell r="D3750" t="str">
            <v>Tables</v>
          </cell>
          <cell r="E3750">
            <v>19445.019999999997</v>
          </cell>
          <cell r="F3750">
            <v>4</v>
          </cell>
        </row>
        <row r="3751">
          <cell r="A3751">
            <v>2018</v>
          </cell>
          <cell r="B3751" t="str">
            <v>Budget</v>
          </cell>
          <cell r="C3751" t="str">
            <v>Apr</v>
          </cell>
          <cell r="D3751" t="str">
            <v>Kitchen</v>
          </cell>
          <cell r="E3751">
            <v>15606.807999999997</v>
          </cell>
          <cell r="F3751">
            <v>4</v>
          </cell>
        </row>
        <row r="3752">
          <cell r="A3752">
            <v>2018</v>
          </cell>
          <cell r="B3752" t="str">
            <v>Actual</v>
          </cell>
          <cell r="C3752" t="str">
            <v>Apr</v>
          </cell>
          <cell r="D3752" t="str">
            <v>Chairs</v>
          </cell>
          <cell r="E3752">
            <v>396108.16000000003</v>
          </cell>
          <cell r="F3752">
            <v>4</v>
          </cell>
        </row>
        <row r="3753">
          <cell r="A3753">
            <v>2018</v>
          </cell>
          <cell r="B3753" t="str">
            <v>Budget</v>
          </cell>
          <cell r="C3753" t="str">
            <v>Apr</v>
          </cell>
          <cell r="D3753" t="str">
            <v>Chairs</v>
          </cell>
          <cell r="E3753">
            <v>339977.68699999998</v>
          </cell>
          <cell r="F3753">
            <v>4</v>
          </cell>
        </row>
        <row r="3754">
          <cell r="A3754">
            <v>2018</v>
          </cell>
          <cell r="B3754" t="str">
            <v>Actual</v>
          </cell>
          <cell r="C3754" t="str">
            <v>Apr</v>
          </cell>
          <cell r="D3754" t="str">
            <v>Chairs</v>
          </cell>
          <cell r="E3754">
            <v>83868.756999999998</v>
          </cell>
          <cell r="F3754">
            <v>4</v>
          </cell>
        </row>
        <row r="3755">
          <cell r="A3755">
            <v>2018</v>
          </cell>
          <cell r="B3755" t="str">
            <v>Budget</v>
          </cell>
          <cell r="C3755" t="str">
            <v>Apr</v>
          </cell>
          <cell r="D3755" t="str">
            <v>Tables</v>
          </cell>
          <cell r="E3755">
            <v>176490.83199999999</v>
          </cell>
          <cell r="F3755">
            <v>4</v>
          </cell>
        </row>
        <row r="3756">
          <cell r="A3756">
            <v>2018</v>
          </cell>
          <cell r="B3756" t="str">
            <v>Actual</v>
          </cell>
          <cell r="C3756" t="str">
            <v>Apr</v>
          </cell>
          <cell r="D3756" t="str">
            <v>Kitchen</v>
          </cell>
          <cell r="E3756">
            <v>116119.094</v>
          </cell>
          <cell r="F3756">
            <v>4</v>
          </cell>
        </row>
        <row r="3757">
          <cell r="A3757">
            <v>2019</v>
          </cell>
          <cell r="B3757" t="str">
            <v>Budget</v>
          </cell>
          <cell r="C3757" t="str">
            <v>Apr</v>
          </cell>
          <cell r="D3757" t="str">
            <v>Chairs</v>
          </cell>
          <cell r="E3757">
            <v>145121.62699999998</v>
          </cell>
          <cell r="F3757">
            <v>4</v>
          </cell>
        </row>
        <row r="3758">
          <cell r="A3758">
            <v>2018</v>
          </cell>
          <cell r="B3758" t="str">
            <v>Actual</v>
          </cell>
          <cell r="C3758" t="str">
            <v>Apr</v>
          </cell>
          <cell r="D3758" t="str">
            <v>Chairs</v>
          </cell>
          <cell r="E3758">
            <v>40232.842999999993</v>
          </cell>
          <cell r="F3758">
            <v>4</v>
          </cell>
        </row>
        <row r="3759">
          <cell r="A3759">
            <v>2019</v>
          </cell>
          <cell r="B3759" t="str">
            <v>Budget</v>
          </cell>
          <cell r="C3759" t="str">
            <v>Apr</v>
          </cell>
          <cell r="D3759" t="str">
            <v>Tables</v>
          </cell>
          <cell r="E3759">
            <v>7852.7189999999991</v>
          </cell>
          <cell r="F3759">
            <v>4</v>
          </cell>
        </row>
        <row r="3760">
          <cell r="A3760">
            <v>2018</v>
          </cell>
          <cell r="B3760" t="str">
            <v>Actual</v>
          </cell>
          <cell r="C3760" t="str">
            <v>Apr</v>
          </cell>
          <cell r="D3760" t="str">
            <v>Kitchen</v>
          </cell>
          <cell r="E3760">
            <v>14226.057999999999</v>
          </cell>
          <cell r="F3760">
            <v>4</v>
          </cell>
        </row>
        <row r="3761">
          <cell r="A3761">
            <v>2019</v>
          </cell>
          <cell r="B3761" t="str">
            <v>Budget</v>
          </cell>
          <cell r="C3761" t="str">
            <v>Apr</v>
          </cell>
          <cell r="D3761" t="str">
            <v>Chairs</v>
          </cell>
          <cell r="E3761">
            <v>103702.03200000001</v>
          </cell>
          <cell r="F3761">
            <v>4</v>
          </cell>
        </row>
        <row r="3762">
          <cell r="A3762">
            <v>2019</v>
          </cell>
          <cell r="B3762" t="str">
            <v>Actual</v>
          </cell>
          <cell r="C3762" t="str">
            <v>Apr</v>
          </cell>
          <cell r="D3762" t="str">
            <v>Chairs</v>
          </cell>
          <cell r="E3762">
            <v>72540.250999999989</v>
          </cell>
          <cell r="F3762">
            <v>4</v>
          </cell>
        </row>
        <row r="3763">
          <cell r="A3763">
            <v>2018</v>
          </cell>
          <cell r="B3763" t="str">
            <v>Budget</v>
          </cell>
          <cell r="C3763" t="str">
            <v>Apr</v>
          </cell>
          <cell r="D3763" t="str">
            <v>Chairs</v>
          </cell>
          <cell r="E3763">
            <v>50121.672999999995</v>
          </cell>
          <cell r="F3763">
            <v>4</v>
          </cell>
        </row>
        <row r="3764">
          <cell r="A3764">
            <v>2019</v>
          </cell>
          <cell r="B3764" t="str">
            <v>Actual</v>
          </cell>
          <cell r="C3764" t="str">
            <v>Apr</v>
          </cell>
          <cell r="D3764" t="str">
            <v>Tables</v>
          </cell>
          <cell r="E3764">
            <v>79769.458999999988</v>
          </cell>
          <cell r="F3764">
            <v>4</v>
          </cell>
        </row>
        <row r="3765">
          <cell r="A3765">
            <v>2018</v>
          </cell>
          <cell r="B3765" t="str">
            <v>Budget</v>
          </cell>
          <cell r="C3765" t="str">
            <v>Apr</v>
          </cell>
          <cell r="D3765" t="str">
            <v>Kitchen</v>
          </cell>
          <cell r="E3765">
            <v>63749.580999999998</v>
          </cell>
          <cell r="F3765">
            <v>4</v>
          </cell>
        </row>
        <row r="3766">
          <cell r="A3766">
            <v>2018</v>
          </cell>
          <cell r="B3766" t="str">
            <v>Actual</v>
          </cell>
          <cell r="C3766" t="str">
            <v>Apr</v>
          </cell>
          <cell r="D3766" t="str">
            <v>Accessories</v>
          </cell>
          <cell r="E3766">
            <v>32998.826000000001</v>
          </cell>
          <cell r="F3766">
            <v>4</v>
          </cell>
        </row>
        <row r="3767">
          <cell r="A3767">
            <v>2018</v>
          </cell>
          <cell r="B3767" t="str">
            <v>Budget</v>
          </cell>
          <cell r="C3767" t="str">
            <v>Apr</v>
          </cell>
          <cell r="D3767" t="str">
            <v>Chairs</v>
          </cell>
          <cell r="E3767">
            <v>116124.68699999999</v>
          </cell>
          <cell r="F3767">
            <v>4</v>
          </cell>
        </row>
        <row r="3768">
          <cell r="A3768">
            <v>2019</v>
          </cell>
          <cell r="B3768" t="str">
            <v>Actual</v>
          </cell>
          <cell r="C3768" t="str">
            <v>Apr</v>
          </cell>
          <cell r="D3768" t="str">
            <v>Tables</v>
          </cell>
          <cell r="E3768">
            <v>52230.548999999999</v>
          </cell>
          <cell r="F3768">
            <v>4</v>
          </cell>
        </row>
        <row r="3769">
          <cell r="A3769">
            <v>2018</v>
          </cell>
          <cell r="B3769" t="str">
            <v>Budget</v>
          </cell>
          <cell r="C3769" t="str">
            <v>Apr</v>
          </cell>
          <cell r="D3769" t="str">
            <v>Kitchen</v>
          </cell>
          <cell r="E3769">
            <v>80416.14</v>
          </cell>
          <cell r="F3769">
            <v>4</v>
          </cell>
        </row>
        <row r="3770">
          <cell r="A3770">
            <v>2018</v>
          </cell>
          <cell r="B3770" t="str">
            <v>Actual</v>
          </cell>
          <cell r="C3770" t="str">
            <v>Apr</v>
          </cell>
          <cell r="D3770" t="str">
            <v>Accessories</v>
          </cell>
          <cell r="E3770">
            <v>69328.364000000001</v>
          </cell>
          <cell r="F3770">
            <v>4</v>
          </cell>
        </row>
        <row r="3771">
          <cell r="A3771">
            <v>2018</v>
          </cell>
          <cell r="B3771" t="str">
            <v>Budget</v>
          </cell>
          <cell r="C3771" t="str">
            <v>Apr</v>
          </cell>
          <cell r="D3771" t="str">
            <v>Chairs</v>
          </cell>
          <cell r="E3771">
            <v>202469.484</v>
          </cell>
          <cell r="F3771">
            <v>4</v>
          </cell>
        </row>
        <row r="3772">
          <cell r="A3772">
            <v>2019</v>
          </cell>
          <cell r="B3772" t="str">
            <v>Actual</v>
          </cell>
          <cell r="C3772" t="str">
            <v>Apr</v>
          </cell>
          <cell r="D3772" t="str">
            <v>Tables</v>
          </cell>
          <cell r="E3772">
            <v>122267.78199999999</v>
          </cell>
          <cell r="F3772">
            <v>4</v>
          </cell>
        </row>
        <row r="3773">
          <cell r="A3773">
            <v>2018</v>
          </cell>
          <cell r="B3773" t="str">
            <v>Budget</v>
          </cell>
          <cell r="C3773" t="str">
            <v>Apr</v>
          </cell>
          <cell r="D3773" t="str">
            <v>Kitchen</v>
          </cell>
          <cell r="E3773">
            <v>59700.101999999999</v>
          </cell>
          <cell r="F3773">
            <v>4</v>
          </cell>
        </row>
        <row r="3774">
          <cell r="A3774">
            <v>2018</v>
          </cell>
          <cell r="B3774" t="str">
            <v>Actual</v>
          </cell>
          <cell r="C3774" t="str">
            <v>Apr</v>
          </cell>
          <cell r="D3774" t="str">
            <v>Accessories</v>
          </cell>
          <cell r="E3774">
            <v>33833.050999999999</v>
          </cell>
          <cell r="F3774">
            <v>4</v>
          </cell>
        </row>
        <row r="3775">
          <cell r="A3775">
            <v>2019</v>
          </cell>
          <cell r="B3775" t="str">
            <v>Budget</v>
          </cell>
          <cell r="C3775" t="str">
            <v>Apr</v>
          </cell>
          <cell r="D3775" t="str">
            <v>Chairs</v>
          </cell>
          <cell r="E3775">
            <v>63168.945</v>
          </cell>
          <cell r="F3775">
            <v>4</v>
          </cell>
        </row>
        <row r="3776">
          <cell r="A3776">
            <v>2018</v>
          </cell>
          <cell r="B3776" t="str">
            <v>Actual</v>
          </cell>
          <cell r="C3776" t="str">
            <v>Apr</v>
          </cell>
          <cell r="D3776" t="str">
            <v>Tables</v>
          </cell>
          <cell r="E3776">
            <v>91755.901999999987</v>
          </cell>
          <cell r="F3776">
            <v>4</v>
          </cell>
        </row>
        <row r="3777">
          <cell r="A3777">
            <v>2019</v>
          </cell>
          <cell r="B3777" t="str">
            <v>Budget</v>
          </cell>
          <cell r="C3777" t="str">
            <v>Apr</v>
          </cell>
          <cell r="D3777" t="str">
            <v>Kitchen</v>
          </cell>
          <cell r="E3777">
            <v>1939289.5269999998</v>
          </cell>
          <cell r="F3777">
            <v>4</v>
          </cell>
        </row>
        <row r="3778">
          <cell r="A3778">
            <v>2018</v>
          </cell>
          <cell r="B3778" t="str">
            <v>Actual</v>
          </cell>
          <cell r="C3778" t="str">
            <v>Apr</v>
          </cell>
          <cell r="D3778" t="str">
            <v>Accessories</v>
          </cell>
          <cell r="E3778">
            <v>215218.15</v>
          </cell>
          <cell r="F3778">
            <v>4</v>
          </cell>
        </row>
        <row r="3779">
          <cell r="A3779">
            <v>2018</v>
          </cell>
          <cell r="B3779" t="str">
            <v>Budget</v>
          </cell>
          <cell r="C3779" t="str">
            <v>Apr</v>
          </cell>
          <cell r="D3779" t="str">
            <v>Chairs</v>
          </cell>
          <cell r="E3779">
            <v>188797.75599999999</v>
          </cell>
          <cell r="F3779">
            <v>4</v>
          </cell>
        </row>
        <row r="3780">
          <cell r="A3780">
            <v>2019</v>
          </cell>
          <cell r="B3780" t="str">
            <v>Actual</v>
          </cell>
          <cell r="C3780" t="str">
            <v>Apr</v>
          </cell>
          <cell r="D3780" t="str">
            <v>Chairs</v>
          </cell>
          <cell r="E3780">
            <v>507430.12599999999</v>
          </cell>
          <cell r="F3780">
            <v>4</v>
          </cell>
        </row>
        <row r="3781">
          <cell r="A3781">
            <v>2018</v>
          </cell>
          <cell r="B3781" t="str">
            <v>Budget</v>
          </cell>
          <cell r="C3781" t="str">
            <v>Apr</v>
          </cell>
          <cell r="D3781" t="str">
            <v>Tables</v>
          </cell>
          <cell r="E3781">
            <v>18329.962</v>
          </cell>
          <cell r="F3781">
            <v>4</v>
          </cell>
        </row>
        <row r="3782">
          <cell r="A3782">
            <v>2018</v>
          </cell>
          <cell r="B3782" t="str">
            <v>Actual</v>
          </cell>
          <cell r="C3782" t="str">
            <v>Apr</v>
          </cell>
          <cell r="D3782" t="str">
            <v>Kitchen</v>
          </cell>
          <cell r="E3782">
            <v>4565885.050999999</v>
          </cell>
          <cell r="F3782">
            <v>4</v>
          </cell>
        </row>
        <row r="3783">
          <cell r="A3783">
            <v>2019</v>
          </cell>
          <cell r="B3783" t="str">
            <v>Budget</v>
          </cell>
          <cell r="C3783" t="str">
            <v>Apr</v>
          </cell>
          <cell r="D3783" t="str">
            <v>Chairs</v>
          </cell>
          <cell r="E3783">
            <v>634978.22499999998</v>
          </cell>
          <cell r="F3783">
            <v>4</v>
          </cell>
        </row>
        <row r="3784">
          <cell r="A3784">
            <v>2019</v>
          </cell>
          <cell r="B3784" t="str">
            <v>Actual</v>
          </cell>
          <cell r="C3784" t="str">
            <v>Apr</v>
          </cell>
          <cell r="D3784" t="str">
            <v>Tables</v>
          </cell>
          <cell r="E3784">
            <v>807679.96399999992</v>
          </cell>
          <cell r="F3784">
            <v>4</v>
          </cell>
        </row>
        <row r="3785">
          <cell r="A3785">
            <v>2019</v>
          </cell>
          <cell r="B3785" t="str">
            <v>Budget</v>
          </cell>
          <cell r="C3785" t="str">
            <v>Apr</v>
          </cell>
          <cell r="D3785" t="str">
            <v>Kitchen</v>
          </cell>
          <cell r="E3785">
            <v>205780.33699999997</v>
          </cell>
          <cell r="F3785">
            <v>4</v>
          </cell>
        </row>
        <row r="3786">
          <cell r="A3786">
            <v>2019</v>
          </cell>
          <cell r="B3786" t="str">
            <v>Actual</v>
          </cell>
          <cell r="C3786" t="str">
            <v>Apr</v>
          </cell>
          <cell r="D3786" t="str">
            <v>Chairs</v>
          </cell>
          <cell r="E3786">
            <v>1316747.8729999999</v>
          </cell>
          <cell r="F3786">
            <v>4</v>
          </cell>
        </row>
        <row r="3787">
          <cell r="A3787">
            <v>2019</v>
          </cell>
          <cell r="B3787" t="str">
            <v>Budget</v>
          </cell>
          <cell r="C3787" t="str">
            <v>Apr</v>
          </cell>
          <cell r="D3787" t="str">
            <v>Tables</v>
          </cell>
          <cell r="E3787">
            <v>104504.79199999999</v>
          </cell>
          <cell r="F3787">
            <v>4</v>
          </cell>
        </row>
        <row r="3788">
          <cell r="A3788">
            <v>2018</v>
          </cell>
          <cell r="B3788" t="str">
            <v>Actual</v>
          </cell>
          <cell r="C3788" t="str">
            <v>Apr</v>
          </cell>
          <cell r="D3788" t="str">
            <v>Kitchen</v>
          </cell>
          <cell r="E3788">
            <v>1562927.3729999999</v>
          </cell>
          <cell r="F3788">
            <v>4</v>
          </cell>
        </row>
        <row r="3789">
          <cell r="A3789">
            <v>2018</v>
          </cell>
          <cell r="B3789" t="str">
            <v>Budget</v>
          </cell>
          <cell r="C3789" t="str">
            <v>Apr</v>
          </cell>
          <cell r="D3789" t="str">
            <v>Chairs</v>
          </cell>
          <cell r="E3789">
            <v>110736.57699999999</v>
          </cell>
          <cell r="F3789">
            <v>4</v>
          </cell>
        </row>
        <row r="3790">
          <cell r="A3790">
            <v>2018</v>
          </cell>
          <cell r="B3790" t="str">
            <v>Actual</v>
          </cell>
          <cell r="C3790" t="str">
            <v>Apr</v>
          </cell>
          <cell r="D3790" t="str">
            <v>Chairs</v>
          </cell>
          <cell r="E3790">
            <v>174201.07599999997</v>
          </cell>
          <cell r="F3790">
            <v>4</v>
          </cell>
        </row>
        <row r="3791">
          <cell r="A3791">
            <v>2019</v>
          </cell>
          <cell r="B3791" t="str">
            <v>Budget</v>
          </cell>
          <cell r="C3791" t="str">
            <v>Apr</v>
          </cell>
          <cell r="D3791" t="str">
            <v>Chairs</v>
          </cell>
          <cell r="E3791">
            <v>223726.26499999998</v>
          </cell>
          <cell r="F3791">
            <v>4</v>
          </cell>
        </row>
        <row r="3792">
          <cell r="A3792">
            <v>2019</v>
          </cell>
          <cell r="B3792" t="str">
            <v>Actual</v>
          </cell>
          <cell r="C3792" t="str">
            <v>Apr</v>
          </cell>
          <cell r="D3792" t="str">
            <v>Chairs</v>
          </cell>
          <cell r="E3792">
            <v>352409.65899999999</v>
          </cell>
          <cell r="F3792">
            <v>4</v>
          </cell>
        </row>
        <row r="3793">
          <cell r="A3793">
            <v>2018</v>
          </cell>
          <cell r="B3793" t="str">
            <v>Budget</v>
          </cell>
          <cell r="C3793" t="str">
            <v>Apr</v>
          </cell>
          <cell r="D3793" t="str">
            <v>Chairs</v>
          </cell>
          <cell r="E3793">
            <v>31819.361000000001</v>
          </cell>
          <cell r="F3793">
            <v>4</v>
          </cell>
        </row>
        <row r="3794">
          <cell r="A3794">
            <v>2019</v>
          </cell>
          <cell r="B3794" t="str">
            <v>Actual</v>
          </cell>
          <cell r="C3794" t="str">
            <v>Apr</v>
          </cell>
          <cell r="D3794" t="str">
            <v>Chairs</v>
          </cell>
          <cell r="E3794">
            <v>1597.12</v>
          </cell>
          <cell r="F3794">
            <v>4</v>
          </cell>
        </row>
        <row r="3795">
          <cell r="A3795">
            <v>2018</v>
          </cell>
          <cell r="B3795" t="str">
            <v>Budget</v>
          </cell>
          <cell r="C3795" t="str">
            <v>Apr</v>
          </cell>
          <cell r="D3795" t="str">
            <v>Chairs</v>
          </cell>
          <cell r="E3795">
            <v>89344.989999999991</v>
          </cell>
          <cell r="F3795">
            <v>4</v>
          </cell>
        </row>
        <row r="3796">
          <cell r="A3796">
            <v>2019</v>
          </cell>
          <cell r="B3796" t="str">
            <v>Actual</v>
          </cell>
          <cell r="C3796" t="str">
            <v>Apr</v>
          </cell>
          <cell r="D3796" t="str">
            <v>Chairs</v>
          </cell>
          <cell r="E3796">
            <v>162969.66699999999</v>
          </cell>
          <cell r="F3796">
            <v>4</v>
          </cell>
        </row>
        <row r="3797">
          <cell r="A3797">
            <v>2018</v>
          </cell>
          <cell r="B3797" t="str">
            <v>Budget</v>
          </cell>
          <cell r="C3797" t="str">
            <v>Apr</v>
          </cell>
          <cell r="D3797" t="str">
            <v>Chairs</v>
          </cell>
          <cell r="E3797">
            <v>153963.76799999998</v>
          </cell>
          <cell r="F3797">
            <v>4</v>
          </cell>
        </row>
        <row r="3798">
          <cell r="A3798">
            <v>2019</v>
          </cell>
          <cell r="B3798" t="str">
            <v>Actual</v>
          </cell>
          <cell r="C3798" t="str">
            <v>Apr</v>
          </cell>
          <cell r="D3798" t="str">
            <v>Chairs</v>
          </cell>
          <cell r="E3798">
            <v>167799.905</v>
          </cell>
          <cell r="F3798">
            <v>4</v>
          </cell>
        </row>
        <row r="3799">
          <cell r="A3799">
            <v>2019</v>
          </cell>
          <cell r="B3799" t="str">
            <v>Budget</v>
          </cell>
          <cell r="C3799" t="str">
            <v>Apr</v>
          </cell>
          <cell r="D3799" t="str">
            <v>Chairs</v>
          </cell>
          <cell r="E3799">
            <v>30286.235000000001</v>
          </cell>
          <cell r="F3799">
            <v>4</v>
          </cell>
        </row>
        <row r="3800">
          <cell r="A3800">
            <v>2018</v>
          </cell>
          <cell r="B3800" t="str">
            <v>Actual</v>
          </cell>
          <cell r="C3800" t="str">
            <v>Apr</v>
          </cell>
          <cell r="D3800" t="str">
            <v>Chairs</v>
          </cell>
          <cell r="E3800">
            <v>254963.36599999998</v>
          </cell>
          <cell r="F3800">
            <v>4</v>
          </cell>
        </row>
        <row r="3801">
          <cell r="A3801">
            <v>2019</v>
          </cell>
          <cell r="B3801" t="str">
            <v>Budget</v>
          </cell>
          <cell r="C3801" t="str">
            <v>Apr</v>
          </cell>
          <cell r="D3801" t="str">
            <v>Chairs</v>
          </cell>
          <cell r="E3801">
            <v>215472.62100000001</v>
          </cell>
          <cell r="F3801">
            <v>4</v>
          </cell>
        </row>
        <row r="3802">
          <cell r="A3802">
            <v>2019</v>
          </cell>
          <cell r="B3802" t="str">
            <v>Actual</v>
          </cell>
          <cell r="C3802" t="str">
            <v>Apr</v>
          </cell>
          <cell r="D3802" t="str">
            <v>Chairs</v>
          </cell>
          <cell r="E3802">
            <v>803721.625</v>
          </cell>
          <cell r="F3802">
            <v>4</v>
          </cell>
        </row>
        <row r="3803">
          <cell r="A3803">
            <v>2019</v>
          </cell>
          <cell r="B3803" t="str">
            <v>Budget</v>
          </cell>
          <cell r="C3803" t="str">
            <v>Apr</v>
          </cell>
          <cell r="D3803" t="str">
            <v>Chairs</v>
          </cell>
          <cell r="E3803">
            <v>67456.144</v>
          </cell>
          <cell r="F3803">
            <v>4</v>
          </cell>
        </row>
        <row r="3804">
          <cell r="A3804">
            <v>2018</v>
          </cell>
          <cell r="B3804" t="str">
            <v>Actual</v>
          </cell>
          <cell r="C3804" t="str">
            <v>Apr</v>
          </cell>
          <cell r="D3804" t="str">
            <v>Chairs</v>
          </cell>
          <cell r="E3804">
            <v>66406.312000000005</v>
          </cell>
          <cell r="F3804">
            <v>4</v>
          </cell>
        </row>
        <row r="3805">
          <cell r="A3805">
            <v>2018</v>
          </cell>
          <cell r="B3805" t="str">
            <v>Budget</v>
          </cell>
          <cell r="C3805" t="str">
            <v>Apr</v>
          </cell>
          <cell r="D3805" t="str">
            <v>Chairs</v>
          </cell>
          <cell r="E3805">
            <v>163187.269</v>
          </cell>
          <cell r="F3805">
            <v>4</v>
          </cell>
        </row>
        <row r="3806">
          <cell r="A3806">
            <v>2019</v>
          </cell>
          <cell r="B3806" t="str">
            <v>Actual</v>
          </cell>
          <cell r="C3806" t="str">
            <v>Apr</v>
          </cell>
          <cell r="D3806" t="str">
            <v>Chairs</v>
          </cell>
          <cell r="E3806">
            <v>162957.557</v>
          </cell>
          <cell r="F3806">
            <v>4</v>
          </cell>
        </row>
        <row r="3807">
          <cell r="A3807">
            <v>2019</v>
          </cell>
          <cell r="B3807" t="str">
            <v>Budget</v>
          </cell>
          <cell r="C3807" t="str">
            <v>Apr</v>
          </cell>
          <cell r="D3807" t="str">
            <v>Chairs</v>
          </cell>
          <cell r="E3807">
            <v>100276.148</v>
          </cell>
          <cell r="F3807">
            <v>4</v>
          </cell>
        </row>
        <row r="3808">
          <cell r="A3808">
            <v>2018</v>
          </cell>
          <cell r="B3808" t="str">
            <v>Actual</v>
          </cell>
          <cell r="C3808" t="str">
            <v>Apr</v>
          </cell>
          <cell r="D3808" t="str">
            <v>Chairs</v>
          </cell>
          <cell r="E3808">
            <v>-8458.5059999999994</v>
          </cell>
          <cell r="F3808">
            <v>4</v>
          </cell>
        </row>
        <row r="3809">
          <cell r="A3809">
            <v>2019</v>
          </cell>
          <cell r="B3809" t="str">
            <v>Budget</v>
          </cell>
          <cell r="C3809" t="str">
            <v>Apr</v>
          </cell>
          <cell r="D3809" t="str">
            <v>Chairs</v>
          </cell>
          <cell r="E3809">
            <v>246928.84299999996</v>
          </cell>
          <cell r="F3809">
            <v>4</v>
          </cell>
        </row>
        <row r="3810">
          <cell r="A3810">
            <v>2019</v>
          </cell>
          <cell r="B3810" t="str">
            <v>Actual</v>
          </cell>
          <cell r="C3810" t="str">
            <v>Apr</v>
          </cell>
          <cell r="D3810" t="str">
            <v>Chairs</v>
          </cell>
          <cell r="E3810">
            <v>193712.02899999998</v>
          </cell>
          <cell r="F3810">
            <v>4</v>
          </cell>
        </row>
        <row r="3811">
          <cell r="A3811">
            <v>2018</v>
          </cell>
          <cell r="B3811" t="str">
            <v>Budget</v>
          </cell>
          <cell r="C3811" t="str">
            <v>Apr</v>
          </cell>
          <cell r="D3811" t="str">
            <v>Chairs</v>
          </cell>
          <cell r="E3811">
            <v>1102280.865</v>
          </cell>
          <cell r="F3811">
            <v>4</v>
          </cell>
        </row>
        <row r="3812">
          <cell r="A3812">
            <v>2018</v>
          </cell>
          <cell r="B3812" t="str">
            <v>Actual</v>
          </cell>
          <cell r="C3812" t="str">
            <v>Apr</v>
          </cell>
          <cell r="D3812" t="str">
            <v>Chairs</v>
          </cell>
          <cell r="E3812">
            <v>145749.891</v>
          </cell>
          <cell r="F3812">
            <v>4</v>
          </cell>
        </row>
        <row r="3813">
          <cell r="A3813">
            <v>2019</v>
          </cell>
          <cell r="B3813" t="str">
            <v>Budget</v>
          </cell>
          <cell r="C3813" t="str">
            <v>Apr</v>
          </cell>
          <cell r="D3813" t="str">
            <v>Chairs</v>
          </cell>
          <cell r="E3813">
            <v>3666.7329999999993</v>
          </cell>
          <cell r="F3813">
            <v>4</v>
          </cell>
        </row>
        <row r="3814">
          <cell r="A3814">
            <v>2018</v>
          </cell>
          <cell r="B3814" t="str">
            <v>Actual</v>
          </cell>
          <cell r="C3814" t="str">
            <v>Apr</v>
          </cell>
          <cell r="D3814" t="str">
            <v>Chairs</v>
          </cell>
          <cell r="E3814">
            <v>267982.35800000001</v>
          </cell>
          <cell r="F3814">
            <v>4</v>
          </cell>
        </row>
        <row r="3815">
          <cell r="A3815">
            <v>2019</v>
          </cell>
          <cell r="B3815" t="str">
            <v>Budget</v>
          </cell>
          <cell r="C3815" t="str">
            <v>Apr</v>
          </cell>
          <cell r="D3815" t="str">
            <v>Tables</v>
          </cell>
          <cell r="E3815">
            <v>392962.36</v>
          </cell>
          <cell r="F3815">
            <v>4</v>
          </cell>
        </row>
        <row r="3816">
          <cell r="A3816">
            <v>2018</v>
          </cell>
          <cell r="B3816" t="str">
            <v>Actual</v>
          </cell>
          <cell r="C3816" t="str">
            <v>Apr</v>
          </cell>
          <cell r="D3816" t="str">
            <v>Kitchen</v>
          </cell>
          <cell r="E3816">
            <v>1279054.1259999999</v>
          </cell>
          <cell r="F3816">
            <v>4</v>
          </cell>
        </row>
        <row r="3817">
          <cell r="A3817">
            <v>2019</v>
          </cell>
          <cell r="B3817" t="str">
            <v>Budget</v>
          </cell>
          <cell r="C3817" t="str">
            <v>Apr</v>
          </cell>
          <cell r="D3817" t="str">
            <v>Chairs</v>
          </cell>
          <cell r="E3817">
            <v>-21829.255000000001</v>
          </cell>
          <cell r="F3817">
            <v>4</v>
          </cell>
        </row>
        <row r="3818">
          <cell r="A3818">
            <v>2019</v>
          </cell>
          <cell r="B3818" t="str">
            <v>Actual</v>
          </cell>
          <cell r="C3818" t="str">
            <v>Apr</v>
          </cell>
          <cell r="D3818" t="str">
            <v>Chairs</v>
          </cell>
          <cell r="E3818">
            <v>596828.15500000003</v>
          </cell>
          <cell r="F3818">
            <v>4</v>
          </cell>
        </row>
        <row r="3819">
          <cell r="A3819">
            <v>2018</v>
          </cell>
          <cell r="B3819" t="str">
            <v>Budget</v>
          </cell>
          <cell r="C3819" t="str">
            <v>Apr</v>
          </cell>
          <cell r="D3819" t="str">
            <v>Chairs</v>
          </cell>
          <cell r="E3819">
            <v>3200971.361</v>
          </cell>
          <cell r="F3819">
            <v>4</v>
          </cell>
        </row>
        <row r="3820">
          <cell r="A3820">
            <v>2019</v>
          </cell>
          <cell r="B3820" t="str">
            <v>Actual</v>
          </cell>
          <cell r="C3820" t="str">
            <v>Apr</v>
          </cell>
          <cell r="D3820" t="str">
            <v>Chairs</v>
          </cell>
          <cell r="E3820">
            <v>882497.46899999992</v>
          </cell>
          <cell r="F3820">
            <v>4</v>
          </cell>
        </row>
        <row r="3821">
          <cell r="A3821">
            <v>2019</v>
          </cell>
          <cell r="B3821" t="str">
            <v>Budget</v>
          </cell>
          <cell r="C3821" t="str">
            <v>Apr</v>
          </cell>
          <cell r="D3821" t="str">
            <v>Chairs</v>
          </cell>
          <cell r="E3821">
            <v>363381.31199999998</v>
          </cell>
          <cell r="F3821">
            <v>4</v>
          </cell>
        </row>
        <row r="3822">
          <cell r="A3822">
            <v>2019</v>
          </cell>
          <cell r="B3822" t="str">
            <v>Actual</v>
          </cell>
          <cell r="C3822" t="str">
            <v>Apr</v>
          </cell>
          <cell r="D3822" t="str">
            <v>Tables</v>
          </cell>
          <cell r="E3822">
            <v>1520436.3579999998</v>
          </cell>
          <cell r="F3822">
            <v>4</v>
          </cell>
        </row>
        <row r="3823">
          <cell r="A3823">
            <v>2019</v>
          </cell>
          <cell r="B3823" t="str">
            <v>Budget</v>
          </cell>
          <cell r="C3823" t="str">
            <v>Apr</v>
          </cell>
          <cell r="D3823" t="str">
            <v>Kitchen</v>
          </cell>
          <cell r="E3823">
            <v>2705651.13</v>
          </cell>
          <cell r="F3823">
            <v>4</v>
          </cell>
        </row>
        <row r="3824">
          <cell r="A3824">
            <v>2018</v>
          </cell>
          <cell r="B3824" t="str">
            <v>Actual</v>
          </cell>
          <cell r="C3824" t="str">
            <v>Apr</v>
          </cell>
          <cell r="D3824" t="str">
            <v>Chairs</v>
          </cell>
          <cell r="E3824">
            <v>78065.126999999993</v>
          </cell>
          <cell r="F3824">
            <v>4</v>
          </cell>
        </row>
        <row r="3825">
          <cell r="A3825">
            <v>2018</v>
          </cell>
          <cell r="B3825" t="str">
            <v>Budget</v>
          </cell>
          <cell r="C3825" t="str">
            <v>Apr</v>
          </cell>
          <cell r="D3825" t="str">
            <v>Chairs</v>
          </cell>
          <cell r="E3825">
            <v>1785952.7</v>
          </cell>
          <cell r="F3825">
            <v>4</v>
          </cell>
        </row>
        <row r="3826">
          <cell r="A3826">
            <v>2018</v>
          </cell>
          <cell r="B3826" t="str">
            <v>Actual</v>
          </cell>
          <cell r="C3826" t="str">
            <v>Apr</v>
          </cell>
          <cell r="D3826" t="str">
            <v>Chairs</v>
          </cell>
          <cell r="E3826">
            <v>2507240.0430000001</v>
          </cell>
          <cell r="F3826">
            <v>4</v>
          </cell>
        </row>
        <row r="3827">
          <cell r="A3827">
            <v>2019</v>
          </cell>
          <cell r="B3827" t="str">
            <v>Budget</v>
          </cell>
          <cell r="C3827" t="str">
            <v>Apr</v>
          </cell>
          <cell r="D3827" t="str">
            <v>Tables</v>
          </cell>
          <cell r="E3827">
            <v>2031156.3159999999</v>
          </cell>
          <cell r="F3827">
            <v>4</v>
          </cell>
        </row>
        <row r="3828">
          <cell r="A3828">
            <v>2019</v>
          </cell>
          <cell r="B3828" t="str">
            <v>Actual</v>
          </cell>
          <cell r="C3828" t="str">
            <v>Apr</v>
          </cell>
          <cell r="D3828" t="str">
            <v>Kitchen</v>
          </cell>
          <cell r="E3828">
            <v>779513.51099999994</v>
          </cell>
          <cell r="F3828">
            <v>4</v>
          </cell>
        </row>
        <row r="3829">
          <cell r="A3829">
            <v>2018</v>
          </cell>
          <cell r="B3829" t="str">
            <v>Budget</v>
          </cell>
          <cell r="C3829" t="str">
            <v>Apr</v>
          </cell>
          <cell r="D3829" t="str">
            <v>Chairs</v>
          </cell>
          <cell r="E3829">
            <v>450329.99200000003</v>
          </cell>
          <cell r="F3829">
            <v>4</v>
          </cell>
        </row>
        <row r="3830">
          <cell r="A3830">
            <v>2018</v>
          </cell>
          <cell r="B3830" t="str">
            <v>Actual</v>
          </cell>
          <cell r="C3830" t="str">
            <v>Apr</v>
          </cell>
          <cell r="D3830" t="str">
            <v>Chairs</v>
          </cell>
          <cell r="E3830">
            <v>1502370.6040000001</v>
          </cell>
          <cell r="F3830">
            <v>4</v>
          </cell>
        </row>
        <row r="3831">
          <cell r="A3831">
            <v>2019</v>
          </cell>
          <cell r="B3831" t="str">
            <v>Budget</v>
          </cell>
          <cell r="C3831" t="str">
            <v>Apr</v>
          </cell>
          <cell r="D3831" t="str">
            <v>Tables</v>
          </cell>
          <cell r="E3831">
            <v>21229.942999999999</v>
          </cell>
          <cell r="F3831">
            <v>4</v>
          </cell>
        </row>
        <row r="3832">
          <cell r="A3832">
            <v>2019</v>
          </cell>
          <cell r="B3832" t="str">
            <v>Actual</v>
          </cell>
          <cell r="C3832" t="str">
            <v>Apr</v>
          </cell>
          <cell r="D3832" t="str">
            <v>Kitchen</v>
          </cell>
          <cell r="E3832">
            <v>573177.32499999995</v>
          </cell>
          <cell r="F3832">
            <v>4</v>
          </cell>
        </row>
        <row r="3833">
          <cell r="A3833">
            <v>2019</v>
          </cell>
          <cell r="B3833" t="str">
            <v>Budget</v>
          </cell>
          <cell r="C3833" t="str">
            <v>Apr</v>
          </cell>
          <cell r="D3833" t="str">
            <v>Chairs</v>
          </cell>
          <cell r="E3833">
            <v>233449.72699999998</v>
          </cell>
          <cell r="F3833">
            <v>4</v>
          </cell>
        </row>
        <row r="3834">
          <cell r="A3834">
            <v>2018</v>
          </cell>
          <cell r="B3834" t="str">
            <v>Actual</v>
          </cell>
          <cell r="C3834" t="str">
            <v>Apr</v>
          </cell>
          <cell r="D3834" t="str">
            <v>Chairs</v>
          </cell>
          <cell r="E3834">
            <v>30139.339999999997</v>
          </cell>
          <cell r="F3834">
            <v>4</v>
          </cell>
        </row>
        <row r="3835">
          <cell r="A3835">
            <v>2019</v>
          </cell>
          <cell r="B3835" t="str">
            <v>Budget</v>
          </cell>
          <cell r="C3835" t="str">
            <v>Apr</v>
          </cell>
          <cell r="D3835" t="str">
            <v>Tables</v>
          </cell>
          <cell r="E3835">
            <v>39716.543999999994</v>
          </cell>
          <cell r="F3835">
            <v>4</v>
          </cell>
        </row>
        <row r="3836">
          <cell r="A3836">
            <v>2018</v>
          </cell>
          <cell r="B3836" t="str">
            <v>Actual</v>
          </cell>
          <cell r="C3836" t="str">
            <v>Apr</v>
          </cell>
          <cell r="D3836" t="str">
            <v>Kitchen</v>
          </cell>
          <cell r="E3836">
            <v>40450.305</v>
          </cell>
          <cell r="F3836">
            <v>4</v>
          </cell>
        </row>
        <row r="3837">
          <cell r="A3837">
            <v>2019</v>
          </cell>
          <cell r="B3837" t="str">
            <v>Budget</v>
          </cell>
          <cell r="C3837" t="str">
            <v>Apr</v>
          </cell>
          <cell r="D3837" t="str">
            <v>Accessories</v>
          </cell>
          <cell r="E3837">
            <v>31438.889999999996</v>
          </cell>
          <cell r="F3837">
            <v>4</v>
          </cell>
        </row>
        <row r="3838">
          <cell r="A3838">
            <v>2019</v>
          </cell>
          <cell r="B3838" t="str">
            <v>Actual</v>
          </cell>
          <cell r="C3838" t="str">
            <v>Apr</v>
          </cell>
          <cell r="D3838" t="str">
            <v>Chairs</v>
          </cell>
          <cell r="E3838">
            <v>86024.791999999987</v>
          </cell>
          <cell r="F3838">
            <v>4</v>
          </cell>
        </row>
        <row r="3839">
          <cell r="A3839">
            <v>2018</v>
          </cell>
          <cell r="B3839" t="str">
            <v>Budget</v>
          </cell>
          <cell r="C3839" t="str">
            <v>Apr</v>
          </cell>
          <cell r="D3839" t="str">
            <v>Tables</v>
          </cell>
          <cell r="E3839">
            <v>28664.831999999999</v>
          </cell>
          <cell r="F3839">
            <v>4</v>
          </cell>
        </row>
        <row r="3840">
          <cell r="A3840">
            <v>2019</v>
          </cell>
          <cell r="B3840" t="str">
            <v>Actual</v>
          </cell>
          <cell r="C3840" t="str">
            <v>Apr</v>
          </cell>
          <cell r="D3840" t="str">
            <v>Kitchen</v>
          </cell>
          <cell r="E3840">
            <v>46523.498</v>
          </cell>
          <cell r="F3840">
            <v>4</v>
          </cell>
        </row>
        <row r="3841">
          <cell r="A3841">
            <v>2018</v>
          </cell>
          <cell r="B3841" t="str">
            <v>Budget</v>
          </cell>
          <cell r="C3841" t="str">
            <v>Apr</v>
          </cell>
          <cell r="D3841" t="str">
            <v>Accessories</v>
          </cell>
          <cell r="E3841">
            <v>19611.48</v>
          </cell>
          <cell r="F3841">
            <v>4</v>
          </cell>
        </row>
        <row r="3842">
          <cell r="A3842">
            <v>2019</v>
          </cell>
          <cell r="B3842" t="str">
            <v>Actual</v>
          </cell>
          <cell r="C3842" t="str">
            <v>Apr</v>
          </cell>
          <cell r="D3842" t="str">
            <v>Chairs</v>
          </cell>
          <cell r="E3842">
            <v>142336.383</v>
          </cell>
          <cell r="F3842">
            <v>4</v>
          </cell>
        </row>
        <row r="3843">
          <cell r="A3843">
            <v>2019</v>
          </cell>
          <cell r="B3843" t="str">
            <v>Budget</v>
          </cell>
          <cell r="C3843" t="str">
            <v>Apr</v>
          </cell>
          <cell r="D3843" t="str">
            <v>Tables</v>
          </cell>
          <cell r="E3843">
            <v>59341.435999999994</v>
          </cell>
          <cell r="F3843">
            <v>4</v>
          </cell>
        </row>
        <row r="3844">
          <cell r="A3844">
            <v>2018</v>
          </cell>
          <cell r="B3844" t="str">
            <v>Actual</v>
          </cell>
          <cell r="C3844" t="str">
            <v>Apr</v>
          </cell>
          <cell r="D3844" t="str">
            <v>Kitchen</v>
          </cell>
          <cell r="E3844">
            <v>156651.25</v>
          </cell>
          <cell r="F3844">
            <v>4</v>
          </cell>
        </row>
        <row r="3845">
          <cell r="A3845">
            <v>2018</v>
          </cell>
          <cell r="B3845" t="str">
            <v>Budget</v>
          </cell>
          <cell r="C3845" t="str">
            <v>Apr</v>
          </cell>
          <cell r="D3845" t="str">
            <v>Accessories</v>
          </cell>
          <cell r="E3845">
            <v>660226.76299999992</v>
          </cell>
          <cell r="F3845">
            <v>4</v>
          </cell>
        </row>
        <row r="3846">
          <cell r="A3846">
            <v>2019</v>
          </cell>
          <cell r="B3846" t="str">
            <v>Actual</v>
          </cell>
          <cell r="C3846" t="str">
            <v>Apr</v>
          </cell>
          <cell r="D3846" t="str">
            <v>Chairs</v>
          </cell>
          <cell r="E3846">
            <v>4350636.682</v>
          </cell>
          <cell r="F3846">
            <v>4</v>
          </cell>
        </row>
        <row r="3847">
          <cell r="A3847">
            <v>2019</v>
          </cell>
          <cell r="B3847" t="str">
            <v>Budget</v>
          </cell>
          <cell r="C3847" t="str">
            <v>Apr</v>
          </cell>
          <cell r="D3847" t="str">
            <v>Tables</v>
          </cell>
          <cell r="E3847">
            <v>62373.800999999992</v>
          </cell>
          <cell r="F3847">
            <v>4</v>
          </cell>
        </row>
        <row r="3848">
          <cell r="A3848">
            <v>2018</v>
          </cell>
          <cell r="B3848" t="str">
            <v>Actual</v>
          </cell>
          <cell r="C3848" t="str">
            <v>Apr</v>
          </cell>
          <cell r="D3848" t="str">
            <v>Kitchen</v>
          </cell>
          <cell r="E3848">
            <v>86515.463999999993</v>
          </cell>
          <cell r="F3848">
            <v>4</v>
          </cell>
        </row>
        <row r="3849">
          <cell r="A3849">
            <v>2018</v>
          </cell>
          <cell r="B3849" t="str">
            <v>Budget</v>
          </cell>
          <cell r="C3849" t="str">
            <v>Apr</v>
          </cell>
          <cell r="D3849" t="str">
            <v>Accessories</v>
          </cell>
          <cell r="E3849">
            <v>59197.403999999995</v>
          </cell>
          <cell r="F3849">
            <v>4</v>
          </cell>
        </row>
        <row r="3850">
          <cell r="A3850">
            <v>2019</v>
          </cell>
          <cell r="B3850" t="str">
            <v>Actual</v>
          </cell>
          <cell r="C3850" t="str">
            <v>Apr</v>
          </cell>
          <cell r="D3850" t="str">
            <v>Chairs</v>
          </cell>
          <cell r="E3850">
            <v>88343.303999999989</v>
          </cell>
          <cell r="F3850">
            <v>4</v>
          </cell>
        </row>
        <row r="3851">
          <cell r="A3851">
            <v>2018</v>
          </cell>
          <cell r="B3851" t="str">
            <v>Budget</v>
          </cell>
          <cell r="C3851" t="str">
            <v>Apr</v>
          </cell>
          <cell r="D3851" t="str">
            <v>Tables</v>
          </cell>
          <cell r="E3851">
            <v>372422.47699999996</v>
          </cell>
          <cell r="F3851">
            <v>4</v>
          </cell>
        </row>
        <row r="3852">
          <cell r="A3852">
            <v>2019</v>
          </cell>
          <cell r="B3852" t="str">
            <v>Actual</v>
          </cell>
          <cell r="C3852" t="str">
            <v>Apr</v>
          </cell>
          <cell r="D3852" t="str">
            <v>Kitchen</v>
          </cell>
          <cell r="E3852">
            <v>232281.15399999995</v>
          </cell>
          <cell r="F3852">
            <v>4</v>
          </cell>
        </row>
        <row r="3853">
          <cell r="A3853">
            <v>2019</v>
          </cell>
          <cell r="B3853" t="str">
            <v>Budget</v>
          </cell>
          <cell r="C3853" t="str">
            <v>Apr</v>
          </cell>
          <cell r="D3853" t="str">
            <v>Accessories</v>
          </cell>
          <cell r="E3853">
            <v>141027.698</v>
          </cell>
          <cell r="F3853">
            <v>4</v>
          </cell>
        </row>
        <row r="3854">
          <cell r="A3854">
            <v>2019</v>
          </cell>
          <cell r="B3854" t="str">
            <v>Actual</v>
          </cell>
          <cell r="C3854" t="str">
            <v>Apr</v>
          </cell>
          <cell r="D3854" t="str">
            <v>Chairs</v>
          </cell>
          <cell r="E3854">
            <v>76724.416999999987</v>
          </cell>
          <cell r="F3854">
            <v>4</v>
          </cell>
        </row>
        <row r="3855">
          <cell r="A3855">
            <v>2018</v>
          </cell>
          <cell r="B3855" t="str">
            <v>Budget</v>
          </cell>
          <cell r="C3855" t="str">
            <v>Apr</v>
          </cell>
          <cell r="D3855" t="str">
            <v>Chairs</v>
          </cell>
          <cell r="E3855">
            <v>90548.058999999994</v>
          </cell>
          <cell r="F3855">
            <v>4</v>
          </cell>
        </row>
        <row r="3856">
          <cell r="A3856">
            <v>2018</v>
          </cell>
          <cell r="B3856" t="str">
            <v>Actual</v>
          </cell>
          <cell r="C3856" t="str">
            <v>Apr</v>
          </cell>
          <cell r="D3856" t="str">
            <v>Tables</v>
          </cell>
          <cell r="E3856">
            <v>80832.016999999993</v>
          </cell>
          <cell r="F3856">
            <v>4</v>
          </cell>
        </row>
        <row r="3857">
          <cell r="A3857">
            <v>2018</v>
          </cell>
          <cell r="B3857" t="str">
            <v>Budget</v>
          </cell>
          <cell r="C3857" t="str">
            <v>Apr</v>
          </cell>
          <cell r="D3857" t="str">
            <v>Kitchen</v>
          </cell>
          <cell r="E3857">
            <v>584575.73999999987</v>
          </cell>
          <cell r="F3857">
            <v>4</v>
          </cell>
        </row>
        <row r="3858">
          <cell r="A3858">
            <v>2019</v>
          </cell>
          <cell r="B3858" t="str">
            <v>Actual</v>
          </cell>
          <cell r="C3858" t="str">
            <v>Apr</v>
          </cell>
          <cell r="D3858" t="str">
            <v>Chairs</v>
          </cell>
          <cell r="E3858">
            <v>522433.576</v>
          </cell>
          <cell r="F3858">
            <v>4</v>
          </cell>
        </row>
        <row r="3859">
          <cell r="A3859">
            <v>2019</v>
          </cell>
          <cell r="B3859" t="str">
            <v>Budget</v>
          </cell>
          <cell r="C3859" t="str">
            <v>Apr</v>
          </cell>
          <cell r="D3859" t="str">
            <v>Tables</v>
          </cell>
          <cell r="E3859">
            <v>24810.218999999997</v>
          </cell>
          <cell r="F3859">
            <v>4</v>
          </cell>
        </row>
        <row r="3860">
          <cell r="A3860">
            <v>2018</v>
          </cell>
          <cell r="B3860" t="str">
            <v>Actual</v>
          </cell>
          <cell r="C3860" t="str">
            <v>Apr</v>
          </cell>
          <cell r="D3860" t="str">
            <v>Kitchen</v>
          </cell>
          <cell r="E3860">
            <v>168176.44199999998</v>
          </cell>
          <cell r="F3860">
            <v>4</v>
          </cell>
        </row>
        <row r="3861">
          <cell r="A3861">
            <v>2019</v>
          </cell>
          <cell r="B3861" t="str">
            <v>Budget</v>
          </cell>
          <cell r="C3861" t="str">
            <v>Apr</v>
          </cell>
          <cell r="D3861" t="str">
            <v>Chairs</v>
          </cell>
          <cell r="E3861">
            <v>240132.99099999998</v>
          </cell>
          <cell r="F3861">
            <v>4</v>
          </cell>
        </row>
        <row r="3862">
          <cell r="A3862">
            <v>2019</v>
          </cell>
          <cell r="B3862" t="str">
            <v>Actual</v>
          </cell>
          <cell r="C3862" t="str">
            <v>Apr</v>
          </cell>
          <cell r="D3862" t="str">
            <v>Tables</v>
          </cell>
          <cell r="E3862">
            <v>372061.44499999995</v>
          </cell>
          <cell r="F3862">
            <v>4</v>
          </cell>
        </row>
        <row r="3863">
          <cell r="A3863">
            <v>2019</v>
          </cell>
          <cell r="B3863" t="str">
            <v>Budget</v>
          </cell>
          <cell r="C3863" t="str">
            <v>Apr</v>
          </cell>
          <cell r="D3863" t="str">
            <v>Kitchen</v>
          </cell>
          <cell r="E3863">
            <v>423371.84399999998</v>
          </cell>
          <cell r="F3863">
            <v>4</v>
          </cell>
        </row>
        <row r="3864">
          <cell r="A3864">
            <v>2019</v>
          </cell>
          <cell r="B3864" t="str">
            <v>Actual</v>
          </cell>
          <cell r="C3864" t="str">
            <v>Apr</v>
          </cell>
          <cell r="D3864" t="str">
            <v>Chairs</v>
          </cell>
          <cell r="E3864">
            <v>400128.30199999997</v>
          </cell>
          <cell r="F3864">
            <v>4</v>
          </cell>
        </row>
        <row r="3865">
          <cell r="A3865">
            <v>2018</v>
          </cell>
          <cell r="B3865" t="str">
            <v>Budget</v>
          </cell>
          <cell r="C3865" t="str">
            <v>Apr</v>
          </cell>
          <cell r="D3865" t="str">
            <v>Chairs</v>
          </cell>
          <cell r="E3865">
            <v>345243.50699999998</v>
          </cell>
          <cell r="F3865">
            <v>4</v>
          </cell>
        </row>
        <row r="3866">
          <cell r="A3866">
            <v>2019</v>
          </cell>
          <cell r="B3866" t="str">
            <v>Actual</v>
          </cell>
          <cell r="C3866" t="str">
            <v>Apr</v>
          </cell>
          <cell r="D3866" t="str">
            <v>Chairs</v>
          </cell>
          <cell r="E3866">
            <v>343356.65700000001</v>
          </cell>
          <cell r="F3866">
            <v>4</v>
          </cell>
        </row>
        <row r="3867">
          <cell r="A3867">
            <v>2019</v>
          </cell>
          <cell r="B3867" t="str">
            <v>Budget</v>
          </cell>
          <cell r="C3867" t="str">
            <v>Apr</v>
          </cell>
          <cell r="D3867" t="str">
            <v>Chairs</v>
          </cell>
          <cell r="E3867">
            <v>51686.466999999997</v>
          </cell>
          <cell r="F3867">
            <v>4</v>
          </cell>
        </row>
        <row r="3868">
          <cell r="A3868">
            <v>2018</v>
          </cell>
          <cell r="B3868" t="str">
            <v>Actual</v>
          </cell>
          <cell r="C3868" t="str">
            <v>Apr</v>
          </cell>
          <cell r="D3868" t="str">
            <v>Chairs</v>
          </cell>
          <cell r="E3868">
            <v>198834.59399999998</v>
          </cell>
          <cell r="F3868">
            <v>4</v>
          </cell>
        </row>
        <row r="3869">
          <cell r="A3869">
            <v>2019</v>
          </cell>
          <cell r="B3869" t="str">
            <v>Budget</v>
          </cell>
          <cell r="C3869" t="str">
            <v>Apr</v>
          </cell>
          <cell r="D3869" t="str">
            <v>Chairs</v>
          </cell>
          <cell r="E3869">
            <v>2128701.3229999999</v>
          </cell>
          <cell r="F3869">
            <v>4</v>
          </cell>
        </row>
        <row r="3870">
          <cell r="A3870">
            <v>2019</v>
          </cell>
          <cell r="B3870" t="str">
            <v>Actual</v>
          </cell>
          <cell r="C3870" t="str">
            <v>Apr</v>
          </cell>
          <cell r="D3870" t="str">
            <v>Chairs</v>
          </cell>
          <cell r="E3870">
            <v>4304755.0489999996</v>
          </cell>
          <cell r="F3870">
            <v>4</v>
          </cell>
        </row>
        <row r="3871">
          <cell r="A3871">
            <v>2018</v>
          </cell>
          <cell r="B3871" t="str">
            <v>Budget</v>
          </cell>
          <cell r="C3871" t="str">
            <v>Apr</v>
          </cell>
          <cell r="D3871" t="str">
            <v>Chairs</v>
          </cell>
          <cell r="E3871">
            <v>122464.25099999999</v>
          </cell>
          <cell r="F3871">
            <v>4</v>
          </cell>
        </row>
        <row r="3872">
          <cell r="A3872">
            <v>2019</v>
          </cell>
          <cell r="B3872" t="str">
            <v>Actual</v>
          </cell>
          <cell r="C3872" t="str">
            <v>Apr</v>
          </cell>
          <cell r="D3872" t="str">
            <v>Chairs</v>
          </cell>
          <cell r="E3872">
            <v>122871.34299999998</v>
          </cell>
          <cell r="F3872">
            <v>4</v>
          </cell>
        </row>
        <row r="3873">
          <cell r="A3873">
            <v>2019</v>
          </cell>
          <cell r="B3873" t="str">
            <v>Budget</v>
          </cell>
          <cell r="C3873" t="str">
            <v>Apr</v>
          </cell>
          <cell r="D3873" t="str">
            <v>Chairs</v>
          </cell>
          <cell r="E3873">
            <v>487213.56599999999</v>
          </cell>
          <cell r="F3873">
            <v>4</v>
          </cell>
        </row>
        <row r="3874">
          <cell r="A3874">
            <v>2018</v>
          </cell>
          <cell r="B3874" t="str">
            <v>Actual</v>
          </cell>
          <cell r="C3874" t="str">
            <v>Apr</v>
          </cell>
          <cell r="D3874" t="str">
            <v>Chairs</v>
          </cell>
          <cell r="E3874">
            <v>-55866.447</v>
          </cell>
          <cell r="F3874">
            <v>4</v>
          </cell>
        </row>
        <row r="3875">
          <cell r="A3875">
            <v>2018</v>
          </cell>
          <cell r="B3875" t="str">
            <v>Budget</v>
          </cell>
          <cell r="C3875" t="str">
            <v>Apr</v>
          </cell>
          <cell r="D3875" t="str">
            <v>Chairs</v>
          </cell>
          <cell r="E3875">
            <v>98808.030999999988</v>
          </cell>
          <cell r="F3875">
            <v>4</v>
          </cell>
        </row>
        <row r="3876">
          <cell r="A3876">
            <v>2018</v>
          </cell>
          <cell r="B3876" t="str">
            <v>Actual</v>
          </cell>
          <cell r="C3876" t="str">
            <v>Apr</v>
          </cell>
          <cell r="D3876" t="str">
            <v>Chairs</v>
          </cell>
          <cell r="E3876">
            <v>-34911.540999999997</v>
          </cell>
          <cell r="F3876">
            <v>4</v>
          </cell>
        </row>
        <row r="3877">
          <cell r="A3877">
            <v>2018</v>
          </cell>
          <cell r="B3877" t="str">
            <v>Budget</v>
          </cell>
          <cell r="C3877" t="str">
            <v>Apr</v>
          </cell>
          <cell r="D3877" t="str">
            <v>Chairs</v>
          </cell>
          <cell r="E3877">
            <v>127491.93799999999</v>
          </cell>
          <cell r="F3877">
            <v>4</v>
          </cell>
        </row>
        <row r="3878">
          <cell r="A3878">
            <v>2018</v>
          </cell>
          <cell r="B3878" t="str">
            <v>Actual</v>
          </cell>
          <cell r="C3878" t="str">
            <v>Apr</v>
          </cell>
          <cell r="D3878" t="str">
            <v>Chairs</v>
          </cell>
          <cell r="E3878">
            <v>27160859.753999997</v>
          </cell>
          <cell r="F3878">
            <v>4</v>
          </cell>
        </row>
        <row r="3879">
          <cell r="A3879">
            <v>2018</v>
          </cell>
          <cell r="B3879" t="str">
            <v>Budget</v>
          </cell>
          <cell r="C3879" t="str">
            <v>Apr</v>
          </cell>
          <cell r="D3879" t="str">
            <v>Chairs</v>
          </cell>
          <cell r="E3879">
            <v>22324599.492999997</v>
          </cell>
          <cell r="F3879">
            <v>4</v>
          </cell>
        </row>
        <row r="3880">
          <cell r="A3880">
            <v>2019</v>
          </cell>
          <cell r="B3880" t="str">
            <v>Actual</v>
          </cell>
          <cell r="C3880" t="str">
            <v>Apr</v>
          </cell>
          <cell r="D3880" t="str">
            <v>Chairs</v>
          </cell>
          <cell r="E3880">
            <v>44306.36</v>
          </cell>
          <cell r="F3880">
            <v>4</v>
          </cell>
        </row>
        <row r="3881">
          <cell r="A3881">
            <v>2019</v>
          </cell>
          <cell r="B3881" t="str">
            <v>Budget</v>
          </cell>
          <cell r="C3881" t="str">
            <v>Apr</v>
          </cell>
          <cell r="D3881" t="str">
            <v>Chairs</v>
          </cell>
          <cell r="E3881">
            <v>61469.638999999996</v>
          </cell>
          <cell r="F3881">
            <v>4</v>
          </cell>
        </row>
        <row r="3882">
          <cell r="A3882">
            <v>2018</v>
          </cell>
          <cell r="B3882" t="str">
            <v>Actual</v>
          </cell>
          <cell r="C3882" t="str">
            <v>Apr</v>
          </cell>
          <cell r="D3882" t="str">
            <v>Chairs</v>
          </cell>
          <cell r="E3882">
            <v>5975.7879999999996</v>
          </cell>
          <cell r="F3882">
            <v>4</v>
          </cell>
        </row>
        <row r="3883">
          <cell r="A3883">
            <v>2018</v>
          </cell>
          <cell r="B3883" t="str">
            <v>Budget</v>
          </cell>
          <cell r="C3883" t="str">
            <v>Apr</v>
          </cell>
          <cell r="D3883" t="str">
            <v>Chairs</v>
          </cell>
          <cell r="E3883">
            <v>10007.647999999999</v>
          </cell>
          <cell r="F3883">
            <v>4</v>
          </cell>
        </row>
        <row r="3884">
          <cell r="A3884">
            <v>2019</v>
          </cell>
          <cell r="B3884" t="str">
            <v>Actual</v>
          </cell>
          <cell r="C3884" t="str">
            <v>Apr</v>
          </cell>
          <cell r="D3884" t="str">
            <v>Chairs</v>
          </cell>
          <cell r="E3884">
            <v>2551.6610000000001</v>
          </cell>
          <cell r="F3884">
            <v>4</v>
          </cell>
        </row>
        <row r="3885">
          <cell r="A3885">
            <v>2018</v>
          </cell>
          <cell r="B3885" t="str">
            <v>Budget</v>
          </cell>
          <cell r="C3885" t="str">
            <v>Apr</v>
          </cell>
          <cell r="D3885" t="str">
            <v>Chairs</v>
          </cell>
          <cell r="E3885">
            <v>39331.606999999996</v>
          </cell>
          <cell r="F3885">
            <v>4</v>
          </cell>
        </row>
        <row r="3886">
          <cell r="A3886">
            <v>2018</v>
          </cell>
          <cell r="B3886" t="str">
            <v>Actual</v>
          </cell>
          <cell r="C3886" t="str">
            <v>Apr</v>
          </cell>
          <cell r="D3886" t="str">
            <v>Chairs</v>
          </cell>
          <cell r="E3886">
            <v>32567.765999999996</v>
          </cell>
          <cell r="F3886">
            <v>4</v>
          </cell>
        </row>
        <row r="3887">
          <cell r="A3887">
            <v>2019</v>
          </cell>
          <cell r="B3887" t="str">
            <v>Budget</v>
          </cell>
          <cell r="C3887" t="str">
            <v>Apr</v>
          </cell>
          <cell r="D3887" t="str">
            <v>Chairs</v>
          </cell>
          <cell r="E3887">
            <v>134506.12</v>
          </cell>
          <cell r="F3887">
            <v>4</v>
          </cell>
        </row>
        <row r="3888">
          <cell r="A3888">
            <v>2019</v>
          </cell>
          <cell r="B3888" t="str">
            <v>Actual</v>
          </cell>
          <cell r="C3888" t="str">
            <v>Apr</v>
          </cell>
          <cell r="D3888" t="str">
            <v>Chairs</v>
          </cell>
          <cell r="E3888">
            <v>45273687.206999995</v>
          </cell>
          <cell r="F3888">
            <v>4</v>
          </cell>
        </row>
        <row r="3889">
          <cell r="A3889">
            <v>2019</v>
          </cell>
          <cell r="B3889" t="str">
            <v>Budget</v>
          </cell>
          <cell r="C3889" t="str">
            <v>Apr</v>
          </cell>
          <cell r="D3889" t="str">
            <v>Chairs</v>
          </cell>
          <cell r="E3889">
            <v>425231.89799999999</v>
          </cell>
          <cell r="F3889">
            <v>4</v>
          </cell>
        </row>
        <row r="3890">
          <cell r="A3890">
            <v>2019</v>
          </cell>
          <cell r="B3890" t="str">
            <v>Actual</v>
          </cell>
          <cell r="C3890" t="str">
            <v>Apr</v>
          </cell>
          <cell r="D3890" t="str">
            <v>Tables</v>
          </cell>
          <cell r="E3890">
            <v>464912.44799999997</v>
          </cell>
          <cell r="F3890">
            <v>4</v>
          </cell>
        </row>
        <row r="3891">
          <cell r="A3891">
            <v>2019</v>
          </cell>
          <cell r="B3891" t="str">
            <v>Budget</v>
          </cell>
          <cell r="C3891" t="str">
            <v>Apr</v>
          </cell>
          <cell r="D3891" t="str">
            <v>Kitchen</v>
          </cell>
          <cell r="E3891">
            <v>60365.640999999996</v>
          </cell>
          <cell r="F3891">
            <v>4</v>
          </cell>
        </row>
        <row r="3892">
          <cell r="A3892">
            <v>2019</v>
          </cell>
          <cell r="B3892" t="str">
            <v>Actual</v>
          </cell>
          <cell r="C3892" t="str">
            <v>Apr</v>
          </cell>
          <cell r="D3892" t="str">
            <v>Chairs</v>
          </cell>
          <cell r="E3892">
            <v>17253509.175000001</v>
          </cell>
          <cell r="F3892">
            <v>4</v>
          </cell>
        </row>
        <row r="3893">
          <cell r="A3893">
            <v>2018</v>
          </cell>
          <cell r="B3893" t="str">
            <v>Budget</v>
          </cell>
          <cell r="C3893" t="str">
            <v>Apr</v>
          </cell>
          <cell r="D3893" t="str">
            <v>Chairs</v>
          </cell>
          <cell r="E3893">
            <v>112938.833</v>
          </cell>
          <cell r="F3893">
            <v>4</v>
          </cell>
        </row>
        <row r="3894">
          <cell r="A3894">
            <v>2018</v>
          </cell>
          <cell r="B3894" t="str">
            <v>Actual</v>
          </cell>
          <cell r="C3894" t="str">
            <v>Apr</v>
          </cell>
          <cell r="D3894" t="str">
            <v>Chairs</v>
          </cell>
          <cell r="E3894">
            <v>54305.131999999991</v>
          </cell>
          <cell r="F3894">
            <v>4</v>
          </cell>
        </row>
        <row r="3895">
          <cell r="A3895">
            <v>2019</v>
          </cell>
          <cell r="B3895" t="str">
            <v>Budget</v>
          </cell>
          <cell r="C3895" t="str">
            <v>Apr</v>
          </cell>
          <cell r="D3895" t="str">
            <v>Chairs</v>
          </cell>
          <cell r="E3895">
            <v>96085.380999999979</v>
          </cell>
          <cell r="F3895">
            <v>4</v>
          </cell>
        </row>
        <row r="3896">
          <cell r="A3896">
            <v>2019</v>
          </cell>
          <cell r="B3896" t="str">
            <v>Actual</v>
          </cell>
          <cell r="C3896" t="str">
            <v>Apr</v>
          </cell>
          <cell r="D3896" t="str">
            <v>Chairs</v>
          </cell>
          <cell r="E3896">
            <v>33505.968999999997</v>
          </cell>
          <cell r="F3896">
            <v>4</v>
          </cell>
        </row>
        <row r="3897">
          <cell r="A3897">
            <v>2019</v>
          </cell>
          <cell r="B3897" t="str">
            <v>Budget</v>
          </cell>
          <cell r="C3897" t="str">
            <v>Apr</v>
          </cell>
          <cell r="D3897" t="str">
            <v>Tables</v>
          </cell>
          <cell r="E3897">
            <v>244367.31899999996</v>
          </cell>
          <cell r="F3897">
            <v>4</v>
          </cell>
        </row>
        <row r="3898">
          <cell r="A3898">
            <v>2019</v>
          </cell>
          <cell r="B3898" t="str">
            <v>Actual</v>
          </cell>
          <cell r="C3898" t="str">
            <v>Apr</v>
          </cell>
          <cell r="D3898" t="str">
            <v>Kitchen</v>
          </cell>
          <cell r="E3898">
            <v>159660.97</v>
          </cell>
          <cell r="F3898">
            <v>4</v>
          </cell>
        </row>
        <row r="3899">
          <cell r="A3899">
            <v>2018</v>
          </cell>
          <cell r="B3899" t="str">
            <v>Budget</v>
          </cell>
          <cell r="C3899" t="str">
            <v>Apr</v>
          </cell>
          <cell r="D3899" t="str">
            <v>Chairs</v>
          </cell>
          <cell r="E3899">
            <v>10048.437</v>
          </cell>
          <cell r="F3899">
            <v>4</v>
          </cell>
        </row>
        <row r="3900">
          <cell r="A3900">
            <v>2019</v>
          </cell>
          <cell r="B3900" t="str">
            <v>Actual</v>
          </cell>
          <cell r="C3900" t="str">
            <v>Apr</v>
          </cell>
          <cell r="D3900" t="str">
            <v>Chairs</v>
          </cell>
          <cell r="E3900">
            <v>6155.8349999999991</v>
          </cell>
          <cell r="F3900">
            <v>4</v>
          </cell>
        </row>
        <row r="3901">
          <cell r="A3901">
            <v>2018</v>
          </cell>
          <cell r="B3901" t="str">
            <v>Budget</v>
          </cell>
          <cell r="C3901" t="str">
            <v>Apr</v>
          </cell>
          <cell r="D3901" t="str">
            <v>Chairs</v>
          </cell>
          <cell r="E3901">
            <v>45294.101999999999</v>
          </cell>
          <cell r="F3901">
            <v>4</v>
          </cell>
        </row>
        <row r="3902">
          <cell r="A3902">
            <v>2019</v>
          </cell>
          <cell r="B3902" t="str">
            <v>Actual</v>
          </cell>
          <cell r="C3902" t="str">
            <v>Apr</v>
          </cell>
          <cell r="D3902" t="str">
            <v>Tables</v>
          </cell>
          <cell r="E3902">
            <v>44514.883000000002</v>
          </cell>
          <cell r="F3902">
            <v>4</v>
          </cell>
        </row>
        <row r="3903">
          <cell r="A3903">
            <v>2018</v>
          </cell>
          <cell r="B3903" t="str">
            <v>Budget</v>
          </cell>
          <cell r="C3903" t="str">
            <v>Apr</v>
          </cell>
          <cell r="D3903" t="str">
            <v>Kitchen</v>
          </cell>
          <cell r="E3903">
            <v>548964.82899999991</v>
          </cell>
          <cell r="F3903">
            <v>4</v>
          </cell>
        </row>
        <row r="3904">
          <cell r="A3904">
            <v>2018</v>
          </cell>
          <cell r="B3904" t="str">
            <v>Actual</v>
          </cell>
          <cell r="C3904" t="str">
            <v>Apr</v>
          </cell>
          <cell r="D3904" t="str">
            <v>Chairs</v>
          </cell>
          <cell r="E3904">
            <v>51868.606999999996</v>
          </cell>
          <cell r="F3904">
            <v>4</v>
          </cell>
        </row>
        <row r="3905">
          <cell r="A3905">
            <v>2018</v>
          </cell>
          <cell r="B3905" t="str">
            <v>Budget</v>
          </cell>
          <cell r="C3905" t="str">
            <v>Apr</v>
          </cell>
          <cell r="D3905" t="str">
            <v>Chairs</v>
          </cell>
          <cell r="E3905">
            <v>6689.2</v>
          </cell>
          <cell r="F3905">
            <v>4</v>
          </cell>
        </row>
        <row r="3906">
          <cell r="A3906">
            <v>2018</v>
          </cell>
          <cell r="B3906" t="str">
            <v>Actual</v>
          </cell>
          <cell r="C3906" t="str">
            <v>Apr</v>
          </cell>
          <cell r="D3906" t="str">
            <v>Tables</v>
          </cell>
          <cell r="E3906">
            <v>67964.945999999996</v>
          </cell>
          <cell r="F3906">
            <v>4</v>
          </cell>
        </row>
        <row r="3907">
          <cell r="A3907">
            <v>2018</v>
          </cell>
          <cell r="B3907" t="str">
            <v>Budget</v>
          </cell>
          <cell r="C3907" t="str">
            <v>Apr</v>
          </cell>
          <cell r="D3907" t="str">
            <v>Kitchen</v>
          </cell>
          <cell r="E3907">
            <v>9415.9239999999991</v>
          </cell>
          <cell r="F3907">
            <v>4</v>
          </cell>
        </row>
        <row r="3908">
          <cell r="A3908">
            <v>2018</v>
          </cell>
          <cell r="B3908" t="str">
            <v>Actual</v>
          </cell>
          <cell r="C3908" t="str">
            <v>Apr</v>
          </cell>
          <cell r="D3908" t="str">
            <v>Chairs</v>
          </cell>
          <cell r="E3908">
            <v>5312.1040000000003</v>
          </cell>
          <cell r="F3908">
            <v>4</v>
          </cell>
        </row>
        <row r="3909">
          <cell r="A3909">
            <v>2019</v>
          </cell>
          <cell r="B3909" t="str">
            <v>Budget</v>
          </cell>
          <cell r="C3909" t="str">
            <v>Apr</v>
          </cell>
          <cell r="D3909" t="str">
            <v>Chairs</v>
          </cell>
          <cell r="E3909">
            <v>8782.3259999999991</v>
          </cell>
          <cell r="F3909">
            <v>4</v>
          </cell>
        </row>
        <row r="3910">
          <cell r="A3910">
            <v>2018</v>
          </cell>
          <cell r="B3910" t="str">
            <v>Actual</v>
          </cell>
          <cell r="C3910" t="str">
            <v>Apr</v>
          </cell>
          <cell r="D3910" t="str">
            <v>Tables</v>
          </cell>
          <cell r="E3910">
            <v>12730.234999999999</v>
          </cell>
          <cell r="F3910">
            <v>4</v>
          </cell>
        </row>
        <row r="3911">
          <cell r="A3911">
            <v>2018</v>
          </cell>
          <cell r="B3911" t="str">
            <v>Budget</v>
          </cell>
          <cell r="C3911" t="str">
            <v>Apr</v>
          </cell>
          <cell r="D3911" t="str">
            <v>Chairs</v>
          </cell>
          <cell r="E3911">
            <v>50943.500999999989</v>
          </cell>
          <cell r="F3911">
            <v>4</v>
          </cell>
        </row>
        <row r="3912">
          <cell r="A3912">
            <v>2019</v>
          </cell>
          <cell r="B3912" t="str">
            <v>Actual</v>
          </cell>
          <cell r="C3912" t="str">
            <v>Apr</v>
          </cell>
          <cell r="D3912" t="str">
            <v>Tables</v>
          </cell>
          <cell r="E3912">
            <v>41116305.943999998</v>
          </cell>
          <cell r="F3912">
            <v>4</v>
          </cell>
        </row>
        <row r="3913">
          <cell r="A3913">
            <v>2018</v>
          </cell>
          <cell r="B3913" t="str">
            <v>Budget</v>
          </cell>
          <cell r="C3913" t="str">
            <v>Apr</v>
          </cell>
          <cell r="D3913" t="str">
            <v>Kitchen</v>
          </cell>
          <cell r="E3913">
            <v>40051.137000000002</v>
          </cell>
          <cell r="F3913">
            <v>4</v>
          </cell>
        </row>
        <row r="3914">
          <cell r="A3914">
            <v>2018</v>
          </cell>
          <cell r="B3914" t="str">
            <v>Actual</v>
          </cell>
          <cell r="C3914" t="str">
            <v>Apr</v>
          </cell>
          <cell r="D3914" t="str">
            <v>Accessories</v>
          </cell>
          <cell r="E3914">
            <v>735305.79500000004</v>
          </cell>
          <cell r="F3914">
            <v>4</v>
          </cell>
        </row>
        <row r="3915">
          <cell r="A3915">
            <v>2018</v>
          </cell>
          <cell r="B3915" t="str">
            <v>Budget</v>
          </cell>
          <cell r="C3915" t="str">
            <v>Apr</v>
          </cell>
          <cell r="D3915" t="str">
            <v>Chairs</v>
          </cell>
          <cell r="E3915">
            <v>22137.954999999998</v>
          </cell>
          <cell r="F3915">
            <v>4</v>
          </cell>
        </row>
        <row r="3916">
          <cell r="A3916">
            <v>2019</v>
          </cell>
          <cell r="B3916" t="str">
            <v>Actual</v>
          </cell>
          <cell r="C3916" t="str">
            <v>Apr</v>
          </cell>
          <cell r="D3916" t="str">
            <v>Tables</v>
          </cell>
          <cell r="E3916">
            <v>168927.38799999998</v>
          </cell>
          <cell r="F3916">
            <v>4</v>
          </cell>
        </row>
        <row r="3917">
          <cell r="A3917">
            <v>2019</v>
          </cell>
          <cell r="B3917" t="str">
            <v>Budget</v>
          </cell>
          <cell r="C3917" t="str">
            <v>Apr</v>
          </cell>
          <cell r="D3917" t="str">
            <v>Kitchen</v>
          </cell>
          <cell r="E3917">
            <v>314024.71099999995</v>
          </cell>
          <cell r="F3917">
            <v>4</v>
          </cell>
        </row>
        <row r="3918">
          <cell r="A3918">
            <v>2019</v>
          </cell>
          <cell r="B3918" t="str">
            <v>Actual</v>
          </cell>
          <cell r="C3918" t="str">
            <v>Apr</v>
          </cell>
          <cell r="D3918" t="str">
            <v>Accessories</v>
          </cell>
          <cell r="E3918">
            <v>701137.67499999993</v>
          </cell>
          <cell r="F3918">
            <v>4</v>
          </cell>
        </row>
        <row r="3919">
          <cell r="A3919">
            <v>2018</v>
          </cell>
          <cell r="B3919" t="str">
            <v>Budget</v>
          </cell>
          <cell r="C3919" t="str">
            <v>Apr</v>
          </cell>
          <cell r="D3919" t="str">
            <v>Chairs</v>
          </cell>
          <cell r="E3919">
            <v>52636.800999999992</v>
          </cell>
          <cell r="F3919">
            <v>4</v>
          </cell>
        </row>
        <row r="3920">
          <cell r="A3920">
            <v>2019</v>
          </cell>
          <cell r="B3920" t="str">
            <v>Actual</v>
          </cell>
          <cell r="C3920" t="str">
            <v>Apr</v>
          </cell>
          <cell r="D3920" t="str">
            <v>Tables</v>
          </cell>
          <cell r="E3920">
            <v>23965.766999999996</v>
          </cell>
          <cell r="F3920">
            <v>4</v>
          </cell>
        </row>
        <row r="3921">
          <cell r="A3921">
            <v>2019</v>
          </cell>
          <cell r="B3921" t="str">
            <v>Budget</v>
          </cell>
          <cell r="C3921" t="str">
            <v>Apr</v>
          </cell>
          <cell r="D3921" t="str">
            <v>Kitchen</v>
          </cell>
          <cell r="E3921">
            <v>101047.87699999998</v>
          </cell>
          <cell r="F3921">
            <v>4</v>
          </cell>
        </row>
        <row r="3922">
          <cell r="A3922">
            <v>2018</v>
          </cell>
          <cell r="B3922" t="str">
            <v>Actual</v>
          </cell>
          <cell r="C3922" t="str">
            <v>Apr</v>
          </cell>
          <cell r="D3922" t="str">
            <v>Accessories</v>
          </cell>
          <cell r="E3922">
            <v>33521.193999999996</v>
          </cell>
          <cell r="F3922">
            <v>4</v>
          </cell>
        </row>
        <row r="3923">
          <cell r="A3923">
            <v>2018</v>
          </cell>
          <cell r="B3923" t="str">
            <v>Budget</v>
          </cell>
          <cell r="C3923" t="str">
            <v>Apr</v>
          </cell>
          <cell r="D3923" t="str">
            <v>Chairs</v>
          </cell>
          <cell r="E3923">
            <v>256827.00399999996</v>
          </cell>
          <cell r="F3923">
            <v>4</v>
          </cell>
        </row>
        <row r="3924">
          <cell r="A3924">
            <v>2018</v>
          </cell>
          <cell r="B3924" t="str">
            <v>Actual</v>
          </cell>
          <cell r="C3924" t="str">
            <v>Apr</v>
          </cell>
          <cell r="D3924" t="str">
            <v>Tables</v>
          </cell>
          <cell r="E3924">
            <v>68272.288</v>
          </cell>
          <cell r="F3924">
            <v>4</v>
          </cell>
        </row>
        <row r="3925">
          <cell r="A3925">
            <v>2018</v>
          </cell>
          <cell r="B3925" t="str">
            <v>Budget</v>
          </cell>
          <cell r="C3925" t="str">
            <v>Apr</v>
          </cell>
          <cell r="D3925" t="str">
            <v>Kitchen</v>
          </cell>
          <cell r="E3925">
            <v>168591.86399999997</v>
          </cell>
          <cell r="F3925">
            <v>4</v>
          </cell>
        </row>
        <row r="3926">
          <cell r="A3926">
            <v>2018</v>
          </cell>
          <cell r="B3926" t="str">
            <v>Actual</v>
          </cell>
          <cell r="C3926" t="str">
            <v>Apr</v>
          </cell>
          <cell r="D3926" t="str">
            <v>Accessories</v>
          </cell>
          <cell r="E3926">
            <v>370778.86299999995</v>
          </cell>
          <cell r="F3926">
            <v>4</v>
          </cell>
        </row>
        <row r="3927">
          <cell r="A3927">
            <v>2018</v>
          </cell>
          <cell r="B3927" t="str">
            <v>Budget</v>
          </cell>
          <cell r="C3927" t="str">
            <v>Apr</v>
          </cell>
          <cell r="D3927" t="str">
            <v>Chairs</v>
          </cell>
          <cell r="E3927">
            <v>1135160.7749999999</v>
          </cell>
          <cell r="F3927">
            <v>4</v>
          </cell>
        </row>
        <row r="3928">
          <cell r="A3928">
            <v>2018</v>
          </cell>
          <cell r="B3928" t="str">
            <v>Actual</v>
          </cell>
          <cell r="C3928" t="str">
            <v>Apr</v>
          </cell>
          <cell r="D3928" t="str">
            <v>Chairs</v>
          </cell>
          <cell r="E3928">
            <v>577414.75399999996</v>
          </cell>
          <cell r="F3928">
            <v>4</v>
          </cell>
        </row>
        <row r="3929">
          <cell r="A3929">
            <v>2019</v>
          </cell>
          <cell r="B3929" t="str">
            <v>Budget</v>
          </cell>
          <cell r="C3929" t="str">
            <v>Apr</v>
          </cell>
          <cell r="D3929" t="str">
            <v>Tables</v>
          </cell>
          <cell r="E3929">
            <v>306299.49</v>
          </cell>
          <cell r="F3929">
            <v>4</v>
          </cell>
        </row>
        <row r="3930">
          <cell r="A3930">
            <v>2018</v>
          </cell>
          <cell r="B3930" t="str">
            <v>Actual</v>
          </cell>
          <cell r="C3930" t="str">
            <v>Apr</v>
          </cell>
          <cell r="D3930" t="str">
            <v>Kitchen</v>
          </cell>
          <cell r="E3930">
            <v>77691.704999999987</v>
          </cell>
          <cell r="F3930">
            <v>4</v>
          </cell>
        </row>
        <row r="3931">
          <cell r="A3931">
            <v>2018</v>
          </cell>
          <cell r="B3931" t="str">
            <v>Budget</v>
          </cell>
          <cell r="C3931" t="str">
            <v>Apr</v>
          </cell>
          <cell r="D3931" t="str">
            <v>Chairs</v>
          </cell>
          <cell r="E3931">
            <v>137680.62699999998</v>
          </cell>
          <cell r="F3931">
            <v>4</v>
          </cell>
        </row>
        <row r="3932">
          <cell r="A3932">
            <v>2018</v>
          </cell>
          <cell r="B3932" t="str">
            <v>Actual</v>
          </cell>
          <cell r="C3932" t="str">
            <v>Apr</v>
          </cell>
          <cell r="D3932" t="str">
            <v>Tables</v>
          </cell>
          <cell r="E3932">
            <v>181729.44999999998</v>
          </cell>
          <cell r="F3932">
            <v>4</v>
          </cell>
        </row>
        <row r="3933">
          <cell r="A3933">
            <v>2018</v>
          </cell>
          <cell r="B3933" t="str">
            <v>Budget</v>
          </cell>
          <cell r="C3933" t="str">
            <v>Apr</v>
          </cell>
          <cell r="D3933" t="str">
            <v>Kitchen</v>
          </cell>
          <cell r="E3933">
            <v>31763.557000000001</v>
          </cell>
          <cell r="F3933">
            <v>4</v>
          </cell>
        </row>
        <row r="3934">
          <cell r="A3934">
            <v>2018</v>
          </cell>
          <cell r="B3934" t="str">
            <v>Actual</v>
          </cell>
          <cell r="C3934" t="str">
            <v>Apr</v>
          </cell>
          <cell r="D3934" t="str">
            <v>Chairs</v>
          </cell>
          <cell r="E3934">
            <v>42858.409999999996</v>
          </cell>
          <cell r="F3934">
            <v>4</v>
          </cell>
        </row>
        <row r="3935">
          <cell r="A3935">
            <v>2019</v>
          </cell>
          <cell r="B3935" t="str">
            <v>Budget</v>
          </cell>
          <cell r="C3935" t="str">
            <v>Apr</v>
          </cell>
          <cell r="D3935" t="str">
            <v>Tables</v>
          </cell>
          <cell r="E3935">
            <v>1921320.9609999999</v>
          </cell>
          <cell r="F3935">
            <v>4</v>
          </cell>
        </row>
        <row r="3936">
          <cell r="A3936">
            <v>2018</v>
          </cell>
          <cell r="B3936" t="str">
            <v>Actual</v>
          </cell>
          <cell r="C3936" t="str">
            <v>Apr</v>
          </cell>
          <cell r="D3936" t="str">
            <v>Kitchen</v>
          </cell>
          <cell r="E3936">
            <v>622182.05699999991</v>
          </cell>
          <cell r="F3936">
            <v>4</v>
          </cell>
        </row>
        <row r="3937">
          <cell r="A3937">
            <v>2018</v>
          </cell>
          <cell r="B3937" t="str">
            <v>Budget</v>
          </cell>
          <cell r="C3937" t="str">
            <v>Apr</v>
          </cell>
          <cell r="D3937" t="str">
            <v>Chairs</v>
          </cell>
          <cell r="E3937">
            <v>483807.81399999995</v>
          </cell>
          <cell r="F3937">
            <v>4</v>
          </cell>
        </row>
        <row r="3938">
          <cell r="A3938">
            <v>2019</v>
          </cell>
          <cell r="B3938" t="str">
            <v>Actual</v>
          </cell>
          <cell r="C3938" t="str">
            <v>Apr</v>
          </cell>
          <cell r="D3938" t="str">
            <v>Chairs</v>
          </cell>
          <cell r="E3938">
            <v>256839.62499999997</v>
          </cell>
          <cell r="F3938">
            <v>4</v>
          </cell>
        </row>
        <row r="3939">
          <cell r="A3939">
            <v>2019</v>
          </cell>
          <cell r="B3939" t="str">
            <v>Budget</v>
          </cell>
          <cell r="C3939" t="str">
            <v>Apr</v>
          </cell>
          <cell r="D3939" t="str">
            <v>Chairs</v>
          </cell>
          <cell r="E3939">
            <v>83820.37999999999</v>
          </cell>
          <cell r="F3939">
            <v>4</v>
          </cell>
        </row>
        <row r="3940">
          <cell r="A3940">
            <v>2019</v>
          </cell>
          <cell r="B3940" t="str">
            <v>Actual</v>
          </cell>
          <cell r="C3940" t="str">
            <v>Apr</v>
          </cell>
          <cell r="D3940" t="str">
            <v>Chairs</v>
          </cell>
          <cell r="E3940">
            <v>60267.074000000001</v>
          </cell>
          <cell r="F3940">
            <v>4</v>
          </cell>
        </row>
        <row r="3941">
          <cell r="A3941">
            <v>2018</v>
          </cell>
          <cell r="B3941" t="str">
            <v>Budget</v>
          </cell>
          <cell r="C3941" t="str">
            <v>Apr</v>
          </cell>
          <cell r="D3941" t="str">
            <v>Chairs</v>
          </cell>
          <cell r="E3941">
            <v>50095.360000000001</v>
          </cell>
          <cell r="F3941">
            <v>4</v>
          </cell>
        </row>
        <row r="3942">
          <cell r="A3942">
            <v>2019</v>
          </cell>
          <cell r="B3942" t="str">
            <v>Actual</v>
          </cell>
          <cell r="C3942" t="str">
            <v>Apr</v>
          </cell>
          <cell r="D3942" t="str">
            <v>Chairs</v>
          </cell>
          <cell r="E3942">
            <v>20174.440999999999</v>
          </cell>
          <cell r="F3942">
            <v>4</v>
          </cell>
        </row>
        <row r="3943">
          <cell r="A3943">
            <v>2019</v>
          </cell>
          <cell r="B3943" t="str">
            <v>Budget</v>
          </cell>
          <cell r="C3943" t="str">
            <v>Apr</v>
          </cell>
          <cell r="D3943" t="str">
            <v>Chairs</v>
          </cell>
          <cell r="E3943">
            <v>6539099.693</v>
          </cell>
          <cell r="F3943">
            <v>4</v>
          </cell>
        </row>
        <row r="3944">
          <cell r="A3944">
            <v>2018</v>
          </cell>
          <cell r="B3944" t="str">
            <v>Actual</v>
          </cell>
          <cell r="C3944" t="str">
            <v>Apr</v>
          </cell>
          <cell r="D3944" t="str">
            <v>Chairs</v>
          </cell>
          <cell r="E3944">
            <v>60863.816999999995</v>
          </cell>
          <cell r="F3944">
            <v>4</v>
          </cell>
        </row>
        <row r="3945">
          <cell r="A3945">
            <v>2019</v>
          </cell>
          <cell r="B3945" t="str">
            <v>Budget</v>
          </cell>
          <cell r="C3945" t="str">
            <v>Apr</v>
          </cell>
          <cell r="D3945" t="str">
            <v>Chairs</v>
          </cell>
          <cell r="E3945">
            <v>12408066.370000001</v>
          </cell>
          <cell r="F3945">
            <v>4</v>
          </cell>
        </row>
        <row r="3946">
          <cell r="A3946">
            <v>2018</v>
          </cell>
          <cell r="B3946" t="str">
            <v>Actual</v>
          </cell>
          <cell r="C3946" t="str">
            <v>Apr</v>
          </cell>
          <cell r="D3946" t="str">
            <v>Chairs</v>
          </cell>
          <cell r="E3946">
            <v>3276227.906</v>
          </cell>
          <cell r="F3946">
            <v>4</v>
          </cell>
        </row>
        <row r="3947">
          <cell r="A3947">
            <v>2018</v>
          </cell>
          <cell r="B3947" t="str">
            <v>Budget</v>
          </cell>
          <cell r="C3947" t="str">
            <v>Apr</v>
          </cell>
          <cell r="D3947" t="str">
            <v>Chairs</v>
          </cell>
          <cell r="E3947">
            <v>15543071.271</v>
          </cell>
          <cell r="F3947">
            <v>4</v>
          </cell>
        </row>
        <row r="3948">
          <cell r="A3948">
            <v>2018</v>
          </cell>
          <cell r="B3948" t="str">
            <v>Actual</v>
          </cell>
          <cell r="C3948" t="str">
            <v>Apr</v>
          </cell>
          <cell r="D3948" t="str">
            <v>Chairs</v>
          </cell>
          <cell r="E3948">
            <v>31072407.974999998</v>
          </cell>
          <cell r="F3948">
            <v>4</v>
          </cell>
        </row>
        <row r="3949">
          <cell r="A3949">
            <v>2019</v>
          </cell>
          <cell r="B3949" t="str">
            <v>Budget</v>
          </cell>
          <cell r="C3949" t="str">
            <v>Apr</v>
          </cell>
          <cell r="D3949" t="str">
            <v>Chairs</v>
          </cell>
          <cell r="E3949">
            <v>58968800.380000003</v>
          </cell>
          <cell r="F3949">
            <v>4</v>
          </cell>
        </row>
        <row r="3950">
          <cell r="A3950">
            <v>2018</v>
          </cell>
          <cell r="B3950" t="str">
            <v>Actual</v>
          </cell>
          <cell r="C3950" t="str">
            <v>Apr</v>
          </cell>
          <cell r="D3950" t="str">
            <v>Chairs</v>
          </cell>
          <cell r="E3950">
            <v>4502146.3830000004</v>
          </cell>
          <cell r="F3950">
            <v>4</v>
          </cell>
        </row>
        <row r="3951">
          <cell r="A3951">
            <v>2018</v>
          </cell>
          <cell r="B3951" t="str">
            <v>Budget</v>
          </cell>
          <cell r="C3951" t="str">
            <v>Apr</v>
          </cell>
          <cell r="D3951" t="str">
            <v>Chairs</v>
          </cell>
          <cell r="E3951">
            <v>407655.05899999995</v>
          </cell>
          <cell r="F3951">
            <v>4</v>
          </cell>
        </row>
        <row r="3952">
          <cell r="A3952">
            <v>2018</v>
          </cell>
          <cell r="B3952" t="str">
            <v>Actual</v>
          </cell>
          <cell r="C3952" t="str">
            <v>Apr</v>
          </cell>
          <cell r="D3952" t="str">
            <v>Chairs</v>
          </cell>
          <cell r="E3952">
            <v>14207299.917999998</v>
          </cell>
          <cell r="F3952">
            <v>4</v>
          </cell>
        </row>
        <row r="3953">
          <cell r="A3953">
            <v>2018</v>
          </cell>
          <cell r="B3953" t="str">
            <v>Budget</v>
          </cell>
          <cell r="C3953" t="str">
            <v>Apr</v>
          </cell>
          <cell r="D3953" t="str">
            <v>Chairs</v>
          </cell>
          <cell r="E3953">
            <v>1385720.567</v>
          </cell>
          <cell r="F3953">
            <v>4</v>
          </cell>
        </row>
        <row r="3954">
          <cell r="A3954">
            <v>2018</v>
          </cell>
          <cell r="B3954" t="str">
            <v>Actual</v>
          </cell>
          <cell r="C3954" t="str">
            <v>Apr</v>
          </cell>
          <cell r="D3954" t="str">
            <v>Chairs</v>
          </cell>
          <cell r="E3954">
            <v>9538637.5489999987</v>
          </cell>
          <cell r="F3954">
            <v>4</v>
          </cell>
        </row>
        <row r="3955">
          <cell r="A3955">
            <v>2018</v>
          </cell>
          <cell r="B3955" t="str">
            <v>Budget</v>
          </cell>
          <cell r="C3955" t="str">
            <v>Apr</v>
          </cell>
          <cell r="D3955" t="str">
            <v>Chairs</v>
          </cell>
          <cell r="E3955">
            <v>48470898.993999995</v>
          </cell>
          <cell r="F3955">
            <v>4</v>
          </cell>
        </row>
        <row r="3956">
          <cell r="A3956">
            <v>2018</v>
          </cell>
          <cell r="B3956" t="str">
            <v>Actual</v>
          </cell>
          <cell r="C3956" t="str">
            <v>Apr</v>
          </cell>
          <cell r="D3956" t="str">
            <v>Chairs</v>
          </cell>
          <cell r="E3956">
            <v>3848707.9330000002</v>
          </cell>
          <cell r="F3956">
            <v>4</v>
          </cell>
        </row>
        <row r="3957">
          <cell r="A3957">
            <v>2019</v>
          </cell>
          <cell r="B3957" t="str">
            <v>Budget</v>
          </cell>
          <cell r="C3957" t="str">
            <v>Apr</v>
          </cell>
          <cell r="D3957" t="str">
            <v>Chairs</v>
          </cell>
          <cell r="E3957">
            <v>31525802.342999998</v>
          </cell>
          <cell r="F3957">
            <v>4</v>
          </cell>
        </row>
        <row r="3958">
          <cell r="A3958">
            <v>2018</v>
          </cell>
          <cell r="B3958" t="str">
            <v>Actual</v>
          </cell>
          <cell r="C3958" t="str">
            <v>Apr</v>
          </cell>
          <cell r="D3958" t="str">
            <v>Chairs</v>
          </cell>
          <cell r="E3958">
            <v>6860004.6129999999</v>
          </cell>
          <cell r="F3958">
            <v>4</v>
          </cell>
        </row>
        <row r="3959">
          <cell r="A3959">
            <v>2018</v>
          </cell>
          <cell r="B3959" t="str">
            <v>Budget</v>
          </cell>
          <cell r="C3959" t="str">
            <v>Apr</v>
          </cell>
          <cell r="D3959" t="str">
            <v>Chairs</v>
          </cell>
          <cell r="E3959">
            <v>16679342.196999999</v>
          </cell>
          <cell r="F3959">
            <v>4</v>
          </cell>
        </row>
        <row r="3960">
          <cell r="A3960">
            <v>2019</v>
          </cell>
          <cell r="B3960" t="str">
            <v>Actual</v>
          </cell>
          <cell r="C3960" t="str">
            <v>Apr</v>
          </cell>
          <cell r="D3960" t="str">
            <v>Chairs</v>
          </cell>
          <cell r="E3960">
            <v>9603268.4859999996</v>
          </cell>
          <cell r="F3960">
            <v>4</v>
          </cell>
        </row>
        <row r="3961">
          <cell r="A3961">
            <v>2018</v>
          </cell>
          <cell r="B3961" t="str">
            <v>Budget</v>
          </cell>
          <cell r="C3961" t="str">
            <v>Apr</v>
          </cell>
          <cell r="D3961" t="str">
            <v>Chairs</v>
          </cell>
          <cell r="E3961">
            <v>4541982.6479999991</v>
          </cell>
          <cell r="F3961">
            <v>4</v>
          </cell>
        </row>
        <row r="3962">
          <cell r="A3962">
            <v>2018</v>
          </cell>
          <cell r="B3962" t="str">
            <v>Actual</v>
          </cell>
          <cell r="C3962" t="str">
            <v>Apr</v>
          </cell>
          <cell r="D3962" t="str">
            <v>Chairs</v>
          </cell>
          <cell r="E3962">
            <v>13543299.861</v>
          </cell>
          <cell r="F3962">
            <v>4</v>
          </cell>
        </row>
        <row r="3963">
          <cell r="A3963">
            <v>2018</v>
          </cell>
          <cell r="B3963" t="str">
            <v>Budget</v>
          </cell>
          <cell r="C3963" t="str">
            <v>Apr</v>
          </cell>
          <cell r="D3963" t="str">
            <v>Tables</v>
          </cell>
          <cell r="E3963">
            <v>5772877.7819999997</v>
          </cell>
          <cell r="F3963">
            <v>4</v>
          </cell>
        </row>
        <row r="3964">
          <cell r="A3964">
            <v>2019</v>
          </cell>
          <cell r="B3964" t="str">
            <v>Actual</v>
          </cell>
          <cell r="C3964" t="str">
            <v>Apr</v>
          </cell>
          <cell r="D3964" t="str">
            <v>Kitchen</v>
          </cell>
          <cell r="E3964">
            <v>575715.04200000002</v>
          </cell>
          <cell r="F3964">
            <v>4</v>
          </cell>
        </row>
        <row r="3965">
          <cell r="A3965">
            <v>2019</v>
          </cell>
          <cell r="B3965" t="str">
            <v>Budget</v>
          </cell>
          <cell r="C3965" t="str">
            <v>Apr</v>
          </cell>
          <cell r="D3965" t="str">
            <v>Chairs</v>
          </cell>
          <cell r="E3965">
            <v>1273370.8259999999</v>
          </cell>
          <cell r="F3965">
            <v>4</v>
          </cell>
        </row>
        <row r="3966">
          <cell r="A3966">
            <v>2018</v>
          </cell>
          <cell r="B3966" t="str">
            <v>Actual</v>
          </cell>
          <cell r="C3966" t="str">
            <v>Apr</v>
          </cell>
          <cell r="D3966" t="str">
            <v>Chairs</v>
          </cell>
          <cell r="E3966">
            <v>359853.90700000001</v>
          </cell>
          <cell r="F3966">
            <v>4</v>
          </cell>
        </row>
        <row r="3967">
          <cell r="A3967">
            <v>2018</v>
          </cell>
          <cell r="B3967" t="str">
            <v>Budget</v>
          </cell>
          <cell r="C3967" t="str">
            <v>Apr</v>
          </cell>
          <cell r="D3967" t="str">
            <v>Chairs</v>
          </cell>
          <cell r="E3967">
            <v>287895.93699999998</v>
          </cell>
          <cell r="F3967">
            <v>4</v>
          </cell>
        </row>
        <row r="3968">
          <cell r="A3968">
            <v>2018</v>
          </cell>
          <cell r="B3968" t="str">
            <v>Actual</v>
          </cell>
          <cell r="C3968" t="str">
            <v>Apr</v>
          </cell>
          <cell r="D3968" t="str">
            <v>Chairs</v>
          </cell>
          <cell r="E3968">
            <v>2826138.6159999999</v>
          </cell>
          <cell r="F3968">
            <v>4</v>
          </cell>
        </row>
        <row r="3969">
          <cell r="A3969">
            <v>2019</v>
          </cell>
          <cell r="B3969" t="str">
            <v>Budget</v>
          </cell>
          <cell r="C3969" t="str">
            <v>Apr</v>
          </cell>
          <cell r="D3969" t="str">
            <v>Chairs</v>
          </cell>
          <cell r="E3969">
            <v>1817179.2659999998</v>
          </cell>
          <cell r="F3969">
            <v>4</v>
          </cell>
        </row>
        <row r="3970">
          <cell r="A3970">
            <v>2019</v>
          </cell>
          <cell r="B3970" t="str">
            <v>Actual</v>
          </cell>
          <cell r="C3970" t="str">
            <v>Apr</v>
          </cell>
          <cell r="D3970" t="str">
            <v>Tables</v>
          </cell>
          <cell r="E3970">
            <v>155664.796</v>
          </cell>
          <cell r="F3970">
            <v>4</v>
          </cell>
        </row>
        <row r="3971">
          <cell r="A3971">
            <v>2018</v>
          </cell>
          <cell r="B3971" t="str">
            <v>Budget</v>
          </cell>
          <cell r="C3971" t="str">
            <v>Apr</v>
          </cell>
          <cell r="D3971" t="str">
            <v>Kitchen</v>
          </cell>
          <cell r="E3971">
            <v>107970.04400000001</v>
          </cell>
          <cell r="F3971">
            <v>4</v>
          </cell>
        </row>
        <row r="3972">
          <cell r="A3972">
            <v>2018</v>
          </cell>
          <cell r="B3972" t="str">
            <v>Actual</v>
          </cell>
          <cell r="C3972" t="str">
            <v>Apr</v>
          </cell>
          <cell r="D3972" t="str">
            <v>Chairs</v>
          </cell>
          <cell r="E3972">
            <v>296357.41799999995</v>
          </cell>
          <cell r="F3972">
            <v>4</v>
          </cell>
        </row>
        <row r="3973">
          <cell r="A3973">
            <v>2019</v>
          </cell>
          <cell r="B3973" t="str">
            <v>Budget</v>
          </cell>
          <cell r="C3973" t="str">
            <v>Apr</v>
          </cell>
          <cell r="D3973" t="str">
            <v>Chairs</v>
          </cell>
          <cell r="E3973">
            <v>602107.96099999989</v>
          </cell>
          <cell r="F3973">
            <v>4</v>
          </cell>
        </row>
        <row r="3974">
          <cell r="A3974">
            <v>2018</v>
          </cell>
          <cell r="B3974" t="str">
            <v>Actual</v>
          </cell>
          <cell r="C3974" t="str">
            <v>Apr</v>
          </cell>
          <cell r="D3974" t="str">
            <v>Chairs</v>
          </cell>
          <cell r="E3974">
            <v>972592.03999999992</v>
          </cell>
          <cell r="F3974">
            <v>4</v>
          </cell>
        </row>
        <row r="3975">
          <cell r="A3975">
            <v>2019</v>
          </cell>
          <cell r="B3975" t="str">
            <v>Budget</v>
          </cell>
          <cell r="C3975" t="str">
            <v>Apr</v>
          </cell>
          <cell r="D3975" t="str">
            <v>Tables</v>
          </cell>
          <cell r="E3975">
            <v>6030213.8049999997</v>
          </cell>
          <cell r="F3975">
            <v>4</v>
          </cell>
        </row>
        <row r="3976">
          <cell r="A3976">
            <v>2019</v>
          </cell>
          <cell r="B3976" t="str">
            <v>Actual</v>
          </cell>
          <cell r="C3976" t="str">
            <v>Apr</v>
          </cell>
          <cell r="D3976" t="str">
            <v>Kitchen</v>
          </cell>
          <cell r="E3976">
            <v>1893747.6809999999</v>
          </cell>
          <cell r="F3976">
            <v>4</v>
          </cell>
        </row>
        <row r="3977">
          <cell r="A3977">
            <v>2018</v>
          </cell>
          <cell r="B3977" t="str">
            <v>Budget</v>
          </cell>
          <cell r="C3977" t="str">
            <v>Apr</v>
          </cell>
          <cell r="D3977" t="str">
            <v>Chairs</v>
          </cell>
          <cell r="E3977">
            <v>4321114.3499999996</v>
          </cell>
          <cell r="F3977">
            <v>4</v>
          </cell>
        </row>
        <row r="3978">
          <cell r="A3978">
            <v>2019</v>
          </cell>
          <cell r="B3978" t="str">
            <v>Actual</v>
          </cell>
          <cell r="C3978" t="str">
            <v>Apr</v>
          </cell>
          <cell r="D3978" t="str">
            <v>Chairs</v>
          </cell>
          <cell r="E3978">
            <v>3433342.9550000001</v>
          </cell>
          <cell r="F3978">
            <v>4</v>
          </cell>
        </row>
        <row r="3979">
          <cell r="A3979">
            <v>2019</v>
          </cell>
          <cell r="B3979" t="str">
            <v>Budget</v>
          </cell>
          <cell r="C3979" t="str">
            <v>Apr</v>
          </cell>
          <cell r="D3979" t="str">
            <v>Tables</v>
          </cell>
          <cell r="E3979">
            <v>107186.023</v>
          </cell>
          <cell r="F3979">
            <v>4</v>
          </cell>
        </row>
        <row r="3980">
          <cell r="A3980">
            <v>2019</v>
          </cell>
          <cell r="B3980" t="str">
            <v>Actual</v>
          </cell>
          <cell r="C3980" t="str">
            <v>Apr</v>
          </cell>
          <cell r="D3980" t="str">
            <v>Kitchen</v>
          </cell>
          <cell r="E3980">
            <v>147279.34899999999</v>
          </cell>
          <cell r="F3980">
            <v>4</v>
          </cell>
        </row>
        <row r="3981">
          <cell r="A3981">
            <v>2018</v>
          </cell>
          <cell r="B3981" t="str">
            <v>Budget</v>
          </cell>
          <cell r="C3981" t="str">
            <v>Apr</v>
          </cell>
          <cell r="D3981" t="str">
            <v>Chairs</v>
          </cell>
          <cell r="E3981">
            <v>95010182.568000004</v>
          </cell>
          <cell r="F3981">
            <v>4</v>
          </cell>
        </row>
        <row r="3982">
          <cell r="A3982">
            <v>2019</v>
          </cell>
          <cell r="B3982" t="str">
            <v>Actual</v>
          </cell>
          <cell r="C3982" t="str">
            <v>Apr</v>
          </cell>
          <cell r="D3982" t="str">
            <v>Chairs</v>
          </cell>
          <cell r="E3982">
            <v>1490592.5930000001</v>
          </cell>
          <cell r="F3982">
            <v>4</v>
          </cell>
        </row>
        <row r="3983">
          <cell r="A3983">
            <v>2019</v>
          </cell>
          <cell r="B3983" t="str">
            <v>Budget</v>
          </cell>
          <cell r="C3983" t="str">
            <v>Apr</v>
          </cell>
          <cell r="D3983" t="str">
            <v>Chairs</v>
          </cell>
          <cell r="E3983">
            <v>8743428.9739999995</v>
          </cell>
          <cell r="F3983">
            <v>4</v>
          </cell>
        </row>
        <row r="3984">
          <cell r="A3984">
            <v>2019</v>
          </cell>
          <cell r="B3984" t="str">
            <v>Actual</v>
          </cell>
          <cell r="C3984" t="str">
            <v>Apr</v>
          </cell>
          <cell r="D3984" t="str">
            <v>Tables</v>
          </cell>
          <cell r="E3984">
            <v>4029934.3559999997</v>
          </cell>
          <cell r="F3984">
            <v>4</v>
          </cell>
        </row>
        <row r="3985">
          <cell r="A3985">
            <v>2019</v>
          </cell>
          <cell r="B3985" t="str">
            <v>Budget</v>
          </cell>
          <cell r="C3985" t="str">
            <v>Apr</v>
          </cell>
          <cell r="D3985" t="str">
            <v>Kitchen</v>
          </cell>
          <cell r="E3985">
            <v>157493.58099999998</v>
          </cell>
          <cell r="F3985">
            <v>4</v>
          </cell>
        </row>
        <row r="3986">
          <cell r="A3986">
            <v>2018</v>
          </cell>
          <cell r="B3986" t="str">
            <v>Actual</v>
          </cell>
          <cell r="C3986" t="str">
            <v>Apr</v>
          </cell>
          <cell r="D3986" t="str">
            <v>Accessories</v>
          </cell>
          <cell r="E3986">
            <v>2858784.3269999996</v>
          </cell>
          <cell r="F3986">
            <v>4</v>
          </cell>
        </row>
        <row r="3987">
          <cell r="A3987">
            <v>2019</v>
          </cell>
          <cell r="B3987" t="str">
            <v>Budget</v>
          </cell>
          <cell r="C3987" t="str">
            <v>Apr</v>
          </cell>
          <cell r="D3987" t="str">
            <v>Chairs</v>
          </cell>
          <cell r="E3987">
            <v>1457044.8829999999</v>
          </cell>
          <cell r="F3987">
            <v>4</v>
          </cell>
        </row>
        <row r="3988">
          <cell r="A3988">
            <v>2018</v>
          </cell>
          <cell r="B3988" t="str">
            <v>Actual</v>
          </cell>
          <cell r="C3988" t="str">
            <v>Apr</v>
          </cell>
          <cell r="D3988" t="str">
            <v>Tables</v>
          </cell>
          <cell r="E3988">
            <v>1656805.8499999999</v>
          </cell>
          <cell r="F3988">
            <v>4</v>
          </cell>
        </row>
        <row r="3989">
          <cell r="A3989">
            <v>2018</v>
          </cell>
          <cell r="B3989" t="str">
            <v>Budget</v>
          </cell>
          <cell r="C3989" t="str">
            <v>Apr</v>
          </cell>
          <cell r="D3989" t="str">
            <v>Kitchen</v>
          </cell>
          <cell r="E3989">
            <v>4598372.0649999995</v>
          </cell>
          <cell r="F3989">
            <v>4</v>
          </cell>
        </row>
        <row r="3990">
          <cell r="A3990">
            <v>2018</v>
          </cell>
          <cell r="B3990" t="str">
            <v>Actual</v>
          </cell>
          <cell r="C3990" t="str">
            <v>Apr</v>
          </cell>
          <cell r="D3990" t="str">
            <v>Accessories</v>
          </cell>
          <cell r="E3990">
            <v>3446167.4379999996</v>
          </cell>
          <cell r="F3990">
            <v>4</v>
          </cell>
        </row>
        <row r="3991">
          <cell r="A3991">
            <v>2019</v>
          </cell>
          <cell r="B3991" t="str">
            <v>Budget</v>
          </cell>
          <cell r="C3991" t="str">
            <v>Apr</v>
          </cell>
          <cell r="D3991" t="str">
            <v>Chairs</v>
          </cell>
          <cell r="E3991">
            <v>9015399.959999999</v>
          </cell>
          <cell r="F3991">
            <v>4</v>
          </cell>
        </row>
        <row r="3992">
          <cell r="A3992">
            <v>2019</v>
          </cell>
          <cell r="B3992" t="str">
            <v>Actual</v>
          </cell>
          <cell r="C3992" t="str">
            <v>Apr</v>
          </cell>
          <cell r="D3992" t="str">
            <v>Tables</v>
          </cell>
          <cell r="E3992">
            <v>29062069.560999997</v>
          </cell>
          <cell r="F3992">
            <v>4</v>
          </cell>
        </row>
        <row r="3993">
          <cell r="A3993">
            <v>2019</v>
          </cell>
          <cell r="B3993" t="str">
            <v>Budget</v>
          </cell>
          <cell r="C3993" t="str">
            <v>Apr</v>
          </cell>
          <cell r="D3993" t="str">
            <v>Kitchen</v>
          </cell>
          <cell r="E3993">
            <v>9828825.7829999998</v>
          </cell>
          <cell r="F3993">
            <v>4</v>
          </cell>
        </row>
        <row r="3994">
          <cell r="A3994">
            <v>2018</v>
          </cell>
          <cell r="B3994" t="str">
            <v>Actual</v>
          </cell>
          <cell r="C3994" t="str">
            <v>Apr</v>
          </cell>
          <cell r="D3994" t="str">
            <v>Accessories</v>
          </cell>
          <cell r="E3994">
            <v>61457354.511</v>
          </cell>
          <cell r="F3994">
            <v>4</v>
          </cell>
        </row>
        <row r="3995">
          <cell r="A3995">
            <v>2018</v>
          </cell>
          <cell r="B3995" t="str">
            <v>Budget</v>
          </cell>
          <cell r="C3995" t="str">
            <v>Apr</v>
          </cell>
          <cell r="D3995" t="str">
            <v>Chairs</v>
          </cell>
          <cell r="E3995">
            <v>25488925.202999998</v>
          </cell>
          <cell r="F3995">
            <v>4</v>
          </cell>
        </row>
        <row r="3996">
          <cell r="A3996">
            <v>2019</v>
          </cell>
          <cell r="B3996" t="str">
            <v>Actual</v>
          </cell>
          <cell r="C3996" t="str">
            <v>May</v>
          </cell>
          <cell r="D3996" t="str">
            <v>Tables</v>
          </cell>
          <cell r="E3996">
            <v>1101621.6469999999</v>
          </cell>
          <cell r="F3996">
            <v>5</v>
          </cell>
        </row>
        <row r="3997">
          <cell r="A3997">
            <v>2019</v>
          </cell>
          <cell r="B3997" t="str">
            <v>Budget</v>
          </cell>
          <cell r="C3997" t="str">
            <v>May</v>
          </cell>
          <cell r="D3997" t="str">
            <v>Kitchen</v>
          </cell>
          <cell r="E3997">
            <v>345638.951</v>
          </cell>
          <cell r="F3997">
            <v>5</v>
          </cell>
        </row>
        <row r="3998">
          <cell r="A3998">
            <v>2019</v>
          </cell>
          <cell r="B3998" t="str">
            <v>Actual</v>
          </cell>
          <cell r="C3998" t="str">
            <v>May</v>
          </cell>
          <cell r="D3998" t="str">
            <v>Accessories</v>
          </cell>
          <cell r="E3998">
            <v>30626.756999999998</v>
          </cell>
          <cell r="F3998">
            <v>5</v>
          </cell>
        </row>
        <row r="3999">
          <cell r="A3999">
            <v>2018</v>
          </cell>
          <cell r="B3999" t="str">
            <v>Budget</v>
          </cell>
          <cell r="C3999" t="str">
            <v>May</v>
          </cell>
          <cell r="D3999" t="str">
            <v>Chairs</v>
          </cell>
          <cell r="E3999">
            <v>574909.27899999998</v>
          </cell>
          <cell r="F3999">
            <v>5</v>
          </cell>
        </row>
        <row r="4000">
          <cell r="A4000">
            <v>2018</v>
          </cell>
          <cell r="B4000" t="str">
            <v>Actual</v>
          </cell>
          <cell r="C4000" t="str">
            <v>May</v>
          </cell>
          <cell r="D4000" t="str">
            <v>Chairs</v>
          </cell>
          <cell r="E4000">
            <v>899296.89500000002</v>
          </cell>
          <cell r="F4000">
            <v>5</v>
          </cell>
        </row>
        <row r="4001">
          <cell r="A4001">
            <v>2018</v>
          </cell>
          <cell r="B4001" t="str">
            <v>Budget</v>
          </cell>
          <cell r="C4001" t="str">
            <v>May</v>
          </cell>
          <cell r="D4001" t="str">
            <v>Tables</v>
          </cell>
          <cell r="E4001">
            <v>544822.94299999997</v>
          </cell>
          <cell r="F4001">
            <v>5</v>
          </cell>
        </row>
        <row r="4002">
          <cell r="A4002">
            <v>2019</v>
          </cell>
          <cell r="B4002" t="str">
            <v>Actual</v>
          </cell>
          <cell r="C4002" t="str">
            <v>May</v>
          </cell>
          <cell r="D4002" t="str">
            <v>Kitchen</v>
          </cell>
          <cell r="E4002">
            <v>28321.292999999998</v>
          </cell>
          <cell r="F4002">
            <v>5</v>
          </cell>
        </row>
        <row r="4003">
          <cell r="A4003">
            <v>2019</v>
          </cell>
          <cell r="B4003" t="str">
            <v>Budget</v>
          </cell>
          <cell r="C4003" t="str">
            <v>May</v>
          </cell>
          <cell r="D4003" t="str">
            <v>Chairs</v>
          </cell>
          <cell r="E4003">
            <v>115201.87</v>
          </cell>
          <cell r="F4003">
            <v>5</v>
          </cell>
        </row>
        <row r="4004">
          <cell r="A4004">
            <v>2019</v>
          </cell>
          <cell r="B4004" t="str">
            <v>Actual</v>
          </cell>
          <cell r="C4004" t="str">
            <v>May</v>
          </cell>
          <cell r="D4004" t="str">
            <v>Tables</v>
          </cell>
          <cell r="E4004">
            <v>361862.739</v>
          </cell>
          <cell r="F4004">
            <v>5</v>
          </cell>
        </row>
        <row r="4005">
          <cell r="A4005">
            <v>2018</v>
          </cell>
          <cell r="B4005" t="str">
            <v>Budget</v>
          </cell>
          <cell r="C4005" t="str">
            <v>May</v>
          </cell>
          <cell r="D4005" t="str">
            <v>Kitchen</v>
          </cell>
          <cell r="E4005">
            <v>45561.746999999996</v>
          </cell>
          <cell r="F4005">
            <v>5</v>
          </cell>
        </row>
        <row r="4006">
          <cell r="A4006">
            <v>2018</v>
          </cell>
          <cell r="B4006" t="str">
            <v>Actual</v>
          </cell>
          <cell r="C4006" t="str">
            <v>May</v>
          </cell>
          <cell r="D4006" t="str">
            <v>Chairs</v>
          </cell>
          <cell r="E4006">
            <v>21545.985999999997</v>
          </cell>
          <cell r="F4006">
            <v>5</v>
          </cell>
        </row>
        <row r="4007">
          <cell r="A4007">
            <v>2019</v>
          </cell>
          <cell r="B4007" t="str">
            <v>Budget</v>
          </cell>
          <cell r="C4007" t="str">
            <v>May</v>
          </cell>
          <cell r="D4007" t="str">
            <v>Tables</v>
          </cell>
          <cell r="E4007">
            <v>416642.21899999998</v>
          </cell>
          <cell r="F4007">
            <v>5</v>
          </cell>
        </row>
        <row r="4008">
          <cell r="A4008">
            <v>2018</v>
          </cell>
          <cell r="B4008" t="str">
            <v>Actual</v>
          </cell>
          <cell r="C4008" t="str">
            <v>May</v>
          </cell>
          <cell r="D4008" t="str">
            <v>Kitchen</v>
          </cell>
          <cell r="E4008">
            <v>570564.91099999996</v>
          </cell>
          <cell r="F4008">
            <v>5</v>
          </cell>
        </row>
        <row r="4009">
          <cell r="A4009">
            <v>2019</v>
          </cell>
          <cell r="B4009" t="str">
            <v>Budget</v>
          </cell>
          <cell r="C4009" t="str">
            <v>May</v>
          </cell>
          <cell r="D4009" t="str">
            <v>Chairs</v>
          </cell>
          <cell r="E4009">
            <v>64438.758999999991</v>
          </cell>
          <cell r="F4009">
            <v>5</v>
          </cell>
        </row>
        <row r="4010">
          <cell r="A4010">
            <v>2019</v>
          </cell>
          <cell r="B4010" t="str">
            <v>Actual</v>
          </cell>
          <cell r="C4010" t="str">
            <v>May</v>
          </cell>
          <cell r="D4010" t="str">
            <v>Chairs</v>
          </cell>
          <cell r="E4010">
            <v>377992.26499999996</v>
          </cell>
          <cell r="F4010">
            <v>5</v>
          </cell>
        </row>
        <row r="4011">
          <cell r="A4011">
            <v>2018</v>
          </cell>
          <cell r="B4011" t="str">
            <v>Budget</v>
          </cell>
          <cell r="C4011" t="str">
            <v>May</v>
          </cell>
          <cell r="D4011" t="str">
            <v>Chairs</v>
          </cell>
          <cell r="E4011">
            <v>58546.032999999996</v>
          </cell>
          <cell r="F4011">
            <v>5</v>
          </cell>
        </row>
        <row r="4012">
          <cell r="A4012">
            <v>2019</v>
          </cell>
          <cell r="B4012" t="str">
            <v>Actual</v>
          </cell>
          <cell r="C4012" t="str">
            <v>May</v>
          </cell>
          <cell r="D4012" t="str">
            <v>Chairs</v>
          </cell>
          <cell r="E4012">
            <v>266343.30799999996</v>
          </cell>
          <cell r="F4012">
            <v>5</v>
          </cell>
        </row>
        <row r="4013">
          <cell r="A4013">
            <v>2019</v>
          </cell>
          <cell r="B4013" t="str">
            <v>Budget</v>
          </cell>
          <cell r="C4013" t="str">
            <v>May</v>
          </cell>
          <cell r="D4013" t="str">
            <v>Chairs</v>
          </cell>
          <cell r="E4013">
            <v>170122.4</v>
          </cell>
          <cell r="F4013">
            <v>5</v>
          </cell>
        </row>
        <row r="4014">
          <cell r="A4014">
            <v>2019</v>
          </cell>
          <cell r="B4014" t="str">
            <v>Actual</v>
          </cell>
          <cell r="C4014" t="str">
            <v>May</v>
          </cell>
          <cell r="D4014" t="str">
            <v>Chairs</v>
          </cell>
          <cell r="E4014">
            <v>5626.5439999999999</v>
          </cell>
          <cell r="F4014">
            <v>5</v>
          </cell>
        </row>
        <row r="4015">
          <cell r="A4015">
            <v>2019</v>
          </cell>
          <cell r="B4015" t="str">
            <v>Budget</v>
          </cell>
          <cell r="C4015" t="str">
            <v>May</v>
          </cell>
          <cell r="D4015" t="str">
            <v>Chairs</v>
          </cell>
          <cell r="E4015">
            <v>-35.909999999999997</v>
          </cell>
          <cell r="F4015">
            <v>5</v>
          </cell>
        </row>
        <row r="4016">
          <cell r="A4016">
            <v>2019</v>
          </cell>
          <cell r="B4016" t="str">
            <v>Actual</v>
          </cell>
          <cell r="C4016" t="str">
            <v>May</v>
          </cell>
          <cell r="D4016" t="str">
            <v>Chairs</v>
          </cell>
          <cell r="E4016">
            <v>95463.262999999992</v>
          </cell>
          <cell r="F4016">
            <v>5</v>
          </cell>
        </row>
        <row r="4017">
          <cell r="A4017">
            <v>2018</v>
          </cell>
          <cell r="B4017" t="str">
            <v>Budget</v>
          </cell>
          <cell r="C4017" t="str">
            <v>May</v>
          </cell>
          <cell r="D4017" t="str">
            <v>Chairs</v>
          </cell>
          <cell r="E4017">
            <v>88008.885999999999</v>
          </cell>
          <cell r="F4017">
            <v>5</v>
          </cell>
        </row>
        <row r="4018">
          <cell r="A4018">
            <v>2019</v>
          </cell>
          <cell r="B4018" t="str">
            <v>Actual</v>
          </cell>
          <cell r="C4018" t="str">
            <v>May</v>
          </cell>
          <cell r="D4018" t="str">
            <v>Chairs</v>
          </cell>
          <cell r="E4018">
            <v>95545.127999999997</v>
          </cell>
          <cell r="F4018">
            <v>5</v>
          </cell>
        </row>
        <row r="4019">
          <cell r="A4019">
            <v>2018</v>
          </cell>
          <cell r="B4019" t="str">
            <v>Budget</v>
          </cell>
          <cell r="C4019" t="str">
            <v>May</v>
          </cell>
          <cell r="D4019" t="str">
            <v>Chairs</v>
          </cell>
          <cell r="E4019">
            <v>96845.279999999984</v>
          </cell>
          <cell r="F4019">
            <v>5</v>
          </cell>
        </row>
        <row r="4020">
          <cell r="A4020">
            <v>2019</v>
          </cell>
          <cell r="B4020" t="str">
            <v>Actual</v>
          </cell>
          <cell r="C4020" t="str">
            <v>May</v>
          </cell>
          <cell r="D4020" t="str">
            <v>Chairs</v>
          </cell>
          <cell r="E4020">
            <v>129390.14199999999</v>
          </cell>
          <cell r="F4020">
            <v>5</v>
          </cell>
        </row>
        <row r="4021">
          <cell r="A4021">
            <v>2019</v>
          </cell>
          <cell r="B4021" t="str">
            <v>Budget</v>
          </cell>
          <cell r="C4021" t="str">
            <v>May</v>
          </cell>
          <cell r="D4021" t="str">
            <v>Chairs</v>
          </cell>
          <cell r="E4021">
            <v>123816.87499999999</v>
          </cell>
          <cell r="F4021">
            <v>5</v>
          </cell>
        </row>
        <row r="4022">
          <cell r="A4022">
            <v>2019</v>
          </cell>
          <cell r="B4022" t="str">
            <v>Actual</v>
          </cell>
          <cell r="C4022" t="str">
            <v>May</v>
          </cell>
          <cell r="D4022" t="str">
            <v>Chairs</v>
          </cell>
          <cell r="E4022">
            <v>108756.25599999998</v>
          </cell>
          <cell r="F4022">
            <v>5</v>
          </cell>
        </row>
        <row r="4023">
          <cell r="A4023">
            <v>2018</v>
          </cell>
          <cell r="B4023" t="str">
            <v>Budget</v>
          </cell>
          <cell r="C4023" t="str">
            <v>May</v>
          </cell>
          <cell r="D4023" t="str">
            <v>Chairs</v>
          </cell>
          <cell r="E4023">
            <v>58867.388999999996</v>
          </cell>
          <cell r="F4023">
            <v>5</v>
          </cell>
        </row>
        <row r="4024">
          <cell r="A4024">
            <v>2019</v>
          </cell>
          <cell r="B4024" t="str">
            <v>Actual</v>
          </cell>
          <cell r="C4024" t="str">
            <v>May</v>
          </cell>
          <cell r="D4024" t="str">
            <v>Chairs</v>
          </cell>
          <cell r="E4024">
            <v>94684.127999999997</v>
          </cell>
          <cell r="F4024">
            <v>5</v>
          </cell>
        </row>
        <row r="4025">
          <cell r="A4025">
            <v>2018</v>
          </cell>
          <cell r="B4025" t="str">
            <v>Budget</v>
          </cell>
          <cell r="C4025" t="str">
            <v>May</v>
          </cell>
          <cell r="D4025" t="str">
            <v>Chairs</v>
          </cell>
          <cell r="E4025">
            <v>76116.865999999995</v>
          </cell>
          <cell r="F4025">
            <v>5</v>
          </cell>
        </row>
        <row r="4026">
          <cell r="A4026">
            <v>2018</v>
          </cell>
          <cell r="B4026" t="str">
            <v>Actual</v>
          </cell>
          <cell r="C4026" t="str">
            <v>May</v>
          </cell>
          <cell r="D4026" t="str">
            <v>Chairs</v>
          </cell>
          <cell r="E4026">
            <v>26558.727999999999</v>
          </cell>
          <cell r="F4026">
            <v>5</v>
          </cell>
        </row>
        <row r="4027">
          <cell r="A4027">
            <v>2019</v>
          </cell>
          <cell r="B4027" t="str">
            <v>Budget</v>
          </cell>
          <cell r="C4027" t="str">
            <v>May</v>
          </cell>
          <cell r="D4027" t="str">
            <v>Chairs</v>
          </cell>
          <cell r="E4027">
            <v>36386.762999999992</v>
          </cell>
          <cell r="F4027">
            <v>5</v>
          </cell>
        </row>
        <row r="4028">
          <cell r="A4028">
            <v>2019</v>
          </cell>
          <cell r="B4028" t="str">
            <v>Actual</v>
          </cell>
          <cell r="C4028" t="str">
            <v>May</v>
          </cell>
          <cell r="D4028" t="str">
            <v>Chairs</v>
          </cell>
          <cell r="E4028">
            <v>48645.37999999999</v>
          </cell>
          <cell r="F4028">
            <v>5</v>
          </cell>
        </row>
        <row r="4029">
          <cell r="A4029">
            <v>2019</v>
          </cell>
          <cell r="B4029" t="str">
            <v>Budget</v>
          </cell>
          <cell r="C4029" t="str">
            <v>May</v>
          </cell>
          <cell r="D4029" t="str">
            <v>Chairs</v>
          </cell>
          <cell r="E4029">
            <v>30732.897999999997</v>
          </cell>
          <cell r="F4029">
            <v>5</v>
          </cell>
        </row>
        <row r="4030">
          <cell r="A4030">
            <v>2018</v>
          </cell>
          <cell r="B4030" t="str">
            <v>Actual</v>
          </cell>
          <cell r="C4030" t="str">
            <v>May</v>
          </cell>
          <cell r="D4030" t="str">
            <v>Chairs</v>
          </cell>
          <cell r="E4030">
            <v>102617.109</v>
          </cell>
          <cell r="F4030">
            <v>5</v>
          </cell>
        </row>
        <row r="4031">
          <cell r="A4031">
            <v>2018</v>
          </cell>
          <cell r="B4031" t="str">
            <v>Budget</v>
          </cell>
          <cell r="C4031" t="str">
            <v>May</v>
          </cell>
          <cell r="D4031" t="str">
            <v>Chairs</v>
          </cell>
          <cell r="E4031">
            <v>23834.587</v>
          </cell>
          <cell r="F4031">
            <v>5</v>
          </cell>
        </row>
        <row r="4032">
          <cell r="A4032">
            <v>2018</v>
          </cell>
          <cell r="B4032" t="str">
            <v>Actual</v>
          </cell>
          <cell r="C4032" t="str">
            <v>May</v>
          </cell>
          <cell r="D4032" t="str">
            <v>Chairs</v>
          </cell>
          <cell r="E4032">
            <v>23784.746999999999</v>
          </cell>
          <cell r="F4032">
            <v>5</v>
          </cell>
        </row>
        <row r="4033">
          <cell r="A4033">
            <v>2018</v>
          </cell>
          <cell r="B4033" t="str">
            <v>Budget</v>
          </cell>
          <cell r="C4033" t="str">
            <v>May</v>
          </cell>
          <cell r="D4033" t="str">
            <v>Chairs</v>
          </cell>
          <cell r="E4033">
            <v>509383.71399999998</v>
          </cell>
          <cell r="F4033">
            <v>5</v>
          </cell>
        </row>
        <row r="4034">
          <cell r="A4034">
            <v>2019</v>
          </cell>
          <cell r="B4034" t="str">
            <v>Actual</v>
          </cell>
          <cell r="C4034" t="str">
            <v>May</v>
          </cell>
          <cell r="D4034" t="str">
            <v>Chairs</v>
          </cell>
          <cell r="E4034">
            <v>142218.139</v>
          </cell>
          <cell r="F4034">
            <v>5</v>
          </cell>
        </row>
        <row r="4035">
          <cell r="A4035">
            <v>2019</v>
          </cell>
          <cell r="B4035" t="str">
            <v>Budget</v>
          </cell>
          <cell r="C4035" t="str">
            <v>May</v>
          </cell>
          <cell r="D4035" t="str">
            <v>Tables</v>
          </cell>
          <cell r="E4035">
            <v>65128.714</v>
          </cell>
          <cell r="F4035">
            <v>5</v>
          </cell>
        </row>
        <row r="4036">
          <cell r="A4036">
            <v>2018</v>
          </cell>
          <cell r="B4036" t="str">
            <v>Actual</v>
          </cell>
          <cell r="C4036" t="str">
            <v>May</v>
          </cell>
          <cell r="D4036" t="str">
            <v>Kitchen</v>
          </cell>
          <cell r="E4036">
            <v>41253.904999999999</v>
          </cell>
          <cell r="F4036">
            <v>5</v>
          </cell>
        </row>
        <row r="4037">
          <cell r="A4037">
            <v>2018</v>
          </cell>
          <cell r="B4037" t="str">
            <v>Budget</v>
          </cell>
          <cell r="C4037" t="str">
            <v>May</v>
          </cell>
          <cell r="D4037" t="str">
            <v>Chairs</v>
          </cell>
          <cell r="E4037">
            <v>51912.475999999995</v>
          </cell>
          <cell r="F4037">
            <v>5</v>
          </cell>
        </row>
        <row r="4038">
          <cell r="A4038">
            <v>2019</v>
          </cell>
          <cell r="B4038" t="str">
            <v>Actual</v>
          </cell>
          <cell r="C4038" t="str">
            <v>May</v>
          </cell>
          <cell r="D4038" t="str">
            <v>Chairs</v>
          </cell>
          <cell r="E4038">
            <v>74853.87</v>
          </cell>
          <cell r="F4038">
            <v>5</v>
          </cell>
        </row>
        <row r="4039">
          <cell r="A4039">
            <v>2019</v>
          </cell>
          <cell r="B4039" t="str">
            <v>Budget</v>
          </cell>
          <cell r="C4039" t="str">
            <v>May</v>
          </cell>
          <cell r="D4039" t="str">
            <v>Chairs</v>
          </cell>
          <cell r="E4039">
            <v>65067.827999999994</v>
          </cell>
          <cell r="F4039">
            <v>5</v>
          </cell>
        </row>
        <row r="4040">
          <cell r="A4040">
            <v>2019</v>
          </cell>
          <cell r="B4040" t="str">
            <v>Actual</v>
          </cell>
          <cell r="C4040" t="str">
            <v>May</v>
          </cell>
          <cell r="D4040" t="str">
            <v>Chairs</v>
          </cell>
          <cell r="E4040">
            <v>58191.657999999996</v>
          </cell>
          <cell r="F4040">
            <v>5</v>
          </cell>
        </row>
        <row r="4041">
          <cell r="A4041">
            <v>2018</v>
          </cell>
          <cell r="B4041" t="str">
            <v>Budget</v>
          </cell>
          <cell r="C4041" t="str">
            <v>May</v>
          </cell>
          <cell r="D4041" t="str">
            <v>Chairs</v>
          </cell>
          <cell r="E4041">
            <v>57729.174999999996</v>
          </cell>
          <cell r="F4041">
            <v>5</v>
          </cell>
        </row>
        <row r="4042">
          <cell r="A4042">
            <v>2019</v>
          </cell>
          <cell r="B4042" t="str">
            <v>Actual</v>
          </cell>
          <cell r="C4042" t="str">
            <v>May</v>
          </cell>
          <cell r="D4042" t="str">
            <v>Tables</v>
          </cell>
          <cell r="E4042">
            <v>66908.554999999993</v>
          </cell>
          <cell r="F4042">
            <v>5</v>
          </cell>
        </row>
        <row r="4043">
          <cell r="A4043">
            <v>2018</v>
          </cell>
          <cell r="B4043" t="str">
            <v>Budget</v>
          </cell>
          <cell r="C4043" t="str">
            <v>May</v>
          </cell>
          <cell r="D4043" t="str">
            <v>Kitchen</v>
          </cell>
          <cell r="E4043">
            <v>256325.78999999998</v>
          </cell>
          <cell r="F4043">
            <v>5</v>
          </cell>
        </row>
        <row r="4044">
          <cell r="A4044">
            <v>2018</v>
          </cell>
          <cell r="B4044" t="str">
            <v>Actual</v>
          </cell>
          <cell r="C4044" t="str">
            <v>May</v>
          </cell>
          <cell r="D4044" t="str">
            <v>Chairs</v>
          </cell>
          <cell r="E4044">
            <v>3220.07</v>
          </cell>
          <cell r="F4044">
            <v>5</v>
          </cell>
        </row>
        <row r="4045">
          <cell r="A4045">
            <v>2019</v>
          </cell>
          <cell r="B4045" t="str">
            <v>Budget</v>
          </cell>
          <cell r="C4045" t="str">
            <v>May</v>
          </cell>
          <cell r="D4045" t="str">
            <v>Chairs</v>
          </cell>
          <cell r="E4045">
            <v>65018.120999999992</v>
          </cell>
          <cell r="F4045">
            <v>5</v>
          </cell>
        </row>
        <row r="4046">
          <cell r="A4046">
            <v>2018</v>
          </cell>
          <cell r="B4046" t="str">
            <v>Actual</v>
          </cell>
          <cell r="C4046" t="str">
            <v>May</v>
          </cell>
          <cell r="D4046" t="str">
            <v>Chairs</v>
          </cell>
          <cell r="E4046">
            <v>18393.682999999997</v>
          </cell>
          <cell r="F4046">
            <v>5</v>
          </cell>
        </row>
        <row r="4047">
          <cell r="A4047">
            <v>2018</v>
          </cell>
          <cell r="B4047" t="str">
            <v>Budget</v>
          </cell>
          <cell r="C4047" t="str">
            <v>May</v>
          </cell>
          <cell r="D4047" t="str">
            <v>Tables</v>
          </cell>
          <cell r="E4047">
            <v>5618.6970000000001</v>
          </cell>
          <cell r="F4047">
            <v>5</v>
          </cell>
        </row>
        <row r="4048">
          <cell r="A4048">
            <v>2018</v>
          </cell>
          <cell r="B4048" t="str">
            <v>Actual</v>
          </cell>
          <cell r="C4048" t="str">
            <v>May</v>
          </cell>
          <cell r="D4048" t="str">
            <v>Kitchen</v>
          </cell>
          <cell r="E4048">
            <v>93499.048999999999</v>
          </cell>
          <cell r="F4048">
            <v>5</v>
          </cell>
        </row>
        <row r="4049">
          <cell r="A4049">
            <v>2019</v>
          </cell>
          <cell r="B4049" t="str">
            <v>Budget</v>
          </cell>
          <cell r="C4049" t="str">
            <v>May</v>
          </cell>
          <cell r="D4049" t="str">
            <v>Chairs</v>
          </cell>
          <cell r="E4049">
            <v>166741.35799999998</v>
          </cell>
          <cell r="F4049">
            <v>5</v>
          </cell>
        </row>
        <row r="4050">
          <cell r="A4050">
            <v>2018</v>
          </cell>
          <cell r="B4050" t="str">
            <v>Actual</v>
          </cell>
          <cell r="C4050" t="str">
            <v>May</v>
          </cell>
          <cell r="D4050" t="str">
            <v>Chairs</v>
          </cell>
          <cell r="E4050">
            <v>20969.738999999998</v>
          </cell>
          <cell r="F4050">
            <v>5</v>
          </cell>
        </row>
        <row r="4051">
          <cell r="A4051">
            <v>2018</v>
          </cell>
          <cell r="B4051" t="str">
            <v>Budget</v>
          </cell>
          <cell r="C4051" t="str">
            <v>May</v>
          </cell>
          <cell r="D4051" t="str">
            <v>Tables</v>
          </cell>
          <cell r="E4051">
            <v>26763.841999999997</v>
          </cell>
          <cell r="F4051">
            <v>5</v>
          </cell>
        </row>
        <row r="4052">
          <cell r="A4052">
            <v>2019</v>
          </cell>
          <cell r="B4052" t="str">
            <v>Actual</v>
          </cell>
          <cell r="C4052" t="str">
            <v>May</v>
          </cell>
          <cell r="D4052" t="str">
            <v>Kitchen</v>
          </cell>
          <cell r="E4052">
            <v>51462.145000000004</v>
          </cell>
          <cell r="F4052">
            <v>5</v>
          </cell>
        </row>
        <row r="4053">
          <cell r="A4053">
            <v>2019</v>
          </cell>
          <cell r="B4053" t="str">
            <v>Budget</v>
          </cell>
          <cell r="C4053" t="str">
            <v>May</v>
          </cell>
          <cell r="D4053" t="str">
            <v>Chairs</v>
          </cell>
          <cell r="E4053">
            <v>147651.37099999998</v>
          </cell>
          <cell r="F4053">
            <v>5</v>
          </cell>
        </row>
        <row r="4054">
          <cell r="A4054">
            <v>2019</v>
          </cell>
          <cell r="B4054" t="str">
            <v>Actual</v>
          </cell>
          <cell r="C4054" t="str">
            <v>May</v>
          </cell>
          <cell r="D4054" t="str">
            <v>Chairs</v>
          </cell>
          <cell r="E4054">
            <v>198897.83199999999</v>
          </cell>
          <cell r="F4054">
            <v>5</v>
          </cell>
        </row>
        <row r="4055">
          <cell r="A4055">
            <v>2019</v>
          </cell>
          <cell r="B4055" t="str">
            <v>Budget</v>
          </cell>
          <cell r="C4055" t="str">
            <v>May</v>
          </cell>
          <cell r="D4055" t="str">
            <v>Chairs</v>
          </cell>
          <cell r="E4055">
            <v>3714611.6419999995</v>
          </cell>
          <cell r="F4055">
            <v>5</v>
          </cell>
        </row>
        <row r="4056">
          <cell r="A4056">
            <v>2018</v>
          </cell>
          <cell r="B4056" t="str">
            <v>Actual</v>
          </cell>
          <cell r="C4056" t="str">
            <v>May</v>
          </cell>
          <cell r="D4056" t="str">
            <v>Tables</v>
          </cell>
          <cell r="E4056">
            <v>120525.15299999999</v>
          </cell>
          <cell r="F4056">
            <v>5</v>
          </cell>
        </row>
        <row r="4057">
          <cell r="A4057">
            <v>2019</v>
          </cell>
          <cell r="B4057" t="str">
            <v>Budget</v>
          </cell>
          <cell r="C4057" t="str">
            <v>May</v>
          </cell>
          <cell r="D4057" t="str">
            <v>Kitchen</v>
          </cell>
          <cell r="E4057">
            <v>452441.29699999996</v>
          </cell>
          <cell r="F4057">
            <v>5</v>
          </cell>
        </row>
        <row r="4058">
          <cell r="A4058">
            <v>2019</v>
          </cell>
          <cell r="B4058" t="str">
            <v>Actual</v>
          </cell>
          <cell r="C4058" t="str">
            <v>May</v>
          </cell>
          <cell r="D4058" t="str">
            <v>Accessories</v>
          </cell>
          <cell r="E4058">
            <v>13756.847999999998</v>
          </cell>
          <cell r="F4058">
            <v>5</v>
          </cell>
        </row>
        <row r="4059">
          <cell r="A4059">
            <v>2019</v>
          </cell>
          <cell r="B4059" t="str">
            <v>Budget</v>
          </cell>
          <cell r="C4059" t="str">
            <v>May</v>
          </cell>
          <cell r="D4059" t="str">
            <v>Chairs</v>
          </cell>
          <cell r="E4059">
            <v>35648.045999999995</v>
          </cell>
          <cell r="F4059">
            <v>5</v>
          </cell>
        </row>
        <row r="4060">
          <cell r="A4060">
            <v>2018</v>
          </cell>
          <cell r="B4060" t="str">
            <v>Actual</v>
          </cell>
          <cell r="C4060" t="str">
            <v>May</v>
          </cell>
          <cell r="D4060" t="str">
            <v>Tables</v>
          </cell>
          <cell r="E4060">
            <v>13214.648999999999</v>
          </cell>
          <cell r="F4060">
            <v>5</v>
          </cell>
        </row>
        <row r="4061">
          <cell r="A4061">
            <v>2018</v>
          </cell>
          <cell r="B4061" t="str">
            <v>Budget</v>
          </cell>
          <cell r="C4061" t="str">
            <v>May</v>
          </cell>
          <cell r="D4061" t="str">
            <v>Kitchen</v>
          </cell>
          <cell r="E4061">
            <v>112904.008</v>
          </cell>
          <cell r="F4061">
            <v>5</v>
          </cell>
        </row>
        <row r="4062">
          <cell r="A4062">
            <v>2018</v>
          </cell>
          <cell r="B4062" t="str">
            <v>Actual</v>
          </cell>
          <cell r="C4062" t="str">
            <v>May</v>
          </cell>
          <cell r="D4062" t="str">
            <v>Accessories</v>
          </cell>
          <cell r="E4062">
            <v>68887.454999999987</v>
          </cell>
          <cell r="F4062">
            <v>5</v>
          </cell>
        </row>
        <row r="4063">
          <cell r="A4063">
            <v>2019</v>
          </cell>
          <cell r="B4063" t="str">
            <v>Budget</v>
          </cell>
          <cell r="C4063" t="str">
            <v>May</v>
          </cell>
          <cell r="D4063" t="str">
            <v>Chairs</v>
          </cell>
          <cell r="E4063">
            <v>419614.17399999994</v>
          </cell>
          <cell r="F4063">
            <v>5</v>
          </cell>
        </row>
        <row r="4064">
          <cell r="A4064">
            <v>2018</v>
          </cell>
          <cell r="B4064" t="str">
            <v>Actual</v>
          </cell>
          <cell r="C4064" t="str">
            <v>May</v>
          </cell>
          <cell r="D4064" t="str">
            <v>Tables</v>
          </cell>
          <cell r="E4064">
            <v>31186.889999999996</v>
          </cell>
          <cell r="F4064">
            <v>5</v>
          </cell>
        </row>
        <row r="4065">
          <cell r="A4065">
            <v>2018</v>
          </cell>
          <cell r="B4065" t="str">
            <v>Budget</v>
          </cell>
          <cell r="C4065" t="str">
            <v>May</v>
          </cell>
          <cell r="D4065" t="str">
            <v>Kitchen</v>
          </cell>
          <cell r="E4065">
            <v>123918.90699999999</v>
          </cell>
          <cell r="F4065">
            <v>5</v>
          </cell>
        </row>
        <row r="4066">
          <cell r="A4066">
            <v>2018</v>
          </cell>
          <cell r="B4066" t="str">
            <v>Actual</v>
          </cell>
          <cell r="C4066" t="str">
            <v>May</v>
          </cell>
          <cell r="D4066" t="str">
            <v>Accessories</v>
          </cell>
          <cell r="E4066">
            <v>193246.75299999997</v>
          </cell>
          <cell r="F4066">
            <v>5</v>
          </cell>
        </row>
        <row r="4067">
          <cell r="A4067">
            <v>2019</v>
          </cell>
          <cell r="B4067" t="str">
            <v>Budget</v>
          </cell>
          <cell r="C4067" t="str">
            <v>May</v>
          </cell>
          <cell r="D4067" t="str">
            <v>Chairs</v>
          </cell>
          <cell r="E4067">
            <v>48085.149000000005</v>
          </cell>
          <cell r="F4067">
            <v>5</v>
          </cell>
        </row>
        <row r="4068">
          <cell r="A4068">
            <v>2018</v>
          </cell>
          <cell r="B4068" t="str">
            <v>Actual</v>
          </cell>
          <cell r="C4068" t="str">
            <v>May</v>
          </cell>
          <cell r="D4068" t="str">
            <v>Tables</v>
          </cell>
          <cell r="E4068">
            <v>122594.75199999998</v>
          </cell>
          <cell r="F4068">
            <v>5</v>
          </cell>
        </row>
        <row r="4069">
          <cell r="A4069">
            <v>2019</v>
          </cell>
          <cell r="B4069" t="str">
            <v>Budget</v>
          </cell>
          <cell r="C4069" t="str">
            <v>May</v>
          </cell>
          <cell r="D4069" t="str">
            <v>Kitchen</v>
          </cell>
          <cell r="E4069">
            <v>112497.476</v>
          </cell>
          <cell r="F4069">
            <v>5</v>
          </cell>
        </row>
        <row r="4070">
          <cell r="A4070">
            <v>2018</v>
          </cell>
          <cell r="B4070" t="str">
            <v>Actual</v>
          </cell>
          <cell r="C4070" t="str">
            <v>May</v>
          </cell>
          <cell r="D4070" t="str">
            <v>Accessories</v>
          </cell>
          <cell r="E4070">
            <v>49702.729999999996</v>
          </cell>
          <cell r="F4070">
            <v>5</v>
          </cell>
        </row>
        <row r="4071">
          <cell r="A4071">
            <v>2018</v>
          </cell>
          <cell r="B4071" t="str">
            <v>Budget</v>
          </cell>
          <cell r="C4071" t="str">
            <v>May</v>
          </cell>
          <cell r="D4071" t="str">
            <v>Chairs</v>
          </cell>
          <cell r="E4071">
            <v>970974.30499999982</v>
          </cell>
          <cell r="F4071">
            <v>5</v>
          </cell>
        </row>
        <row r="4072">
          <cell r="A4072">
            <v>2018</v>
          </cell>
          <cell r="B4072" t="str">
            <v>Actual</v>
          </cell>
          <cell r="C4072" t="str">
            <v>May</v>
          </cell>
          <cell r="D4072" t="str">
            <v>Chairs</v>
          </cell>
          <cell r="E4072">
            <v>76055.615999999995</v>
          </cell>
          <cell r="F4072">
            <v>5</v>
          </cell>
        </row>
        <row r="4073">
          <cell r="A4073">
            <v>2018</v>
          </cell>
          <cell r="B4073" t="str">
            <v>Budget</v>
          </cell>
          <cell r="C4073" t="str">
            <v>May</v>
          </cell>
          <cell r="D4073" t="str">
            <v>Tables</v>
          </cell>
          <cell r="E4073">
            <v>101655.694</v>
          </cell>
          <cell r="F4073">
            <v>5</v>
          </cell>
        </row>
        <row r="4074">
          <cell r="A4074">
            <v>2018</v>
          </cell>
          <cell r="B4074" t="str">
            <v>Actual</v>
          </cell>
          <cell r="C4074" t="str">
            <v>May</v>
          </cell>
          <cell r="D4074" t="str">
            <v>Kitchen</v>
          </cell>
          <cell r="E4074">
            <v>2386.0619999999999</v>
          </cell>
          <cell r="F4074">
            <v>5</v>
          </cell>
        </row>
        <row r="4075">
          <cell r="A4075">
            <v>2018</v>
          </cell>
          <cell r="B4075" t="str">
            <v>Budget</v>
          </cell>
          <cell r="C4075" t="str">
            <v>May</v>
          </cell>
          <cell r="D4075" t="str">
            <v>Chairs</v>
          </cell>
          <cell r="E4075">
            <v>1213017.057</v>
          </cell>
          <cell r="F4075">
            <v>5</v>
          </cell>
        </row>
        <row r="4076">
          <cell r="A4076">
            <v>2019</v>
          </cell>
          <cell r="B4076" t="str">
            <v>Actual</v>
          </cell>
          <cell r="C4076" t="str">
            <v>May</v>
          </cell>
          <cell r="D4076" t="str">
            <v>Tables</v>
          </cell>
          <cell r="E4076">
            <v>374014.91399999999</v>
          </cell>
          <cell r="F4076">
            <v>5</v>
          </cell>
        </row>
        <row r="4077">
          <cell r="A4077">
            <v>2019</v>
          </cell>
          <cell r="B4077" t="str">
            <v>Budget</v>
          </cell>
          <cell r="C4077" t="str">
            <v>May</v>
          </cell>
          <cell r="D4077" t="str">
            <v>Kitchen</v>
          </cell>
          <cell r="E4077">
            <v>2299965.6189999999</v>
          </cell>
          <cell r="F4077">
            <v>5</v>
          </cell>
        </row>
        <row r="4078">
          <cell r="A4078">
            <v>2019</v>
          </cell>
          <cell r="B4078" t="str">
            <v>Actual</v>
          </cell>
          <cell r="C4078" t="str">
            <v>May</v>
          </cell>
          <cell r="D4078" t="str">
            <v>Chairs</v>
          </cell>
          <cell r="E4078">
            <v>535554.47399999993</v>
          </cell>
          <cell r="F4078">
            <v>5</v>
          </cell>
        </row>
        <row r="4079">
          <cell r="A4079">
            <v>2018</v>
          </cell>
          <cell r="B4079" t="str">
            <v>Budget</v>
          </cell>
          <cell r="C4079" t="str">
            <v>May</v>
          </cell>
          <cell r="D4079" t="str">
            <v>Tables</v>
          </cell>
          <cell r="E4079">
            <v>330355.01099999994</v>
          </cell>
          <cell r="F4079">
            <v>5</v>
          </cell>
        </row>
        <row r="4080">
          <cell r="A4080">
            <v>2018</v>
          </cell>
          <cell r="B4080" t="str">
            <v>Actual</v>
          </cell>
          <cell r="C4080" t="str">
            <v>May</v>
          </cell>
          <cell r="D4080" t="str">
            <v>Kitchen</v>
          </cell>
          <cell r="E4080">
            <v>266739.158</v>
          </cell>
          <cell r="F4080">
            <v>5</v>
          </cell>
        </row>
        <row r="4081">
          <cell r="A4081">
            <v>2019</v>
          </cell>
          <cell r="B4081" t="str">
            <v>Budget</v>
          </cell>
          <cell r="C4081" t="str">
            <v>May</v>
          </cell>
          <cell r="D4081" t="str">
            <v>Chairs</v>
          </cell>
          <cell r="E4081">
            <v>333926.15199999994</v>
          </cell>
          <cell r="F4081">
            <v>5</v>
          </cell>
        </row>
        <row r="4082">
          <cell r="A4082">
            <v>2019</v>
          </cell>
          <cell r="B4082" t="str">
            <v>Actual</v>
          </cell>
          <cell r="C4082" t="str">
            <v>May</v>
          </cell>
          <cell r="D4082" t="str">
            <v>Chairs</v>
          </cell>
          <cell r="E4082">
            <v>17051.397999999997</v>
          </cell>
          <cell r="F4082">
            <v>5</v>
          </cell>
        </row>
        <row r="4083">
          <cell r="A4083">
            <v>2019</v>
          </cell>
          <cell r="B4083" t="str">
            <v>Budget</v>
          </cell>
          <cell r="C4083" t="str">
            <v>May</v>
          </cell>
          <cell r="D4083" t="str">
            <v>Chairs</v>
          </cell>
          <cell r="E4083">
            <v>762059.4659999999</v>
          </cell>
          <cell r="F4083">
            <v>5</v>
          </cell>
        </row>
        <row r="4084">
          <cell r="A4084">
            <v>2019</v>
          </cell>
          <cell r="B4084" t="str">
            <v>Actual</v>
          </cell>
          <cell r="C4084" t="str">
            <v>May</v>
          </cell>
          <cell r="D4084" t="str">
            <v>Chairs</v>
          </cell>
          <cell r="E4084">
            <v>-21426.23</v>
          </cell>
          <cell r="F4084">
            <v>5</v>
          </cell>
        </row>
        <row r="4085">
          <cell r="A4085">
            <v>2018</v>
          </cell>
          <cell r="B4085" t="str">
            <v>Budget</v>
          </cell>
          <cell r="C4085" t="str">
            <v>May</v>
          </cell>
          <cell r="D4085" t="str">
            <v>Chairs</v>
          </cell>
          <cell r="E4085">
            <v>198209.375</v>
          </cell>
          <cell r="F4085">
            <v>5</v>
          </cell>
        </row>
        <row r="4086">
          <cell r="A4086">
            <v>2019</v>
          </cell>
          <cell r="B4086" t="str">
            <v>Actual</v>
          </cell>
          <cell r="C4086" t="str">
            <v>May</v>
          </cell>
          <cell r="D4086" t="str">
            <v>Chairs</v>
          </cell>
          <cell r="E4086">
            <v>193140.766</v>
          </cell>
          <cell r="F4086">
            <v>5</v>
          </cell>
        </row>
        <row r="4087">
          <cell r="A4087">
            <v>2019</v>
          </cell>
          <cell r="B4087" t="str">
            <v>Budget</v>
          </cell>
          <cell r="C4087" t="str">
            <v>May</v>
          </cell>
          <cell r="D4087" t="str">
            <v>Chairs</v>
          </cell>
          <cell r="E4087">
            <v>449772.81999999995</v>
          </cell>
          <cell r="F4087">
            <v>5</v>
          </cell>
        </row>
        <row r="4088">
          <cell r="A4088">
            <v>2018</v>
          </cell>
          <cell r="B4088" t="str">
            <v>Actual</v>
          </cell>
          <cell r="C4088" t="str">
            <v>May</v>
          </cell>
          <cell r="D4088" t="str">
            <v>Chairs</v>
          </cell>
          <cell r="E4088">
            <v>111006.25199999998</v>
          </cell>
          <cell r="F4088">
            <v>5</v>
          </cell>
        </row>
        <row r="4089">
          <cell r="A4089">
            <v>2019</v>
          </cell>
          <cell r="B4089" t="str">
            <v>Budget</v>
          </cell>
          <cell r="C4089" t="str">
            <v>May</v>
          </cell>
          <cell r="D4089" t="str">
            <v>Chairs</v>
          </cell>
          <cell r="E4089">
            <v>62302.064999999995</v>
          </cell>
          <cell r="F4089">
            <v>5</v>
          </cell>
        </row>
        <row r="4090">
          <cell r="A4090">
            <v>2018</v>
          </cell>
          <cell r="B4090" t="str">
            <v>Actual</v>
          </cell>
          <cell r="C4090" t="str">
            <v>May</v>
          </cell>
          <cell r="D4090" t="str">
            <v>Chairs</v>
          </cell>
          <cell r="E4090">
            <v>56048.537999999993</v>
          </cell>
          <cell r="F4090">
            <v>5</v>
          </cell>
        </row>
        <row r="4091">
          <cell r="A4091">
            <v>2018</v>
          </cell>
          <cell r="B4091" t="str">
            <v>Budget</v>
          </cell>
          <cell r="C4091" t="str">
            <v>May</v>
          </cell>
          <cell r="D4091" t="str">
            <v>Chairs</v>
          </cell>
          <cell r="E4091">
            <v>696880.40799999994</v>
          </cell>
          <cell r="F4091">
            <v>5</v>
          </cell>
        </row>
        <row r="4092">
          <cell r="A4092">
            <v>2018</v>
          </cell>
          <cell r="B4092" t="str">
            <v>Actual</v>
          </cell>
          <cell r="C4092" t="str">
            <v>May</v>
          </cell>
          <cell r="D4092" t="str">
            <v>Chairs</v>
          </cell>
          <cell r="E4092">
            <v>101445.04299999999</v>
          </cell>
          <cell r="F4092">
            <v>5</v>
          </cell>
        </row>
        <row r="4093">
          <cell r="A4093">
            <v>2019</v>
          </cell>
          <cell r="B4093" t="str">
            <v>Budget</v>
          </cell>
          <cell r="C4093" t="str">
            <v>May</v>
          </cell>
          <cell r="D4093" t="str">
            <v>Chairs</v>
          </cell>
          <cell r="E4093">
            <v>1631159.2709999997</v>
          </cell>
          <cell r="F4093">
            <v>5</v>
          </cell>
        </row>
        <row r="4094">
          <cell r="A4094">
            <v>2018</v>
          </cell>
          <cell r="B4094" t="str">
            <v>Actual</v>
          </cell>
          <cell r="C4094" t="str">
            <v>May</v>
          </cell>
          <cell r="D4094" t="str">
            <v>Chairs</v>
          </cell>
          <cell r="E4094">
            <v>123158.02099999999</v>
          </cell>
          <cell r="F4094">
            <v>5</v>
          </cell>
        </row>
        <row r="4095">
          <cell r="A4095">
            <v>2019</v>
          </cell>
          <cell r="B4095" t="str">
            <v>Budget</v>
          </cell>
          <cell r="C4095" t="str">
            <v>May</v>
          </cell>
          <cell r="D4095" t="str">
            <v>Chairs</v>
          </cell>
          <cell r="E4095">
            <v>97160.405999999988</v>
          </cell>
          <cell r="F4095">
            <v>5</v>
          </cell>
        </row>
        <row r="4096">
          <cell r="A4096">
            <v>2019</v>
          </cell>
          <cell r="B4096" t="str">
            <v>Actual</v>
          </cell>
          <cell r="C4096" t="str">
            <v>May</v>
          </cell>
          <cell r="D4096" t="str">
            <v>Chairs</v>
          </cell>
          <cell r="E4096">
            <v>40685.812999999995</v>
          </cell>
          <cell r="F4096">
            <v>5</v>
          </cell>
        </row>
        <row r="4097">
          <cell r="A4097">
            <v>2019</v>
          </cell>
          <cell r="B4097" t="str">
            <v>Budget</v>
          </cell>
          <cell r="C4097" t="str">
            <v>May</v>
          </cell>
          <cell r="D4097" t="str">
            <v>Chairs</v>
          </cell>
          <cell r="E4097">
            <v>5841.3949999999995</v>
          </cell>
          <cell r="F4097">
            <v>5</v>
          </cell>
        </row>
        <row r="4098">
          <cell r="A4098">
            <v>2018</v>
          </cell>
          <cell r="B4098" t="str">
            <v>Actual</v>
          </cell>
          <cell r="C4098" t="str">
            <v>May</v>
          </cell>
          <cell r="D4098" t="str">
            <v>Chairs</v>
          </cell>
          <cell r="E4098">
            <v>158210.09400000001</v>
          </cell>
          <cell r="F4098">
            <v>5</v>
          </cell>
        </row>
        <row r="4099">
          <cell r="A4099">
            <v>2019</v>
          </cell>
          <cell r="B4099" t="str">
            <v>Budget</v>
          </cell>
          <cell r="C4099" t="str">
            <v>May</v>
          </cell>
          <cell r="D4099" t="str">
            <v>Chairs</v>
          </cell>
          <cell r="E4099">
            <v>189213.65399999998</v>
          </cell>
          <cell r="F4099">
            <v>5</v>
          </cell>
        </row>
        <row r="4100">
          <cell r="A4100">
            <v>2018</v>
          </cell>
          <cell r="B4100" t="str">
            <v>Actual</v>
          </cell>
          <cell r="C4100" t="str">
            <v>May</v>
          </cell>
          <cell r="D4100" t="str">
            <v>Chairs</v>
          </cell>
          <cell r="E4100">
            <v>81428.955999999991</v>
          </cell>
          <cell r="F4100">
            <v>5</v>
          </cell>
        </row>
        <row r="4101">
          <cell r="A4101">
            <v>2019</v>
          </cell>
          <cell r="B4101" t="str">
            <v>Budget</v>
          </cell>
          <cell r="C4101" t="str">
            <v>May</v>
          </cell>
          <cell r="D4101" t="str">
            <v>Chairs</v>
          </cell>
          <cell r="E4101">
            <v>28238.252</v>
          </cell>
          <cell r="F4101">
            <v>5</v>
          </cell>
        </row>
        <row r="4102">
          <cell r="A4102">
            <v>2018</v>
          </cell>
          <cell r="B4102" t="str">
            <v>Actual</v>
          </cell>
          <cell r="C4102" t="str">
            <v>May</v>
          </cell>
          <cell r="D4102" t="str">
            <v>Chairs</v>
          </cell>
          <cell r="E4102">
            <v>77227.751999999993</v>
          </cell>
          <cell r="F4102">
            <v>5</v>
          </cell>
        </row>
        <row r="4103">
          <cell r="A4103">
            <v>2019</v>
          </cell>
          <cell r="B4103" t="str">
            <v>Budget</v>
          </cell>
          <cell r="C4103" t="str">
            <v>May</v>
          </cell>
          <cell r="D4103" t="str">
            <v>Chairs</v>
          </cell>
          <cell r="E4103">
            <v>39066.943999999996</v>
          </cell>
          <cell r="F4103">
            <v>5</v>
          </cell>
        </row>
        <row r="4104">
          <cell r="A4104">
            <v>2019</v>
          </cell>
          <cell r="B4104" t="str">
            <v>Actual</v>
          </cell>
          <cell r="C4104" t="str">
            <v>May</v>
          </cell>
          <cell r="D4104" t="str">
            <v>Chairs</v>
          </cell>
          <cell r="E4104">
            <v>82660.815999999992</v>
          </cell>
          <cell r="F4104">
            <v>5</v>
          </cell>
        </row>
        <row r="4105">
          <cell r="A4105">
            <v>2019</v>
          </cell>
          <cell r="B4105" t="str">
            <v>Budget</v>
          </cell>
          <cell r="C4105" t="str">
            <v>May</v>
          </cell>
          <cell r="D4105" t="str">
            <v>Chairs</v>
          </cell>
          <cell r="E4105">
            <v>21323.175999999999</v>
          </cell>
          <cell r="F4105">
            <v>5</v>
          </cell>
        </row>
        <row r="4106">
          <cell r="A4106">
            <v>2019</v>
          </cell>
          <cell r="B4106" t="str">
            <v>Actual</v>
          </cell>
          <cell r="C4106" t="str">
            <v>May</v>
          </cell>
          <cell r="D4106" t="str">
            <v>Chairs</v>
          </cell>
          <cell r="E4106">
            <v>43243.955999999998</v>
          </cell>
          <cell r="F4106">
            <v>5</v>
          </cell>
        </row>
        <row r="4107">
          <cell r="A4107">
            <v>2018</v>
          </cell>
          <cell r="B4107" t="str">
            <v>Budget</v>
          </cell>
          <cell r="C4107" t="str">
            <v>May</v>
          </cell>
          <cell r="D4107" t="str">
            <v>Tables</v>
          </cell>
          <cell r="E4107">
            <v>50240.372000000003</v>
          </cell>
          <cell r="F4107">
            <v>5</v>
          </cell>
        </row>
        <row r="4108">
          <cell r="A4108">
            <v>2019</v>
          </cell>
          <cell r="B4108" t="str">
            <v>Actual</v>
          </cell>
          <cell r="C4108" t="str">
            <v>May</v>
          </cell>
          <cell r="D4108" t="str">
            <v>Kitchen</v>
          </cell>
          <cell r="E4108">
            <v>10415.328</v>
          </cell>
          <cell r="F4108">
            <v>5</v>
          </cell>
        </row>
        <row r="4109">
          <cell r="A4109">
            <v>2019</v>
          </cell>
          <cell r="B4109" t="str">
            <v>Budget</v>
          </cell>
          <cell r="C4109" t="str">
            <v>May</v>
          </cell>
          <cell r="D4109" t="str">
            <v>Chairs</v>
          </cell>
          <cell r="E4109">
            <v>39922.770999999993</v>
          </cell>
          <cell r="F4109">
            <v>5</v>
          </cell>
        </row>
        <row r="4110">
          <cell r="A4110">
            <v>2019</v>
          </cell>
          <cell r="B4110" t="str">
            <v>Actual</v>
          </cell>
          <cell r="C4110" t="str">
            <v>May</v>
          </cell>
          <cell r="D4110" t="str">
            <v>Chairs</v>
          </cell>
          <cell r="E4110">
            <v>898.21899999999994</v>
          </cell>
          <cell r="F4110">
            <v>5</v>
          </cell>
        </row>
        <row r="4111">
          <cell r="A4111">
            <v>2019</v>
          </cell>
          <cell r="B4111" t="str">
            <v>Budget</v>
          </cell>
          <cell r="C4111" t="str">
            <v>May</v>
          </cell>
          <cell r="D4111" t="str">
            <v>Chairs</v>
          </cell>
          <cell r="E4111">
            <v>20178.284</v>
          </cell>
          <cell r="F4111">
            <v>5</v>
          </cell>
        </row>
        <row r="4112">
          <cell r="A4112">
            <v>2018</v>
          </cell>
          <cell r="B4112" t="str">
            <v>Actual</v>
          </cell>
          <cell r="C4112" t="str">
            <v>May</v>
          </cell>
          <cell r="D4112" t="str">
            <v>Chairs</v>
          </cell>
          <cell r="E4112">
            <v>19544.237999999998</v>
          </cell>
          <cell r="F4112">
            <v>5</v>
          </cell>
        </row>
        <row r="4113">
          <cell r="A4113">
            <v>2019</v>
          </cell>
          <cell r="B4113" t="str">
            <v>Budget</v>
          </cell>
          <cell r="C4113" t="str">
            <v>May</v>
          </cell>
          <cell r="D4113" t="str">
            <v>Chairs</v>
          </cell>
          <cell r="E4113">
            <v>71181.09599999999</v>
          </cell>
          <cell r="F4113">
            <v>5</v>
          </cell>
        </row>
        <row r="4114">
          <cell r="A4114">
            <v>2018</v>
          </cell>
          <cell r="B4114" t="str">
            <v>Actual</v>
          </cell>
          <cell r="C4114" t="str">
            <v>May</v>
          </cell>
          <cell r="D4114" t="str">
            <v>Tables</v>
          </cell>
          <cell r="E4114">
            <v>15818.319999999998</v>
          </cell>
          <cell r="F4114">
            <v>5</v>
          </cell>
        </row>
        <row r="4115">
          <cell r="A4115">
            <v>2019</v>
          </cell>
          <cell r="B4115" t="str">
            <v>Budget</v>
          </cell>
          <cell r="C4115" t="str">
            <v>May</v>
          </cell>
          <cell r="D4115" t="str">
            <v>Kitchen</v>
          </cell>
          <cell r="E4115">
            <v>15876.643999999998</v>
          </cell>
          <cell r="F4115">
            <v>5</v>
          </cell>
        </row>
        <row r="4116">
          <cell r="A4116">
            <v>2019</v>
          </cell>
          <cell r="B4116" t="str">
            <v>Actual</v>
          </cell>
          <cell r="C4116" t="str">
            <v>May</v>
          </cell>
          <cell r="D4116" t="str">
            <v>Chairs</v>
          </cell>
          <cell r="E4116">
            <v>14887.368999999997</v>
          </cell>
          <cell r="F4116">
            <v>5</v>
          </cell>
        </row>
        <row r="4117">
          <cell r="A4117">
            <v>2019</v>
          </cell>
          <cell r="B4117" t="str">
            <v>Budget</v>
          </cell>
          <cell r="C4117" t="str">
            <v>May</v>
          </cell>
          <cell r="D4117" t="str">
            <v>Chairs</v>
          </cell>
          <cell r="E4117">
            <v>120952.37</v>
          </cell>
          <cell r="F4117">
            <v>5</v>
          </cell>
        </row>
        <row r="4118">
          <cell r="A4118">
            <v>2018</v>
          </cell>
          <cell r="B4118" t="str">
            <v>Actual</v>
          </cell>
          <cell r="C4118" t="str">
            <v>May</v>
          </cell>
          <cell r="D4118" t="str">
            <v>Chairs</v>
          </cell>
          <cell r="E4118">
            <v>40163.178999999996</v>
          </cell>
          <cell r="F4118">
            <v>5</v>
          </cell>
        </row>
        <row r="4119">
          <cell r="A4119">
            <v>2019</v>
          </cell>
          <cell r="B4119" t="str">
            <v>Budget</v>
          </cell>
          <cell r="C4119" t="str">
            <v>May</v>
          </cell>
          <cell r="D4119" t="str">
            <v>Tables</v>
          </cell>
          <cell r="E4119">
            <v>198854.85199999998</v>
          </cell>
          <cell r="F4119">
            <v>5</v>
          </cell>
        </row>
        <row r="4120">
          <cell r="A4120">
            <v>2018</v>
          </cell>
          <cell r="B4120" t="str">
            <v>Actual</v>
          </cell>
          <cell r="C4120" t="str">
            <v>May</v>
          </cell>
          <cell r="D4120" t="str">
            <v>Kitchen</v>
          </cell>
          <cell r="E4120">
            <v>137806.39599999998</v>
          </cell>
          <cell r="F4120">
            <v>5</v>
          </cell>
        </row>
        <row r="4121">
          <cell r="A4121">
            <v>2018</v>
          </cell>
          <cell r="B4121" t="str">
            <v>Budget</v>
          </cell>
          <cell r="C4121" t="str">
            <v>May</v>
          </cell>
          <cell r="D4121" t="str">
            <v>Chairs</v>
          </cell>
          <cell r="E4121">
            <v>197193.731</v>
          </cell>
          <cell r="F4121">
            <v>5</v>
          </cell>
        </row>
        <row r="4122">
          <cell r="A4122">
            <v>2019</v>
          </cell>
          <cell r="B4122" t="str">
            <v>Actual</v>
          </cell>
          <cell r="C4122" t="str">
            <v>May</v>
          </cell>
          <cell r="D4122" t="str">
            <v>Chairs</v>
          </cell>
          <cell r="E4122">
            <v>267211.71399999998</v>
          </cell>
          <cell r="F4122">
            <v>5</v>
          </cell>
        </row>
        <row r="4123">
          <cell r="A4123">
            <v>2019</v>
          </cell>
          <cell r="B4123" t="str">
            <v>Budget</v>
          </cell>
          <cell r="C4123" t="str">
            <v>May</v>
          </cell>
          <cell r="D4123" t="str">
            <v>Tables</v>
          </cell>
          <cell r="E4123">
            <v>43385.201999999997</v>
          </cell>
          <cell r="F4123">
            <v>5</v>
          </cell>
        </row>
        <row r="4124">
          <cell r="A4124">
            <v>2018</v>
          </cell>
          <cell r="B4124" t="str">
            <v>Actual</v>
          </cell>
          <cell r="C4124" t="str">
            <v>May</v>
          </cell>
          <cell r="D4124" t="str">
            <v>Kitchen</v>
          </cell>
          <cell r="E4124">
            <v>151524.891</v>
          </cell>
          <cell r="F4124">
            <v>5</v>
          </cell>
        </row>
        <row r="4125">
          <cell r="A4125">
            <v>2018</v>
          </cell>
          <cell r="B4125" t="str">
            <v>Budget</v>
          </cell>
          <cell r="C4125" t="str">
            <v>May</v>
          </cell>
          <cell r="D4125" t="str">
            <v>Chairs</v>
          </cell>
          <cell r="E4125">
            <v>39553.723999999995</v>
          </cell>
          <cell r="F4125">
            <v>5</v>
          </cell>
        </row>
        <row r="4126">
          <cell r="A4126">
            <v>2019</v>
          </cell>
          <cell r="B4126" t="str">
            <v>Actual</v>
          </cell>
          <cell r="C4126" t="str">
            <v>May</v>
          </cell>
          <cell r="D4126" t="str">
            <v>Chairs</v>
          </cell>
          <cell r="E4126">
            <v>118751.57699999998</v>
          </cell>
          <cell r="F4126">
            <v>5</v>
          </cell>
        </row>
        <row r="4127">
          <cell r="A4127">
            <v>2018</v>
          </cell>
          <cell r="B4127" t="str">
            <v>Budget</v>
          </cell>
          <cell r="C4127" t="str">
            <v>May</v>
          </cell>
          <cell r="D4127" t="str">
            <v>Chairs</v>
          </cell>
          <cell r="E4127">
            <v>251900.747</v>
          </cell>
          <cell r="F4127">
            <v>5</v>
          </cell>
        </row>
        <row r="4128">
          <cell r="A4128">
            <v>2018</v>
          </cell>
          <cell r="B4128" t="str">
            <v>Actual</v>
          </cell>
          <cell r="C4128" t="str">
            <v>May</v>
          </cell>
          <cell r="D4128" t="str">
            <v>Tables</v>
          </cell>
          <cell r="E4128">
            <v>44654.945999999996</v>
          </cell>
          <cell r="F4128">
            <v>5</v>
          </cell>
        </row>
        <row r="4129">
          <cell r="A4129">
            <v>2018</v>
          </cell>
          <cell r="B4129" t="str">
            <v>Budget</v>
          </cell>
          <cell r="C4129" t="str">
            <v>May</v>
          </cell>
          <cell r="D4129" t="str">
            <v>Kitchen</v>
          </cell>
          <cell r="E4129">
            <v>79524.543000000005</v>
          </cell>
          <cell r="F4129">
            <v>5</v>
          </cell>
        </row>
        <row r="4130">
          <cell r="A4130">
            <v>2019</v>
          </cell>
          <cell r="B4130" t="str">
            <v>Actual</v>
          </cell>
          <cell r="C4130" t="str">
            <v>May</v>
          </cell>
          <cell r="D4130" t="str">
            <v>Accessories</v>
          </cell>
          <cell r="E4130">
            <v>65753.239999999991</v>
          </cell>
          <cell r="F4130">
            <v>5</v>
          </cell>
        </row>
        <row r="4131">
          <cell r="A4131">
            <v>2019</v>
          </cell>
          <cell r="B4131" t="str">
            <v>Budget</v>
          </cell>
          <cell r="C4131" t="str">
            <v>May</v>
          </cell>
          <cell r="D4131" t="str">
            <v>Chairs</v>
          </cell>
          <cell r="E4131">
            <v>75795.145999999993</v>
          </cell>
          <cell r="F4131">
            <v>5</v>
          </cell>
        </row>
        <row r="4132">
          <cell r="A4132">
            <v>2018</v>
          </cell>
          <cell r="B4132" t="str">
            <v>Actual</v>
          </cell>
          <cell r="C4132" t="str">
            <v>May</v>
          </cell>
          <cell r="D4132" t="str">
            <v>Tables</v>
          </cell>
          <cell r="E4132">
            <v>34878.080999999998</v>
          </cell>
          <cell r="F4132">
            <v>5</v>
          </cell>
        </row>
        <row r="4133">
          <cell r="A4133">
            <v>2018</v>
          </cell>
          <cell r="B4133" t="str">
            <v>Budget</v>
          </cell>
          <cell r="C4133" t="str">
            <v>May</v>
          </cell>
          <cell r="D4133" t="str">
            <v>Kitchen</v>
          </cell>
          <cell r="E4133">
            <v>79181.41</v>
          </cell>
          <cell r="F4133">
            <v>5</v>
          </cell>
        </row>
        <row r="4134">
          <cell r="A4134">
            <v>2018</v>
          </cell>
          <cell r="B4134" t="str">
            <v>Actual</v>
          </cell>
          <cell r="C4134" t="str">
            <v>May</v>
          </cell>
          <cell r="D4134" t="str">
            <v>Accessories</v>
          </cell>
          <cell r="E4134">
            <v>80753.035999999993</v>
          </cell>
          <cell r="F4134">
            <v>5</v>
          </cell>
        </row>
        <row r="4135">
          <cell r="A4135">
            <v>2018</v>
          </cell>
          <cell r="B4135" t="str">
            <v>Budget</v>
          </cell>
          <cell r="C4135" t="str">
            <v>May</v>
          </cell>
          <cell r="D4135" t="str">
            <v>Chairs</v>
          </cell>
          <cell r="E4135">
            <v>3604458.4659999995</v>
          </cell>
          <cell r="F4135">
            <v>5</v>
          </cell>
        </row>
        <row r="4136">
          <cell r="A4136">
            <v>2019</v>
          </cell>
          <cell r="B4136" t="str">
            <v>Actual</v>
          </cell>
          <cell r="C4136" t="str">
            <v>May</v>
          </cell>
          <cell r="D4136" t="str">
            <v>Tables</v>
          </cell>
          <cell r="E4136">
            <v>67733.602999999988</v>
          </cell>
          <cell r="F4136">
            <v>5</v>
          </cell>
        </row>
        <row r="4137">
          <cell r="A4137">
            <v>2018</v>
          </cell>
          <cell r="B4137" t="str">
            <v>Budget</v>
          </cell>
          <cell r="C4137" t="str">
            <v>May</v>
          </cell>
          <cell r="D4137" t="str">
            <v>Kitchen</v>
          </cell>
          <cell r="E4137">
            <v>66510.310999999987</v>
          </cell>
          <cell r="F4137">
            <v>5</v>
          </cell>
        </row>
        <row r="4138">
          <cell r="A4138">
            <v>2018</v>
          </cell>
          <cell r="B4138" t="str">
            <v>Actual</v>
          </cell>
          <cell r="C4138" t="str">
            <v>May</v>
          </cell>
          <cell r="D4138" t="str">
            <v>Accessories</v>
          </cell>
          <cell r="E4138">
            <v>23095.946999999996</v>
          </cell>
          <cell r="F4138">
            <v>5</v>
          </cell>
        </row>
        <row r="4139">
          <cell r="A4139">
            <v>2019</v>
          </cell>
          <cell r="B4139" t="str">
            <v>Budget</v>
          </cell>
          <cell r="C4139" t="str">
            <v>May</v>
          </cell>
          <cell r="D4139" t="str">
            <v>Chairs</v>
          </cell>
          <cell r="E4139">
            <v>29984.499999999996</v>
          </cell>
          <cell r="F4139">
            <v>5</v>
          </cell>
        </row>
        <row r="4140">
          <cell r="A4140">
            <v>2019</v>
          </cell>
          <cell r="B4140" t="str">
            <v>Actual</v>
          </cell>
          <cell r="C4140" t="str">
            <v>May</v>
          </cell>
          <cell r="D4140" t="str">
            <v>Tables</v>
          </cell>
          <cell r="E4140">
            <v>136344.30599999998</v>
          </cell>
          <cell r="F4140">
            <v>5</v>
          </cell>
        </row>
        <row r="4141">
          <cell r="A4141">
            <v>2018</v>
          </cell>
          <cell r="B4141" t="str">
            <v>Budget</v>
          </cell>
          <cell r="C4141" t="str">
            <v>May</v>
          </cell>
          <cell r="D4141" t="str">
            <v>Kitchen</v>
          </cell>
          <cell r="E4141">
            <v>69451.368000000002</v>
          </cell>
          <cell r="F4141">
            <v>5</v>
          </cell>
        </row>
        <row r="4142">
          <cell r="A4142">
            <v>2019</v>
          </cell>
          <cell r="B4142" t="str">
            <v>Actual</v>
          </cell>
          <cell r="C4142" t="str">
            <v>May</v>
          </cell>
          <cell r="D4142" t="str">
            <v>Accessories</v>
          </cell>
          <cell r="E4142">
            <v>5457.5709999999999</v>
          </cell>
          <cell r="F4142">
            <v>5</v>
          </cell>
        </row>
        <row r="4143">
          <cell r="A4143">
            <v>2018</v>
          </cell>
          <cell r="B4143" t="str">
            <v>Budget</v>
          </cell>
          <cell r="C4143" t="str">
            <v>May</v>
          </cell>
          <cell r="D4143" t="str">
            <v>Chairs</v>
          </cell>
          <cell r="E4143">
            <v>49843.352999999996</v>
          </cell>
          <cell r="F4143">
            <v>5</v>
          </cell>
        </row>
        <row r="4144">
          <cell r="A4144">
            <v>2019</v>
          </cell>
          <cell r="B4144" t="str">
            <v>Actual</v>
          </cell>
          <cell r="C4144" t="str">
            <v>May</v>
          </cell>
          <cell r="D4144" t="str">
            <v>Chairs</v>
          </cell>
          <cell r="E4144">
            <v>199614.86999999997</v>
          </cell>
          <cell r="F4144">
            <v>5</v>
          </cell>
        </row>
        <row r="4145">
          <cell r="A4145">
            <v>2018</v>
          </cell>
          <cell r="B4145" t="str">
            <v>Budget</v>
          </cell>
          <cell r="C4145" t="str">
            <v>May</v>
          </cell>
          <cell r="D4145" t="str">
            <v>Tables</v>
          </cell>
          <cell r="E4145">
            <v>175903.15399999998</v>
          </cell>
          <cell r="F4145">
            <v>5</v>
          </cell>
        </row>
        <row r="4146">
          <cell r="A4146">
            <v>2018</v>
          </cell>
          <cell r="B4146" t="str">
            <v>Actual</v>
          </cell>
          <cell r="C4146" t="str">
            <v>May</v>
          </cell>
          <cell r="D4146" t="str">
            <v>Kitchen</v>
          </cell>
          <cell r="E4146">
            <v>64686.587</v>
          </cell>
          <cell r="F4146">
            <v>5</v>
          </cell>
        </row>
        <row r="4147">
          <cell r="A4147">
            <v>2019</v>
          </cell>
          <cell r="B4147" t="str">
            <v>Budget</v>
          </cell>
          <cell r="C4147" t="str">
            <v>May</v>
          </cell>
          <cell r="D4147" t="str">
            <v>Chairs</v>
          </cell>
          <cell r="E4147">
            <v>80433.891999999993</v>
          </cell>
          <cell r="F4147">
            <v>5</v>
          </cell>
        </row>
        <row r="4148">
          <cell r="A4148">
            <v>2018</v>
          </cell>
          <cell r="B4148" t="str">
            <v>Actual</v>
          </cell>
          <cell r="C4148" t="str">
            <v>May</v>
          </cell>
          <cell r="D4148" t="str">
            <v>Tables</v>
          </cell>
          <cell r="E4148">
            <v>151296.80299999999</v>
          </cell>
          <cell r="F4148">
            <v>5</v>
          </cell>
        </row>
        <row r="4149">
          <cell r="A4149">
            <v>2019</v>
          </cell>
          <cell r="B4149" t="str">
            <v>Budget</v>
          </cell>
          <cell r="C4149" t="str">
            <v>May</v>
          </cell>
          <cell r="D4149" t="str">
            <v>Kitchen</v>
          </cell>
          <cell r="E4149">
            <v>27088.355</v>
          </cell>
          <cell r="F4149">
            <v>5</v>
          </cell>
        </row>
        <row r="4150">
          <cell r="A4150">
            <v>2019</v>
          </cell>
          <cell r="B4150" t="str">
            <v>Actual</v>
          </cell>
          <cell r="C4150" t="str">
            <v>May</v>
          </cell>
          <cell r="D4150" t="str">
            <v>Chairs</v>
          </cell>
          <cell r="E4150">
            <v>31078.18</v>
          </cell>
          <cell r="F4150">
            <v>5</v>
          </cell>
        </row>
        <row r="4151">
          <cell r="A4151">
            <v>2018</v>
          </cell>
          <cell r="B4151" t="str">
            <v>Budget</v>
          </cell>
          <cell r="C4151" t="str">
            <v>May</v>
          </cell>
          <cell r="D4151" t="str">
            <v>Tables</v>
          </cell>
          <cell r="E4151">
            <v>133817.033</v>
          </cell>
          <cell r="F4151">
            <v>5</v>
          </cell>
        </row>
        <row r="4152">
          <cell r="A4152">
            <v>2018</v>
          </cell>
          <cell r="B4152" t="str">
            <v>Actual</v>
          </cell>
          <cell r="C4152" t="str">
            <v>May</v>
          </cell>
          <cell r="D4152" t="str">
            <v>Kitchen</v>
          </cell>
          <cell r="E4152">
            <v>3446517.7599999998</v>
          </cell>
          <cell r="F4152">
            <v>5</v>
          </cell>
        </row>
        <row r="4153">
          <cell r="A4153">
            <v>2019</v>
          </cell>
          <cell r="B4153" t="str">
            <v>Budget</v>
          </cell>
          <cell r="C4153" t="str">
            <v>May</v>
          </cell>
          <cell r="D4153" t="str">
            <v>Chairs</v>
          </cell>
          <cell r="E4153">
            <v>129938.17899999999</v>
          </cell>
          <cell r="F4153">
            <v>5</v>
          </cell>
        </row>
        <row r="4154">
          <cell r="A4154">
            <v>2019</v>
          </cell>
          <cell r="B4154" t="str">
            <v>Actual</v>
          </cell>
          <cell r="C4154" t="str">
            <v>May</v>
          </cell>
          <cell r="D4154" t="str">
            <v>Chairs</v>
          </cell>
          <cell r="E4154">
            <v>230317.171</v>
          </cell>
          <cell r="F4154">
            <v>5</v>
          </cell>
        </row>
        <row r="4155">
          <cell r="A4155">
            <v>2018</v>
          </cell>
          <cell r="B4155" t="str">
            <v>Budget</v>
          </cell>
          <cell r="C4155" t="str">
            <v>May</v>
          </cell>
          <cell r="D4155" t="str">
            <v>Chairs</v>
          </cell>
          <cell r="E4155">
            <v>1373858.5419999999</v>
          </cell>
          <cell r="F4155">
            <v>5</v>
          </cell>
        </row>
        <row r="4156">
          <cell r="A4156">
            <v>2019</v>
          </cell>
          <cell r="B4156" t="str">
            <v>Actual</v>
          </cell>
          <cell r="C4156" t="str">
            <v>May</v>
          </cell>
          <cell r="D4156" t="str">
            <v>Chairs</v>
          </cell>
          <cell r="E4156">
            <v>61915.097999999998</v>
          </cell>
          <cell r="F4156">
            <v>5</v>
          </cell>
        </row>
        <row r="4157">
          <cell r="A4157">
            <v>2018</v>
          </cell>
          <cell r="B4157" t="str">
            <v>Budget</v>
          </cell>
          <cell r="C4157" t="str">
            <v>May</v>
          </cell>
          <cell r="D4157" t="str">
            <v>Chairs</v>
          </cell>
          <cell r="E4157">
            <v>106771.73499999999</v>
          </cell>
          <cell r="F4157">
            <v>5</v>
          </cell>
        </row>
        <row r="4158">
          <cell r="A4158">
            <v>2018</v>
          </cell>
          <cell r="B4158" t="str">
            <v>Actual</v>
          </cell>
          <cell r="C4158" t="str">
            <v>May</v>
          </cell>
          <cell r="D4158" t="str">
            <v>Chairs</v>
          </cell>
          <cell r="E4158">
            <v>495454.68699999998</v>
          </cell>
          <cell r="F4158">
            <v>5</v>
          </cell>
        </row>
        <row r="4159">
          <cell r="A4159">
            <v>2019</v>
          </cell>
          <cell r="B4159" t="str">
            <v>Budget</v>
          </cell>
          <cell r="C4159" t="str">
            <v>May</v>
          </cell>
          <cell r="D4159" t="str">
            <v>Chairs</v>
          </cell>
          <cell r="E4159">
            <v>207324.67699999997</v>
          </cell>
          <cell r="F4159">
            <v>5</v>
          </cell>
        </row>
        <row r="4160">
          <cell r="A4160">
            <v>2019</v>
          </cell>
          <cell r="B4160" t="str">
            <v>Actual</v>
          </cell>
          <cell r="C4160" t="str">
            <v>May</v>
          </cell>
          <cell r="D4160" t="str">
            <v>Chairs</v>
          </cell>
          <cell r="E4160">
            <v>23480.002</v>
          </cell>
          <cell r="F4160">
            <v>5</v>
          </cell>
        </row>
        <row r="4161">
          <cell r="A4161">
            <v>2018</v>
          </cell>
          <cell r="B4161" t="str">
            <v>Budget</v>
          </cell>
          <cell r="C4161" t="str">
            <v>May</v>
          </cell>
          <cell r="D4161" t="str">
            <v>Chairs</v>
          </cell>
          <cell r="E4161">
            <v>265804.59499999997</v>
          </cell>
          <cell r="F4161">
            <v>5</v>
          </cell>
        </row>
        <row r="4162">
          <cell r="A4162">
            <v>2019</v>
          </cell>
          <cell r="B4162" t="str">
            <v>Actual</v>
          </cell>
          <cell r="C4162" t="str">
            <v>May</v>
          </cell>
          <cell r="D4162" t="str">
            <v>Chairs</v>
          </cell>
          <cell r="E4162">
            <v>2311510.2919999999</v>
          </cell>
          <cell r="F4162">
            <v>5</v>
          </cell>
        </row>
        <row r="4163">
          <cell r="A4163">
            <v>2018</v>
          </cell>
          <cell r="B4163" t="str">
            <v>Budget</v>
          </cell>
          <cell r="C4163" t="str">
            <v>May</v>
          </cell>
          <cell r="D4163" t="str">
            <v>Chairs</v>
          </cell>
          <cell r="E4163">
            <v>2038457.2459999998</v>
          </cell>
          <cell r="F4163">
            <v>5</v>
          </cell>
        </row>
        <row r="4164">
          <cell r="A4164">
            <v>2018</v>
          </cell>
          <cell r="B4164" t="str">
            <v>Actual</v>
          </cell>
          <cell r="C4164" t="str">
            <v>May</v>
          </cell>
          <cell r="D4164" t="str">
            <v>Chairs</v>
          </cell>
          <cell r="E4164">
            <v>4007300.9899999998</v>
          </cell>
          <cell r="F4164">
            <v>5</v>
          </cell>
        </row>
        <row r="4165">
          <cell r="A4165">
            <v>2018</v>
          </cell>
          <cell r="B4165" t="str">
            <v>Budget</v>
          </cell>
          <cell r="C4165" t="str">
            <v>May</v>
          </cell>
          <cell r="D4165" t="str">
            <v>Chairs</v>
          </cell>
          <cell r="E4165">
            <v>308714.35699999996</v>
          </cell>
          <cell r="F4165">
            <v>5</v>
          </cell>
        </row>
        <row r="4166">
          <cell r="A4166">
            <v>2018</v>
          </cell>
          <cell r="B4166" t="str">
            <v>Actual</v>
          </cell>
          <cell r="C4166" t="str">
            <v>May</v>
          </cell>
          <cell r="D4166" t="str">
            <v>Chairs</v>
          </cell>
          <cell r="E4166">
            <v>873215.11199999985</v>
          </cell>
          <cell r="F4166">
            <v>5</v>
          </cell>
        </row>
        <row r="4167">
          <cell r="A4167">
            <v>2019</v>
          </cell>
          <cell r="B4167" t="str">
            <v>Budget</v>
          </cell>
          <cell r="C4167" t="str">
            <v>May</v>
          </cell>
          <cell r="D4167" t="str">
            <v>Chairs</v>
          </cell>
          <cell r="E4167">
            <v>1376816.2590000001</v>
          </cell>
          <cell r="F4167">
            <v>5</v>
          </cell>
        </row>
        <row r="4168">
          <cell r="A4168">
            <v>2018</v>
          </cell>
          <cell r="B4168" t="str">
            <v>Actual</v>
          </cell>
          <cell r="C4168" t="str">
            <v>May</v>
          </cell>
          <cell r="D4168" t="str">
            <v>Chairs</v>
          </cell>
          <cell r="E4168">
            <v>322817.05399999995</v>
          </cell>
          <cell r="F4168">
            <v>5</v>
          </cell>
        </row>
        <row r="4169">
          <cell r="A4169">
            <v>2019</v>
          </cell>
          <cell r="B4169" t="str">
            <v>Budget</v>
          </cell>
          <cell r="C4169" t="str">
            <v>May</v>
          </cell>
          <cell r="D4169" t="str">
            <v>Chairs</v>
          </cell>
          <cell r="E4169">
            <v>1519091.9450000001</v>
          </cell>
          <cell r="F4169">
            <v>5</v>
          </cell>
        </row>
        <row r="4170">
          <cell r="A4170">
            <v>2018</v>
          </cell>
          <cell r="B4170" t="str">
            <v>Actual</v>
          </cell>
          <cell r="C4170" t="str">
            <v>May</v>
          </cell>
          <cell r="D4170" t="str">
            <v>Chairs</v>
          </cell>
          <cell r="E4170">
            <v>16557.429</v>
          </cell>
          <cell r="F4170">
            <v>5</v>
          </cell>
        </row>
        <row r="4171">
          <cell r="A4171">
            <v>2019</v>
          </cell>
          <cell r="B4171" t="str">
            <v>Budget</v>
          </cell>
          <cell r="C4171" t="str">
            <v>May</v>
          </cell>
          <cell r="D4171" t="str">
            <v>Chairs</v>
          </cell>
          <cell r="E4171">
            <v>27648.823999999997</v>
          </cell>
          <cell r="F4171">
            <v>5</v>
          </cell>
        </row>
        <row r="4172">
          <cell r="A4172">
            <v>2018</v>
          </cell>
          <cell r="B4172" t="str">
            <v>Actual</v>
          </cell>
          <cell r="C4172" t="str">
            <v>May</v>
          </cell>
          <cell r="D4172" t="str">
            <v>Chairs</v>
          </cell>
          <cell r="E4172">
            <v>61849.416999999994</v>
          </cell>
          <cell r="F4172">
            <v>5</v>
          </cell>
        </row>
        <row r="4173">
          <cell r="A4173">
            <v>2019</v>
          </cell>
          <cell r="B4173" t="str">
            <v>Budget</v>
          </cell>
          <cell r="C4173" t="str">
            <v>May</v>
          </cell>
          <cell r="D4173" t="str">
            <v>Chairs</v>
          </cell>
          <cell r="E4173">
            <v>650279.60899999994</v>
          </cell>
          <cell r="F4173">
            <v>5</v>
          </cell>
        </row>
        <row r="4174">
          <cell r="A4174">
            <v>2019</v>
          </cell>
          <cell r="B4174" t="str">
            <v>Actual</v>
          </cell>
          <cell r="C4174" t="str">
            <v>May</v>
          </cell>
          <cell r="D4174" t="str">
            <v>Chairs</v>
          </cell>
          <cell r="E4174">
            <v>12274.947999999999</v>
          </cell>
          <cell r="F4174">
            <v>5</v>
          </cell>
        </row>
        <row r="4175">
          <cell r="A4175">
            <v>2019</v>
          </cell>
          <cell r="B4175" t="str">
            <v>Budget</v>
          </cell>
          <cell r="C4175" t="str">
            <v>May</v>
          </cell>
          <cell r="D4175" t="str">
            <v>Chairs</v>
          </cell>
          <cell r="E4175">
            <v>1592155.537</v>
          </cell>
          <cell r="F4175">
            <v>5</v>
          </cell>
        </row>
        <row r="4176">
          <cell r="A4176">
            <v>2019</v>
          </cell>
          <cell r="B4176" t="str">
            <v>Actual</v>
          </cell>
          <cell r="C4176" t="str">
            <v>May</v>
          </cell>
          <cell r="D4176" t="str">
            <v>Chairs</v>
          </cell>
          <cell r="E4176">
            <v>82184.955999999991</v>
          </cell>
          <cell r="F4176">
            <v>5</v>
          </cell>
        </row>
        <row r="4177">
          <cell r="A4177">
            <v>2018</v>
          </cell>
          <cell r="B4177" t="str">
            <v>Budget</v>
          </cell>
          <cell r="C4177" t="str">
            <v>May</v>
          </cell>
          <cell r="D4177" t="str">
            <v>Chairs</v>
          </cell>
          <cell r="E4177">
            <v>1765819.9510000001</v>
          </cell>
          <cell r="F4177">
            <v>5</v>
          </cell>
        </row>
        <row r="4178">
          <cell r="A4178">
            <v>2019</v>
          </cell>
          <cell r="B4178" t="str">
            <v>Actual</v>
          </cell>
          <cell r="C4178" t="str">
            <v>May</v>
          </cell>
          <cell r="D4178" t="str">
            <v>Chairs</v>
          </cell>
          <cell r="E4178">
            <v>63437.387999999992</v>
          </cell>
          <cell r="F4178">
            <v>5</v>
          </cell>
        </row>
        <row r="4179">
          <cell r="A4179">
            <v>2019</v>
          </cell>
          <cell r="B4179" t="str">
            <v>Budget</v>
          </cell>
          <cell r="C4179" t="str">
            <v>May</v>
          </cell>
          <cell r="D4179" t="str">
            <v>Tables</v>
          </cell>
          <cell r="E4179">
            <v>541186.28899999999</v>
          </cell>
          <cell r="F4179">
            <v>5</v>
          </cell>
        </row>
        <row r="4180">
          <cell r="A4180">
            <v>2018</v>
          </cell>
          <cell r="B4180" t="str">
            <v>Actual</v>
          </cell>
          <cell r="C4180" t="str">
            <v>May</v>
          </cell>
          <cell r="D4180" t="str">
            <v>Kitchen</v>
          </cell>
          <cell r="E4180">
            <v>317525.72599999997</v>
          </cell>
          <cell r="F4180">
            <v>5</v>
          </cell>
        </row>
        <row r="4181">
          <cell r="A4181">
            <v>2018</v>
          </cell>
          <cell r="B4181" t="str">
            <v>Budget</v>
          </cell>
          <cell r="C4181" t="str">
            <v>May</v>
          </cell>
          <cell r="D4181" t="str">
            <v>Chairs</v>
          </cell>
          <cell r="E4181">
            <v>590402.73599999992</v>
          </cell>
          <cell r="F4181">
            <v>5</v>
          </cell>
        </row>
        <row r="4182">
          <cell r="A4182">
            <v>2018</v>
          </cell>
          <cell r="B4182" t="str">
            <v>Actual</v>
          </cell>
          <cell r="C4182" t="str">
            <v>May</v>
          </cell>
          <cell r="D4182" t="str">
            <v>Chairs</v>
          </cell>
          <cell r="E4182">
            <v>109359.887</v>
          </cell>
          <cell r="F4182">
            <v>5</v>
          </cell>
        </row>
        <row r="4183">
          <cell r="A4183">
            <v>2019</v>
          </cell>
          <cell r="B4183" t="str">
            <v>Budget</v>
          </cell>
          <cell r="C4183" t="str">
            <v>May</v>
          </cell>
          <cell r="D4183" t="str">
            <v>Chairs</v>
          </cell>
          <cell r="E4183">
            <v>108822.882</v>
          </cell>
          <cell r="F4183">
            <v>5</v>
          </cell>
        </row>
        <row r="4184">
          <cell r="A4184">
            <v>2019</v>
          </cell>
          <cell r="B4184" t="str">
            <v>Actual</v>
          </cell>
          <cell r="C4184" t="str">
            <v>May</v>
          </cell>
          <cell r="D4184" t="str">
            <v>Chairs</v>
          </cell>
          <cell r="E4184">
            <v>200072.54399999997</v>
          </cell>
          <cell r="F4184">
            <v>5</v>
          </cell>
        </row>
        <row r="4185">
          <cell r="A4185">
            <v>2018</v>
          </cell>
          <cell r="B4185" t="str">
            <v>Budget</v>
          </cell>
          <cell r="C4185" t="str">
            <v>May</v>
          </cell>
          <cell r="D4185" t="str">
            <v>Chairs</v>
          </cell>
          <cell r="E4185">
            <v>136906.56</v>
          </cell>
          <cell r="F4185">
            <v>5</v>
          </cell>
        </row>
        <row r="4186">
          <cell r="A4186">
            <v>2018</v>
          </cell>
          <cell r="B4186" t="str">
            <v>Actual</v>
          </cell>
          <cell r="C4186" t="str">
            <v>May</v>
          </cell>
          <cell r="D4186" t="str">
            <v>Tables</v>
          </cell>
          <cell r="E4186">
            <v>115151.253</v>
          </cell>
          <cell r="F4186">
            <v>5</v>
          </cell>
        </row>
        <row r="4187">
          <cell r="A4187">
            <v>2019</v>
          </cell>
          <cell r="B4187" t="str">
            <v>Budget</v>
          </cell>
          <cell r="C4187" t="str">
            <v>May</v>
          </cell>
          <cell r="D4187" t="str">
            <v>Kitchen</v>
          </cell>
          <cell r="E4187">
            <v>68075.175000000003</v>
          </cell>
          <cell r="F4187">
            <v>5</v>
          </cell>
        </row>
        <row r="4188">
          <cell r="A4188">
            <v>2018</v>
          </cell>
          <cell r="B4188" t="str">
            <v>Actual</v>
          </cell>
          <cell r="C4188" t="str">
            <v>May</v>
          </cell>
          <cell r="D4188" t="str">
            <v>Chairs</v>
          </cell>
          <cell r="E4188">
            <v>303803.89899999998</v>
          </cell>
          <cell r="F4188">
            <v>5</v>
          </cell>
        </row>
        <row r="4189">
          <cell r="A4189">
            <v>2019</v>
          </cell>
          <cell r="B4189" t="str">
            <v>Budget</v>
          </cell>
          <cell r="C4189" t="str">
            <v>May</v>
          </cell>
          <cell r="D4189" t="str">
            <v>Chairs</v>
          </cell>
          <cell r="E4189">
            <v>100130.13499999998</v>
          </cell>
          <cell r="F4189">
            <v>5</v>
          </cell>
        </row>
        <row r="4190">
          <cell r="A4190">
            <v>2018</v>
          </cell>
          <cell r="B4190" t="str">
            <v>Actual</v>
          </cell>
          <cell r="C4190" t="str">
            <v>May</v>
          </cell>
          <cell r="D4190" t="str">
            <v>Chairs</v>
          </cell>
          <cell r="E4190">
            <v>136116.141</v>
          </cell>
          <cell r="F4190">
            <v>5</v>
          </cell>
        </row>
        <row r="4191">
          <cell r="A4191">
            <v>2019</v>
          </cell>
          <cell r="B4191" t="str">
            <v>Budget</v>
          </cell>
          <cell r="C4191" t="str">
            <v>May</v>
          </cell>
          <cell r="D4191" t="str">
            <v>Tables</v>
          </cell>
          <cell r="E4191">
            <v>259499.82799999998</v>
          </cell>
          <cell r="F4191">
            <v>5</v>
          </cell>
        </row>
        <row r="4192">
          <cell r="A4192">
            <v>2019</v>
          </cell>
          <cell r="B4192" t="str">
            <v>Actual</v>
          </cell>
          <cell r="C4192" t="str">
            <v>May</v>
          </cell>
          <cell r="D4192" t="str">
            <v>Kitchen</v>
          </cell>
          <cell r="E4192">
            <v>544359.31200000003</v>
          </cell>
          <cell r="F4192">
            <v>5</v>
          </cell>
        </row>
        <row r="4193">
          <cell r="A4193">
            <v>2018</v>
          </cell>
          <cell r="B4193" t="str">
            <v>Budget</v>
          </cell>
          <cell r="C4193" t="str">
            <v>May</v>
          </cell>
          <cell r="D4193" t="str">
            <v>Chairs</v>
          </cell>
          <cell r="E4193">
            <v>67422.019</v>
          </cell>
          <cell r="F4193">
            <v>5</v>
          </cell>
        </row>
        <row r="4194">
          <cell r="A4194">
            <v>2018</v>
          </cell>
          <cell r="B4194" t="str">
            <v>Actual</v>
          </cell>
          <cell r="C4194" t="str">
            <v>May</v>
          </cell>
          <cell r="D4194" t="str">
            <v>Chairs</v>
          </cell>
          <cell r="E4194">
            <v>71829.225999999995</v>
          </cell>
          <cell r="F4194">
            <v>5</v>
          </cell>
        </row>
        <row r="4195">
          <cell r="A4195">
            <v>2018</v>
          </cell>
          <cell r="B4195" t="str">
            <v>Budget</v>
          </cell>
          <cell r="C4195" t="str">
            <v>May</v>
          </cell>
          <cell r="D4195" t="str">
            <v>Tables</v>
          </cell>
          <cell r="E4195">
            <v>50109.954999999994</v>
          </cell>
          <cell r="F4195">
            <v>5</v>
          </cell>
        </row>
        <row r="4196">
          <cell r="A4196">
            <v>2018</v>
          </cell>
          <cell r="B4196" t="str">
            <v>Actual</v>
          </cell>
          <cell r="C4196" t="str">
            <v>May</v>
          </cell>
          <cell r="D4196" t="str">
            <v>Kitchen</v>
          </cell>
          <cell r="E4196">
            <v>70301.384999999995</v>
          </cell>
          <cell r="F4196">
            <v>5</v>
          </cell>
        </row>
        <row r="4197">
          <cell r="A4197">
            <v>2018</v>
          </cell>
          <cell r="B4197" t="str">
            <v>Budget</v>
          </cell>
          <cell r="C4197" t="str">
            <v>May</v>
          </cell>
          <cell r="D4197" t="str">
            <v>Chairs</v>
          </cell>
          <cell r="E4197">
            <v>66527.804000000004</v>
          </cell>
          <cell r="F4197">
            <v>5</v>
          </cell>
        </row>
        <row r="4198">
          <cell r="A4198">
            <v>2018</v>
          </cell>
          <cell r="B4198" t="str">
            <v>Actual</v>
          </cell>
          <cell r="C4198" t="str">
            <v>May</v>
          </cell>
          <cell r="D4198" t="str">
            <v>Chairs</v>
          </cell>
          <cell r="E4198">
            <v>88804.953999999998</v>
          </cell>
          <cell r="F4198">
            <v>5</v>
          </cell>
        </row>
        <row r="4199">
          <cell r="A4199">
            <v>2019</v>
          </cell>
          <cell r="B4199" t="str">
            <v>Budget</v>
          </cell>
          <cell r="C4199" t="str">
            <v>May</v>
          </cell>
          <cell r="D4199" t="str">
            <v>Chairs</v>
          </cell>
          <cell r="E4199">
            <v>730263.59</v>
          </cell>
          <cell r="F4199">
            <v>5</v>
          </cell>
        </row>
        <row r="4200">
          <cell r="A4200">
            <v>2019</v>
          </cell>
          <cell r="B4200" t="str">
            <v>Actual</v>
          </cell>
          <cell r="C4200" t="str">
            <v>May</v>
          </cell>
          <cell r="D4200" t="str">
            <v>Tables</v>
          </cell>
          <cell r="E4200">
            <v>201672.42199999999</v>
          </cell>
          <cell r="F4200">
            <v>5</v>
          </cell>
        </row>
        <row r="4201">
          <cell r="A4201">
            <v>2018</v>
          </cell>
          <cell r="B4201" t="str">
            <v>Budget</v>
          </cell>
          <cell r="C4201" t="str">
            <v>May</v>
          </cell>
          <cell r="D4201" t="str">
            <v>Kitchen</v>
          </cell>
          <cell r="E4201">
            <v>80418.778999999995</v>
          </cell>
          <cell r="F4201">
            <v>5</v>
          </cell>
        </row>
        <row r="4202">
          <cell r="A4202">
            <v>2018</v>
          </cell>
          <cell r="B4202" t="str">
            <v>Actual</v>
          </cell>
          <cell r="C4202" t="str">
            <v>May</v>
          </cell>
          <cell r="D4202" t="str">
            <v>Accessories</v>
          </cell>
          <cell r="E4202">
            <v>201902.239</v>
          </cell>
          <cell r="F4202">
            <v>5</v>
          </cell>
        </row>
        <row r="4203">
          <cell r="A4203">
            <v>2018</v>
          </cell>
          <cell r="B4203" t="str">
            <v>Budget</v>
          </cell>
          <cell r="C4203" t="str">
            <v>May</v>
          </cell>
          <cell r="D4203" t="str">
            <v>Chairs</v>
          </cell>
          <cell r="E4203">
            <v>209245.22499999998</v>
          </cell>
          <cell r="F4203">
            <v>5</v>
          </cell>
        </row>
        <row r="4204">
          <cell r="A4204">
            <v>2019</v>
          </cell>
          <cell r="B4204" t="str">
            <v>Actual</v>
          </cell>
          <cell r="C4204" t="str">
            <v>May</v>
          </cell>
          <cell r="D4204" t="str">
            <v>Tables</v>
          </cell>
          <cell r="E4204">
            <v>237111.448</v>
          </cell>
          <cell r="F4204">
            <v>5</v>
          </cell>
        </row>
        <row r="4205">
          <cell r="A4205">
            <v>2019</v>
          </cell>
          <cell r="B4205" t="str">
            <v>Budget</v>
          </cell>
          <cell r="C4205" t="str">
            <v>May</v>
          </cell>
          <cell r="D4205" t="str">
            <v>Kitchen</v>
          </cell>
          <cell r="E4205">
            <v>100835.29400000001</v>
          </cell>
          <cell r="F4205">
            <v>5</v>
          </cell>
        </row>
        <row r="4206">
          <cell r="A4206">
            <v>2018</v>
          </cell>
          <cell r="B4206" t="str">
            <v>Actual</v>
          </cell>
          <cell r="C4206" t="str">
            <v>May</v>
          </cell>
          <cell r="D4206" t="str">
            <v>Accessories</v>
          </cell>
          <cell r="E4206">
            <v>419757.27499999997</v>
          </cell>
          <cell r="F4206">
            <v>5</v>
          </cell>
        </row>
        <row r="4207">
          <cell r="A4207">
            <v>2018</v>
          </cell>
          <cell r="B4207" t="str">
            <v>Budget</v>
          </cell>
          <cell r="C4207" t="str">
            <v>May</v>
          </cell>
          <cell r="D4207" t="str">
            <v>Chairs</v>
          </cell>
          <cell r="E4207">
            <v>109915.848</v>
          </cell>
          <cell r="F4207">
            <v>5</v>
          </cell>
        </row>
        <row r="4208">
          <cell r="A4208">
            <v>2019</v>
          </cell>
          <cell r="B4208" t="str">
            <v>Actual</v>
          </cell>
          <cell r="C4208" t="str">
            <v>May</v>
          </cell>
          <cell r="D4208" t="str">
            <v>Tables</v>
          </cell>
          <cell r="E4208">
            <v>71328.243000000002</v>
          </cell>
          <cell r="F4208">
            <v>5</v>
          </cell>
        </row>
        <row r="4209">
          <cell r="A4209">
            <v>2018</v>
          </cell>
          <cell r="B4209" t="str">
            <v>Budget</v>
          </cell>
          <cell r="C4209" t="str">
            <v>May</v>
          </cell>
          <cell r="D4209" t="str">
            <v>Kitchen</v>
          </cell>
          <cell r="E4209">
            <v>36052.625</v>
          </cell>
          <cell r="F4209">
            <v>5</v>
          </cell>
        </row>
        <row r="4210">
          <cell r="A4210">
            <v>2018</v>
          </cell>
          <cell r="B4210" t="str">
            <v>Actual</v>
          </cell>
          <cell r="C4210" t="str">
            <v>May</v>
          </cell>
          <cell r="D4210" t="str">
            <v>Accessories</v>
          </cell>
          <cell r="E4210">
            <v>97917.645000000004</v>
          </cell>
          <cell r="F4210">
            <v>5</v>
          </cell>
        </row>
        <row r="4211">
          <cell r="A4211">
            <v>2018</v>
          </cell>
          <cell r="B4211" t="str">
            <v>Budget</v>
          </cell>
          <cell r="C4211" t="str">
            <v>May</v>
          </cell>
          <cell r="D4211" t="str">
            <v>Chairs</v>
          </cell>
          <cell r="E4211">
            <v>5441198.0349999992</v>
          </cell>
          <cell r="F4211">
            <v>5</v>
          </cell>
        </row>
        <row r="4212">
          <cell r="A4212">
            <v>2019</v>
          </cell>
          <cell r="B4212" t="str">
            <v>Actual</v>
          </cell>
          <cell r="C4212" t="str">
            <v>May</v>
          </cell>
          <cell r="D4212" t="str">
            <v>Tables</v>
          </cell>
          <cell r="E4212">
            <v>13925.582999999999</v>
          </cell>
          <cell r="F4212">
            <v>5</v>
          </cell>
        </row>
        <row r="4213">
          <cell r="A4213">
            <v>2019</v>
          </cell>
          <cell r="B4213" t="str">
            <v>Budget</v>
          </cell>
          <cell r="C4213" t="str">
            <v>May</v>
          </cell>
          <cell r="D4213" t="str">
            <v>Kitchen</v>
          </cell>
          <cell r="E4213">
            <v>107195.45199999999</v>
          </cell>
          <cell r="F4213">
            <v>5</v>
          </cell>
        </row>
        <row r="4214">
          <cell r="A4214">
            <v>2019</v>
          </cell>
          <cell r="B4214" t="str">
            <v>Actual</v>
          </cell>
          <cell r="C4214" t="str">
            <v>May</v>
          </cell>
          <cell r="D4214" t="str">
            <v>Accessories</v>
          </cell>
          <cell r="E4214">
            <v>392862.484</v>
          </cell>
          <cell r="F4214">
            <v>5</v>
          </cell>
        </row>
        <row r="4215">
          <cell r="A4215">
            <v>2019</v>
          </cell>
          <cell r="B4215" t="str">
            <v>Budget</v>
          </cell>
          <cell r="C4215" t="str">
            <v>May</v>
          </cell>
          <cell r="D4215" t="str">
            <v>Chairs</v>
          </cell>
          <cell r="E4215">
            <v>194549.698</v>
          </cell>
          <cell r="F4215">
            <v>5</v>
          </cell>
        </row>
        <row r="4216">
          <cell r="A4216">
            <v>2018</v>
          </cell>
          <cell r="B4216" t="str">
            <v>Actual</v>
          </cell>
          <cell r="C4216" t="str">
            <v>May</v>
          </cell>
          <cell r="D4216" t="str">
            <v>Chairs</v>
          </cell>
          <cell r="E4216">
            <v>26823.642999999996</v>
          </cell>
          <cell r="F4216">
            <v>5</v>
          </cell>
        </row>
        <row r="4217">
          <cell r="A4217">
            <v>2019</v>
          </cell>
          <cell r="B4217" t="str">
            <v>Budget</v>
          </cell>
          <cell r="C4217" t="str">
            <v>May</v>
          </cell>
          <cell r="D4217" t="str">
            <v>Tables</v>
          </cell>
          <cell r="E4217">
            <v>717176.55099999998</v>
          </cell>
          <cell r="F4217">
            <v>5</v>
          </cell>
        </row>
        <row r="4218">
          <cell r="A4218">
            <v>2018</v>
          </cell>
          <cell r="B4218" t="str">
            <v>Actual</v>
          </cell>
          <cell r="C4218" t="str">
            <v>May</v>
          </cell>
          <cell r="D4218" t="str">
            <v>Kitchen</v>
          </cell>
          <cell r="E4218">
            <v>1106649.3969999999</v>
          </cell>
          <cell r="F4218">
            <v>5</v>
          </cell>
        </row>
        <row r="4219">
          <cell r="A4219">
            <v>2018</v>
          </cell>
          <cell r="B4219" t="str">
            <v>Budget</v>
          </cell>
          <cell r="C4219" t="str">
            <v>May</v>
          </cell>
          <cell r="D4219" t="str">
            <v>Chairs</v>
          </cell>
          <cell r="E4219">
            <v>1491548.9819999998</v>
          </cell>
          <cell r="F4219">
            <v>5</v>
          </cell>
        </row>
        <row r="4220">
          <cell r="A4220">
            <v>2019</v>
          </cell>
          <cell r="B4220" t="str">
            <v>Actual</v>
          </cell>
          <cell r="C4220" t="str">
            <v>May</v>
          </cell>
          <cell r="D4220" t="str">
            <v>Tables</v>
          </cell>
          <cell r="E4220">
            <v>460746.51</v>
          </cell>
          <cell r="F4220">
            <v>5</v>
          </cell>
        </row>
        <row r="4221">
          <cell r="A4221">
            <v>2019</v>
          </cell>
          <cell r="B4221" t="str">
            <v>Budget</v>
          </cell>
          <cell r="C4221" t="str">
            <v>May</v>
          </cell>
          <cell r="D4221" t="str">
            <v>Kitchen</v>
          </cell>
          <cell r="E4221">
            <v>287329.79099999997</v>
          </cell>
          <cell r="F4221">
            <v>5</v>
          </cell>
        </row>
        <row r="4222">
          <cell r="A4222">
            <v>2019</v>
          </cell>
          <cell r="B4222" t="str">
            <v>Actual</v>
          </cell>
          <cell r="C4222" t="str">
            <v>May</v>
          </cell>
          <cell r="D4222" t="str">
            <v>Chairs</v>
          </cell>
          <cell r="E4222">
            <v>100985.38099999998</v>
          </cell>
          <cell r="F4222">
            <v>5</v>
          </cell>
        </row>
        <row r="4223">
          <cell r="A4223">
            <v>2018</v>
          </cell>
          <cell r="B4223" t="str">
            <v>Budget</v>
          </cell>
          <cell r="C4223" t="str">
            <v>May</v>
          </cell>
          <cell r="D4223" t="str">
            <v>Tables</v>
          </cell>
          <cell r="E4223">
            <v>10124.253999999999</v>
          </cell>
          <cell r="F4223">
            <v>5</v>
          </cell>
        </row>
        <row r="4224">
          <cell r="A4224">
            <v>2018</v>
          </cell>
          <cell r="B4224" t="str">
            <v>Actual</v>
          </cell>
          <cell r="C4224" t="str">
            <v>May</v>
          </cell>
          <cell r="D4224" t="str">
            <v>Kitchen</v>
          </cell>
          <cell r="E4224">
            <v>304482.717</v>
          </cell>
          <cell r="F4224">
            <v>5</v>
          </cell>
        </row>
        <row r="4225">
          <cell r="A4225">
            <v>2019</v>
          </cell>
          <cell r="B4225" t="str">
            <v>Budget</v>
          </cell>
          <cell r="C4225" t="str">
            <v>May</v>
          </cell>
          <cell r="D4225" t="str">
            <v>Chairs</v>
          </cell>
          <cell r="E4225">
            <v>14981.953</v>
          </cell>
          <cell r="F4225">
            <v>5</v>
          </cell>
        </row>
        <row r="4226">
          <cell r="A4226">
            <v>2018</v>
          </cell>
          <cell r="B4226" t="str">
            <v>Actual</v>
          </cell>
          <cell r="C4226" t="str">
            <v>May</v>
          </cell>
          <cell r="D4226" t="str">
            <v>Chairs</v>
          </cell>
          <cell r="E4226">
            <v>40152.811999999998</v>
          </cell>
          <cell r="F4226">
            <v>5</v>
          </cell>
        </row>
        <row r="4227">
          <cell r="A4227">
            <v>2018</v>
          </cell>
          <cell r="B4227" t="str">
            <v>Budget</v>
          </cell>
          <cell r="C4227" t="str">
            <v>May</v>
          </cell>
          <cell r="D4227" t="str">
            <v>Chairs</v>
          </cell>
          <cell r="E4227">
            <v>436139.97</v>
          </cell>
          <cell r="F4227">
            <v>5</v>
          </cell>
        </row>
        <row r="4228">
          <cell r="A4228">
            <v>2019</v>
          </cell>
          <cell r="B4228" t="str">
            <v>Actual</v>
          </cell>
          <cell r="C4228" t="str">
            <v>May</v>
          </cell>
          <cell r="D4228" t="str">
            <v>Chairs</v>
          </cell>
          <cell r="E4228">
            <v>2737880.5649999999</v>
          </cell>
          <cell r="F4228">
            <v>5</v>
          </cell>
        </row>
        <row r="4229">
          <cell r="A4229">
            <v>2019</v>
          </cell>
          <cell r="B4229" t="str">
            <v>Budget</v>
          </cell>
          <cell r="C4229" t="str">
            <v>May</v>
          </cell>
          <cell r="D4229" t="str">
            <v>Chairs</v>
          </cell>
          <cell r="E4229">
            <v>2940.8820000000001</v>
          </cell>
          <cell r="F4229">
            <v>5</v>
          </cell>
        </row>
        <row r="4230">
          <cell r="A4230">
            <v>2018</v>
          </cell>
          <cell r="B4230" t="str">
            <v>Actual</v>
          </cell>
          <cell r="C4230" t="str">
            <v>May</v>
          </cell>
          <cell r="D4230" t="str">
            <v>Chairs</v>
          </cell>
          <cell r="E4230">
            <v>962587.745</v>
          </cell>
          <cell r="F4230">
            <v>5</v>
          </cell>
        </row>
        <row r="4231">
          <cell r="A4231">
            <v>2018</v>
          </cell>
          <cell r="B4231" t="str">
            <v>Budget</v>
          </cell>
          <cell r="C4231" t="str">
            <v>May</v>
          </cell>
          <cell r="D4231" t="str">
            <v>Chairs</v>
          </cell>
          <cell r="E4231">
            <v>857982.93699999992</v>
          </cell>
          <cell r="F4231">
            <v>5</v>
          </cell>
        </row>
        <row r="4232">
          <cell r="A4232">
            <v>2019</v>
          </cell>
          <cell r="B4232" t="str">
            <v>Actual</v>
          </cell>
          <cell r="C4232" t="str">
            <v>May</v>
          </cell>
          <cell r="D4232" t="str">
            <v>Chairs</v>
          </cell>
          <cell r="E4232">
            <v>101381.924</v>
          </cell>
          <cell r="F4232">
            <v>5</v>
          </cell>
        </row>
        <row r="4233">
          <cell r="A4233">
            <v>2019</v>
          </cell>
          <cell r="B4233" t="str">
            <v>Budget</v>
          </cell>
          <cell r="C4233" t="str">
            <v>May</v>
          </cell>
          <cell r="D4233" t="str">
            <v>Chairs</v>
          </cell>
          <cell r="E4233">
            <v>84485.52</v>
          </cell>
          <cell r="F4233">
            <v>5</v>
          </cell>
        </row>
        <row r="4234">
          <cell r="A4234">
            <v>2019</v>
          </cell>
          <cell r="B4234" t="str">
            <v>Actual</v>
          </cell>
          <cell r="C4234" t="str">
            <v>May</v>
          </cell>
          <cell r="D4234" t="str">
            <v>Chairs</v>
          </cell>
          <cell r="E4234">
            <v>3484676.9369999999</v>
          </cell>
          <cell r="F4234">
            <v>5</v>
          </cell>
        </row>
        <row r="4235">
          <cell r="A4235">
            <v>2018</v>
          </cell>
          <cell r="B4235" t="str">
            <v>Budget</v>
          </cell>
          <cell r="C4235" t="str">
            <v>May</v>
          </cell>
          <cell r="D4235" t="str">
            <v>Chairs</v>
          </cell>
          <cell r="E4235">
            <v>1145221.301</v>
          </cell>
          <cell r="F4235">
            <v>5</v>
          </cell>
        </row>
        <row r="4236">
          <cell r="A4236">
            <v>2018</v>
          </cell>
          <cell r="B4236" t="str">
            <v>Actual</v>
          </cell>
          <cell r="C4236" t="str">
            <v>May</v>
          </cell>
          <cell r="D4236" t="str">
            <v>Chairs</v>
          </cell>
          <cell r="E4236">
            <v>444316.35499999998</v>
          </cell>
          <cell r="F4236">
            <v>5</v>
          </cell>
        </row>
        <row r="4237">
          <cell r="A4237">
            <v>2018</v>
          </cell>
          <cell r="B4237" t="str">
            <v>Budget</v>
          </cell>
          <cell r="C4237" t="str">
            <v>May</v>
          </cell>
          <cell r="D4237" t="str">
            <v>Chairs</v>
          </cell>
          <cell r="E4237">
            <v>73281.410999999993</v>
          </cell>
          <cell r="F4237">
            <v>5</v>
          </cell>
        </row>
        <row r="4238">
          <cell r="A4238">
            <v>2019</v>
          </cell>
          <cell r="B4238" t="str">
            <v>Actual</v>
          </cell>
          <cell r="C4238" t="str">
            <v>May</v>
          </cell>
          <cell r="D4238" t="str">
            <v>Chairs</v>
          </cell>
          <cell r="E4238">
            <v>179539.45799999998</v>
          </cell>
          <cell r="F4238">
            <v>5</v>
          </cell>
        </row>
        <row r="4239">
          <cell r="A4239">
            <v>2019</v>
          </cell>
          <cell r="B4239" t="str">
            <v>Budget</v>
          </cell>
          <cell r="C4239" t="str">
            <v>May</v>
          </cell>
          <cell r="D4239" t="str">
            <v>Chairs</v>
          </cell>
          <cell r="E4239">
            <v>179539.45799999998</v>
          </cell>
          <cell r="F4239">
            <v>5</v>
          </cell>
        </row>
        <row r="4240">
          <cell r="A4240">
            <v>2018</v>
          </cell>
          <cell r="B4240" t="str">
            <v>Actual</v>
          </cell>
          <cell r="C4240" t="str">
            <v>May</v>
          </cell>
          <cell r="D4240" t="str">
            <v>Chairs</v>
          </cell>
          <cell r="E4240">
            <v>94890.704999999987</v>
          </cell>
          <cell r="F4240">
            <v>5</v>
          </cell>
        </row>
        <row r="4241">
          <cell r="A4241">
            <v>2018</v>
          </cell>
          <cell r="B4241" t="str">
            <v>Budget</v>
          </cell>
          <cell r="C4241" t="str">
            <v>May</v>
          </cell>
          <cell r="D4241" t="str">
            <v>Chairs</v>
          </cell>
          <cell r="E4241">
            <v>977814.89399999985</v>
          </cell>
          <cell r="F4241">
            <v>5</v>
          </cell>
        </row>
        <row r="4242">
          <cell r="A4242">
            <v>2019</v>
          </cell>
          <cell r="B4242" t="str">
            <v>Actual</v>
          </cell>
          <cell r="C4242" t="str">
            <v>May</v>
          </cell>
          <cell r="D4242" t="str">
            <v>Chairs</v>
          </cell>
          <cell r="E4242">
            <v>691211.67499999993</v>
          </cell>
          <cell r="F4242">
            <v>5</v>
          </cell>
        </row>
        <row r="4243">
          <cell r="A4243">
            <v>2018</v>
          </cell>
          <cell r="B4243" t="str">
            <v>Budget</v>
          </cell>
          <cell r="C4243" t="str">
            <v>May</v>
          </cell>
          <cell r="D4243" t="str">
            <v>Chairs</v>
          </cell>
          <cell r="E4243">
            <v>61264.356999999989</v>
          </cell>
          <cell r="F4243">
            <v>5</v>
          </cell>
        </row>
        <row r="4244">
          <cell r="A4244">
            <v>2019</v>
          </cell>
          <cell r="B4244" t="str">
            <v>Actual</v>
          </cell>
          <cell r="C4244" t="str">
            <v>May</v>
          </cell>
          <cell r="D4244" t="str">
            <v>Chairs</v>
          </cell>
          <cell r="E4244">
            <v>470407.78399999999</v>
          </cell>
          <cell r="F4244">
            <v>5</v>
          </cell>
        </row>
        <row r="4245">
          <cell r="A4245">
            <v>2019</v>
          </cell>
          <cell r="B4245" t="str">
            <v>Budget</v>
          </cell>
          <cell r="C4245" t="str">
            <v>May</v>
          </cell>
          <cell r="D4245" t="str">
            <v>Chairs</v>
          </cell>
          <cell r="E4245">
            <v>165033.49099999998</v>
          </cell>
          <cell r="F4245">
            <v>5</v>
          </cell>
        </row>
        <row r="4246">
          <cell r="A4246">
            <v>2018</v>
          </cell>
          <cell r="B4246" t="str">
            <v>Actual</v>
          </cell>
          <cell r="C4246" t="str">
            <v>May</v>
          </cell>
          <cell r="D4246" t="str">
            <v>Chairs</v>
          </cell>
          <cell r="E4246">
            <v>933715.59399999992</v>
          </cell>
          <cell r="F4246">
            <v>5</v>
          </cell>
        </row>
        <row r="4247">
          <cell r="A4247">
            <v>2018</v>
          </cell>
          <cell r="B4247" t="str">
            <v>Budget</v>
          </cell>
          <cell r="C4247" t="str">
            <v>May</v>
          </cell>
          <cell r="D4247" t="str">
            <v>Chairs</v>
          </cell>
          <cell r="E4247">
            <v>104374.249</v>
          </cell>
          <cell r="F4247">
            <v>5</v>
          </cell>
        </row>
        <row r="4248">
          <cell r="A4248">
            <v>2019</v>
          </cell>
          <cell r="B4248" t="str">
            <v>Actual</v>
          </cell>
          <cell r="C4248" t="str">
            <v>May</v>
          </cell>
          <cell r="D4248" t="str">
            <v>Chairs</v>
          </cell>
          <cell r="E4248">
            <v>-401235.64600000001</v>
          </cell>
          <cell r="F4248">
            <v>5</v>
          </cell>
        </row>
        <row r="4249">
          <cell r="A4249">
            <v>2018</v>
          </cell>
          <cell r="B4249" t="str">
            <v>Budget</v>
          </cell>
          <cell r="C4249" t="str">
            <v>May</v>
          </cell>
          <cell r="D4249" t="str">
            <v>Chairs</v>
          </cell>
          <cell r="E4249">
            <v>15405.117</v>
          </cell>
          <cell r="F4249">
            <v>5</v>
          </cell>
        </row>
        <row r="4250">
          <cell r="A4250">
            <v>2019</v>
          </cell>
          <cell r="B4250" t="str">
            <v>Actual</v>
          </cell>
          <cell r="C4250" t="str">
            <v>May</v>
          </cell>
          <cell r="D4250" t="str">
            <v>Chairs</v>
          </cell>
          <cell r="E4250">
            <v>88047.231999999989</v>
          </cell>
          <cell r="F4250">
            <v>5</v>
          </cell>
        </row>
        <row r="4251">
          <cell r="A4251">
            <v>2018</v>
          </cell>
          <cell r="B4251" t="str">
            <v>Budget</v>
          </cell>
          <cell r="C4251" t="str">
            <v>May</v>
          </cell>
          <cell r="D4251" t="str">
            <v>Tables</v>
          </cell>
          <cell r="E4251">
            <v>11532.632999999998</v>
          </cell>
          <cell r="F4251">
            <v>5</v>
          </cell>
        </row>
        <row r="4252">
          <cell r="A4252">
            <v>2018</v>
          </cell>
          <cell r="B4252" t="str">
            <v>Actual</v>
          </cell>
          <cell r="C4252" t="str">
            <v>May</v>
          </cell>
          <cell r="D4252" t="str">
            <v>Kitchen</v>
          </cell>
          <cell r="E4252">
            <v>764.74299999999994</v>
          </cell>
          <cell r="F4252">
            <v>5</v>
          </cell>
        </row>
        <row r="4253">
          <cell r="A4253">
            <v>2018</v>
          </cell>
          <cell r="B4253" t="str">
            <v>Budget</v>
          </cell>
          <cell r="C4253" t="str">
            <v>May</v>
          </cell>
          <cell r="D4253" t="str">
            <v>Chairs</v>
          </cell>
          <cell r="E4253">
            <v>27854.428</v>
          </cell>
          <cell r="F4253">
            <v>5</v>
          </cell>
        </row>
        <row r="4254">
          <cell r="A4254">
            <v>2018</v>
          </cell>
          <cell r="B4254" t="str">
            <v>Actual</v>
          </cell>
          <cell r="C4254" t="str">
            <v>May</v>
          </cell>
          <cell r="D4254" t="str">
            <v>Chairs</v>
          </cell>
          <cell r="E4254">
            <v>818938.58899999992</v>
          </cell>
          <cell r="F4254">
            <v>5</v>
          </cell>
        </row>
        <row r="4255">
          <cell r="A4255">
            <v>2019</v>
          </cell>
          <cell r="B4255" t="str">
            <v>Budget</v>
          </cell>
          <cell r="C4255" t="str">
            <v>May</v>
          </cell>
          <cell r="D4255" t="str">
            <v>Chairs</v>
          </cell>
          <cell r="E4255">
            <v>298348.42099999997</v>
          </cell>
          <cell r="F4255">
            <v>5</v>
          </cell>
        </row>
        <row r="4256">
          <cell r="A4256">
            <v>2018</v>
          </cell>
          <cell r="B4256" t="str">
            <v>Actual</v>
          </cell>
          <cell r="C4256" t="str">
            <v>May</v>
          </cell>
          <cell r="D4256" t="str">
            <v>Chairs</v>
          </cell>
          <cell r="E4256">
            <v>126306.85899999998</v>
          </cell>
          <cell r="F4256">
            <v>5</v>
          </cell>
        </row>
        <row r="4257">
          <cell r="A4257">
            <v>2018</v>
          </cell>
          <cell r="B4257" t="str">
            <v>Budget</v>
          </cell>
          <cell r="C4257" t="str">
            <v>May</v>
          </cell>
          <cell r="D4257" t="str">
            <v>Chairs</v>
          </cell>
          <cell r="E4257">
            <v>165989.908</v>
          </cell>
          <cell r="F4257">
            <v>5</v>
          </cell>
        </row>
        <row r="4258">
          <cell r="A4258">
            <v>2018</v>
          </cell>
          <cell r="B4258" t="str">
            <v>Actual</v>
          </cell>
          <cell r="C4258" t="str">
            <v>May</v>
          </cell>
          <cell r="D4258" t="str">
            <v>Tables</v>
          </cell>
          <cell r="E4258">
            <v>197166.93499999997</v>
          </cell>
          <cell r="F4258">
            <v>5</v>
          </cell>
        </row>
        <row r="4259">
          <cell r="A4259">
            <v>2018</v>
          </cell>
          <cell r="B4259" t="str">
            <v>Budget</v>
          </cell>
          <cell r="C4259" t="str">
            <v>May</v>
          </cell>
          <cell r="D4259" t="str">
            <v>Kitchen</v>
          </cell>
          <cell r="E4259">
            <v>11051698.623</v>
          </cell>
          <cell r="F4259">
            <v>5</v>
          </cell>
        </row>
        <row r="4260">
          <cell r="A4260">
            <v>2019</v>
          </cell>
          <cell r="B4260" t="str">
            <v>Actual</v>
          </cell>
          <cell r="C4260" t="str">
            <v>May</v>
          </cell>
          <cell r="D4260" t="str">
            <v>Chairs</v>
          </cell>
          <cell r="E4260">
            <v>62342.188999999998</v>
          </cell>
          <cell r="F4260">
            <v>5</v>
          </cell>
        </row>
        <row r="4261">
          <cell r="A4261">
            <v>2018</v>
          </cell>
          <cell r="B4261" t="str">
            <v>Budget</v>
          </cell>
          <cell r="C4261" t="str">
            <v>May</v>
          </cell>
          <cell r="D4261" t="str">
            <v>Chairs</v>
          </cell>
          <cell r="E4261">
            <v>67429.054000000004</v>
          </cell>
          <cell r="F4261">
            <v>5</v>
          </cell>
        </row>
        <row r="4262">
          <cell r="A4262">
            <v>2019</v>
          </cell>
          <cell r="B4262" t="str">
            <v>Actual</v>
          </cell>
          <cell r="C4262" t="str">
            <v>May</v>
          </cell>
          <cell r="D4262" t="str">
            <v>Chairs</v>
          </cell>
          <cell r="E4262">
            <v>63156.295999999995</v>
          </cell>
          <cell r="F4262">
            <v>5</v>
          </cell>
        </row>
        <row r="4263">
          <cell r="A4263">
            <v>2018</v>
          </cell>
          <cell r="B4263" t="str">
            <v>Budget</v>
          </cell>
          <cell r="C4263" t="str">
            <v>May</v>
          </cell>
          <cell r="D4263" t="str">
            <v>Tables</v>
          </cell>
          <cell r="E4263">
            <v>26382.901999999998</v>
          </cell>
          <cell r="F4263">
            <v>5</v>
          </cell>
        </row>
        <row r="4264">
          <cell r="A4264">
            <v>2019</v>
          </cell>
          <cell r="B4264" t="str">
            <v>Actual</v>
          </cell>
          <cell r="C4264" t="str">
            <v>May</v>
          </cell>
          <cell r="D4264" t="str">
            <v>Kitchen</v>
          </cell>
          <cell r="E4264">
            <v>748955.77399999998</v>
          </cell>
          <cell r="F4264">
            <v>5</v>
          </cell>
        </row>
        <row r="4265">
          <cell r="A4265">
            <v>2018</v>
          </cell>
          <cell r="B4265" t="str">
            <v>Budget</v>
          </cell>
          <cell r="C4265" t="str">
            <v>May</v>
          </cell>
          <cell r="D4265" t="str">
            <v>Chairs</v>
          </cell>
          <cell r="E4265">
            <v>71181.922000000006</v>
          </cell>
          <cell r="F4265">
            <v>5</v>
          </cell>
        </row>
        <row r="4266">
          <cell r="A4266">
            <v>2018</v>
          </cell>
          <cell r="B4266" t="str">
            <v>Actual</v>
          </cell>
          <cell r="C4266" t="str">
            <v>May</v>
          </cell>
          <cell r="D4266" t="str">
            <v>Chairs</v>
          </cell>
          <cell r="E4266">
            <v>93604.475999999995</v>
          </cell>
          <cell r="F4266">
            <v>5</v>
          </cell>
        </row>
        <row r="4267">
          <cell r="A4267">
            <v>2019</v>
          </cell>
          <cell r="B4267" t="str">
            <v>Budget</v>
          </cell>
          <cell r="C4267" t="str">
            <v>May</v>
          </cell>
          <cell r="D4267" t="str">
            <v>Tables</v>
          </cell>
          <cell r="E4267">
            <v>141266.601</v>
          </cell>
          <cell r="F4267">
            <v>5</v>
          </cell>
        </row>
        <row r="4268">
          <cell r="A4268">
            <v>2018</v>
          </cell>
          <cell r="B4268" t="str">
            <v>Actual</v>
          </cell>
          <cell r="C4268" t="str">
            <v>May</v>
          </cell>
          <cell r="D4268" t="str">
            <v>Kitchen</v>
          </cell>
          <cell r="E4268">
            <v>100463.811</v>
          </cell>
          <cell r="F4268">
            <v>5</v>
          </cell>
        </row>
        <row r="4269">
          <cell r="A4269">
            <v>2019</v>
          </cell>
          <cell r="B4269" t="str">
            <v>Budget</v>
          </cell>
          <cell r="C4269" t="str">
            <v>May</v>
          </cell>
          <cell r="D4269" t="str">
            <v>Chairs</v>
          </cell>
          <cell r="E4269">
            <v>206643.35299999997</v>
          </cell>
          <cell r="F4269">
            <v>5</v>
          </cell>
        </row>
        <row r="4270">
          <cell r="A4270">
            <v>2018</v>
          </cell>
          <cell r="B4270" t="str">
            <v>Actual</v>
          </cell>
          <cell r="C4270" t="str">
            <v>May</v>
          </cell>
          <cell r="D4270" t="str">
            <v>Chairs</v>
          </cell>
          <cell r="E4270">
            <v>105058.23299999999</v>
          </cell>
          <cell r="F4270">
            <v>5</v>
          </cell>
        </row>
        <row r="4271">
          <cell r="A4271">
            <v>2018</v>
          </cell>
          <cell r="B4271" t="str">
            <v>Budget</v>
          </cell>
          <cell r="C4271" t="str">
            <v>May</v>
          </cell>
          <cell r="D4271" t="str">
            <v>Chairs</v>
          </cell>
          <cell r="E4271">
            <v>531301.1129999999</v>
          </cell>
          <cell r="F4271">
            <v>5</v>
          </cell>
        </row>
        <row r="4272">
          <cell r="A4272">
            <v>2018</v>
          </cell>
          <cell r="B4272" t="str">
            <v>Actual</v>
          </cell>
          <cell r="C4272" t="str">
            <v>May</v>
          </cell>
          <cell r="D4272" t="str">
            <v>Tables</v>
          </cell>
          <cell r="E4272">
            <v>2656302.7819999997</v>
          </cell>
          <cell r="F4272">
            <v>5</v>
          </cell>
        </row>
        <row r="4273">
          <cell r="A4273">
            <v>2018</v>
          </cell>
          <cell r="B4273" t="str">
            <v>Budget</v>
          </cell>
          <cell r="C4273" t="str">
            <v>May</v>
          </cell>
          <cell r="D4273" t="str">
            <v>Kitchen</v>
          </cell>
          <cell r="E4273">
            <v>59473.441999999995</v>
          </cell>
          <cell r="F4273">
            <v>5</v>
          </cell>
        </row>
        <row r="4274">
          <cell r="A4274">
            <v>2018</v>
          </cell>
          <cell r="B4274" t="str">
            <v>Actual</v>
          </cell>
          <cell r="C4274" t="str">
            <v>May</v>
          </cell>
          <cell r="D4274" t="str">
            <v>Accessories</v>
          </cell>
          <cell r="E4274">
            <v>125490.74999999999</v>
          </cell>
          <cell r="F4274">
            <v>5</v>
          </cell>
        </row>
        <row r="4275">
          <cell r="A4275">
            <v>2018</v>
          </cell>
          <cell r="B4275" t="str">
            <v>Budget</v>
          </cell>
          <cell r="C4275" t="str">
            <v>May</v>
          </cell>
          <cell r="D4275" t="str">
            <v>Chairs</v>
          </cell>
          <cell r="E4275">
            <v>3950182.446</v>
          </cell>
          <cell r="F4275">
            <v>5</v>
          </cell>
        </row>
        <row r="4276">
          <cell r="A4276">
            <v>2019</v>
          </cell>
          <cell r="B4276" t="str">
            <v>Actual</v>
          </cell>
          <cell r="C4276" t="str">
            <v>May</v>
          </cell>
          <cell r="D4276" t="str">
            <v>Tables</v>
          </cell>
          <cell r="E4276">
            <v>1617608.3419999999</v>
          </cell>
          <cell r="F4276">
            <v>5</v>
          </cell>
        </row>
        <row r="4277">
          <cell r="A4277">
            <v>2018</v>
          </cell>
          <cell r="B4277" t="str">
            <v>Budget</v>
          </cell>
          <cell r="C4277" t="str">
            <v>May</v>
          </cell>
          <cell r="D4277" t="str">
            <v>Kitchen</v>
          </cell>
          <cell r="E4277">
            <v>12859.447999999999</v>
          </cell>
          <cell r="F4277">
            <v>5</v>
          </cell>
        </row>
        <row r="4278">
          <cell r="A4278">
            <v>2018</v>
          </cell>
          <cell r="B4278" t="str">
            <v>Actual</v>
          </cell>
          <cell r="C4278" t="str">
            <v>May</v>
          </cell>
          <cell r="D4278" t="str">
            <v>Accessories</v>
          </cell>
          <cell r="E4278">
            <v>42953.119999999995</v>
          </cell>
          <cell r="F4278">
            <v>5</v>
          </cell>
        </row>
        <row r="4279">
          <cell r="A4279">
            <v>2018</v>
          </cell>
          <cell r="B4279" t="str">
            <v>Budget</v>
          </cell>
          <cell r="C4279" t="str">
            <v>May</v>
          </cell>
          <cell r="D4279" t="str">
            <v>Chairs</v>
          </cell>
          <cell r="E4279">
            <v>628394.94899999991</v>
          </cell>
          <cell r="F4279">
            <v>5</v>
          </cell>
        </row>
        <row r="4280">
          <cell r="A4280">
            <v>2018</v>
          </cell>
          <cell r="B4280" t="str">
            <v>Actual</v>
          </cell>
          <cell r="C4280" t="str">
            <v>May</v>
          </cell>
          <cell r="D4280" t="str">
            <v>Tables</v>
          </cell>
          <cell r="E4280">
            <v>11413.339</v>
          </cell>
          <cell r="F4280">
            <v>5</v>
          </cell>
        </row>
        <row r="4281">
          <cell r="A4281">
            <v>2018</v>
          </cell>
          <cell r="B4281" t="str">
            <v>Budget</v>
          </cell>
          <cell r="C4281" t="str">
            <v>May</v>
          </cell>
          <cell r="D4281" t="str">
            <v>Kitchen</v>
          </cell>
          <cell r="E4281">
            <v>5820935.3369999994</v>
          </cell>
          <cell r="F4281">
            <v>5</v>
          </cell>
        </row>
        <row r="4282">
          <cell r="A4282">
            <v>2018</v>
          </cell>
          <cell r="B4282" t="str">
            <v>Actual</v>
          </cell>
          <cell r="C4282" t="str">
            <v>May</v>
          </cell>
          <cell r="D4282" t="str">
            <v>Accessories</v>
          </cell>
          <cell r="E4282">
            <v>1546712.034</v>
          </cell>
          <cell r="F4282">
            <v>5</v>
          </cell>
        </row>
        <row r="4283">
          <cell r="A4283">
            <v>2018</v>
          </cell>
          <cell r="B4283" t="str">
            <v>Budget</v>
          </cell>
          <cell r="C4283" t="str">
            <v>May</v>
          </cell>
          <cell r="D4283" t="str">
            <v>Chairs</v>
          </cell>
          <cell r="E4283">
            <v>19309.766</v>
          </cell>
          <cell r="F4283">
            <v>5</v>
          </cell>
        </row>
        <row r="4284">
          <cell r="A4284">
            <v>2018</v>
          </cell>
          <cell r="B4284" t="str">
            <v>Actual</v>
          </cell>
          <cell r="C4284" t="str">
            <v>May</v>
          </cell>
          <cell r="D4284" t="str">
            <v>Tables</v>
          </cell>
          <cell r="E4284">
            <v>1193982.7409999999</v>
          </cell>
          <cell r="F4284">
            <v>5</v>
          </cell>
        </row>
        <row r="4285">
          <cell r="A4285">
            <v>2019</v>
          </cell>
          <cell r="B4285" t="str">
            <v>Budget</v>
          </cell>
          <cell r="C4285" t="str">
            <v>May</v>
          </cell>
          <cell r="D4285" t="str">
            <v>Kitchen</v>
          </cell>
          <cell r="E4285">
            <v>313829.67</v>
          </cell>
          <cell r="F4285">
            <v>5</v>
          </cell>
        </row>
        <row r="4286">
          <cell r="A4286">
            <v>2019</v>
          </cell>
          <cell r="B4286" t="str">
            <v>Actual</v>
          </cell>
          <cell r="C4286" t="str">
            <v>May</v>
          </cell>
          <cell r="D4286" t="str">
            <v>Accessories</v>
          </cell>
          <cell r="E4286">
            <v>382467.08500000002</v>
          </cell>
          <cell r="F4286">
            <v>5</v>
          </cell>
        </row>
        <row r="4287">
          <cell r="A4287">
            <v>2018</v>
          </cell>
          <cell r="B4287" t="str">
            <v>Budget</v>
          </cell>
          <cell r="C4287" t="str">
            <v>May</v>
          </cell>
          <cell r="D4287" t="str">
            <v>Chairs</v>
          </cell>
          <cell r="E4287">
            <v>325546.68299999996</v>
          </cell>
          <cell r="F4287">
            <v>5</v>
          </cell>
        </row>
        <row r="4288">
          <cell r="A4288">
            <v>2018</v>
          </cell>
          <cell r="B4288" t="str">
            <v>Actual</v>
          </cell>
          <cell r="C4288" t="str">
            <v>May</v>
          </cell>
          <cell r="D4288" t="str">
            <v>Chairs</v>
          </cell>
          <cell r="E4288">
            <v>1270798.0319999999</v>
          </cell>
          <cell r="F4288">
            <v>5</v>
          </cell>
        </row>
        <row r="4289">
          <cell r="A4289">
            <v>2019</v>
          </cell>
          <cell r="B4289" t="str">
            <v>Budget</v>
          </cell>
          <cell r="C4289" t="str">
            <v>May</v>
          </cell>
          <cell r="D4289" t="str">
            <v>Tables</v>
          </cell>
          <cell r="E4289">
            <v>431018.93799999997</v>
          </cell>
          <cell r="F4289">
            <v>5</v>
          </cell>
        </row>
        <row r="4290">
          <cell r="A4290">
            <v>2019</v>
          </cell>
          <cell r="B4290" t="str">
            <v>Actual</v>
          </cell>
          <cell r="C4290" t="str">
            <v>May</v>
          </cell>
          <cell r="D4290" t="str">
            <v>Kitchen</v>
          </cell>
          <cell r="E4290">
            <v>377887.55199999997</v>
          </cell>
          <cell r="F4290">
            <v>5</v>
          </cell>
        </row>
        <row r="4291">
          <cell r="A4291">
            <v>2018</v>
          </cell>
          <cell r="B4291" t="str">
            <v>Budget</v>
          </cell>
          <cell r="C4291" t="str">
            <v>May</v>
          </cell>
          <cell r="D4291" t="str">
            <v>Chairs</v>
          </cell>
          <cell r="E4291">
            <v>5290767.699</v>
          </cell>
          <cell r="F4291">
            <v>5</v>
          </cell>
        </row>
        <row r="4292">
          <cell r="A4292">
            <v>2019</v>
          </cell>
          <cell r="B4292" t="str">
            <v>Actual</v>
          </cell>
          <cell r="C4292" t="str">
            <v>May</v>
          </cell>
          <cell r="D4292" t="str">
            <v>Tables</v>
          </cell>
          <cell r="E4292">
            <v>2368349.284</v>
          </cell>
          <cell r="F4292">
            <v>5</v>
          </cell>
        </row>
        <row r="4293">
          <cell r="A4293">
            <v>2018</v>
          </cell>
          <cell r="B4293" t="str">
            <v>Budget</v>
          </cell>
          <cell r="C4293" t="str">
            <v>May</v>
          </cell>
          <cell r="D4293" t="str">
            <v>Kitchen</v>
          </cell>
          <cell r="E4293">
            <v>265038.35399999999</v>
          </cell>
          <cell r="F4293">
            <v>5</v>
          </cell>
        </row>
        <row r="4294">
          <cell r="A4294">
            <v>2018</v>
          </cell>
          <cell r="B4294" t="str">
            <v>Actual</v>
          </cell>
          <cell r="C4294" t="str">
            <v>May</v>
          </cell>
          <cell r="D4294" t="str">
            <v>Chairs</v>
          </cell>
          <cell r="E4294">
            <v>1205412.1169999999</v>
          </cell>
          <cell r="F4294">
            <v>5</v>
          </cell>
        </row>
        <row r="4295">
          <cell r="A4295">
            <v>2019</v>
          </cell>
          <cell r="B4295" t="str">
            <v>Budget</v>
          </cell>
          <cell r="C4295" t="str">
            <v>May</v>
          </cell>
          <cell r="D4295" t="str">
            <v>Tables</v>
          </cell>
          <cell r="E4295">
            <v>1864843.1829999997</v>
          </cell>
          <cell r="F4295">
            <v>5</v>
          </cell>
        </row>
        <row r="4296">
          <cell r="A4296">
            <v>2019</v>
          </cell>
          <cell r="B4296" t="str">
            <v>Actual</v>
          </cell>
          <cell r="C4296" t="str">
            <v>May</v>
          </cell>
          <cell r="D4296" t="str">
            <v>Kitchen</v>
          </cell>
          <cell r="E4296">
            <v>35165.171999999999</v>
          </cell>
          <cell r="F4296">
            <v>5</v>
          </cell>
        </row>
        <row r="4297">
          <cell r="A4297">
            <v>2019</v>
          </cell>
          <cell r="B4297" t="str">
            <v>Budget</v>
          </cell>
          <cell r="C4297" t="str">
            <v>May</v>
          </cell>
          <cell r="D4297" t="str">
            <v>Chairs</v>
          </cell>
          <cell r="E4297">
            <v>2942949.0929999999</v>
          </cell>
          <cell r="F4297">
            <v>5</v>
          </cell>
        </row>
        <row r="4298">
          <cell r="A4298">
            <v>2019</v>
          </cell>
          <cell r="B4298" t="str">
            <v>Actual</v>
          </cell>
          <cell r="C4298" t="str">
            <v>May</v>
          </cell>
          <cell r="D4298" t="str">
            <v>Chairs</v>
          </cell>
          <cell r="E4298">
            <v>1132555.3119999999</v>
          </cell>
          <cell r="F4298">
            <v>5</v>
          </cell>
        </row>
        <row r="4299">
          <cell r="A4299">
            <v>2018</v>
          </cell>
          <cell r="B4299" t="str">
            <v>Budget</v>
          </cell>
          <cell r="C4299" t="str">
            <v>May</v>
          </cell>
          <cell r="D4299" t="str">
            <v>Chairs</v>
          </cell>
          <cell r="E4299">
            <v>418374.19400000002</v>
          </cell>
          <cell r="F4299">
            <v>5</v>
          </cell>
        </row>
        <row r="4300">
          <cell r="A4300">
            <v>2018</v>
          </cell>
          <cell r="B4300" t="str">
            <v>Actual</v>
          </cell>
          <cell r="C4300" t="str">
            <v>May</v>
          </cell>
          <cell r="D4300" t="str">
            <v>Chairs</v>
          </cell>
          <cell r="E4300">
            <v>972701.82799999998</v>
          </cell>
          <cell r="F4300">
            <v>5</v>
          </cell>
        </row>
        <row r="4301">
          <cell r="A4301">
            <v>2018</v>
          </cell>
          <cell r="B4301" t="str">
            <v>Budget</v>
          </cell>
          <cell r="C4301" t="str">
            <v>May</v>
          </cell>
          <cell r="D4301" t="str">
            <v>Chairs</v>
          </cell>
          <cell r="E4301">
            <v>98480.192999999985</v>
          </cell>
          <cell r="F4301">
            <v>5</v>
          </cell>
        </row>
        <row r="4302">
          <cell r="A4302">
            <v>2019</v>
          </cell>
          <cell r="B4302" t="str">
            <v>Actual</v>
          </cell>
          <cell r="C4302" t="str">
            <v>May</v>
          </cell>
          <cell r="D4302" t="str">
            <v>Chairs</v>
          </cell>
          <cell r="E4302">
            <v>8679555.7379999999</v>
          </cell>
          <cell r="F4302">
            <v>5</v>
          </cell>
        </row>
        <row r="4303">
          <cell r="A4303">
            <v>2018</v>
          </cell>
          <cell r="B4303" t="str">
            <v>Budget</v>
          </cell>
          <cell r="C4303" t="str">
            <v>May</v>
          </cell>
          <cell r="D4303" t="str">
            <v>Chairs</v>
          </cell>
          <cell r="E4303">
            <v>1040913.475</v>
          </cell>
          <cell r="F4303">
            <v>5</v>
          </cell>
        </row>
        <row r="4304">
          <cell r="A4304">
            <v>2019</v>
          </cell>
          <cell r="B4304" t="str">
            <v>Actual</v>
          </cell>
          <cell r="C4304" t="str">
            <v>May</v>
          </cell>
          <cell r="D4304" t="str">
            <v>Chairs</v>
          </cell>
          <cell r="E4304">
            <v>1396190.2359999998</v>
          </cell>
          <cell r="F4304">
            <v>5</v>
          </cell>
        </row>
        <row r="4305">
          <cell r="A4305">
            <v>2018</v>
          </cell>
          <cell r="B4305" t="str">
            <v>Budget</v>
          </cell>
          <cell r="C4305" t="str">
            <v>May</v>
          </cell>
          <cell r="D4305" t="str">
            <v>Chairs</v>
          </cell>
          <cell r="E4305">
            <v>235694.71099999998</v>
          </cell>
          <cell r="F4305">
            <v>5</v>
          </cell>
        </row>
        <row r="4306">
          <cell r="A4306">
            <v>2019</v>
          </cell>
          <cell r="B4306" t="str">
            <v>Actual</v>
          </cell>
          <cell r="C4306" t="str">
            <v>May</v>
          </cell>
          <cell r="D4306" t="str">
            <v>Chairs</v>
          </cell>
          <cell r="E4306">
            <v>-45290.517999999996</v>
          </cell>
          <cell r="F4306">
            <v>5</v>
          </cell>
        </row>
        <row r="4307">
          <cell r="A4307">
            <v>2019</v>
          </cell>
          <cell r="B4307" t="str">
            <v>Budget</v>
          </cell>
          <cell r="C4307" t="str">
            <v>May</v>
          </cell>
          <cell r="D4307" t="str">
            <v>Chairs</v>
          </cell>
          <cell r="E4307">
            <v>6495724.5639999993</v>
          </cell>
          <cell r="F4307">
            <v>5</v>
          </cell>
        </row>
        <row r="4308">
          <cell r="A4308">
            <v>2018</v>
          </cell>
          <cell r="B4308" t="str">
            <v>Actual</v>
          </cell>
          <cell r="C4308" t="str">
            <v>May</v>
          </cell>
          <cell r="D4308" t="str">
            <v>Chairs</v>
          </cell>
          <cell r="E4308">
            <v>645868.66399999999</v>
          </cell>
          <cell r="F4308">
            <v>5</v>
          </cell>
        </row>
        <row r="4309">
          <cell r="A4309">
            <v>2019</v>
          </cell>
          <cell r="B4309" t="str">
            <v>Budget</v>
          </cell>
          <cell r="C4309" t="str">
            <v>May</v>
          </cell>
          <cell r="D4309" t="str">
            <v>Chairs</v>
          </cell>
          <cell r="E4309">
            <v>656070.38</v>
          </cell>
          <cell r="F4309">
            <v>5</v>
          </cell>
        </row>
        <row r="4310">
          <cell r="A4310">
            <v>2019</v>
          </cell>
          <cell r="B4310" t="str">
            <v>Actual</v>
          </cell>
          <cell r="C4310" t="str">
            <v>May</v>
          </cell>
          <cell r="D4310" t="str">
            <v>Chairs</v>
          </cell>
          <cell r="E4310">
            <v>1070949.1310000001</v>
          </cell>
          <cell r="F4310">
            <v>5</v>
          </cell>
        </row>
        <row r="4311">
          <cell r="A4311">
            <v>2019</v>
          </cell>
          <cell r="B4311" t="str">
            <v>Budget</v>
          </cell>
          <cell r="C4311" t="str">
            <v>May</v>
          </cell>
          <cell r="D4311" t="str">
            <v>Chairs</v>
          </cell>
          <cell r="E4311">
            <v>524421.24699999997</v>
          </cell>
          <cell r="F4311">
            <v>5</v>
          </cell>
        </row>
        <row r="4312">
          <cell r="A4312">
            <v>2019</v>
          </cell>
          <cell r="B4312" t="str">
            <v>Actual</v>
          </cell>
          <cell r="C4312" t="str">
            <v>May</v>
          </cell>
          <cell r="D4312" t="str">
            <v>Chairs</v>
          </cell>
          <cell r="E4312">
            <v>1555595.804</v>
          </cell>
          <cell r="F4312">
            <v>5</v>
          </cell>
        </row>
        <row r="4313">
          <cell r="A4313">
            <v>2018</v>
          </cell>
          <cell r="B4313" t="str">
            <v>Budget</v>
          </cell>
          <cell r="C4313" t="str">
            <v>May</v>
          </cell>
          <cell r="D4313" t="str">
            <v>Chairs</v>
          </cell>
          <cell r="E4313">
            <v>3440942.6520000002</v>
          </cell>
          <cell r="F4313">
            <v>5</v>
          </cell>
        </row>
        <row r="4314">
          <cell r="A4314">
            <v>2019</v>
          </cell>
          <cell r="B4314" t="str">
            <v>Actual</v>
          </cell>
          <cell r="C4314" t="str">
            <v>May</v>
          </cell>
          <cell r="D4314" t="str">
            <v>Chairs</v>
          </cell>
          <cell r="E4314">
            <v>5310530.1689999998</v>
          </cell>
          <cell r="F4314">
            <v>5</v>
          </cell>
        </row>
        <row r="4315">
          <cell r="A4315">
            <v>2019</v>
          </cell>
          <cell r="B4315" t="str">
            <v>Budget</v>
          </cell>
          <cell r="C4315" t="str">
            <v>May</v>
          </cell>
          <cell r="D4315" t="str">
            <v>Chairs</v>
          </cell>
          <cell r="E4315">
            <v>128221.72999999998</v>
          </cell>
          <cell r="F4315">
            <v>5</v>
          </cell>
        </row>
        <row r="4316">
          <cell r="A4316">
            <v>2019</v>
          </cell>
          <cell r="B4316" t="str">
            <v>Actual</v>
          </cell>
          <cell r="C4316" t="str">
            <v>May</v>
          </cell>
          <cell r="D4316" t="str">
            <v>Chairs</v>
          </cell>
          <cell r="E4316">
            <v>153719.34899999999</v>
          </cell>
          <cell r="F4316">
            <v>5</v>
          </cell>
        </row>
        <row r="4317">
          <cell r="A4317">
            <v>2019</v>
          </cell>
          <cell r="B4317" t="str">
            <v>Budget</v>
          </cell>
          <cell r="C4317" t="str">
            <v>May</v>
          </cell>
          <cell r="D4317" t="str">
            <v>Chairs</v>
          </cell>
          <cell r="E4317">
            <v>69146.881999999998</v>
          </cell>
          <cell r="F4317">
            <v>5</v>
          </cell>
        </row>
        <row r="4318">
          <cell r="A4318">
            <v>2019</v>
          </cell>
          <cell r="B4318" t="str">
            <v>Actual</v>
          </cell>
          <cell r="C4318" t="str">
            <v>May</v>
          </cell>
          <cell r="D4318" t="str">
            <v>Chairs</v>
          </cell>
          <cell r="E4318">
            <v>3770412.4360000002</v>
          </cell>
          <cell r="F4318">
            <v>5</v>
          </cell>
        </row>
        <row r="4319">
          <cell r="A4319">
            <v>2018</v>
          </cell>
          <cell r="B4319" t="str">
            <v>Budget</v>
          </cell>
          <cell r="C4319" t="str">
            <v>May</v>
          </cell>
          <cell r="D4319" t="str">
            <v>Chairs</v>
          </cell>
          <cell r="E4319">
            <v>1717492.0559999999</v>
          </cell>
          <cell r="F4319">
            <v>5</v>
          </cell>
        </row>
        <row r="4320">
          <cell r="A4320">
            <v>2019</v>
          </cell>
          <cell r="B4320" t="str">
            <v>Actual</v>
          </cell>
          <cell r="C4320" t="str">
            <v>May</v>
          </cell>
          <cell r="D4320" t="str">
            <v>Chairs</v>
          </cell>
          <cell r="E4320">
            <v>1696829.456</v>
          </cell>
          <cell r="F4320">
            <v>5</v>
          </cell>
        </row>
        <row r="4321">
          <cell r="A4321">
            <v>2018</v>
          </cell>
          <cell r="B4321" t="str">
            <v>Budget</v>
          </cell>
          <cell r="C4321" t="str">
            <v>May</v>
          </cell>
          <cell r="D4321" t="str">
            <v>Chairs</v>
          </cell>
          <cell r="E4321">
            <v>1700515.5439999998</v>
          </cell>
          <cell r="F4321">
            <v>5</v>
          </cell>
        </row>
        <row r="4322">
          <cell r="A4322">
            <v>2019</v>
          </cell>
          <cell r="B4322" t="str">
            <v>Actual</v>
          </cell>
          <cell r="C4322" t="str">
            <v>May</v>
          </cell>
          <cell r="D4322" t="str">
            <v>Chairs</v>
          </cell>
          <cell r="E4322">
            <v>521409.81900000002</v>
          </cell>
          <cell r="F4322">
            <v>5</v>
          </cell>
        </row>
        <row r="4323">
          <cell r="A4323">
            <v>2018</v>
          </cell>
          <cell r="B4323" t="str">
            <v>Budget</v>
          </cell>
          <cell r="C4323" t="str">
            <v>May</v>
          </cell>
          <cell r="D4323" t="str">
            <v>Tables</v>
          </cell>
          <cell r="E4323">
            <v>1172389.764</v>
          </cell>
          <cell r="F4323">
            <v>5</v>
          </cell>
        </row>
        <row r="4324">
          <cell r="A4324">
            <v>2019</v>
          </cell>
          <cell r="B4324" t="str">
            <v>Actual</v>
          </cell>
          <cell r="C4324" t="str">
            <v>May</v>
          </cell>
          <cell r="D4324" t="str">
            <v>Kitchen</v>
          </cell>
          <cell r="E4324">
            <v>359091.52299999999</v>
          </cell>
          <cell r="F4324">
            <v>5</v>
          </cell>
        </row>
        <row r="4325">
          <cell r="A4325">
            <v>2019</v>
          </cell>
          <cell r="B4325" t="str">
            <v>Budget</v>
          </cell>
          <cell r="C4325" t="str">
            <v>May</v>
          </cell>
          <cell r="D4325" t="str">
            <v>Chairs</v>
          </cell>
          <cell r="E4325">
            <v>818460.60799999989</v>
          </cell>
          <cell r="F4325">
            <v>5</v>
          </cell>
        </row>
        <row r="4326">
          <cell r="A4326">
            <v>2019</v>
          </cell>
          <cell r="B4326" t="str">
            <v>Actual</v>
          </cell>
          <cell r="C4326" t="str">
            <v>May</v>
          </cell>
          <cell r="D4326" t="str">
            <v>Chairs</v>
          </cell>
          <cell r="E4326">
            <v>775198.74599999993</v>
          </cell>
          <cell r="F4326">
            <v>5</v>
          </cell>
        </row>
        <row r="4327">
          <cell r="A4327">
            <v>2019</v>
          </cell>
          <cell r="B4327" t="str">
            <v>Budget</v>
          </cell>
          <cell r="C4327" t="str">
            <v>May</v>
          </cell>
          <cell r="D4327" t="str">
            <v>Chairs</v>
          </cell>
          <cell r="E4327">
            <v>279526.75099999999</v>
          </cell>
          <cell r="F4327">
            <v>5</v>
          </cell>
        </row>
        <row r="4328">
          <cell r="A4328">
            <v>2018</v>
          </cell>
          <cell r="B4328" t="str">
            <v>Actual</v>
          </cell>
          <cell r="C4328" t="str">
            <v>May</v>
          </cell>
          <cell r="D4328" t="str">
            <v>Chairs</v>
          </cell>
          <cell r="E4328">
            <v>766666.42499999993</v>
          </cell>
          <cell r="F4328">
            <v>5</v>
          </cell>
        </row>
        <row r="4329">
          <cell r="A4329">
            <v>2018</v>
          </cell>
          <cell r="B4329" t="str">
            <v>Budget</v>
          </cell>
          <cell r="C4329" t="str">
            <v>May</v>
          </cell>
          <cell r="D4329" t="str">
            <v>Chairs</v>
          </cell>
          <cell r="E4329">
            <v>188685.399</v>
          </cell>
          <cell r="F4329">
            <v>5</v>
          </cell>
        </row>
        <row r="4330">
          <cell r="A4330">
            <v>2018</v>
          </cell>
          <cell r="B4330" t="str">
            <v>Actual</v>
          </cell>
          <cell r="C4330" t="str">
            <v>May</v>
          </cell>
          <cell r="D4330" t="str">
            <v>Tables</v>
          </cell>
          <cell r="E4330">
            <v>70632.477999999988</v>
          </cell>
          <cell r="F4330">
            <v>5</v>
          </cell>
        </row>
        <row r="4331">
          <cell r="A4331">
            <v>2019</v>
          </cell>
          <cell r="B4331" t="str">
            <v>Budget</v>
          </cell>
          <cell r="C4331" t="str">
            <v>May</v>
          </cell>
          <cell r="D4331" t="str">
            <v>Kitchen</v>
          </cell>
          <cell r="E4331">
            <v>1855813.8549999997</v>
          </cell>
          <cell r="F4331">
            <v>5</v>
          </cell>
        </row>
        <row r="4332">
          <cell r="A4332">
            <v>2019</v>
          </cell>
          <cell r="B4332" t="str">
            <v>Actual</v>
          </cell>
          <cell r="C4332" t="str">
            <v>May</v>
          </cell>
          <cell r="D4332" t="str">
            <v>Chairs</v>
          </cell>
          <cell r="E4332">
            <v>108781.09199999999</v>
          </cell>
          <cell r="F4332">
            <v>5</v>
          </cell>
        </row>
        <row r="4333">
          <cell r="A4333">
            <v>2019</v>
          </cell>
          <cell r="B4333" t="str">
            <v>Budget</v>
          </cell>
          <cell r="C4333" t="str">
            <v>May</v>
          </cell>
          <cell r="D4333" t="str">
            <v>Chairs</v>
          </cell>
          <cell r="E4333">
            <v>17892248.884999998</v>
          </cell>
          <cell r="F4333">
            <v>5</v>
          </cell>
        </row>
        <row r="4334">
          <cell r="A4334">
            <v>2018</v>
          </cell>
          <cell r="B4334" t="str">
            <v>Actual</v>
          </cell>
          <cell r="C4334" t="str">
            <v>May</v>
          </cell>
          <cell r="D4334" t="str">
            <v>Chairs</v>
          </cell>
          <cell r="E4334">
            <v>1286283.831</v>
          </cell>
          <cell r="F4334">
            <v>5</v>
          </cell>
        </row>
        <row r="4335">
          <cell r="A4335">
            <v>2018</v>
          </cell>
          <cell r="B4335" t="str">
            <v>Budget</v>
          </cell>
          <cell r="C4335" t="str">
            <v>May</v>
          </cell>
          <cell r="D4335" t="str">
            <v>Tables</v>
          </cell>
          <cell r="E4335">
            <v>2622447.6739999996</v>
          </cell>
          <cell r="F4335">
            <v>5</v>
          </cell>
        </row>
        <row r="4336">
          <cell r="A4336">
            <v>2018</v>
          </cell>
          <cell r="B4336" t="str">
            <v>Actual</v>
          </cell>
          <cell r="C4336" t="str">
            <v>May</v>
          </cell>
          <cell r="D4336" t="str">
            <v>Kitchen</v>
          </cell>
          <cell r="E4336">
            <v>4893596.8969999999</v>
          </cell>
          <cell r="F4336">
            <v>5</v>
          </cell>
        </row>
        <row r="4337">
          <cell r="A4337">
            <v>2018</v>
          </cell>
          <cell r="B4337" t="str">
            <v>Budget</v>
          </cell>
          <cell r="C4337" t="str">
            <v>May</v>
          </cell>
          <cell r="D4337" t="str">
            <v>Chairs</v>
          </cell>
          <cell r="E4337">
            <v>5588231.8379999995</v>
          </cell>
          <cell r="F4337">
            <v>5</v>
          </cell>
        </row>
        <row r="4338">
          <cell r="A4338">
            <v>2018</v>
          </cell>
          <cell r="B4338" t="str">
            <v>Actual</v>
          </cell>
          <cell r="C4338" t="str">
            <v>May</v>
          </cell>
          <cell r="D4338" t="str">
            <v>Chairs</v>
          </cell>
          <cell r="E4338">
            <v>5930011.5839999989</v>
          </cell>
          <cell r="F4338">
            <v>5</v>
          </cell>
        </row>
        <row r="4339">
          <cell r="A4339">
            <v>2019</v>
          </cell>
          <cell r="B4339" t="str">
            <v>Budget</v>
          </cell>
          <cell r="C4339" t="str">
            <v>May</v>
          </cell>
          <cell r="D4339" t="str">
            <v>Tables</v>
          </cell>
          <cell r="E4339">
            <v>103930.47</v>
          </cell>
          <cell r="F4339">
            <v>5</v>
          </cell>
        </row>
        <row r="4340">
          <cell r="A4340">
            <v>2019</v>
          </cell>
          <cell r="B4340" t="str">
            <v>Actual</v>
          </cell>
          <cell r="C4340" t="str">
            <v>May</v>
          </cell>
          <cell r="D4340" t="str">
            <v>Kitchen</v>
          </cell>
          <cell r="E4340">
            <v>1283879.7929999998</v>
          </cell>
          <cell r="F4340">
            <v>5</v>
          </cell>
        </row>
        <row r="4341">
          <cell r="A4341">
            <v>2019</v>
          </cell>
          <cell r="B4341" t="str">
            <v>Budget</v>
          </cell>
          <cell r="C4341" t="str">
            <v>May</v>
          </cell>
          <cell r="D4341" t="str">
            <v>Chairs</v>
          </cell>
          <cell r="E4341">
            <v>283117.28899999999</v>
          </cell>
          <cell r="F4341">
            <v>5</v>
          </cell>
        </row>
        <row r="4342">
          <cell r="A4342">
            <v>2019</v>
          </cell>
          <cell r="B4342" t="str">
            <v>Actual</v>
          </cell>
          <cell r="C4342" t="str">
            <v>May</v>
          </cell>
          <cell r="D4342" t="str">
            <v>Chairs</v>
          </cell>
          <cell r="E4342">
            <v>37876.803999999996</v>
          </cell>
          <cell r="F4342">
            <v>5</v>
          </cell>
        </row>
        <row r="4343">
          <cell r="A4343">
            <v>2018</v>
          </cell>
          <cell r="B4343" t="str">
            <v>Budget</v>
          </cell>
          <cell r="C4343" t="str">
            <v>May</v>
          </cell>
          <cell r="D4343" t="str">
            <v>Chairs</v>
          </cell>
          <cell r="E4343">
            <v>111119.59599999999</v>
          </cell>
          <cell r="F4343">
            <v>5</v>
          </cell>
        </row>
        <row r="4344">
          <cell r="A4344">
            <v>2019</v>
          </cell>
          <cell r="B4344" t="str">
            <v>Actual</v>
          </cell>
          <cell r="C4344" t="str">
            <v>May</v>
          </cell>
          <cell r="D4344" t="str">
            <v>Tables</v>
          </cell>
          <cell r="E4344">
            <v>3959397.4979999997</v>
          </cell>
          <cell r="F4344">
            <v>5</v>
          </cell>
        </row>
        <row r="4345">
          <cell r="A4345">
            <v>2019</v>
          </cell>
          <cell r="B4345" t="str">
            <v>Budget</v>
          </cell>
          <cell r="C4345" t="str">
            <v>May</v>
          </cell>
          <cell r="D4345" t="str">
            <v>Kitchen</v>
          </cell>
          <cell r="E4345">
            <v>5439125.3979999991</v>
          </cell>
          <cell r="F4345">
            <v>5</v>
          </cell>
        </row>
        <row r="4346">
          <cell r="A4346">
            <v>2018</v>
          </cell>
          <cell r="B4346" t="str">
            <v>Actual</v>
          </cell>
          <cell r="C4346" t="str">
            <v>May</v>
          </cell>
          <cell r="D4346" t="str">
            <v>Accessories</v>
          </cell>
          <cell r="E4346">
            <v>154781.38199999998</v>
          </cell>
          <cell r="F4346">
            <v>5</v>
          </cell>
        </row>
        <row r="4347">
          <cell r="A4347">
            <v>2018</v>
          </cell>
          <cell r="B4347" t="str">
            <v>Budget</v>
          </cell>
          <cell r="C4347" t="str">
            <v>May</v>
          </cell>
          <cell r="D4347" t="str">
            <v>Chairs</v>
          </cell>
          <cell r="E4347">
            <v>4682629.091</v>
          </cell>
          <cell r="F4347">
            <v>5</v>
          </cell>
        </row>
        <row r="4348">
          <cell r="A4348">
            <v>2018</v>
          </cell>
          <cell r="B4348" t="str">
            <v>Actual</v>
          </cell>
          <cell r="C4348" t="str">
            <v>May</v>
          </cell>
          <cell r="D4348" t="str">
            <v>Tables</v>
          </cell>
          <cell r="E4348">
            <v>214425.533</v>
          </cell>
          <cell r="F4348">
            <v>5</v>
          </cell>
        </row>
        <row r="4349">
          <cell r="A4349">
            <v>2019</v>
          </cell>
          <cell r="B4349" t="str">
            <v>Budget</v>
          </cell>
          <cell r="C4349" t="str">
            <v>May</v>
          </cell>
          <cell r="D4349" t="str">
            <v>Kitchen</v>
          </cell>
          <cell r="E4349">
            <v>446046.92300000001</v>
          </cell>
          <cell r="F4349">
            <v>5</v>
          </cell>
        </row>
        <row r="4350">
          <cell r="A4350">
            <v>2019</v>
          </cell>
          <cell r="B4350" t="str">
            <v>Actual</v>
          </cell>
          <cell r="C4350" t="str">
            <v>May</v>
          </cell>
          <cell r="D4350" t="str">
            <v>Accessories</v>
          </cell>
          <cell r="E4350">
            <v>617419.33399999992</v>
          </cell>
          <cell r="F4350">
            <v>5</v>
          </cell>
        </row>
        <row r="4351">
          <cell r="A4351">
            <v>2018</v>
          </cell>
          <cell r="B4351" t="str">
            <v>Budget</v>
          </cell>
          <cell r="C4351" t="str">
            <v>May</v>
          </cell>
          <cell r="D4351" t="str">
            <v>Chairs</v>
          </cell>
          <cell r="E4351">
            <v>152093.93499999997</v>
          </cell>
          <cell r="F4351">
            <v>5</v>
          </cell>
        </row>
        <row r="4352">
          <cell r="A4352">
            <v>2018</v>
          </cell>
          <cell r="B4352" t="str">
            <v>Actual</v>
          </cell>
          <cell r="C4352" t="str">
            <v>May</v>
          </cell>
          <cell r="D4352" t="str">
            <v>Tables</v>
          </cell>
          <cell r="E4352">
            <v>77373.73</v>
          </cell>
          <cell r="F4352">
            <v>5</v>
          </cell>
        </row>
        <row r="4353">
          <cell r="A4353">
            <v>2018</v>
          </cell>
          <cell r="B4353" t="str">
            <v>Budget</v>
          </cell>
          <cell r="C4353" t="str">
            <v>May</v>
          </cell>
          <cell r="D4353" t="str">
            <v>Kitchen</v>
          </cell>
          <cell r="E4353">
            <v>3990395.8360000001</v>
          </cell>
          <cell r="F4353">
            <v>5</v>
          </cell>
        </row>
        <row r="4354">
          <cell r="A4354">
            <v>2018</v>
          </cell>
          <cell r="B4354" t="str">
            <v>Actual</v>
          </cell>
          <cell r="C4354" t="str">
            <v>May</v>
          </cell>
          <cell r="D4354" t="str">
            <v>Accessories</v>
          </cell>
          <cell r="E4354">
            <v>825644.93199999991</v>
          </cell>
          <cell r="F4354">
            <v>5</v>
          </cell>
        </row>
        <row r="4355">
          <cell r="A4355">
            <v>2018</v>
          </cell>
          <cell r="B4355" t="str">
            <v>Budget</v>
          </cell>
          <cell r="C4355" t="str">
            <v>May</v>
          </cell>
          <cell r="D4355" t="str">
            <v>Chairs</v>
          </cell>
          <cell r="E4355">
            <v>1203951.959</v>
          </cell>
          <cell r="F4355">
            <v>5</v>
          </cell>
        </row>
        <row r="4356">
          <cell r="A4356">
            <v>2018</v>
          </cell>
          <cell r="B4356" t="str">
            <v>Actual</v>
          </cell>
          <cell r="C4356" t="str">
            <v>May</v>
          </cell>
          <cell r="D4356" t="str">
            <v>Tables</v>
          </cell>
          <cell r="E4356">
            <v>265935.565</v>
          </cell>
          <cell r="F4356">
            <v>5</v>
          </cell>
        </row>
        <row r="4357">
          <cell r="A4357">
            <v>2019</v>
          </cell>
          <cell r="B4357" t="str">
            <v>Budget</v>
          </cell>
          <cell r="C4357" t="str">
            <v>May</v>
          </cell>
          <cell r="D4357" t="str">
            <v>Kitchen</v>
          </cell>
          <cell r="E4357">
            <v>1743924.595</v>
          </cell>
          <cell r="F4357">
            <v>5</v>
          </cell>
        </row>
        <row r="4358">
          <cell r="A4358">
            <v>2018</v>
          </cell>
          <cell r="B4358" t="str">
            <v>Actual</v>
          </cell>
          <cell r="C4358" t="str">
            <v>May</v>
          </cell>
          <cell r="D4358" t="str">
            <v>Accessories</v>
          </cell>
          <cell r="E4358">
            <v>310699.83</v>
          </cell>
          <cell r="F4358">
            <v>5</v>
          </cell>
        </row>
        <row r="4359">
          <cell r="A4359">
            <v>2019</v>
          </cell>
          <cell r="B4359" t="str">
            <v>Budget</v>
          </cell>
          <cell r="C4359" t="str">
            <v>May</v>
          </cell>
          <cell r="D4359" t="str">
            <v>Chairs</v>
          </cell>
          <cell r="E4359">
            <v>77143.940999999992</v>
          </cell>
          <cell r="F4359">
            <v>5</v>
          </cell>
        </row>
        <row r="4360">
          <cell r="A4360">
            <v>2019</v>
          </cell>
          <cell r="B4360" t="str">
            <v>Actual</v>
          </cell>
          <cell r="C4360" t="str">
            <v>May</v>
          </cell>
          <cell r="D4360" t="str">
            <v>Chairs</v>
          </cell>
          <cell r="E4360">
            <v>206060.77100000001</v>
          </cell>
          <cell r="F4360">
            <v>5</v>
          </cell>
        </row>
        <row r="4361">
          <cell r="A4361">
            <v>2019</v>
          </cell>
          <cell r="B4361" t="str">
            <v>Budget</v>
          </cell>
          <cell r="C4361" t="str">
            <v>May</v>
          </cell>
          <cell r="D4361" t="str">
            <v>Tables</v>
          </cell>
          <cell r="E4361">
            <v>152897.003</v>
          </cell>
          <cell r="F4361">
            <v>5</v>
          </cell>
        </row>
        <row r="4362">
          <cell r="A4362">
            <v>2018</v>
          </cell>
          <cell r="B4362" t="str">
            <v>Actual</v>
          </cell>
          <cell r="C4362" t="str">
            <v>May</v>
          </cell>
          <cell r="D4362" t="str">
            <v>Kitchen</v>
          </cell>
          <cell r="E4362">
            <v>1221871.4759999998</v>
          </cell>
          <cell r="F4362">
            <v>5</v>
          </cell>
        </row>
        <row r="4363">
          <cell r="A4363">
            <v>2019</v>
          </cell>
          <cell r="B4363" t="str">
            <v>Budget</v>
          </cell>
          <cell r="C4363" t="str">
            <v>May</v>
          </cell>
          <cell r="D4363" t="str">
            <v>Chairs</v>
          </cell>
          <cell r="E4363">
            <v>1233321.824</v>
          </cell>
          <cell r="F4363">
            <v>5</v>
          </cell>
        </row>
        <row r="4364">
          <cell r="A4364">
            <v>2018</v>
          </cell>
          <cell r="B4364" t="str">
            <v>Actual</v>
          </cell>
          <cell r="C4364" t="str">
            <v>May</v>
          </cell>
          <cell r="D4364" t="str">
            <v>Tables</v>
          </cell>
          <cell r="E4364">
            <v>7219.3449999999993</v>
          </cell>
          <cell r="F4364">
            <v>5</v>
          </cell>
        </row>
        <row r="4365">
          <cell r="A4365">
            <v>2018</v>
          </cell>
          <cell r="B4365" t="str">
            <v>Budget</v>
          </cell>
          <cell r="C4365" t="str">
            <v>May</v>
          </cell>
          <cell r="D4365" t="str">
            <v>Kitchen</v>
          </cell>
          <cell r="E4365">
            <v>23652.768999999997</v>
          </cell>
          <cell r="F4365">
            <v>5</v>
          </cell>
        </row>
        <row r="4366">
          <cell r="A4366">
            <v>2019</v>
          </cell>
          <cell r="B4366" t="str">
            <v>Actual</v>
          </cell>
          <cell r="C4366" t="str">
            <v>May</v>
          </cell>
          <cell r="D4366" t="str">
            <v>Chairs</v>
          </cell>
          <cell r="E4366">
            <v>9602.0469999999987</v>
          </cell>
          <cell r="F4366">
            <v>5</v>
          </cell>
        </row>
        <row r="4367">
          <cell r="A4367">
            <v>2019</v>
          </cell>
          <cell r="B4367" t="str">
            <v>Budget</v>
          </cell>
          <cell r="C4367" t="str">
            <v>May</v>
          </cell>
          <cell r="D4367" t="str">
            <v>Tables</v>
          </cell>
          <cell r="E4367">
            <v>69940.170999999988</v>
          </cell>
          <cell r="F4367">
            <v>5</v>
          </cell>
        </row>
        <row r="4368">
          <cell r="A4368">
            <v>2019</v>
          </cell>
          <cell r="B4368" t="str">
            <v>Actual</v>
          </cell>
          <cell r="C4368" t="str">
            <v>May</v>
          </cell>
          <cell r="D4368" t="str">
            <v>Kitchen</v>
          </cell>
          <cell r="E4368">
            <v>212451.35799999998</v>
          </cell>
          <cell r="F4368">
            <v>5</v>
          </cell>
        </row>
        <row r="4369">
          <cell r="A4369">
            <v>2019</v>
          </cell>
          <cell r="B4369" t="str">
            <v>Budget</v>
          </cell>
          <cell r="C4369" t="str">
            <v>May</v>
          </cell>
          <cell r="D4369" t="str">
            <v>Chairs</v>
          </cell>
          <cell r="E4369">
            <v>850178.26599999983</v>
          </cell>
          <cell r="F4369">
            <v>5</v>
          </cell>
        </row>
        <row r="4370">
          <cell r="A4370">
            <v>2018</v>
          </cell>
          <cell r="B4370" t="str">
            <v>Actual</v>
          </cell>
          <cell r="C4370" t="str">
            <v>May</v>
          </cell>
          <cell r="D4370" t="str">
            <v>Chairs</v>
          </cell>
          <cell r="E4370">
            <v>849129.43499999994</v>
          </cell>
          <cell r="F4370">
            <v>5</v>
          </cell>
        </row>
        <row r="4371">
          <cell r="A4371">
            <v>2019</v>
          </cell>
          <cell r="B4371" t="str">
            <v>Budget</v>
          </cell>
          <cell r="C4371" t="str">
            <v>May</v>
          </cell>
          <cell r="D4371" t="str">
            <v>Chairs</v>
          </cell>
          <cell r="E4371">
            <v>908.9849999999999</v>
          </cell>
          <cell r="F4371">
            <v>5</v>
          </cell>
        </row>
        <row r="4372">
          <cell r="A4372">
            <v>2018</v>
          </cell>
          <cell r="B4372" t="str">
            <v>Actual</v>
          </cell>
          <cell r="C4372" t="str">
            <v>May</v>
          </cell>
          <cell r="D4372" t="str">
            <v>Chairs</v>
          </cell>
          <cell r="E4372">
            <v>42604.967999999993</v>
          </cell>
          <cell r="F4372">
            <v>5</v>
          </cell>
        </row>
        <row r="4373">
          <cell r="A4373">
            <v>2019</v>
          </cell>
          <cell r="B4373" t="str">
            <v>Budget</v>
          </cell>
          <cell r="C4373" t="str">
            <v>May</v>
          </cell>
          <cell r="D4373" t="str">
            <v>Chairs</v>
          </cell>
          <cell r="E4373">
            <v>689893.62399999995</v>
          </cell>
          <cell r="F4373">
            <v>5</v>
          </cell>
        </row>
        <row r="4374">
          <cell r="A4374">
            <v>2018</v>
          </cell>
          <cell r="B4374" t="str">
            <v>Actual</v>
          </cell>
          <cell r="C4374" t="str">
            <v>May</v>
          </cell>
          <cell r="D4374" t="str">
            <v>Chairs</v>
          </cell>
          <cell r="E4374">
            <v>84936.193999999989</v>
          </cell>
          <cell r="F4374">
            <v>5</v>
          </cell>
        </row>
        <row r="4375">
          <cell r="A4375">
            <v>2018</v>
          </cell>
          <cell r="B4375" t="str">
            <v>Budget</v>
          </cell>
          <cell r="C4375" t="str">
            <v>May</v>
          </cell>
          <cell r="D4375" t="str">
            <v>Chairs</v>
          </cell>
          <cell r="E4375">
            <v>-76184.653999999995</v>
          </cell>
          <cell r="F4375">
            <v>5</v>
          </cell>
        </row>
        <row r="4376">
          <cell r="A4376">
            <v>2019</v>
          </cell>
          <cell r="B4376" t="str">
            <v>Actual</v>
          </cell>
          <cell r="C4376" t="str">
            <v>May</v>
          </cell>
          <cell r="D4376" t="str">
            <v>Chairs</v>
          </cell>
          <cell r="E4376">
            <v>22274.923999999999</v>
          </cell>
          <cell r="F4376">
            <v>5</v>
          </cell>
        </row>
        <row r="4377">
          <cell r="A4377">
            <v>2018</v>
          </cell>
          <cell r="B4377" t="str">
            <v>Budget</v>
          </cell>
          <cell r="C4377" t="str">
            <v>May</v>
          </cell>
          <cell r="D4377" t="str">
            <v>Chairs</v>
          </cell>
          <cell r="E4377">
            <v>254925.54499999995</v>
          </cell>
          <cell r="F4377">
            <v>5</v>
          </cell>
        </row>
        <row r="4378">
          <cell r="A4378">
            <v>2018</v>
          </cell>
          <cell r="B4378" t="str">
            <v>Actual</v>
          </cell>
          <cell r="C4378" t="str">
            <v>May</v>
          </cell>
          <cell r="D4378" t="str">
            <v>Chairs</v>
          </cell>
          <cell r="E4378">
            <v>78963.962</v>
          </cell>
          <cell r="F4378">
            <v>5</v>
          </cell>
        </row>
        <row r="4379">
          <cell r="A4379">
            <v>2018</v>
          </cell>
          <cell r="B4379" t="str">
            <v>Budget</v>
          </cell>
          <cell r="C4379" t="str">
            <v>May</v>
          </cell>
          <cell r="D4379" t="str">
            <v>Chairs</v>
          </cell>
          <cell r="E4379">
            <v>108232.37599999999</v>
          </cell>
          <cell r="F4379">
            <v>5</v>
          </cell>
        </row>
        <row r="4380">
          <cell r="A4380">
            <v>2019</v>
          </cell>
          <cell r="B4380" t="str">
            <v>Actual</v>
          </cell>
          <cell r="C4380" t="str">
            <v>May</v>
          </cell>
          <cell r="D4380" t="str">
            <v>Chairs</v>
          </cell>
          <cell r="E4380">
            <v>278126.12799999997</v>
          </cell>
          <cell r="F4380">
            <v>5</v>
          </cell>
        </row>
        <row r="4381">
          <cell r="A4381">
            <v>2019</v>
          </cell>
          <cell r="B4381" t="str">
            <v>Budget</v>
          </cell>
          <cell r="C4381" t="str">
            <v>May</v>
          </cell>
          <cell r="D4381" t="str">
            <v>Chairs</v>
          </cell>
          <cell r="E4381">
            <v>106612.954</v>
          </cell>
          <cell r="F4381">
            <v>5</v>
          </cell>
        </row>
        <row r="4382">
          <cell r="A4382">
            <v>2018</v>
          </cell>
          <cell r="B4382" t="str">
            <v>Actual</v>
          </cell>
          <cell r="C4382" t="str">
            <v>May</v>
          </cell>
          <cell r="D4382" t="str">
            <v>Chairs</v>
          </cell>
          <cell r="E4382">
            <v>97330.120999999999</v>
          </cell>
          <cell r="F4382">
            <v>5</v>
          </cell>
        </row>
        <row r="4383">
          <cell r="A4383">
            <v>2018</v>
          </cell>
          <cell r="B4383" t="str">
            <v>Budget</v>
          </cell>
          <cell r="C4383" t="str">
            <v>May</v>
          </cell>
          <cell r="D4383" t="str">
            <v>Chairs</v>
          </cell>
          <cell r="E4383">
            <v>52459.420999999995</v>
          </cell>
          <cell r="F4383">
            <v>5</v>
          </cell>
        </row>
        <row r="4384">
          <cell r="A4384">
            <v>2019</v>
          </cell>
          <cell r="B4384" t="str">
            <v>Actual</v>
          </cell>
          <cell r="C4384" t="str">
            <v>May</v>
          </cell>
          <cell r="D4384" t="str">
            <v>Chairs</v>
          </cell>
          <cell r="E4384">
            <v>47324.171999999999</v>
          </cell>
          <cell r="F4384">
            <v>5</v>
          </cell>
        </row>
        <row r="4385">
          <cell r="A4385">
            <v>2018</v>
          </cell>
          <cell r="B4385" t="str">
            <v>Budget</v>
          </cell>
          <cell r="C4385" t="str">
            <v>May</v>
          </cell>
          <cell r="D4385" t="str">
            <v>Chairs</v>
          </cell>
          <cell r="E4385">
            <v>25224.065999999995</v>
          </cell>
          <cell r="F4385">
            <v>5</v>
          </cell>
        </row>
        <row r="4386">
          <cell r="A4386">
            <v>2019</v>
          </cell>
          <cell r="B4386" t="str">
            <v>Actual</v>
          </cell>
          <cell r="C4386" t="str">
            <v>May</v>
          </cell>
          <cell r="D4386" t="str">
            <v>Chairs</v>
          </cell>
          <cell r="E4386">
            <v>127385.05499999999</v>
          </cell>
          <cell r="F4386">
            <v>5</v>
          </cell>
        </row>
        <row r="4387">
          <cell r="A4387">
            <v>2018</v>
          </cell>
          <cell r="B4387" t="str">
            <v>Budget</v>
          </cell>
          <cell r="C4387" t="str">
            <v>May</v>
          </cell>
          <cell r="D4387" t="str">
            <v>Chairs</v>
          </cell>
          <cell r="E4387">
            <v>121254.77699999999</v>
          </cell>
          <cell r="F4387">
            <v>5</v>
          </cell>
        </row>
        <row r="4388">
          <cell r="A4388">
            <v>2018</v>
          </cell>
          <cell r="B4388" t="str">
            <v>Actual</v>
          </cell>
          <cell r="C4388" t="str">
            <v>May</v>
          </cell>
          <cell r="D4388" t="str">
            <v>Chairs</v>
          </cell>
          <cell r="E4388">
            <v>142242.41500000001</v>
          </cell>
          <cell r="F4388">
            <v>5</v>
          </cell>
        </row>
        <row r="4389">
          <cell r="A4389">
            <v>2019</v>
          </cell>
          <cell r="B4389" t="str">
            <v>Budget</v>
          </cell>
          <cell r="C4389" t="str">
            <v>May</v>
          </cell>
          <cell r="D4389" t="str">
            <v>Chairs</v>
          </cell>
          <cell r="E4389">
            <v>71292.416999999987</v>
          </cell>
          <cell r="F4389">
            <v>5</v>
          </cell>
        </row>
        <row r="4390">
          <cell r="A4390">
            <v>2019</v>
          </cell>
          <cell r="B4390" t="str">
            <v>Actual</v>
          </cell>
          <cell r="C4390" t="str">
            <v>May</v>
          </cell>
          <cell r="D4390" t="str">
            <v>Chairs</v>
          </cell>
          <cell r="E4390">
            <v>499372.48199999996</v>
          </cell>
          <cell r="F4390">
            <v>5</v>
          </cell>
        </row>
        <row r="4391">
          <cell r="A4391">
            <v>2018</v>
          </cell>
          <cell r="B4391" t="str">
            <v>Budget</v>
          </cell>
          <cell r="C4391" t="str">
            <v>May</v>
          </cell>
          <cell r="D4391" t="str">
            <v>Chairs</v>
          </cell>
          <cell r="E4391">
            <v>6770.4840000000004</v>
          </cell>
          <cell r="F4391">
            <v>5</v>
          </cell>
        </row>
        <row r="4392">
          <cell r="A4392">
            <v>2019</v>
          </cell>
          <cell r="B4392" t="str">
            <v>Actual</v>
          </cell>
          <cell r="C4392" t="str">
            <v>May</v>
          </cell>
          <cell r="D4392" t="str">
            <v>Chairs</v>
          </cell>
          <cell r="E4392">
            <v>24535.335999999999</v>
          </cell>
          <cell r="F4392">
            <v>5</v>
          </cell>
        </row>
        <row r="4393">
          <cell r="A4393">
            <v>2018</v>
          </cell>
          <cell r="B4393" t="str">
            <v>Budget</v>
          </cell>
          <cell r="C4393" t="str">
            <v>May</v>
          </cell>
          <cell r="D4393" t="str">
            <v>Chairs</v>
          </cell>
          <cell r="E4393">
            <v>7278.2569999999996</v>
          </cell>
          <cell r="F4393">
            <v>5</v>
          </cell>
        </row>
        <row r="4394">
          <cell r="A4394">
            <v>2018</v>
          </cell>
          <cell r="B4394" t="str">
            <v>Actual</v>
          </cell>
          <cell r="C4394" t="str">
            <v>May</v>
          </cell>
          <cell r="D4394" t="str">
            <v>Chairs</v>
          </cell>
          <cell r="E4394">
            <v>113532.50999999998</v>
          </cell>
          <cell r="F4394">
            <v>5</v>
          </cell>
        </row>
        <row r="4395">
          <cell r="A4395">
            <v>2018</v>
          </cell>
          <cell r="B4395" t="str">
            <v>Budget</v>
          </cell>
          <cell r="C4395" t="str">
            <v>May</v>
          </cell>
          <cell r="D4395" t="str">
            <v>Tables</v>
          </cell>
          <cell r="E4395">
            <v>100668.40700000001</v>
          </cell>
          <cell r="F4395">
            <v>5</v>
          </cell>
        </row>
        <row r="4396">
          <cell r="A4396">
            <v>2018</v>
          </cell>
          <cell r="B4396" t="str">
            <v>Actual</v>
          </cell>
          <cell r="C4396" t="str">
            <v>May</v>
          </cell>
          <cell r="D4396" t="str">
            <v>Kitchen</v>
          </cell>
          <cell r="E4396">
            <v>79548.020999999993</v>
          </cell>
          <cell r="F4396">
            <v>5</v>
          </cell>
        </row>
        <row r="4397">
          <cell r="A4397">
            <v>2018</v>
          </cell>
          <cell r="B4397" t="str">
            <v>Budget</v>
          </cell>
          <cell r="C4397" t="str">
            <v>May</v>
          </cell>
          <cell r="D4397" t="str">
            <v>Chairs</v>
          </cell>
          <cell r="E4397">
            <v>97187.362999999998</v>
          </cell>
          <cell r="F4397">
            <v>5</v>
          </cell>
        </row>
        <row r="4398">
          <cell r="A4398">
            <v>2018</v>
          </cell>
          <cell r="B4398" t="str">
            <v>Actual</v>
          </cell>
          <cell r="C4398" t="str">
            <v>May</v>
          </cell>
          <cell r="D4398" t="str">
            <v>Chairs</v>
          </cell>
          <cell r="E4398">
            <v>219997.91799999998</v>
          </cell>
          <cell r="F4398">
            <v>5</v>
          </cell>
        </row>
        <row r="4399">
          <cell r="A4399">
            <v>2018</v>
          </cell>
          <cell r="B4399" t="str">
            <v>Budget</v>
          </cell>
          <cell r="C4399" t="str">
            <v>May</v>
          </cell>
          <cell r="D4399" t="str">
            <v>Chairs</v>
          </cell>
          <cell r="E4399">
            <v>215802.19499999998</v>
          </cell>
          <cell r="F4399">
            <v>5</v>
          </cell>
        </row>
        <row r="4400">
          <cell r="A4400">
            <v>2018</v>
          </cell>
          <cell r="B4400" t="str">
            <v>Actual</v>
          </cell>
          <cell r="C4400" t="str">
            <v>May</v>
          </cell>
          <cell r="D4400" t="str">
            <v>Chairs</v>
          </cell>
          <cell r="E4400">
            <v>749264.47400000005</v>
          </cell>
          <cell r="F4400">
            <v>5</v>
          </cell>
        </row>
        <row r="4401">
          <cell r="A4401">
            <v>2018</v>
          </cell>
          <cell r="B4401" t="str">
            <v>Budget</v>
          </cell>
          <cell r="C4401" t="str">
            <v>May</v>
          </cell>
          <cell r="D4401" t="str">
            <v>Chairs</v>
          </cell>
          <cell r="E4401">
            <v>116834.361</v>
          </cell>
          <cell r="F4401">
            <v>5</v>
          </cell>
        </row>
        <row r="4402">
          <cell r="A4402">
            <v>2018</v>
          </cell>
          <cell r="B4402" t="str">
            <v>Actual</v>
          </cell>
          <cell r="C4402" t="str">
            <v>May</v>
          </cell>
          <cell r="D4402" t="str">
            <v>Tables</v>
          </cell>
          <cell r="E4402">
            <v>42829.226999999999</v>
          </cell>
          <cell r="F4402">
            <v>5</v>
          </cell>
        </row>
        <row r="4403">
          <cell r="A4403">
            <v>2018</v>
          </cell>
          <cell r="B4403" t="str">
            <v>Budget</v>
          </cell>
          <cell r="C4403" t="str">
            <v>May</v>
          </cell>
          <cell r="D4403" t="str">
            <v>Kitchen</v>
          </cell>
          <cell r="E4403">
            <v>304066.27299999999</v>
          </cell>
          <cell r="F4403">
            <v>5</v>
          </cell>
        </row>
        <row r="4404">
          <cell r="A4404">
            <v>2018</v>
          </cell>
          <cell r="B4404" t="str">
            <v>Actual</v>
          </cell>
          <cell r="C4404" t="str">
            <v>May</v>
          </cell>
          <cell r="D4404" t="str">
            <v>Chairs</v>
          </cell>
          <cell r="E4404">
            <v>368859.26</v>
          </cell>
          <cell r="F4404">
            <v>5</v>
          </cell>
        </row>
        <row r="4405">
          <cell r="A4405">
            <v>2019</v>
          </cell>
          <cell r="B4405" t="str">
            <v>Budget</v>
          </cell>
          <cell r="C4405" t="str">
            <v>May</v>
          </cell>
          <cell r="D4405" t="str">
            <v>Chairs</v>
          </cell>
          <cell r="E4405">
            <v>1666847.9099999997</v>
          </cell>
          <cell r="F4405">
            <v>5</v>
          </cell>
        </row>
        <row r="4406">
          <cell r="A4406">
            <v>2019</v>
          </cell>
          <cell r="B4406" t="str">
            <v>Actual</v>
          </cell>
          <cell r="C4406" t="str">
            <v>May</v>
          </cell>
          <cell r="D4406" t="str">
            <v>Chairs</v>
          </cell>
          <cell r="E4406">
            <v>23527.496999999999</v>
          </cell>
          <cell r="F4406">
            <v>5</v>
          </cell>
        </row>
        <row r="4407">
          <cell r="A4407">
            <v>2018</v>
          </cell>
          <cell r="B4407" t="str">
            <v>Budget</v>
          </cell>
          <cell r="C4407" t="str">
            <v>May</v>
          </cell>
          <cell r="D4407" t="str">
            <v>Tables</v>
          </cell>
          <cell r="E4407">
            <v>28621.851999999999</v>
          </cell>
          <cell r="F4407">
            <v>5</v>
          </cell>
        </row>
        <row r="4408">
          <cell r="A4408">
            <v>2019</v>
          </cell>
          <cell r="B4408" t="str">
            <v>Actual</v>
          </cell>
          <cell r="C4408" t="str">
            <v>May</v>
          </cell>
          <cell r="D4408" t="str">
            <v>Kitchen</v>
          </cell>
          <cell r="E4408">
            <v>264756.24</v>
          </cell>
          <cell r="F4408">
            <v>5</v>
          </cell>
        </row>
        <row r="4409">
          <cell r="A4409">
            <v>2019</v>
          </cell>
          <cell r="B4409" t="str">
            <v>Budget</v>
          </cell>
          <cell r="C4409" t="str">
            <v>May</v>
          </cell>
          <cell r="D4409" t="str">
            <v>Chairs</v>
          </cell>
          <cell r="E4409">
            <v>1480093.8459999997</v>
          </cell>
          <cell r="F4409">
            <v>5</v>
          </cell>
        </row>
        <row r="4410">
          <cell r="A4410">
            <v>2018</v>
          </cell>
          <cell r="B4410" t="str">
            <v>Actual</v>
          </cell>
          <cell r="C4410" t="str">
            <v>May</v>
          </cell>
          <cell r="D4410" t="str">
            <v>Chairs</v>
          </cell>
          <cell r="E4410">
            <v>989486.26699999999</v>
          </cell>
          <cell r="F4410">
            <v>5</v>
          </cell>
        </row>
        <row r="4411">
          <cell r="A4411">
            <v>2019</v>
          </cell>
          <cell r="B4411" t="str">
            <v>Budget</v>
          </cell>
          <cell r="C4411" t="str">
            <v>May</v>
          </cell>
          <cell r="D4411" t="str">
            <v>Tables</v>
          </cell>
          <cell r="E4411">
            <v>380140.19400000002</v>
          </cell>
          <cell r="F4411">
            <v>5</v>
          </cell>
        </row>
        <row r="4412">
          <cell r="A4412">
            <v>2018</v>
          </cell>
          <cell r="B4412" t="str">
            <v>Actual</v>
          </cell>
          <cell r="C4412" t="str">
            <v>May</v>
          </cell>
          <cell r="D4412" t="str">
            <v>Kitchen</v>
          </cell>
          <cell r="E4412">
            <v>110764.88499999998</v>
          </cell>
          <cell r="F4412">
            <v>5</v>
          </cell>
        </row>
        <row r="4413">
          <cell r="A4413">
            <v>2019</v>
          </cell>
          <cell r="B4413" t="str">
            <v>Budget</v>
          </cell>
          <cell r="C4413" t="str">
            <v>May</v>
          </cell>
          <cell r="D4413" t="str">
            <v>Chairs</v>
          </cell>
          <cell r="E4413">
            <v>5362.1469999999999</v>
          </cell>
          <cell r="F4413">
            <v>5</v>
          </cell>
        </row>
        <row r="4414">
          <cell r="A4414">
            <v>2019</v>
          </cell>
          <cell r="B4414" t="str">
            <v>Actual</v>
          </cell>
          <cell r="C4414" t="str">
            <v>May</v>
          </cell>
          <cell r="D4414" t="str">
            <v>Chairs</v>
          </cell>
          <cell r="E4414">
            <v>18346.041000000001</v>
          </cell>
          <cell r="F4414">
            <v>5</v>
          </cell>
        </row>
        <row r="4415">
          <cell r="A4415">
            <v>2018</v>
          </cell>
          <cell r="B4415" t="str">
            <v>Budget</v>
          </cell>
          <cell r="C4415" t="str">
            <v>May</v>
          </cell>
          <cell r="D4415" t="str">
            <v>Chairs</v>
          </cell>
          <cell r="E4415">
            <v>30328.703999999998</v>
          </cell>
          <cell r="F4415">
            <v>5</v>
          </cell>
        </row>
        <row r="4416">
          <cell r="A4416">
            <v>2019</v>
          </cell>
          <cell r="B4416" t="str">
            <v>Actual</v>
          </cell>
          <cell r="C4416" t="str">
            <v>May</v>
          </cell>
          <cell r="D4416" t="str">
            <v>Tables</v>
          </cell>
          <cell r="E4416">
            <v>3012.5409999999997</v>
          </cell>
          <cell r="F4416">
            <v>5</v>
          </cell>
        </row>
        <row r="4417">
          <cell r="A4417">
            <v>2019</v>
          </cell>
          <cell r="B4417" t="str">
            <v>Budget</v>
          </cell>
          <cell r="C4417" t="str">
            <v>May</v>
          </cell>
          <cell r="D4417" t="str">
            <v>Kitchen</v>
          </cell>
          <cell r="E4417">
            <v>104587.45499999999</v>
          </cell>
          <cell r="F4417">
            <v>5</v>
          </cell>
        </row>
        <row r="4418">
          <cell r="A4418">
            <v>2018</v>
          </cell>
          <cell r="B4418" t="str">
            <v>Actual</v>
          </cell>
          <cell r="C4418" t="str">
            <v>May</v>
          </cell>
          <cell r="D4418" t="str">
            <v>Accessories</v>
          </cell>
          <cell r="E4418">
            <v>70351.035999999993</v>
          </cell>
          <cell r="F4418">
            <v>5</v>
          </cell>
        </row>
        <row r="4419">
          <cell r="A4419">
            <v>2018</v>
          </cell>
          <cell r="B4419" t="str">
            <v>Budget</v>
          </cell>
          <cell r="C4419" t="str">
            <v>May</v>
          </cell>
          <cell r="D4419" t="str">
            <v>Chairs</v>
          </cell>
          <cell r="E4419">
            <v>505568.27299999999</v>
          </cell>
          <cell r="F4419">
            <v>5</v>
          </cell>
        </row>
        <row r="4420">
          <cell r="A4420">
            <v>2018</v>
          </cell>
          <cell r="B4420" t="str">
            <v>Actual</v>
          </cell>
          <cell r="C4420" t="str">
            <v>May</v>
          </cell>
          <cell r="D4420" t="str">
            <v>Tables</v>
          </cell>
          <cell r="E4420">
            <v>20547.148999999998</v>
          </cell>
          <cell r="F4420">
            <v>5</v>
          </cell>
        </row>
        <row r="4421">
          <cell r="A4421">
            <v>2019</v>
          </cell>
          <cell r="B4421" t="str">
            <v>Budget</v>
          </cell>
          <cell r="C4421" t="str">
            <v>May</v>
          </cell>
          <cell r="D4421" t="str">
            <v>Kitchen</v>
          </cell>
          <cell r="E4421">
            <v>255362.36599999998</v>
          </cell>
          <cell r="F4421">
            <v>5</v>
          </cell>
        </row>
        <row r="4422">
          <cell r="A4422">
            <v>2018</v>
          </cell>
          <cell r="B4422" t="str">
            <v>Actual</v>
          </cell>
          <cell r="C4422" t="str">
            <v>May</v>
          </cell>
          <cell r="D4422" t="str">
            <v>Accessories</v>
          </cell>
          <cell r="E4422">
            <v>1001890.1829999998</v>
          </cell>
          <cell r="F4422">
            <v>5</v>
          </cell>
        </row>
        <row r="4423">
          <cell r="A4423">
            <v>2019</v>
          </cell>
          <cell r="B4423" t="str">
            <v>Budget</v>
          </cell>
          <cell r="C4423" t="str">
            <v>May</v>
          </cell>
          <cell r="D4423" t="str">
            <v>Chairs</v>
          </cell>
          <cell r="E4423">
            <v>49555.849000000002</v>
          </cell>
          <cell r="F4423">
            <v>5</v>
          </cell>
        </row>
        <row r="4424">
          <cell r="A4424">
            <v>2019</v>
          </cell>
          <cell r="B4424" t="str">
            <v>Actual</v>
          </cell>
          <cell r="C4424" t="str">
            <v>May</v>
          </cell>
          <cell r="D4424" t="str">
            <v>Tables</v>
          </cell>
          <cell r="E4424">
            <v>488843.03999999992</v>
          </cell>
          <cell r="F4424">
            <v>5</v>
          </cell>
        </row>
        <row r="4425">
          <cell r="A4425">
            <v>2018</v>
          </cell>
          <cell r="B4425" t="str">
            <v>Budget</v>
          </cell>
          <cell r="C4425" t="str">
            <v>May</v>
          </cell>
          <cell r="D4425" t="str">
            <v>Kitchen</v>
          </cell>
          <cell r="E4425">
            <v>562197.59400000004</v>
          </cell>
          <cell r="F4425">
            <v>5</v>
          </cell>
        </row>
        <row r="4426">
          <cell r="A4426">
            <v>2018</v>
          </cell>
          <cell r="B4426" t="str">
            <v>Actual</v>
          </cell>
          <cell r="C4426" t="str">
            <v>May</v>
          </cell>
          <cell r="D4426" t="str">
            <v>Accessories</v>
          </cell>
          <cell r="E4426">
            <v>18449.353999999999</v>
          </cell>
          <cell r="F4426">
            <v>5</v>
          </cell>
        </row>
        <row r="4427">
          <cell r="A4427">
            <v>2018</v>
          </cell>
          <cell r="B4427" t="str">
            <v>Budget</v>
          </cell>
          <cell r="C4427" t="str">
            <v>May</v>
          </cell>
          <cell r="D4427" t="str">
            <v>Chairs</v>
          </cell>
          <cell r="E4427">
            <v>14890.595999999998</v>
          </cell>
          <cell r="F4427">
            <v>5</v>
          </cell>
        </row>
        <row r="4428">
          <cell r="A4428">
            <v>2018</v>
          </cell>
          <cell r="B4428" t="str">
            <v>Actual</v>
          </cell>
          <cell r="C4428" t="str">
            <v>May</v>
          </cell>
          <cell r="D4428" t="str">
            <v>Tables</v>
          </cell>
          <cell r="E4428">
            <v>190459.05199999997</v>
          </cell>
          <cell r="F4428">
            <v>5</v>
          </cell>
        </row>
        <row r="4429">
          <cell r="A4429">
            <v>2019</v>
          </cell>
          <cell r="B4429" t="str">
            <v>Budget</v>
          </cell>
          <cell r="C4429" t="str">
            <v>May</v>
          </cell>
          <cell r="D4429" t="str">
            <v>Kitchen</v>
          </cell>
          <cell r="E4429">
            <v>18730.306</v>
          </cell>
          <cell r="F4429">
            <v>5</v>
          </cell>
        </row>
        <row r="4430">
          <cell r="A4430">
            <v>2018</v>
          </cell>
          <cell r="B4430" t="str">
            <v>Actual</v>
          </cell>
          <cell r="C4430" t="str">
            <v>May</v>
          </cell>
          <cell r="D4430" t="str">
            <v>Accessories</v>
          </cell>
          <cell r="E4430">
            <v>338738.74299999996</v>
          </cell>
          <cell r="F4430">
            <v>5</v>
          </cell>
        </row>
        <row r="4431">
          <cell r="A4431">
            <v>2019</v>
          </cell>
          <cell r="B4431" t="str">
            <v>Budget</v>
          </cell>
          <cell r="C4431" t="str">
            <v>May</v>
          </cell>
          <cell r="D4431" t="str">
            <v>Chairs</v>
          </cell>
          <cell r="E4431">
            <v>18977.636999999999</v>
          </cell>
          <cell r="F4431">
            <v>5</v>
          </cell>
        </row>
        <row r="4432">
          <cell r="A4432">
            <v>2018</v>
          </cell>
          <cell r="B4432" t="str">
            <v>Actual</v>
          </cell>
          <cell r="C4432" t="str">
            <v>May</v>
          </cell>
          <cell r="D4432" t="str">
            <v>Chairs</v>
          </cell>
          <cell r="E4432">
            <v>156481.12899999999</v>
          </cell>
          <cell r="F4432">
            <v>5</v>
          </cell>
        </row>
        <row r="4433">
          <cell r="A4433">
            <v>2018</v>
          </cell>
          <cell r="B4433" t="str">
            <v>Budget</v>
          </cell>
          <cell r="C4433" t="str">
            <v>May</v>
          </cell>
          <cell r="D4433" t="str">
            <v>Tables</v>
          </cell>
          <cell r="E4433">
            <v>22156.952999999998</v>
          </cell>
          <cell r="F4433">
            <v>5</v>
          </cell>
        </row>
        <row r="4434">
          <cell r="A4434">
            <v>2018</v>
          </cell>
          <cell r="B4434" t="str">
            <v>Actual</v>
          </cell>
          <cell r="C4434" t="str">
            <v>May</v>
          </cell>
          <cell r="D4434" t="str">
            <v>Kitchen</v>
          </cell>
          <cell r="E4434">
            <v>3597644.0639999993</v>
          </cell>
          <cell r="F4434">
            <v>5</v>
          </cell>
        </row>
        <row r="4435">
          <cell r="A4435">
            <v>2019</v>
          </cell>
          <cell r="B4435" t="str">
            <v>Budget</v>
          </cell>
          <cell r="C4435" t="str">
            <v>May</v>
          </cell>
          <cell r="D4435" t="str">
            <v>Chairs</v>
          </cell>
          <cell r="E4435">
            <v>18698620.072999999</v>
          </cell>
          <cell r="F4435">
            <v>5</v>
          </cell>
        </row>
        <row r="4436">
          <cell r="A4436">
            <v>2018</v>
          </cell>
          <cell r="B4436" t="str">
            <v>Actual</v>
          </cell>
          <cell r="C4436" t="str">
            <v>May</v>
          </cell>
          <cell r="D4436" t="str">
            <v>Tables</v>
          </cell>
          <cell r="E4436">
            <v>23761.968999999997</v>
          </cell>
          <cell r="F4436">
            <v>5</v>
          </cell>
        </row>
        <row r="4437">
          <cell r="A4437">
            <v>2018</v>
          </cell>
          <cell r="B4437" t="str">
            <v>Budget</v>
          </cell>
          <cell r="C4437" t="str">
            <v>May</v>
          </cell>
          <cell r="D4437" t="str">
            <v>Kitchen</v>
          </cell>
          <cell r="E4437">
            <v>160710.78099999999</v>
          </cell>
          <cell r="F4437">
            <v>5</v>
          </cell>
        </row>
        <row r="4438">
          <cell r="A4438">
            <v>2019</v>
          </cell>
          <cell r="B4438" t="str">
            <v>Actual</v>
          </cell>
          <cell r="C4438" t="str">
            <v>May</v>
          </cell>
          <cell r="D4438" t="str">
            <v>Chairs</v>
          </cell>
          <cell r="E4438">
            <v>112311.395</v>
          </cell>
          <cell r="F4438">
            <v>5</v>
          </cell>
        </row>
        <row r="4439">
          <cell r="A4439">
            <v>2018</v>
          </cell>
          <cell r="B4439" t="str">
            <v>Budget</v>
          </cell>
          <cell r="C4439" t="str">
            <v>May</v>
          </cell>
          <cell r="D4439" t="str">
            <v>Tables</v>
          </cell>
          <cell r="E4439">
            <v>197185.84899999999</v>
          </cell>
          <cell r="F4439">
            <v>5</v>
          </cell>
        </row>
        <row r="4440">
          <cell r="A4440">
            <v>2018</v>
          </cell>
          <cell r="B4440" t="str">
            <v>Actual</v>
          </cell>
          <cell r="C4440" t="str">
            <v>May</v>
          </cell>
          <cell r="D4440" t="str">
            <v>Kitchen</v>
          </cell>
          <cell r="E4440">
            <v>229918.15699999998</v>
          </cell>
          <cell r="F4440">
            <v>5</v>
          </cell>
        </row>
        <row r="4441">
          <cell r="A4441">
            <v>2019</v>
          </cell>
          <cell r="B4441" t="str">
            <v>Budget</v>
          </cell>
          <cell r="C4441" t="str">
            <v>May</v>
          </cell>
          <cell r="D4441" t="str">
            <v>Chairs</v>
          </cell>
          <cell r="E4441">
            <v>112724.42300000001</v>
          </cell>
          <cell r="F4441">
            <v>5</v>
          </cell>
        </row>
        <row r="4442">
          <cell r="A4442">
            <v>2018</v>
          </cell>
          <cell r="B4442" t="str">
            <v>Actual</v>
          </cell>
          <cell r="C4442" t="str">
            <v>May</v>
          </cell>
          <cell r="D4442" t="str">
            <v>Chairs</v>
          </cell>
          <cell r="E4442">
            <v>33609.807000000001</v>
          </cell>
          <cell r="F4442">
            <v>5</v>
          </cell>
        </row>
        <row r="4443">
          <cell r="A4443">
            <v>2019</v>
          </cell>
          <cell r="B4443" t="str">
            <v>Budget</v>
          </cell>
          <cell r="C4443" t="str">
            <v>May</v>
          </cell>
          <cell r="D4443" t="str">
            <v>Chairs</v>
          </cell>
          <cell r="E4443">
            <v>134185.1</v>
          </cell>
          <cell r="F4443">
            <v>5</v>
          </cell>
        </row>
        <row r="4444">
          <cell r="A4444">
            <v>2018</v>
          </cell>
          <cell r="B4444" t="str">
            <v>Actual</v>
          </cell>
          <cell r="C4444" t="str">
            <v>May</v>
          </cell>
          <cell r="D4444" t="str">
            <v>Chairs</v>
          </cell>
          <cell r="E4444">
            <v>343922.25699999998</v>
          </cell>
          <cell r="F4444">
            <v>5</v>
          </cell>
        </row>
        <row r="4445">
          <cell r="A4445">
            <v>2018</v>
          </cell>
          <cell r="B4445" t="str">
            <v>Budget</v>
          </cell>
          <cell r="C4445" t="str">
            <v>May</v>
          </cell>
          <cell r="D4445" t="str">
            <v>Chairs</v>
          </cell>
          <cell r="E4445">
            <v>38875.004000000001</v>
          </cell>
          <cell r="F4445">
            <v>5</v>
          </cell>
        </row>
        <row r="4446">
          <cell r="A4446">
            <v>2018</v>
          </cell>
          <cell r="B4446" t="str">
            <v>Actual</v>
          </cell>
          <cell r="C4446" t="str">
            <v>May</v>
          </cell>
          <cell r="D4446" t="str">
            <v>Chairs</v>
          </cell>
          <cell r="E4446">
            <v>301189.609</v>
          </cell>
          <cell r="F4446">
            <v>5</v>
          </cell>
        </row>
        <row r="4447">
          <cell r="A4447">
            <v>2019</v>
          </cell>
          <cell r="B4447" t="str">
            <v>Budget</v>
          </cell>
          <cell r="C4447" t="str">
            <v>May</v>
          </cell>
          <cell r="D4447" t="str">
            <v>Chairs</v>
          </cell>
          <cell r="E4447">
            <v>56391.895000000004</v>
          </cell>
          <cell r="F4447">
            <v>5</v>
          </cell>
        </row>
        <row r="4448">
          <cell r="A4448">
            <v>2019</v>
          </cell>
          <cell r="B4448" t="str">
            <v>Actual</v>
          </cell>
          <cell r="C4448" t="str">
            <v>May</v>
          </cell>
          <cell r="D4448" t="str">
            <v>Chairs</v>
          </cell>
          <cell r="E4448">
            <v>71315.803999999989</v>
          </cell>
          <cell r="F4448">
            <v>5</v>
          </cell>
        </row>
        <row r="4449">
          <cell r="A4449">
            <v>2018</v>
          </cell>
          <cell r="B4449" t="str">
            <v>Budget</v>
          </cell>
          <cell r="C4449" t="str">
            <v>May</v>
          </cell>
          <cell r="D4449" t="str">
            <v>Chairs</v>
          </cell>
          <cell r="E4449">
            <v>228866.16899999997</v>
          </cell>
          <cell r="F4449">
            <v>5</v>
          </cell>
        </row>
        <row r="4450">
          <cell r="A4450">
            <v>2018</v>
          </cell>
          <cell r="B4450" t="str">
            <v>Actual</v>
          </cell>
          <cell r="C4450" t="str">
            <v>May</v>
          </cell>
          <cell r="D4450" t="str">
            <v>Chairs</v>
          </cell>
          <cell r="E4450">
            <v>333855.739</v>
          </cell>
          <cell r="F4450">
            <v>5</v>
          </cell>
        </row>
        <row r="4451">
          <cell r="A4451">
            <v>2019</v>
          </cell>
          <cell r="B4451" t="str">
            <v>Budget</v>
          </cell>
          <cell r="C4451" t="str">
            <v>May</v>
          </cell>
          <cell r="D4451" t="str">
            <v>Chairs</v>
          </cell>
          <cell r="E4451">
            <v>5357326.9889999991</v>
          </cell>
          <cell r="F4451">
            <v>5</v>
          </cell>
        </row>
        <row r="4452">
          <cell r="A4452">
            <v>2018</v>
          </cell>
          <cell r="B4452" t="str">
            <v>Actual</v>
          </cell>
          <cell r="C4452" t="str">
            <v>May</v>
          </cell>
          <cell r="D4452" t="str">
            <v>Chairs</v>
          </cell>
          <cell r="E4452">
            <v>14953.273999999999</v>
          </cell>
          <cell r="F4452">
            <v>5</v>
          </cell>
        </row>
        <row r="4453">
          <cell r="A4453">
            <v>2018</v>
          </cell>
          <cell r="B4453" t="str">
            <v>Budget</v>
          </cell>
          <cell r="C4453" t="str">
            <v>May</v>
          </cell>
          <cell r="D4453" t="str">
            <v>Chairs</v>
          </cell>
          <cell r="E4453">
            <v>37193.918999999994</v>
          </cell>
          <cell r="F4453">
            <v>5</v>
          </cell>
        </row>
        <row r="4454">
          <cell r="A4454">
            <v>2019</v>
          </cell>
          <cell r="B4454" t="str">
            <v>Actual</v>
          </cell>
          <cell r="C4454" t="str">
            <v>May</v>
          </cell>
          <cell r="D4454" t="str">
            <v>Chairs</v>
          </cell>
          <cell r="E4454">
            <v>196297.04499999998</v>
          </cell>
          <cell r="F4454">
            <v>5</v>
          </cell>
        </row>
        <row r="4455">
          <cell r="A4455">
            <v>2019</v>
          </cell>
          <cell r="B4455" t="str">
            <v>Budget</v>
          </cell>
          <cell r="C4455" t="str">
            <v>May</v>
          </cell>
          <cell r="D4455" t="str">
            <v>Chairs</v>
          </cell>
          <cell r="E4455">
            <v>77797.047999999995</v>
          </cell>
          <cell r="F4455">
            <v>5</v>
          </cell>
        </row>
        <row r="4456">
          <cell r="A4456">
            <v>2018</v>
          </cell>
          <cell r="B4456" t="str">
            <v>Actual</v>
          </cell>
          <cell r="C4456" t="str">
            <v>May</v>
          </cell>
          <cell r="D4456" t="str">
            <v>Chairs</v>
          </cell>
          <cell r="E4456">
            <v>52779.09</v>
          </cell>
          <cell r="F4456">
            <v>5</v>
          </cell>
        </row>
        <row r="4457">
          <cell r="A4457">
            <v>2018</v>
          </cell>
          <cell r="B4457" t="str">
            <v>Budget</v>
          </cell>
          <cell r="C4457" t="str">
            <v>May</v>
          </cell>
          <cell r="D4457" t="str">
            <v>Chairs</v>
          </cell>
          <cell r="E4457">
            <v>2432101.7279999997</v>
          </cell>
          <cell r="F4457">
            <v>5</v>
          </cell>
        </row>
        <row r="4458">
          <cell r="A4458">
            <v>2018</v>
          </cell>
          <cell r="B4458" t="str">
            <v>Actual</v>
          </cell>
          <cell r="C4458" t="str">
            <v>May</v>
          </cell>
          <cell r="D4458" t="str">
            <v>Chairs</v>
          </cell>
          <cell r="E4458">
            <v>399783.43299999996</v>
          </cell>
          <cell r="F4458">
            <v>5</v>
          </cell>
        </row>
        <row r="4459">
          <cell r="A4459">
            <v>2018</v>
          </cell>
          <cell r="B4459" t="str">
            <v>Budget</v>
          </cell>
          <cell r="C4459" t="str">
            <v>May</v>
          </cell>
          <cell r="D4459" t="str">
            <v>Chairs</v>
          </cell>
          <cell r="E4459">
            <v>2781827.412</v>
          </cell>
          <cell r="F4459">
            <v>5</v>
          </cell>
        </row>
        <row r="4460">
          <cell r="A4460">
            <v>2018</v>
          </cell>
          <cell r="B4460" t="str">
            <v>Actual</v>
          </cell>
          <cell r="C4460" t="str">
            <v>May</v>
          </cell>
          <cell r="D4460" t="str">
            <v>Chairs</v>
          </cell>
          <cell r="E4460">
            <v>41779.114999999998</v>
          </cell>
          <cell r="F4460">
            <v>5</v>
          </cell>
        </row>
        <row r="4461">
          <cell r="A4461">
            <v>2019</v>
          </cell>
          <cell r="B4461" t="str">
            <v>Budget</v>
          </cell>
          <cell r="C4461" t="str">
            <v>May</v>
          </cell>
          <cell r="D4461" t="str">
            <v>Chairs</v>
          </cell>
          <cell r="E4461">
            <v>36775564.714000002</v>
          </cell>
          <cell r="F4461">
            <v>5</v>
          </cell>
        </row>
        <row r="4462">
          <cell r="A4462">
            <v>2019</v>
          </cell>
          <cell r="B4462" t="str">
            <v>Actual</v>
          </cell>
          <cell r="C4462" t="str">
            <v>May</v>
          </cell>
          <cell r="D4462" t="str">
            <v>Chairs</v>
          </cell>
          <cell r="E4462">
            <v>310459.82799999998</v>
          </cell>
          <cell r="F4462">
            <v>5</v>
          </cell>
        </row>
        <row r="4463">
          <cell r="A4463">
            <v>2018</v>
          </cell>
          <cell r="B4463" t="str">
            <v>Budget</v>
          </cell>
          <cell r="C4463" t="str">
            <v>May</v>
          </cell>
          <cell r="D4463" t="str">
            <v>Chairs</v>
          </cell>
          <cell r="E4463">
            <v>2798.25</v>
          </cell>
          <cell r="F4463">
            <v>5</v>
          </cell>
        </row>
        <row r="4464">
          <cell r="A4464">
            <v>2019</v>
          </cell>
          <cell r="B4464" t="str">
            <v>Actual</v>
          </cell>
          <cell r="C4464" t="str">
            <v>May</v>
          </cell>
          <cell r="D4464" t="str">
            <v>Chairs</v>
          </cell>
          <cell r="E4464">
            <v>20661.493999999999</v>
          </cell>
          <cell r="F4464">
            <v>5</v>
          </cell>
        </row>
        <row r="4465">
          <cell r="A4465">
            <v>2019</v>
          </cell>
          <cell r="B4465" t="str">
            <v>Budget</v>
          </cell>
          <cell r="C4465" t="str">
            <v>May</v>
          </cell>
          <cell r="D4465" t="str">
            <v>Chairs</v>
          </cell>
          <cell r="E4465">
            <v>149212.742</v>
          </cell>
          <cell r="F4465">
            <v>5</v>
          </cell>
        </row>
        <row r="4466">
          <cell r="A4466">
            <v>2018</v>
          </cell>
          <cell r="B4466" t="str">
            <v>Actual</v>
          </cell>
          <cell r="C4466" t="str">
            <v>May</v>
          </cell>
          <cell r="D4466" t="str">
            <v>Chairs</v>
          </cell>
          <cell r="E4466">
            <v>1737210.0829999999</v>
          </cell>
          <cell r="F4466">
            <v>5</v>
          </cell>
        </row>
        <row r="4467">
          <cell r="A4467">
            <v>2019</v>
          </cell>
          <cell r="B4467" t="str">
            <v>Budget</v>
          </cell>
          <cell r="C4467" t="str">
            <v>May</v>
          </cell>
          <cell r="D4467" t="str">
            <v>Tables</v>
          </cell>
          <cell r="E4467">
            <v>246260.58100000001</v>
          </cell>
          <cell r="F4467">
            <v>5</v>
          </cell>
        </row>
        <row r="4468">
          <cell r="A4468">
            <v>2019</v>
          </cell>
          <cell r="B4468" t="str">
            <v>Actual</v>
          </cell>
          <cell r="C4468" t="str">
            <v>May</v>
          </cell>
          <cell r="D4468" t="str">
            <v>Kitchen</v>
          </cell>
          <cell r="E4468">
            <v>-313.37599999999998</v>
          </cell>
          <cell r="F4468">
            <v>5</v>
          </cell>
        </row>
        <row r="4469">
          <cell r="A4469">
            <v>2019</v>
          </cell>
          <cell r="B4469" t="str">
            <v>Budget</v>
          </cell>
          <cell r="C4469" t="str">
            <v>May</v>
          </cell>
          <cell r="D4469" t="str">
            <v>Chairs</v>
          </cell>
          <cell r="E4469">
            <v>407373.92499999999</v>
          </cell>
          <cell r="F4469">
            <v>5</v>
          </cell>
        </row>
        <row r="4470">
          <cell r="A4470">
            <v>2018</v>
          </cell>
          <cell r="B4470" t="str">
            <v>Actual</v>
          </cell>
          <cell r="C4470" t="str">
            <v>May</v>
          </cell>
          <cell r="D4470" t="str">
            <v>Chairs</v>
          </cell>
          <cell r="E4470">
            <v>1539011.2150000001</v>
          </cell>
          <cell r="F4470">
            <v>5</v>
          </cell>
        </row>
        <row r="4471">
          <cell r="A4471">
            <v>2019</v>
          </cell>
          <cell r="B4471" t="str">
            <v>Budget</v>
          </cell>
          <cell r="C4471" t="str">
            <v>May</v>
          </cell>
          <cell r="D4471" t="str">
            <v>Chairs</v>
          </cell>
          <cell r="E4471">
            <v>12649484.903999999</v>
          </cell>
          <cell r="F4471">
            <v>5</v>
          </cell>
        </row>
        <row r="4472">
          <cell r="A4472">
            <v>2018</v>
          </cell>
          <cell r="B4472" t="str">
            <v>Actual</v>
          </cell>
          <cell r="C4472" t="str">
            <v>May</v>
          </cell>
          <cell r="D4472" t="str">
            <v>Chairs</v>
          </cell>
          <cell r="E4472">
            <v>2032472.6939999999</v>
          </cell>
          <cell r="F4472">
            <v>5</v>
          </cell>
        </row>
        <row r="4473">
          <cell r="A4473">
            <v>2018</v>
          </cell>
          <cell r="B4473" t="str">
            <v>Budget</v>
          </cell>
          <cell r="C4473" t="str">
            <v>May</v>
          </cell>
          <cell r="D4473" t="str">
            <v>Chairs</v>
          </cell>
          <cell r="E4473">
            <v>2006371.64</v>
          </cell>
          <cell r="F4473">
            <v>5</v>
          </cell>
        </row>
        <row r="4474">
          <cell r="A4474">
            <v>2019</v>
          </cell>
          <cell r="B4474" t="str">
            <v>Actual</v>
          </cell>
          <cell r="C4474" t="str">
            <v>May</v>
          </cell>
          <cell r="D4474" t="str">
            <v>Tables</v>
          </cell>
          <cell r="E4474">
            <v>9136997.1909999996</v>
          </cell>
          <cell r="F4474">
            <v>5</v>
          </cell>
        </row>
        <row r="4475">
          <cell r="A4475">
            <v>2019</v>
          </cell>
          <cell r="B4475" t="str">
            <v>Budget</v>
          </cell>
          <cell r="C4475" t="str">
            <v>May</v>
          </cell>
          <cell r="D4475" t="str">
            <v>Kitchen</v>
          </cell>
          <cell r="E4475">
            <v>637979.60799999989</v>
          </cell>
          <cell r="F4475">
            <v>5</v>
          </cell>
        </row>
        <row r="4476">
          <cell r="A4476">
            <v>2018</v>
          </cell>
          <cell r="B4476" t="str">
            <v>Actual</v>
          </cell>
          <cell r="C4476" t="str">
            <v>May</v>
          </cell>
          <cell r="D4476" t="str">
            <v>Chairs</v>
          </cell>
          <cell r="E4476">
            <v>249403.63699999996</v>
          </cell>
          <cell r="F4476">
            <v>5</v>
          </cell>
        </row>
        <row r="4477">
          <cell r="A4477">
            <v>2019</v>
          </cell>
          <cell r="B4477" t="str">
            <v>Budget</v>
          </cell>
          <cell r="C4477" t="str">
            <v>May</v>
          </cell>
          <cell r="D4477" t="str">
            <v>Chairs</v>
          </cell>
          <cell r="E4477">
            <v>248962.74899999998</v>
          </cell>
          <cell r="F4477">
            <v>5</v>
          </cell>
        </row>
        <row r="4478">
          <cell r="A4478">
            <v>2018</v>
          </cell>
          <cell r="B4478" t="str">
            <v>Actual</v>
          </cell>
          <cell r="C4478" t="str">
            <v>May</v>
          </cell>
          <cell r="D4478" t="str">
            <v>Chairs</v>
          </cell>
          <cell r="E4478">
            <v>921046.48999999987</v>
          </cell>
          <cell r="F4478">
            <v>5</v>
          </cell>
        </row>
        <row r="4479">
          <cell r="A4479">
            <v>2018</v>
          </cell>
          <cell r="B4479" t="str">
            <v>Budget</v>
          </cell>
          <cell r="C4479" t="str">
            <v>May</v>
          </cell>
          <cell r="D4479" t="str">
            <v>Tables</v>
          </cell>
          <cell r="E4479">
            <v>1246507.43</v>
          </cell>
          <cell r="F4479">
            <v>5</v>
          </cell>
        </row>
        <row r="4480">
          <cell r="A4480">
            <v>2018</v>
          </cell>
          <cell r="B4480" t="str">
            <v>Actual</v>
          </cell>
          <cell r="C4480" t="str">
            <v>May</v>
          </cell>
          <cell r="D4480" t="str">
            <v>Kitchen</v>
          </cell>
          <cell r="E4480">
            <v>1366504.2159999998</v>
          </cell>
          <cell r="F4480">
            <v>5</v>
          </cell>
        </row>
        <row r="4481">
          <cell r="A4481">
            <v>2018</v>
          </cell>
          <cell r="B4481" t="str">
            <v>Budget</v>
          </cell>
          <cell r="C4481" t="str">
            <v>May</v>
          </cell>
          <cell r="D4481" t="str">
            <v>Chairs</v>
          </cell>
          <cell r="E4481">
            <v>9638.4539999999997</v>
          </cell>
          <cell r="F4481">
            <v>5</v>
          </cell>
        </row>
        <row r="4482">
          <cell r="A4482">
            <v>2019</v>
          </cell>
          <cell r="B4482" t="str">
            <v>Actual</v>
          </cell>
          <cell r="C4482" t="str">
            <v>May</v>
          </cell>
          <cell r="D4482" t="str">
            <v>Chairs</v>
          </cell>
          <cell r="E4482">
            <v>1225745.7169999999</v>
          </cell>
          <cell r="F4482">
            <v>5</v>
          </cell>
        </row>
        <row r="4483">
          <cell r="A4483">
            <v>2018</v>
          </cell>
          <cell r="B4483" t="str">
            <v>Budget</v>
          </cell>
          <cell r="C4483" t="str">
            <v>May</v>
          </cell>
          <cell r="D4483" t="str">
            <v>Tables</v>
          </cell>
          <cell r="E4483">
            <v>385652.77799999999</v>
          </cell>
          <cell r="F4483">
            <v>5</v>
          </cell>
        </row>
        <row r="4484">
          <cell r="A4484">
            <v>2018</v>
          </cell>
          <cell r="B4484" t="str">
            <v>Actual</v>
          </cell>
          <cell r="C4484" t="str">
            <v>May</v>
          </cell>
          <cell r="D4484" t="str">
            <v>Kitchen</v>
          </cell>
          <cell r="E4484">
            <v>10726.94</v>
          </cell>
          <cell r="F4484">
            <v>5</v>
          </cell>
        </row>
        <row r="4485">
          <cell r="A4485">
            <v>2018</v>
          </cell>
          <cell r="B4485" t="str">
            <v>Budget</v>
          </cell>
          <cell r="C4485" t="str">
            <v>May</v>
          </cell>
          <cell r="D4485" t="str">
            <v>Chairs</v>
          </cell>
          <cell r="E4485">
            <v>851315.05900000001</v>
          </cell>
          <cell r="F4485">
            <v>5</v>
          </cell>
        </row>
        <row r="4486">
          <cell r="A4486">
            <v>2018</v>
          </cell>
          <cell r="B4486" t="str">
            <v>Actual</v>
          </cell>
          <cell r="C4486" t="str">
            <v>May</v>
          </cell>
          <cell r="D4486" t="str">
            <v>Chairs</v>
          </cell>
          <cell r="E4486">
            <v>3144178.0580000002</v>
          </cell>
          <cell r="F4486">
            <v>5</v>
          </cell>
        </row>
        <row r="4487">
          <cell r="A4487">
            <v>2018</v>
          </cell>
          <cell r="B4487" t="str">
            <v>Budget</v>
          </cell>
          <cell r="C4487" t="str">
            <v>May</v>
          </cell>
          <cell r="D4487" t="str">
            <v>Chairs</v>
          </cell>
          <cell r="E4487">
            <v>122588.48699999999</v>
          </cell>
          <cell r="F4487">
            <v>5</v>
          </cell>
        </row>
        <row r="4488">
          <cell r="A4488">
            <v>2019</v>
          </cell>
          <cell r="B4488" t="str">
            <v>Actual</v>
          </cell>
          <cell r="C4488" t="str">
            <v>May</v>
          </cell>
          <cell r="D4488" t="str">
            <v>Tables</v>
          </cell>
          <cell r="E4488">
            <v>511387.46399999998</v>
          </cell>
          <cell r="F4488">
            <v>5</v>
          </cell>
        </row>
        <row r="4489">
          <cell r="A4489">
            <v>2018</v>
          </cell>
          <cell r="B4489" t="str">
            <v>Budget</v>
          </cell>
          <cell r="C4489" t="str">
            <v>May</v>
          </cell>
          <cell r="D4489" t="str">
            <v>Kitchen</v>
          </cell>
          <cell r="E4489">
            <v>1053572.1140000001</v>
          </cell>
          <cell r="F4489">
            <v>5</v>
          </cell>
        </row>
        <row r="4490">
          <cell r="A4490">
            <v>2018</v>
          </cell>
          <cell r="B4490" t="str">
            <v>Actual</v>
          </cell>
          <cell r="C4490" t="str">
            <v>May</v>
          </cell>
          <cell r="D4490" t="str">
            <v>Accessories</v>
          </cell>
          <cell r="E4490">
            <v>1051501.8149999999</v>
          </cell>
          <cell r="F4490">
            <v>5</v>
          </cell>
        </row>
        <row r="4491">
          <cell r="A4491">
            <v>2018</v>
          </cell>
          <cell r="B4491" t="str">
            <v>Budget</v>
          </cell>
          <cell r="C4491" t="str">
            <v>May</v>
          </cell>
          <cell r="D4491" t="str">
            <v>Chairs</v>
          </cell>
          <cell r="E4491">
            <v>265085.96799999999</v>
          </cell>
          <cell r="F4491">
            <v>5</v>
          </cell>
        </row>
        <row r="4492">
          <cell r="A4492">
            <v>2019</v>
          </cell>
          <cell r="B4492" t="str">
            <v>Actual</v>
          </cell>
          <cell r="C4492" t="str">
            <v>May</v>
          </cell>
          <cell r="D4492" t="str">
            <v>Tables</v>
          </cell>
          <cell r="E4492">
            <v>24239.823999999997</v>
          </cell>
          <cell r="F4492">
            <v>5</v>
          </cell>
        </row>
        <row r="4493">
          <cell r="A4493">
            <v>2019</v>
          </cell>
          <cell r="B4493" t="str">
            <v>Budget</v>
          </cell>
          <cell r="C4493" t="str">
            <v>May</v>
          </cell>
          <cell r="D4493" t="str">
            <v>Kitchen</v>
          </cell>
          <cell r="E4493">
            <v>62967.645999999993</v>
          </cell>
          <cell r="F4493">
            <v>5</v>
          </cell>
        </row>
        <row r="4494">
          <cell r="A4494">
            <v>2018</v>
          </cell>
          <cell r="B4494" t="str">
            <v>Actual</v>
          </cell>
          <cell r="C4494" t="str">
            <v>May</v>
          </cell>
          <cell r="D4494" t="str">
            <v>Accessories</v>
          </cell>
          <cell r="E4494">
            <v>73465.706999999995</v>
          </cell>
          <cell r="F4494">
            <v>5</v>
          </cell>
        </row>
        <row r="4495">
          <cell r="A4495">
            <v>2018</v>
          </cell>
          <cell r="B4495" t="str">
            <v>Budget</v>
          </cell>
          <cell r="C4495" t="str">
            <v>May</v>
          </cell>
          <cell r="D4495" t="str">
            <v>Chairs</v>
          </cell>
          <cell r="E4495">
            <v>728629.92999999993</v>
          </cell>
          <cell r="F4495">
            <v>5</v>
          </cell>
        </row>
        <row r="4496">
          <cell r="A4496">
            <v>2018</v>
          </cell>
          <cell r="B4496" t="str">
            <v>Actual</v>
          </cell>
          <cell r="C4496" t="str">
            <v>May</v>
          </cell>
          <cell r="D4496" t="str">
            <v>Tables</v>
          </cell>
          <cell r="E4496">
            <v>68100.417000000001</v>
          </cell>
          <cell r="F4496">
            <v>5</v>
          </cell>
        </row>
        <row r="4497">
          <cell r="A4497">
            <v>2019</v>
          </cell>
          <cell r="B4497" t="str">
            <v>Budget</v>
          </cell>
          <cell r="C4497" t="str">
            <v>May</v>
          </cell>
          <cell r="D4497" t="str">
            <v>Kitchen</v>
          </cell>
          <cell r="E4497">
            <v>118142.22</v>
          </cell>
          <cell r="F4497">
            <v>5</v>
          </cell>
        </row>
        <row r="4498">
          <cell r="A4498">
            <v>2018</v>
          </cell>
          <cell r="B4498" t="str">
            <v>Actual</v>
          </cell>
          <cell r="C4498" t="str">
            <v>May</v>
          </cell>
          <cell r="D4498" t="str">
            <v>Accessories</v>
          </cell>
          <cell r="E4498">
            <v>1105228.2079999999</v>
          </cell>
          <cell r="F4498">
            <v>5</v>
          </cell>
        </row>
        <row r="4499">
          <cell r="A4499">
            <v>2019</v>
          </cell>
          <cell r="B4499" t="str">
            <v>Budget</v>
          </cell>
          <cell r="C4499" t="str">
            <v>May</v>
          </cell>
          <cell r="D4499" t="str">
            <v>Chairs</v>
          </cell>
          <cell r="E4499">
            <v>211346.989</v>
          </cell>
          <cell r="F4499">
            <v>5</v>
          </cell>
        </row>
        <row r="4500">
          <cell r="A4500">
            <v>2018</v>
          </cell>
          <cell r="B4500" t="str">
            <v>Actual</v>
          </cell>
          <cell r="C4500" t="str">
            <v>May</v>
          </cell>
          <cell r="D4500" t="str">
            <v>Tables</v>
          </cell>
          <cell r="E4500">
            <v>397185.55100000004</v>
          </cell>
          <cell r="F4500">
            <v>5</v>
          </cell>
        </row>
        <row r="4501">
          <cell r="A4501">
            <v>2018</v>
          </cell>
          <cell r="B4501" t="str">
            <v>Budget</v>
          </cell>
          <cell r="C4501" t="str">
            <v>May</v>
          </cell>
          <cell r="D4501" t="str">
            <v>Kitchen</v>
          </cell>
          <cell r="E4501">
            <v>1183904.274</v>
          </cell>
          <cell r="F4501">
            <v>5</v>
          </cell>
        </row>
        <row r="4502">
          <cell r="A4502">
            <v>2018</v>
          </cell>
          <cell r="B4502" t="str">
            <v>Actual</v>
          </cell>
          <cell r="C4502" t="str">
            <v>May</v>
          </cell>
          <cell r="D4502" t="str">
            <v>Accessories</v>
          </cell>
          <cell r="E4502">
            <v>1632209.4739999997</v>
          </cell>
          <cell r="F4502">
            <v>5</v>
          </cell>
        </row>
        <row r="4503">
          <cell r="A4503">
            <v>2018</v>
          </cell>
          <cell r="B4503" t="str">
            <v>Budget</v>
          </cell>
          <cell r="C4503" t="str">
            <v>May</v>
          </cell>
          <cell r="D4503" t="str">
            <v>Chairs</v>
          </cell>
          <cell r="E4503">
            <v>1113586.628</v>
          </cell>
          <cell r="F4503">
            <v>5</v>
          </cell>
        </row>
        <row r="4504">
          <cell r="A4504">
            <v>2018</v>
          </cell>
          <cell r="B4504" t="str">
            <v>Actual</v>
          </cell>
          <cell r="C4504" t="str">
            <v>May</v>
          </cell>
          <cell r="D4504" t="str">
            <v>Chairs</v>
          </cell>
          <cell r="E4504">
            <v>2927506.4139999999</v>
          </cell>
          <cell r="F4504">
            <v>5</v>
          </cell>
        </row>
        <row r="4505">
          <cell r="A4505">
            <v>2018</v>
          </cell>
          <cell r="B4505" t="str">
            <v>Budget</v>
          </cell>
          <cell r="C4505" t="str">
            <v>May</v>
          </cell>
          <cell r="D4505" t="str">
            <v>Tables</v>
          </cell>
          <cell r="E4505">
            <v>605221.12</v>
          </cell>
          <cell r="F4505">
            <v>5</v>
          </cell>
        </row>
        <row r="4506">
          <cell r="A4506">
            <v>2018</v>
          </cell>
          <cell r="B4506" t="str">
            <v>Actual</v>
          </cell>
          <cell r="C4506" t="str">
            <v>May</v>
          </cell>
          <cell r="D4506" t="str">
            <v>Kitchen</v>
          </cell>
          <cell r="E4506">
            <v>606807.03999999992</v>
          </cell>
          <cell r="F4506">
            <v>5</v>
          </cell>
        </row>
        <row r="4507">
          <cell r="A4507">
            <v>2018</v>
          </cell>
          <cell r="B4507" t="str">
            <v>Budget</v>
          </cell>
          <cell r="C4507" t="str">
            <v>May</v>
          </cell>
          <cell r="D4507" t="str">
            <v>Chairs</v>
          </cell>
          <cell r="E4507">
            <v>140530.13099999999</v>
          </cell>
          <cell r="F4507">
            <v>5</v>
          </cell>
        </row>
        <row r="4508">
          <cell r="A4508">
            <v>2019</v>
          </cell>
          <cell r="B4508" t="str">
            <v>Actual</v>
          </cell>
          <cell r="C4508" t="str">
            <v>May</v>
          </cell>
          <cell r="D4508" t="str">
            <v>Tables</v>
          </cell>
          <cell r="E4508">
            <v>76034.868000000002</v>
          </cell>
          <cell r="F4508">
            <v>5</v>
          </cell>
        </row>
        <row r="4509">
          <cell r="A4509">
            <v>2019</v>
          </cell>
          <cell r="B4509" t="str">
            <v>Budget</v>
          </cell>
          <cell r="C4509" t="str">
            <v>May</v>
          </cell>
          <cell r="D4509" t="str">
            <v>Kitchen</v>
          </cell>
          <cell r="E4509">
            <v>103725.363</v>
          </cell>
          <cell r="F4509">
            <v>5</v>
          </cell>
        </row>
        <row r="4510">
          <cell r="A4510">
            <v>2018</v>
          </cell>
          <cell r="B4510" t="str">
            <v>Actual</v>
          </cell>
          <cell r="C4510" t="str">
            <v>May</v>
          </cell>
          <cell r="D4510" t="str">
            <v>Chairs</v>
          </cell>
          <cell r="E4510">
            <v>294255.89199999999</v>
          </cell>
          <cell r="F4510">
            <v>5</v>
          </cell>
        </row>
        <row r="4511">
          <cell r="A4511">
            <v>2018</v>
          </cell>
          <cell r="B4511" t="str">
            <v>Budget</v>
          </cell>
          <cell r="C4511" t="str">
            <v>May</v>
          </cell>
          <cell r="D4511" t="str">
            <v>Tables</v>
          </cell>
          <cell r="E4511">
            <v>56480.12999999999</v>
          </cell>
          <cell r="F4511">
            <v>5</v>
          </cell>
        </row>
        <row r="4512">
          <cell r="A4512">
            <v>2018</v>
          </cell>
          <cell r="B4512" t="str">
            <v>Actual</v>
          </cell>
          <cell r="C4512" t="str">
            <v>May</v>
          </cell>
          <cell r="D4512" t="str">
            <v>Kitchen</v>
          </cell>
          <cell r="E4512">
            <v>199646.33499999999</v>
          </cell>
          <cell r="F4512">
            <v>5</v>
          </cell>
        </row>
        <row r="4513">
          <cell r="A4513">
            <v>2018</v>
          </cell>
          <cell r="B4513" t="str">
            <v>Budget</v>
          </cell>
          <cell r="C4513" t="str">
            <v>May</v>
          </cell>
          <cell r="D4513" t="str">
            <v>Chairs</v>
          </cell>
          <cell r="E4513">
            <v>420426.59399999998</v>
          </cell>
          <cell r="F4513">
            <v>5</v>
          </cell>
        </row>
        <row r="4514">
          <cell r="A4514">
            <v>2018</v>
          </cell>
          <cell r="B4514" t="str">
            <v>Actual</v>
          </cell>
          <cell r="C4514" t="str">
            <v>May</v>
          </cell>
          <cell r="D4514" t="str">
            <v>Chairs</v>
          </cell>
          <cell r="E4514">
            <v>30272.353999999999</v>
          </cell>
          <cell r="F4514">
            <v>5</v>
          </cell>
        </row>
        <row r="4515">
          <cell r="A4515">
            <v>2019</v>
          </cell>
          <cell r="B4515" t="str">
            <v>Budget</v>
          </cell>
          <cell r="C4515" t="str">
            <v>May</v>
          </cell>
          <cell r="D4515" t="str">
            <v>Chairs</v>
          </cell>
          <cell r="E4515">
            <v>208403.03399999999</v>
          </cell>
          <cell r="F4515">
            <v>5</v>
          </cell>
        </row>
        <row r="4516">
          <cell r="A4516">
            <v>2019</v>
          </cell>
          <cell r="B4516" t="str">
            <v>Actual</v>
          </cell>
          <cell r="C4516" t="str">
            <v>May</v>
          </cell>
          <cell r="D4516" t="str">
            <v>Chairs</v>
          </cell>
          <cell r="E4516">
            <v>357235.76699999999</v>
          </cell>
          <cell r="F4516">
            <v>5</v>
          </cell>
        </row>
        <row r="4517">
          <cell r="A4517">
            <v>2018</v>
          </cell>
          <cell r="B4517" t="str">
            <v>Budget</v>
          </cell>
          <cell r="C4517" t="str">
            <v>May</v>
          </cell>
          <cell r="D4517" t="str">
            <v>Chairs</v>
          </cell>
          <cell r="E4517">
            <v>54375.950999999994</v>
          </cell>
          <cell r="F4517">
            <v>5</v>
          </cell>
        </row>
        <row r="4518">
          <cell r="A4518">
            <v>2018</v>
          </cell>
          <cell r="B4518" t="str">
            <v>Actual</v>
          </cell>
          <cell r="C4518" t="str">
            <v>May</v>
          </cell>
          <cell r="D4518" t="str">
            <v>Chairs</v>
          </cell>
          <cell r="E4518">
            <v>223800.42300000001</v>
          </cell>
          <cell r="F4518">
            <v>5</v>
          </cell>
        </row>
        <row r="4519">
          <cell r="A4519">
            <v>2019</v>
          </cell>
          <cell r="B4519" t="str">
            <v>Budget</v>
          </cell>
          <cell r="C4519" t="str">
            <v>May</v>
          </cell>
          <cell r="D4519" t="str">
            <v>Chairs</v>
          </cell>
          <cell r="E4519">
            <v>165945.12899999999</v>
          </cell>
          <cell r="F4519">
            <v>5</v>
          </cell>
        </row>
        <row r="4520">
          <cell r="A4520">
            <v>2018</v>
          </cell>
          <cell r="B4520" t="str">
            <v>Actual</v>
          </cell>
          <cell r="C4520" t="str">
            <v>May</v>
          </cell>
          <cell r="D4520" t="str">
            <v>Chairs</v>
          </cell>
          <cell r="E4520">
            <v>774900.65799999994</v>
          </cell>
          <cell r="F4520">
            <v>5</v>
          </cell>
        </row>
        <row r="4521">
          <cell r="A4521">
            <v>2019</v>
          </cell>
          <cell r="B4521" t="str">
            <v>Budget</v>
          </cell>
          <cell r="C4521" t="str">
            <v>May</v>
          </cell>
          <cell r="D4521" t="str">
            <v>Chairs</v>
          </cell>
          <cell r="E4521">
            <v>170625.67199999999</v>
          </cell>
          <cell r="F4521">
            <v>5</v>
          </cell>
        </row>
        <row r="4522">
          <cell r="A4522">
            <v>2018</v>
          </cell>
          <cell r="B4522" t="str">
            <v>Actual</v>
          </cell>
          <cell r="C4522" t="str">
            <v>May</v>
          </cell>
          <cell r="D4522" t="str">
            <v>Chairs</v>
          </cell>
          <cell r="E4522">
            <v>67282.179999999993</v>
          </cell>
          <cell r="F4522">
            <v>5</v>
          </cell>
        </row>
        <row r="4523">
          <cell r="A4523">
            <v>2018</v>
          </cell>
          <cell r="B4523" t="str">
            <v>Budget</v>
          </cell>
          <cell r="C4523" t="str">
            <v>May</v>
          </cell>
          <cell r="D4523" t="str">
            <v>Chairs</v>
          </cell>
          <cell r="E4523">
            <v>516871.25699999998</v>
          </cell>
          <cell r="F4523">
            <v>5</v>
          </cell>
        </row>
        <row r="4524">
          <cell r="A4524">
            <v>2019</v>
          </cell>
          <cell r="B4524" t="str">
            <v>Actual</v>
          </cell>
          <cell r="C4524" t="str">
            <v>May</v>
          </cell>
          <cell r="D4524" t="str">
            <v>Chairs</v>
          </cell>
          <cell r="E4524">
            <v>31425.519999999997</v>
          </cell>
          <cell r="F4524">
            <v>5</v>
          </cell>
        </row>
        <row r="4525">
          <cell r="A4525">
            <v>2019</v>
          </cell>
          <cell r="B4525" t="str">
            <v>Budget</v>
          </cell>
          <cell r="C4525" t="str">
            <v>May</v>
          </cell>
          <cell r="D4525" t="str">
            <v>Chairs</v>
          </cell>
          <cell r="E4525">
            <v>46700.520999999993</v>
          </cell>
          <cell r="F4525">
            <v>5</v>
          </cell>
        </row>
        <row r="4526">
          <cell r="A4526">
            <v>2019</v>
          </cell>
          <cell r="B4526" t="str">
            <v>Actual</v>
          </cell>
          <cell r="C4526" t="str">
            <v>May</v>
          </cell>
          <cell r="D4526" t="str">
            <v>Chairs</v>
          </cell>
          <cell r="E4526">
            <v>38749.858</v>
          </cell>
          <cell r="F4526">
            <v>5</v>
          </cell>
        </row>
        <row r="4527">
          <cell r="A4527">
            <v>2019</v>
          </cell>
          <cell r="B4527" t="str">
            <v>Budget</v>
          </cell>
          <cell r="C4527" t="str">
            <v>May</v>
          </cell>
          <cell r="D4527" t="str">
            <v>Chairs</v>
          </cell>
          <cell r="E4527">
            <v>9243.2409999999982</v>
          </cell>
          <cell r="F4527">
            <v>5</v>
          </cell>
        </row>
        <row r="4528">
          <cell r="A4528">
            <v>2018</v>
          </cell>
          <cell r="B4528" t="str">
            <v>Actual</v>
          </cell>
          <cell r="C4528" t="str">
            <v>May</v>
          </cell>
          <cell r="D4528" t="str">
            <v>Chairs</v>
          </cell>
          <cell r="E4528">
            <v>95278.896999999983</v>
          </cell>
          <cell r="F4528">
            <v>5</v>
          </cell>
        </row>
        <row r="4529">
          <cell r="A4529">
            <v>2019</v>
          </cell>
          <cell r="B4529" t="str">
            <v>Budget</v>
          </cell>
          <cell r="C4529" t="str">
            <v>May</v>
          </cell>
          <cell r="D4529" t="str">
            <v>Chairs</v>
          </cell>
          <cell r="E4529">
            <v>1050142.142</v>
          </cell>
          <cell r="F4529">
            <v>5</v>
          </cell>
        </row>
        <row r="4530">
          <cell r="A4530">
            <v>2018</v>
          </cell>
          <cell r="B4530" t="str">
            <v>Actual</v>
          </cell>
          <cell r="C4530" t="str">
            <v>May</v>
          </cell>
          <cell r="D4530" t="str">
            <v>Chairs</v>
          </cell>
          <cell r="E4530">
            <v>18531.946999999996</v>
          </cell>
          <cell r="F4530">
            <v>5</v>
          </cell>
        </row>
        <row r="4531">
          <cell r="A4531">
            <v>2018</v>
          </cell>
          <cell r="B4531" t="str">
            <v>Budget</v>
          </cell>
          <cell r="C4531" t="str">
            <v>May</v>
          </cell>
          <cell r="D4531" t="str">
            <v>Chairs</v>
          </cell>
          <cell r="E4531">
            <v>39190.885999999999</v>
          </cell>
          <cell r="F4531">
            <v>5</v>
          </cell>
        </row>
        <row r="4532">
          <cell r="A4532">
            <v>2019</v>
          </cell>
          <cell r="B4532" t="str">
            <v>Actual</v>
          </cell>
          <cell r="C4532" t="str">
            <v>May</v>
          </cell>
          <cell r="D4532" t="str">
            <v>Chairs</v>
          </cell>
          <cell r="E4532">
            <v>20488.488999999998</v>
          </cell>
          <cell r="F4532">
            <v>5</v>
          </cell>
        </row>
        <row r="4533">
          <cell r="A4533">
            <v>2018</v>
          </cell>
          <cell r="B4533" t="str">
            <v>Budget</v>
          </cell>
          <cell r="C4533" t="str">
            <v>May</v>
          </cell>
          <cell r="D4533" t="str">
            <v>Chairs</v>
          </cell>
          <cell r="E4533">
            <v>112651.72099999999</v>
          </cell>
          <cell r="F4533">
            <v>5</v>
          </cell>
        </row>
        <row r="4534">
          <cell r="A4534">
            <v>2018</v>
          </cell>
          <cell r="B4534" t="str">
            <v>Actual</v>
          </cell>
          <cell r="C4534" t="str">
            <v>May</v>
          </cell>
          <cell r="D4534" t="str">
            <v>Chairs</v>
          </cell>
          <cell r="E4534">
            <v>13930.266</v>
          </cell>
          <cell r="F4534">
            <v>5</v>
          </cell>
        </row>
        <row r="4535">
          <cell r="A4535">
            <v>2018</v>
          </cell>
          <cell r="B4535" t="str">
            <v>Budget</v>
          </cell>
          <cell r="C4535" t="str">
            <v>May</v>
          </cell>
          <cell r="D4535" t="str">
            <v>Chairs</v>
          </cell>
          <cell r="E4535">
            <v>112983.62599999999</v>
          </cell>
          <cell r="F4535">
            <v>5</v>
          </cell>
        </row>
        <row r="4536">
          <cell r="A4536">
            <v>2018</v>
          </cell>
          <cell r="B4536" t="str">
            <v>Actual</v>
          </cell>
          <cell r="C4536" t="str">
            <v>May</v>
          </cell>
          <cell r="D4536" t="str">
            <v>Chairs</v>
          </cell>
          <cell r="E4536">
            <v>577835.51699999999</v>
          </cell>
          <cell r="F4536">
            <v>5</v>
          </cell>
        </row>
        <row r="4537">
          <cell r="A4537">
            <v>2018</v>
          </cell>
          <cell r="B4537" t="str">
            <v>Budget</v>
          </cell>
          <cell r="C4537" t="str">
            <v>May</v>
          </cell>
          <cell r="D4537" t="str">
            <v>Chairs</v>
          </cell>
          <cell r="E4537">
            <v>109120.54299999999</v>
          </cell>
          <cell r="F4537">
            <v>5</v>
          </cell>
        </row>
        <row r="4538">
          <cell r="A4538">
            <v>2018</v>
          </cell>
          <cell r="B4538" t="str">
            <v>Actual</v>
          </cell>
          <cell r="C4538" t="str">
            <v>May</v>
          </cell>
          <cell r="D4538" t="str">
            <v>Chairs</v>
          </cell>
          <cell r="E4538">
            <v>416379.04699999996</v>
          </cell>
          <cell r="F4538">
            <v>5</v>
          </cell>
        </row>
        <row r="4539">
          <cell r="A4539">
            <v>2019</v>
          </cell>
          <cell r="B4539" t="str">
            <v>Budget</v>
          </cell>
          <cell r="C4539" t="str">
            <v>May</v>
          </cell>
          <cell r="D4539" t="str">
            <v>Tables</v>
          </cell>
          <cell r="E4539">
            <v>1669379.642</v>
          </cell>
          <cell r="F4539">
            <v>5</v>
          </cell>
        </row>
        <row r="4540">
          <cell r="A4540">
            <v>2019</v>
          </cell>
          <cell r="B4540" t="str">
            <v>Actual</v>
          </cell>
          <cell r="C4540" t="str">
            <v>May</v>
          </cell>
          <cell r="D4540" t="str">
            <v>Kitchen</v>
          </cell>
          <cell r="E4540">
            <v>167987.26699999999</v>
          </cell>
          <cell r="F4540">
            <v>5</v>
          </cell>
        </row>
        <row r="4541">
          <cell r="A4541">
            <v>2019</v>
          </cell>
          <cell r="B4541" t="str">
            <v>Budget</v>
          </cell>
          <cell r="C4541" t="str">
            <v>May</v>
          </cell>
          <cell r="D4541" t="str">
            <v>Chairs</v>
          </cell>
          <cell r="E4541">
            <v>181881.08399999997</v>
          </cell>
          <cell r="F4541">
            <v>5</v>
          </cell>
        </row>
        <row r="4542">
          <cell r="A4542">
            <v>2019</v>
          </cell>
          <cell r="B4542" t="str">
            <v>Actual</v>
          </cell>
          <cell r="C4542" t="str">
            <v>May</v>
          </cell>
          <cell r="D4542" t="str">
            <v>Chairs</v>
          </cell>
          <cell r="E4542">
            <v>83575.84199999999</v>
          </cell>
          <cell r="F4542">
            <v>5</v>
          </cell>
        </row>
        <row r="4543">
          <cell r="A4543">
            <v>2018</v>
          </cell>
          <cell r="B4543" t="str">
            <v>Budget</v>
          </cell>
          <cell r="C4543" t="str">
            <v>May</v>
          </cell>
          <cell r="D4543" t="str">
            <v>Chairs</v>
          </cell>
          <cell r="E4543">
            <v>178112.12999999998</v>
          </cell>
          <cell r="F4543">
            <v>5</v>
          </cell>
        </row>
        <row r="4544">
          <cell r="A4544">
            <v>2019</v>
          </cell>
          <cell r="B4544" t="str">
            <v>Actual</v>
          </cell>
          <cell r="C4544" t="str">
            <v>May</v>
          </cell>
          <cell r="D4544" t="str">
            <v>Chairs</v>
          </cell>
          <cell r="E4544">
            <v>422148.41200000001</v>
          </cell>
          <cell r="F4544">
            <v>5</v>
          </cell>
        </row>
        <row r="4545">
          <cell r="A4545">
            <v>2019</v>
          </cell>
          <cell r="B4545" t="str">
            <v>Budget</v>
          </cell>
          <cell r="C4545" t="str">
            <v>May</v>
          </cell>
          <cell r="D4545" t="str">
            <v>Chairs</v>
          </cell>
          <cell r="E4545">
            <v>81189.751999999993</v>
          </cell>
          <cell r="F4545">
            <v>5</v>
          </cell>
        </row>
        <row r="4546">
          <cell r="A4546">
            <v>2018</v>
          </cell>
          <cell r="B4546" t="str">
            <v>Actual</v>
          </cell>
          <cell r="C4546" t="str">
            <v>May</v>
          </cell>
          <cell r="D4546" t="str">
            <v>Tables</v>
          </cell>
          <cell r="E4546">
            <v>70697.879000000001</v>
          </cell>
          <cell r="F4546">
            <v>5</v>
          </cell>
        </row>
        <row r="4547">
          <cell r="A4547">
            <v>2019</v>
          </cell>
          <cell r="B4547" t="str">
            <v>Budget</v>
          </cell>
          <cell r="C4547" t="str">
            <v>May</v>
          </cell>
          <cell r="D4547" t="str">
            <v>Kitchen</v>
          </cell>
          <cell r="E4547">
            <v>50587.354999999996</v>
          </cell>
          <cell r="F4547">
            <v>5</v>
          </cell>
        </row>
        <row r="4548">
          <cell r="A4548">
            <v>2018</v>
          </cell>
          <cell r="B4548" t="str">
            <v>Actual</v>
          </cell>
          <cell r="C4548" t="str">
            <v>May</v>
          </cell>
          <cell r="D4548" t="str">
            <v>Chairs</v>
          </cell>
          <cell r="E4548">
            <v>1232534.0369999998</v>
          </cell>
          <cell r="F4548">
            <v>5</v>
          </cell>
        </row>
        <row r="4549">
          <cell r="A4549">
            <v>2019</v>
          </cell>
          <cell r="B4549" t="str">
            <v>Budget</v>
          </cell>
          <cell r="C4549" t="str">
            <v>May</v>
          </cell>
          <cell r="D4549" t="str">
            <v>Chairs</v>
          </cell>
          <cell r="E4549">
            <v>516403.45399999997</v>
          </cell>
          <cell r="F4549">
            <v>5</v>
          </cell>
        </row>
        <row r="4550">
          <cell r="A4550">
            <v>2018</v>
          </cell>
          <cell r="B4550" t="str">
            <v>Actual</v>
          </cell>
          <cell r="C4550" t="str">
            <v>May</v>
          </cell>
          <cell r="D4550" t="str">
            <v>Chairs</v>
          </cell>
          <cell r="E4550">
            <v>467930.23199999996</v>
          </cell>
          <cell r="F4550">
            <v>5</v>
          </cell>
        </row>
        <row r="4551">
          <cell r="A4551">
            <v>2019</v>
          </cell>
          <cell r="B4551" t="str">
            <v>Budget</v>
          </cell>
          <cell r="C4551" t="str">
            <v>May</v>
          </cell>
          <cell r="D4551" t="str">
            <v>Tables</v>
          </cell>
          <cell r="E4551">
            <v>637031.79399999999</v>
          </cell>
          <cell r="F4551">
            <v>5</v>
          </cell>
        </row>
        <row r="4552">
          <cell r="A4552">
            <v>2019</v>
          </cell>
          <cell r="B4552" t="str">
            <v>Actual</v>
          </cell>
          <cell r="C4552" t="str">
            <v>May</v>
          </cell>
          <cell r="D4552" t="str">
            <v>Kitchen</v>
          </cell>
          <cell r="E4552">
            <v>464905.95199999993</v>
          </cell>
          <cell r="F4552">
            <v>5</v>
          </cell>
        </row>
        <row r="4553">
          <cell r="A4553">
            <v>2018</v>
          </cell>
          <cell r="B4553" t="str">
            <v>Budget</v>
          </cell>
          <cell r="C4553" t="str">
            <v>May</v>
          </cell>
          <cell r="D4553" t="str">
            <v>Chairs</v>
          </cell>
          <cell r="E4553">
            <v>382627.74899999995</v>
          </cell>
          <cell r="F4553">
            <v>5</v>
          </cell>
        </row>
        <row r="4554">
          <cell r="A4554">
            <v>2019</v>
          </cell>
          <cell r="B4554" t="str">
            <v>Actual</v>
          </cell>
          <cell r="C4554" t="str">
            <v>May</v>
          </cell>
          <cell r="D4554" t="str">
            <v>Chairs</v>
          </cell>
          <cell r="E4554">
            <v>205265.05299999999</v>
          </cell>
          <cell r="F4554">
            <v>5</v>
          </cell>
        </row>
        <row r="4555">
          <cell r="A4555">
            <v>2019</v>
          </cell>
          <cell r="B4555" t="str">
            <v>Budget</v>
          </cell>
          <cell r="C4555" t="str">
            <v>May</v>
          </cell>
          <cell r="D4555" t="str">
            <v>Tables</v>
          </cell>
          <cell r="E4555">
            <v>62729.141999999993</v>
          </cell>
          <cell r="F4555">
            <v>5</v>
          </cell>
        </row>
        <row r="4556">
          <cell r="A4556">
            <v>2019</v>
          </cell>
          <cell r="B4556" t="str">
            <v>Actual</v>
          </cell>
          <cell r="C4556" t="str">
            <v>May</v>
          </cell>
          <cell r="D4556" t="str">
            <v>Kitchen</v>
          </cell>
          <cell r="E4556">
            <v>118624.44299999998</v>
          </cell>
          <cell r="F4556">
            <v>5</v>
          </cell>
        </row>
        <row r="4557">
          <cell r="A4557">
            <v>2019</v>
          </cell>
          <cell r="B4557" t="str">
            <v>Budget</v>
          </cell>
          <cell r="C4557" t="str">
            <v>May</v>
          </cell>
          <cell r="D4557" t="str">
            <v>Chairs</v>
          </cell>
          <cell r="E4557">
            <v>88612.362999999998</v>
          </cell>
          <cell r="F4557">
            <v>5</v>
          </cell>
        </row>
        <row r="4558">
          <cell r="A4558">
            <v>2019</v>
          </cell>
          <cell r="B4558" t="str">
            <v>Actual</v>
          </cell>
          <cell r="C4558" t="str">
            <v>May</v>
          </cell>
          <cell r="D4558" t="str">
            <v>Chairs</v>
          </cell>
          <cell r="E4558">
            <v>137355.23199999999</v>
          </cell>
          <cell r="F4558">
            <v>5</v>
          </cell>
        </row>
        <row r="4559">
          <cell r="A4559">
            <v>2018</v>
          </cell>
          <cell r="B4559" t="str">
            <v>Budget</v>
          </cell>
          <cell r="C4559" t="str">
            <v>May</v>
          </cell>
          <cell r="D4559" t="str">
            <v>Chairs</v>
          </cell>
          <cell r="E4559">
            <v>128710.974</v>
          </cell>
          <cell r="F4559">
            <v>5</v>
          </cell>
        </row>
        <row r="4560">
          <cell r="A4560">
            <v>2018</v>
          </cell>
          <cell r="B4560" t="str">
            <v>Actual</v>
          </cell>
          <cell r="C4560" t="str">
            <v>May</v>
          </cell>
          <cell r="D4560" t="str">
            <v>Tables</v>
          </cell>
          <cell r="E4560">
            <v>66973.788</v>
          </cell>
          <cell r="F4560">
            <v>5</v>
          </cell>
        </row>
        <row r="4561">
          <cell r="A4561">
            <v>2019</v>
          </cell>
          <cell r="B4561" t="str">
            <v>Budget</v>
          </cell>
          <cell r="C4561" t="str">
            <v>May</v>
          </cell>
          <cell r="D4561" t="str">
            <v>Kitchen</v>
          </cell>
          <cell r="E4561">
            <v>43516.276999999995</v>
          </cell>
          <cell r="F4561">
            <v>5</v>
          </cell>
        </row>
        <row r="4562">
          <cell r="A4562">
            <v>2019</v>
          </cell>
          <cell r="B4562" t="str">
            <v>Actual</v>
          </cell>
          <cell r="C4562" t="str">
            <v>May</v>
          </cell>
          <cell r="D4562" t="str">
            <v>Accessories</v>
          </cell>
          <cell r="E4562">
            <v>56940.106999999996</v>
          </cell>
          <cell r="F4562">
            <v>5</v>
          </cell>
        </row>
        <row r="4563">
          <cell r="A4563">
            <v>2018</v>
          </cell>
          <cell r="B4563" t="str">
            <v>Budget</v>
          </cell>
          <cell r="C4563" t="str">
            <v>May</v>
          </cell>
          <cell r="D4563" t="str">
            <v>Chairs</v>
          </cell>
          <cell r="E4563">
            <v>93251.073999999993</v>
          </cell>
          <cell r="F4563">
            <v>5</v>
          </cell>
        </row>
        <row r="4564">
          <cell r="A4564">
            <v>2019</v>
          </cell>
          <cell r="B4564" t="str">
            <v>Actual</v>
          </cell>
          <cell r="C4564" t="str">
            <v>May</v>
          </cell>
          <cell r="D4564" t="str">
            <v>Tables</v>
          </cell>
          <cell r="E4564">
            <v>19007.002</v>
          </cell>
          <cell r="F4564">
            <v>5</v>
          </cell>
        </row>
        <row r="4565">
          <cell r="A4565">
            <v>2019</v>
          </cell>
          <cell r="B4565" t="str">
            <v>Budget</v>
          </cell>
          <cell r="C4565" t="str">
            <v>May</v>
          </cell>
          <cell r="D4565" t="str">
            <v>Kitchen</v>
          </cell>
          <cell r="E4565">
            <v>328951.06300000002</v>
          </cell>
          <cell r="F4565">
            <v>5</v>
          </cell>
        </row>
        <row r="4566">
          <cell r="A4566">
            <v>2018</v>
          </cell>
          <cell r="B4566" t="str">
            <v>Actual</v>
          </cell>
          <cell r="C4566" t="str">
            <v>May</v>
          </cell>
          <cell r="D4566" t="str">
            <v>Accessories</v>
          </cell>
          <cell r="E4566">
            <v>234476.84399999998</v>
          </cell>
          <cell r="F4566">
            <v>5</v>
          </cell>
        </row>
        <row r="4567">
          <cell r="A4567">
            <v>2018</v>
          </cell>
          <cell r="B4567" t="str">
            <v>Budget</v>
          </cell>
          <cell r="C4567" t="str">
            <v>May</v>
          </cell>
          <cell r="D4567" t="str">
            <v>Chairs</v>
          </cell>
          <cell r="E4567">
            <v>2203647.0469999998</v>
          </cell>
          <cell r="F4567">
            <v>5</v>
          </cell>
        </row>
        <row r="4568">
          <cell r="A4568">
            <v>2018</v>
          </cell>
          <cell r="B4568" t="str">
            <v>Actual</v>
          </cell>
          <cell r="C4568" t="str">
            <v>May</v>
          </cell>
          <cell r="D4568" t="str">
            <v>Tables</v>
          </cell>
          <cell r="E4568">
            <v>2529378.7819999997</v>
          </cell>
          <cell r="F4568">
            <v>5</v>
          </cell>
        </row>
        <row r="4569">
          <cell r="A4569">
            <v>2018</v>
          </cell>
          <cell r="B4569" t="str">
            <v>Budget</v>
          </cell>
          <cell r="C4569" t="str">
            <v>May</v>
          </cell>
          <cell r="D4569" t="str">
            <v>Kitchen</v>
          </cell>
          <cell r="E4569">
            <v>87849.635999999999</v>
          </cell>
          <cell r="F4569">
            <v>5</v>
          </cell>
        </row>
        <row r="4570">
          <cell r="A4570">
            <v>2019</v>
          </cell>
          <cell r="B4570" t="str">
            <v>Actual</v>
          </cell>
          <cell r="C4570" t="str">
            <v>May</v>
          </cell>
          <cell r="D4570" t="str">
            <v>Accessories</v>
          </cell>
          <cell r="E4570">
            <v>267294.19499999995</v>
          </cell>
          <cell r="F4570">
            <v>5</v>
          </cell>
        </row>
        <row r="4571">
          <cell r="A4571">
            <v>2018</v>
          </cell>
          <cell r="B4571" t="str">
            <v>Budget</v>
          </cell>
          <cell r="C4571" t="str">
            <v>May</v>
          </cell>
          <cell r="D4571" t="str">
            <v>Chairs</v>
          </cell>
          <cell r="E4571">
            <v>205809.94</v>
          </cell>
          <cell r="F4571">
            <v>5</v>
          </cell>
        </row>
        <row r="4572">
          <cell r="A4572">
            <v>2019</v>
          </cell>
          <cell r="B4572" t="str">
            <v>Actual</v>
          </cell>
          <cell r="C4572" t="str">
            <v>May</v>
          </cell>
          <cell r="D4572" t="str">
            <v>Tables</v>
          </cell>
          <cell r="E4572">
            <v>247292.89199999999</v>
          </cell>
          <cell r="F4572">
            <v>5</v>
          </cell>
        </row>
        <row r="4573">
          <cell r="A4573">
            <v>2018</v>
          </cell>
          <cell r="B4573" t="str">
            <v>Budget</v>
          </cell>
          <cell r="C4573" t="str">
            <v>May</v>
          </cell>
          <cell r="D4573" t="str">
            <v>Kitchen</v>
          </cell>
          <cell r="E4573">
            <v>340435.522</v>
          </cell>
          <cell r="F4573">
            <v>5</v>
          </cell>
        </row>
        <row r="4574">
          <cell r="A4574">
            <v>2018</v>
          </cell>
          <cell r="B4574" t="str">
            <v>Actual</v>
          </cell>
          <cell r="C4574" t="str">
            <v>May</v>
          </cell>
          <cell r="D4574" t="str">
            <v>Accessories</v>
          </cell>
          <cell r="E4574">
            <v>10989.902</v>
          </cell>
          <cell r="F4574">
            <v>5</v>
          </cell>
        </row>
        <row r="4575">
          <cell r="A4575">
            <v>2019</v>
          </cell>
          <cell r="B4575" t="str">
            <v>Budget</v>
          </cell>
          <cell r="C4575" t="str">
            <v>May</v>
          </cell>
          <cell r="D4575" t="str">
            <v>Chairs</v>
          </cell>
          <cell r="E4575">
            <v>47286.743000000002</v>
          </cell>
          <cell r="F4575">
            <v>5</v>
          </cell>
        </row>
        <row r="4576">
          <cell r="A4576">
            <v>2019</v>
          </cell>
          <cell r="B4576" t="str">
            <v>Actual</v>
          </cell>
          <cell r="C4576" t="str">
            <v>May</v>
          </cell>
          <cell r="D4576" t="str">
            <v>Chairs</v>
          </cell>
          <cell r="E4576">
            <v>493742.473</v>
          </cell>
          <cell r="F4576">
            <v>5</v>
          </cell>
        </row>
        <row r="4577">
          <cell r="A4577">
            <v>2018</v>
          </cell>
          <cell r="B4577" t="str">
            <v>Budget</v>
          </cell>
          <cell r="C4577" t="str">
            <v>May</v>
          </cell>
          <cell r="D4577" t="str">
            <v>Tables</v>
          </cell>
          <cell r="E4577">
            <v>425525.96099999995</v>
          </cell>
          <cell r="F4577">
            <v>5</v>
          </cell>
        </row>
        <row r="4578">
          <cell r="A4578">
            <v>2018</v>
          </cell>
          <cell r="B4578" t="str">
            <v>Actual</v>
          </cell>
          <cell r="C4578" t="str">
            <v>May</v>
          </cell>
          <cell r="D4578" t="str">
            <v>Kitchen</v>
          </cell>
          <cell r="E4578">
            <v>54427.162999999993</v>
          </cell>
          <cell r="F4578">
            <v>5</v>
          </cell>
        </row>
        <row r="4579">
          <cell r="A4579">
            <v>2018</v>
          </cell>
          <cell r="B4579" t="str">
            <v>Budget</v>
          </cell>
          <cell r="C4579" t="str">
            <v>May</v>
          </cell>
          <cell r="D4579" t="str">
            <v>Chairs</v>
          </cell>
          <cell r="E4579">
            <v>42042.601999999999</v>
          </cell>
          <cell r="F4579">
            <v>5</v>
          </cell>
        </row>
        <row r="4580">
          <cell r="A4580">
            <v>2019</v>
          </cell>
          <cell r="B4580" t="str">
            <v>Actual</v>
          </cell>
          <cell r="C4580" t="str">
            <v>May</v>
          </cell>
          <cell r="D4580" t="str">
            <v>Tables</v>
          </cell>
          <cell r="E4580">
            <v>247550.24</v>
          </cell>
          <cell r="F4580">
            <v>5</v>
          </cell>
        </row>
        <row r="4581">
          <cell r="A4581">
            <v>2018</v>
          </cell>
          <cell r="B4581" t="str">
            <v>Budget</v>
          </cell>
          <cell r="C4581" t="str">
            <v>May</v>
          </cell>
          <cell r="D4581" t="str">
            <v>Kitchen</v>
          </cell>
          <cell r="E4581">
            <v>76236.439999999988</v>
          </cell>
          <cell r="F4581">
            <v>5</v>
          </cell>
        </row>
        <row r="4582">
          <cell r="A4582">
            <v>2018</v>
          </cell>
          <cell r="B4582" t="str">
            <v>Actual</v>
          </cell>
          <cell r="C4582" t="str">
            <v>May</v>
          </cell>
          <cell r="D4582" t="str">
            <v>Chairs</v>
          </cell>
          <cell r="E4582">
            <v>40057.814999999995</v>
          </cell>
          <cell r="F4582">
            <v>5</v>
          </cell>
        </row>
        <row r="4583">
          <cell r="A4583">
            <v>2018</v>
          </cell>
          <cell r="B4583" t="str">
            <v>Budget</v>
          </cell>
          <cell r="C4583" t="str">
            <v>May</v>
          </cell>
          <cell r="D4583" t="str">
            <v>Tables</v>
          </cell>
          <cell r="E4583">
            <v>120440.061</v>
          </cell>
          <cell r="F4583">
            <v>5</v>
          </cell>
        </row>
        <row r="4584">
          <cell r="A4584">
            <v>2018</v>
          </cell>
          <cell r="B4584" t="str">
            <v>Actual</v>
          </cell>
          <cell r="C4584" t="str">
            <v>May</v>
          </cell>
          <cell r="D4584" t="str">
            <v>Kitchen</v>
          </cell>
          <cell r="E4584">
            <v>161821.33799999999</v>
          </cell>
          <cell r="F4584">
            <v>5</v>
          </cell>
        </row>
        <row r="4585">
          <cell r="A4585">
            <v>2019</v>
          </cell>
          <cell r="B4585" t="str">
            <v>Budget</v>
          </cell>
          <cell r="C4585" t="str">
            <v>May</v>
          </cell>
          <cell r="D4585" t="str">
            <v>Chairs</v>
          </cell>
          <cell r="E4585">
            <v>126544.28499999999</v>
          </cell>
          <cell r="F4585">
            <v>5</v>
          </cell>
        </row>
        <row r="4586">
          <cell r="A4586">
            <v>2018</v>
          </cell>
          <cell r="B4586" t="str">
            <v>Actual</v>
          </cell>
          <cell r="C4586" t="str">
            <v>May</v>
          </cell>
          <cell r="D4586" t="str">
            <v>Chairs</v>
          </cell>
          <cell r="E4586">
            <v>1660965.1310000001</v>
          </cell>
          <cell r="F4586">
            <v>5</v>
          </cell>
        </row>
        <row r="4587">
          <cell r="A4587">
            <v>2018</v>
          </cell>
          <cell r="B4587" t="str">
            <v>Budget</v>
          </cell>
          <cell r="C4587" t="str">
            <v>May</v>
          </cell>
          <cell r="D4587" t="str">
            <v>Chairs</v>
          </cell>
          <cell r="E4587">
            <v>819946.24599999993</v>
          </cell>
          <cell r="F4587">
            <v>5</v>
          </cell>
        </row>
        <row r="4588">
          <cell r="A4588">
            <v>2018</v>
          </cell>
          <cell r="B4588" t="str">
            <v>Actual</v>
          </cell>
          <cell r="C4588" t="str">
            <v>May</v>
          </cell>
          <cell r="D4588" t="str">
            <v>Chairs</v>
          </cell>
          <cell r="E4588">
            <v>445490.33899999998</v>
          </cell>
          <cell r="F4588">
            <v>5</v>
          </cell>
        </row>
        <row r="4589">
          <cell r="A4589">
            <v>2019</v>
          </cell>
          <cell r="B4589" t="str">
            <v>Budget</v>
          </cell>
          <cell r="C4589" t="str">
            <v>May</v>
          </cell>
          <cell r="D4589" t="str">
            <v>Chairs</v>
          </cell>
          <cell r="E4589">
            <v>7156754.0939999996</v>
          </cell>
          <cell r="F4589">
            <v>5</v>
          </cell>
        </row>
        <row r="4590">
          <cell r="A4590">
            <v>2019</v>
          </cell>
          <cell r="B4590" t="str">
            <v>Actual</v>
          </cell>
          <cell r="C4590" t="str">
            <v>May</v>
          </cell>
          <cell r="D4590" t="str">
            <v>Chairs</v>
          </cell>
          <cell r="E4590">
            <v>127629.845</v>
          </cell>
          <cell r="F4590">
            <v>5</v>
          </cell>
        </row>
        <row r="4591">
          <cell r="A4591">
            <v>2019</v>
          </cell>
          <cell r="B4591" t="str">
            <v>Budget</v>
          </cell>
          <cell r="C4591" t="str">
            <v>May</v>
          </cell>
          <cell r="D4591" t="str">
            <v>Chairs</v>
          </cell>
          <cell r="E4591">
            <v>1403014.9139999999</v>
          </cell>
          <cell r="F4591">
            <v>5</v>
          </cell>
        </row>
        <row r="4592">
          <cell r="A4592">
            <v>2019</v>
          </cell>
          <cell r="B4592" t="str">
            <v>Actual</v>
          </cell>
          <cell r="C4592" t="str">
            <v>May</v>
          </cell>
          <cell r="D4592" t="str">
            <v>Chairs</v>
          </cell>
          <cell r="E4592">
            <v>75626.039999999994</v>
          </cell>
          <cell r="F4592">
            <v>5</v>
          </cell>
        </row>
        <row r="4593">
          <cell r="A4593">
            <v>2018</v>
          </cell>
          <cell r="B4593" t="str">
            <v>Budget</v>
          </cell>
          <cell r="C4593" t="str">
            <v>May</v>
          </cell>
          <cell r="D4593" t="str">
            <v>Chairs</v>
          </cell>
          <cell r="E4593">
            <v>3308993.7719999999</v>
          </cell>
          <cell r="F4593">
            <v>5</v>
          </cell>
        </row>
        <row r="4594">
          <cell r="A4594">
            <v>2018</v>
          </cell>
          <cell r="B4594" t="str">
            <v>Actual</v>
          </cell>
          <cell r="C4594" t="str">
            <v>May</v>
          </cell>
          <cell r="D4594" t="str">
            <v>Chairs</v>
          </cell>
          <cell r="E4594">
            <v>300685.609</v>
          </cell>
          <cell r="F4594">
            <v>5</v>
          </cell>
        </row>
        <row r="4595">
          <cell r="A4595">
            <v>2018</v>
          </cell>
          <cell r="B4595" t="str">
            <v>Budget</v>
          </cell>
          <cell r="C4595" t="str">
            <v>May</v>
          </cell>
          <cell r="D4595" t="str">
            <v>Chairs</v>
          </cell>
          <cell r="E4595">
            <v>197069.54399999997</v>
          </cell>
          <cell r="F4595">
            <v>5</v>
          </cell>
        </row>
        <row r="4596">
          <cell r="A4596">
            <v>2019</v>
          </cell>
          <cell r="B4596" t="str">
            <v>Actual</v>
          </cell>
          <cell r="C4596" t="str">
            <v>May</v>
          </cell>
          <cell r="D4596" t="str">
            <v>Chairs</v>
          </cell>
          <cell r="E4596">
            <v>732425.31599999999</v>
          </cell>
          <cell r="F4596">
            <v>5</v>
          </cell>
        </row>
        <row r="4597">
          <cell r="A4597">
            <v>2018</v>
          </cell>
          <cell r="B4597" t="str">
            <v>Budget</v>
          </cell>
          <cell r="C4597" t="str">
            <v>May</v>
          </cell>
          <cell r="D4597" t="str">
            <v>Chairs</v>
          </cell>
          <cell r="E4597">
            <v>-7008.0919999999996</v>
          </cell>
          <cell r="F4597">
            <v>5</v>
          </cell>
        </row>
        <row r="4598">
          <cell r="A4598">
            <v>2019</v>
          </cell>
          <cell r="B4598" t="str">
            <v>Actual</v>
          </cell>
          <cell r="C4598" t="str">
            <v>May</v>
          </cell>
          <cell r="D4598" t="str">
            <v>Chairs</v>
          </cell>
          <cell r="E4598">
            <v>763351.70799999987</v>
          </cell>
          <cell r="F4598">
            <v>5</v>
          </cell>
        </row>
        <row r="4599">
          <cell r="A4599">
            <v>2018</v>
          </cell>
          <cell r="B4599" t="str">
            <v>Budget</v>
          </cell>
          <cell r="C4599" t="str">
            <v>May</v>
          </cell>
          <cell r="D4599" t="str">
            <v>Chairs</v>
          </cell>
          <cell r="E4599">
            <v>1156123.7869999998</v>
          </cell>
          <cell r="F4599">
            <v>5</v>
          </cell>
        </row>
        <row r="4600">
          <cell r="A4600">
            <v>2019</v>
          </cell>
          <cell r="B4600" t="str">
            <v>Actual</v>
          </cell>
          <cell r="C4600" t="str">
            <v>May</v>
          </cell>
          <cell r="D4600" t="str">
            <v>Chairs</v>
          </cell>
          <cell r="E4600">
            <v>2397584.5389999999</v>
          </cell>
          <cell r="F4600">
            <v>5</v>
          </cell>
        </row>
        <row r="4601">
          <cell r="A4601">
            <v>2018</v>
          </cell>
          <cell r="B4601" t="str">
            <v>Budget</v>
          </cell>
          <cell r="C4601" t="str">
            <v>May</v>
          </cell>
          <cell r="D4601" t="str">
            <v>Chairs</v>
          </cell>
          <cell r="E4601">
            <v>534280.46700000006</v>
          </cell>
          <cell r="F4601">
            <v>5</v>
          </cell>
        </row>
        <row r="4602">
          <cell r="A4602">
            <v>2018</v>
          </cell>
          <cell r="B4602" t="str">
            <v>Actual</v>
          </cell>
          <cell r="C4602" t="str">
            <v>May</v>
          </cell>
          <cell r="D4602" t="str">
            <v>Chairs</v>
          </cell>
          <cell r="E4602">
            <v>1598203.9849999999</v>
          </cell>
          <cell r="F4602">
            <v>5</v>
          </cell>
        </row>
        <row r="4603">
          <cell r="A4603">
            <v>2018</v>
          </cell>
          <cell r="B4603" t="str">
            <v>Budget</v>
          </cell>
          <cell r="C4603" t="str">
            <v>May</v>
          </cell>
          <cell r="D4603" t="str">
            <v>Chairs</v>
          </cell>
          <cell r="E4603">
            <v>1184486.4919999999</v>
          </cell>
          <cell r="F4603">
            <v>5</v>
          </cell>
        </row>
        <row r="4604">
          <cell r="A4604">
            <v>2019</v>
          </cell>
          <cell r="B4604" t="str">
            <v>Actual</v>
          </cell>
          <cell r="C4604" t="str">
            <v>May</v>
          </cell>
          <cell r="D4604" t="str">
            <v>Chairs</v>
          </cell>
          <cell r="E4604">
            <v>2029012.02</v>
          </cell>
          <cell r="F4604">
            <v>5</v>
          </cell>
        </row>
        <row r="4605">
          <cell r="A4605">
            <v>2019</v>
          </cell>
          <cell r="B4605" t="str">
            <v>Budget</v>
          </cell>
          <cell r="C4605" t="str">
            <v>May</v>
          </cell>
          <cell r="D4605" t="str">
            <v>Chairs</v>
          </cell>
          <cell r="E4605">
            <v>1295358.575</v>
          </cell>
          <cell r="F4605">
            <v>5</v>
          </cell>
        </row>
        <row r="4606">
          <cell r="A4606">
            <v>2018</v>
          </cell>
          <cell r="B4606" t="str">
            <v>Actual</v>
          </cell>
          <cell r="C4606" t="str">
            <v>May</v>
          </cell>
          <cell r="D4606" t="str">
            <v>Chairs</v>
          </cell>
          <cell r="E4606">
            <v>443040.73099999997</v>
          </cell>
          <cell r="F4606">
            <v>5</v>
          </cell>
        </row>
        <row r="4607">
          <cell r="A4607">
            <v>2018</v>
          </cell>
          <cell r="B4607" t="str">
            <v>Budget</v>
          </cell>
          <cell r="C4607" t="str">
            <v>May</v>
          </cell>
          <cell r="D4607" t="str">
            <v>Chairs</v>
          </cell>
          <cell r="E4607">
            <v>73100.09</v>
          </cell>
          <cell r="F4607">
            <v>5</v>
          </cell>
        </row>
        <row r="4608">
          <cell r="A4608">
            <v>2019</v>
          </cell>
          <cell r="B4608" t="str">
            <v>Actual</v>
          </cell>
          <cell r="C4608" t="str">
            <v>May</v>
          </cell>
          <cell r="D4608" t="str">
            <v>Chairs</v>
          </cell>
          <cell r="E4608">
            <v>180016.788</v>
          </cell>
          <cell r="F4608">
            <v>5</v>
          </cell>
        </row>
        <row r="4609">
          <cell r="A4609">
            <v>2018</v>
          </cell>
          <cell r="B4609" t="str">
            <v>Budget</v>
          </cell>
          <cell r="C4609" t="str">
            <v>May</v>
          </cell>
          <cell r="D4609" t="str">
            <v>Chairs</v>
          </cell>
          <cell r="E4609">
            <v>413646.90499999997</v>
          </cell>
          <cell r="F4609">
            <v>5</v>
          </cell>
        </row>
        <row r="4610">
          <cell r="A4610">
            <v>2018</v>
          </cell>
          <cell r="B4610" t="str">
            <v>Actual</v>
          </cell>
          <cell r="C4610" t="str">
            <v>May</v>
          </cell>
          <cell r="D4610" t="str">
            <v>Chairs</v>
          </cell>
          <cell r="E4610">
            <v>483496.55199999997</v>
          </cell>
          <cell r="F4610">
            <v>5</v>
          </cell>
        </row>
        <row r="4611">
          <cell r="A4611">
            <v>2019</v>
          </cell>
          <cell r="B4611" t="str">
            <v>Budget</v>
          </cell>
          <cell r="C4611" t="str">
            <v>May</v>
          </cell>
          <cell r="D4611" t="str">
            <v>Tables</v>
          </cell>
          <cell r="E4611">
            <v>65215.051999999996</v>
          </cell>
          <cell r="F4611">
            <v>5</v>
          </cell>
        </row>
        <row r="4612">
          <cell r="A4612">
            <v>2019</v>
          </cell>
          <cell r="B4612" t="str">
            <v>Actual</v>
          </cell>
          <cell r="C4612" t="str">
            <v>May</v>
          </cell>
          <cell r="D4612" t="str">
            <v>Kitchen</v>
          </cell>
          <cell r="E4612">
            <v>1215826.2409999999</v>
          </cell>
          <cell r="F4612">
            <v>5</v>
          </cell>
        </row>
        <row r="4613">
          <cell r="A4613">
            <v>2018</v>
          </cell>
          <cell r="B4613" t="str">
            <v>Budget</v>
          </cell>
          <cell r="C4613" t="str">
            <v>May</v>
          </cell>
          <cell r="D4613" t="str">
            <v>Chairs</v>
          </cell>
          <cell r="E4613">
            <v>181341.90899999999</v>
          </cell>
          <cell r="F4613">
            <v>5</v>
          </cell>
        </row>
        <row r="4614">
          <cell r="A4614">
            <v>2019</v>
          </cell>
          <cell r="B4614" t="str">
            <v>Actual</v>
          </cell>
          <cell r="C4614" t="str">
            <v>May</v>
          </cell>
          <cell r="D4614" t="str">
            <v>Chairs</v>
          </cell>
          <cell r="E4614">
            <v>981173.52899999986</v>
          </cell>
          <cell r="F4614">
            <v>5</v>
          </cell>
        </row>
        <row r="4615">
          <cell r="A4615">
            <v>2019</v>
          </cell>
          <cell r="B4615" t="str">
            <v>Budget</v>
          </cell>
          <cell r="C4615" t="str">
            <v>May</v>
          </cell>
          <cell r="D4615" t="str">
            <v>Chairs</v>
          </cell>
          <cell r="E4615">
            <v>121048.886</v>
          </cell>
          <cell r="F4615">
            <v>5</v>
          </cell>
        </row>
        <row r="4616">
          <cell r="A4616">
            <v>2019</v>
          </cell>
          <cell r="B4616" t="str">
            <v>Actual</v>
          </cell>
          <cell r="C4616" t="str">
            <v>May</v>
          </cell>
          <cell r="D4616" t="str">
            <v>Chairs</v>
          </cell>
          <cell r="E4616">
            <v>1754337.8089999999</v>
          </cell>
          <cell r="F4616">
            <v>5</v>
          </cell>
        </row>
        <row r="4617">
          <cell r="A4617">
            <v>2019</v>
          </cell>
          <cell r="B4617" t="str">
            <v>Budget</v>
          </cell>
          <cell r="C4617" t="str">
            <v>May</v>
          </cell>
          <cell r="D4617" t="str">
            <v>Chairs</v>
          </cell>
          <cell r="E4617">
            <v>251729.15599999999</v>
          </cell>
          <cell r="F4617">
            <v>5</v>
          </cell>
        </row>
        <row r="4618">
          <cell r="A4618">
            <v>2019</v>
          </cell>
          <cell r="B4618" t="str">
            <v>Actual</v>
          </cell>
          <cell r="C4618" t="str">
            <v>May</v>
          </cell>
          <cell r="D4618" t="str">
            <v>Tables</v>
          </cell>
          <cell r="E4618">
            <v>274812.92300000001</v>
          </cell>
          <cell r="F4618">
            <v>5</v>
          </cell>
        </row>
        <row r="4619">
          <cell r="A4619">
            <v>2019</v>
          </cell>
          <cell r="B4619" t="str">
            <v>Budget</v>
          </cell>
          <cell r="C4619" t="str">
            <v>May</v>
          </cell>
          <cell r="D4619" t="str">
            <v>Kitchen</v>
          </cell>
          <cell r="E4619">
            <v>199424.75</v>
          </cell>
          <cell r="F4619">
            <v>5</v>
          </cell>
        </row>
        <row r="4620">
          <cell r="A4620">
            <v>2019</v>
          </cell>
          <cell r="B4620" t="str">
            <v>Actual</v>
          </cell>
          <cell r="C4620" t="str">
            <v>May</v>
          </cell>
          <cell r="D4620" t="str">
            <v>Chairs</v>
          </cell>
          <cell r="E4620">
            <v>2162803.8109999998</v>
          </cell>
          <cell r="F4620">
            <v>5</v>
          </cell>
        </row>
        <row r="4621">
          <cell r="A4621">
            <v>2018</v>
          </cell>
          <cell r="B4621" t="str">
            <v>Budget</v>
          </cell>
          <cell r="C4621" t="str">
            <v>May</v>
          </cell>
          <cell r="D4621" t="str">
            <v>Chairs</v>
          </cell>
          <cell r="E4621">
            <v>123973.79399999999</v>
          </cell>
          <cell r="F4621">
            <v>5</v>
          </cell>
        </row>
        <row r="4622">
          <cell r="A4622">
            <v>2018</v>
          </cell>
          <cell r="B4622" t="str">
            <v>Actual</v>
          </cell>
          <cell r="C4622" t="str">
            <v>May</v>
          </cell>
          <cell r="D4622" t="str">
            <v>Chairs</v>
          </cell>
          <cell r="E4622">
            <v>123308.89899999999</v>
          </cell>
          <cell r="F4622">
            <v>5</v>
          </cell>
        </row>
        <row r="4623">
          <cell r="A4623">
            <v>2019</v>
          </cell>
          <cell r="B4623" t="str">
            <v>Budget</v>
          </cell>
          <cell r="C4623" t="str">
            <v>May</v>
          </cell>
          <cell r="D4623" t="str">
            <v>Tables</v>
          </cell>
          <cell r="E4623">
            <v>123441.878</v>
          </cell>
          <cell r="F4623">
            <v>5</v>
          </cell>
        </row>
        <row r="4624">
          <cell r="A4624">
            <v>2018</v>
          </cell>
          <cell r="B4624" t="str">
            <v>Actual</v>
          </cell>
          <cell r="C4624" t="str">
            <v>May</v>
          </cell>
          <cell r="D4624" t="str">
            <v>Kitchen</v>
          </cell>
          <cell r="E4624">
            <v>125296.99</v>
          </cell>
          <cell r="F4624">
            <v>5</v>
          </cell>
        </row>
        <row r="4625">
          <cell r="A4625">
            <v>2018</v>
          </cell>
          <cell r="B4625" t="str">
            <v>Budget</v>
          </cell>
          <cell r="C4625" t="str">
            <v>May</v>
          </cell>
          <cell r="D4625" t="str">
            <v>Chairs</v>
          </cell>
          <cell r="E4625">
            <v>123366.04699999999</v>
          </cell>
          <cell r="F4625">
            <v>5</v>
          </cell>
        </row>
        <row r="4626">
          <cell r="A4626">
            <v>2018</v>
          </cell>
          <cell r="B4626" t="str">
            <v>Actual</v>
          </cell>
          <cell r="C4626" t="str">
            <v>May</v>
          </cell>
          <cell r="D4626" t="str">
            <v>Chairs</v>
          </cell>
          <cell r="E4626">
            <v>125258.52499999999</v>
          </cell>
          <cell r="F4626">
            <v>5</v>
          </cell>
        </row>
        <row r="4627">
          <cell r="A4627">
            <v>2018</v>
          </cell>
          <cell r="B4627" t="str">
            <v>Budget</v>
          </cell>
          <cell r="C4627" t="str">
            <v>May</v>
          </cell>
          <cell r="D4627" t="str">
            <v>Tables</v>
          </cell>
          <cell r="E4627">
            <v>111027.75599999998</v>
          </cell>
          <cell r="F4627">
            <v>5</v>
          </cell>
        </row>
        <row r="4628">
          <cell r="A4628">
            <v>2018</v>
          </cell>
          <cell r="B4628" t="str">
            <v>Actual</v>
          </cell>
          <cell r="C4628" t="str">
            <v>May</v>
          </cell>
          <cell r="D4628" t="str">
            <v>Kitchen</v>
          </cell>
          <cell r="E4628">
            <v>36178.947</v>
          </cell>
          <cell r="F4628">
            <v>5</v>
          </cell>
        </row>
        <row r="4629">
          <cell r="A4629">
            <v>2018</v>
          </cell>
          <cell r="B4629" t="str">
            <v>Budget</v>
          </cell>
          <cell r="C4629" t="str">
            <v>May</v>
          </cell>
          <cell r="D4629" t="str">
            <v>Chairs</v>
          </cell>
          <cell r="E4629">
            <v>125826.59599999999</v>
          </cell>
          <cell r="F4629">
            <v>5</v>
          </cell>
        </row>
        <row r="4630">
          <cell r="A4630">
            <v>2018</v>
          </cell>
          <cell r="B4630" t="str">
            <v>Actual</v>
          </cell>
          <cell r="C4630" t="str">
            <v>May</v>
          </cell>
          <cell r="D4630" t="str">
            <v>Chairs</v>
          </cell>
          <cell r="E4630">
            <v>91588.672000000006</v>
          </cell>
          <cell r="F4630">
            <v>5</v>
          </cell>
        </row>
        <row r="4631">
          <cell r="A4631">
            <v>2019</v>
          </cell>
          <cell r="B4631" t="str">
            <v>Budget</v>
          </cell>
          <cell r="C4631" t="str">
            <v>May</v>
          </cell>
          <cell r="D4631" t="str">
            <v>Chairs</v>
          </cell>
          <cell r="E4631">
            <v>140768.41799999998</v>
          </cell>
          <cell r="F4631">
            <v>5</v>
          </cell>
        </row>
        <row r="4632">
          <cell r="A4632">
            <v>2019</v>
          </cell>
          <cell r="B4632" t="str">
            <v>Actual</v>
          </cell>
          <cell r="C4632" t="str">
            <v>May</v>
          </cell>
          <cell r="D4632" t="str">
            <v>Tables</v>
          </cell>
          <cell r="E4632">
            <v>110155.05899999999</v>
          </cell>
          <cell r="F4632">
            <v>5</v>
          </cell>
        </row>
        <row r="4633">
          <cell r="A4633">
            <v>2019</v>
          </cell>
          <cell r="B4633" t="str">
            <v>Budget</v>
          </cell>
          <cell r="C4633" t="str">
            <v>May</v>
          </cell>
          <cell r="D4633" t="str">
            <v>Kitchen</v>
          </cell>
          <cell r="E4633">
            <v>3339.0839999999998</v>
          </cell>
          <cell r="F4633">
            <v>5</v>
          </cell>
        </row>
        <row r="4634">
          <cell r="A4634">
            <v>2018</v>
          </cell>
          <cell r="B4634" t="str">
            <v>Actual</v>
          </cell>
          <cell r="C4634" t="str">
            <v>May</v>
          </cell>
          <cell r="D4634" t="str">
            <v>Accessories</v>
          </cell>
          <cell r="E4634">
            <v>118593.74800000001</v>
          </cell>
          <cell r="F4634">
            <v>5</v>
          </cell>
        </row>
        <row r="4635">
          <cell r="A4635">
            <v>2019</v>
          </cell>
          <cell r="B4635" t="str">
            <v>Budget</v>
          </cell>
          <cell r="C4635" t="str">
            <v>May</v>
          </cell>
          <cell r="D4635" t="str">
            <v>Chairs</v>
          </cell>
          <cell r="E4635">
            <v>199666.59299999999</v>
          </cell>
          <cell r="F4635">
            <v>5</v>
          </cell>
        </row>
        <row r="4636">
          <cell r="A4636">
            <v>2019</v>
          </cell>
          <cell r="B4636" t="str">
            <v>Actual</v>
          </cell>
          <cell r="C4636" t="str">
            <v>May</v>
          </cell>
          <cell r="D4636" t="str">
            <v>Tables</v>
          </cell>
          <cell r="E4636">
            <v>49952.153999999995</v>
          </cell>
          <cell r="F4636">
            <v>5</v>
          </cell>
        </row>
        <row r="4637">
          <cell r="A4637">
            <v>2019</v>
          </cell>
          <cell r="B4637" t="str">
            <v>Budget</v>
          </cell>
          <cell r="C4637" t="str">
            <v>May</v>
          </cell>
          <cell r="D4637" t="str">
            <v>Kitchen</v>
          </cell>
          <cell r="E4637">
            <v>29185.092999999997</v>
          </cell>
          <cell r="F4637">
            <v>5</v>
          </cell>
        </row>
        <row r="4638">
          <cell r="A4638">
            <v>2019</v>
          </cell>
          <cell r="B4638" t="str">
            <v>Actual</v>
          </cell>
          <cell r="C4638" t="str">
            <v>May</v>
          </cell>
          <cell r="D4638" t="str">
            <v>Accessories</v>
          </cell>
          <cell r="E4638">
            <v>20756.028999999999</v>
          </cell>
          <cell r="F4638">
            <v>5</v>
          </cell>
        </row>
        <row r="4639">
          <cell r="A4639">
            <v>2019</v>
          </cell>
          <cell r="B4639" t="str">
            <v>Budget</v>
          </cell>
          <cell r="C4639" t="str">
            <v>May</v>
          </cell>
          <cell r="D4639" t="str">
            <v>Chairs</v>
          </cell>
          <cell r="E4639">
            <v>58598.589</v>
          </cell>
          <cell r="F4639">
            <v>5</v>
          </cell>
        </row>
        <row r="4640">
          <cell r="A4640">
            <v>2019</v>
          </cell>
          <cell r="B4640" t="str">
            <v>Actual</v>
          </cell>
          <cell r="C4640" t="str">
            <v>May</v>
          </cell>
          <cell r="D4640" t="str">
            <v>Tables</v>
          </cell>
          <cell r="E4640">
            <v>299761.42699999997</v>
          </cell>
          <cell r="F4640">
            <v>5</v>
          </cell>
        </row>
        <row r="4641">
          <cell r="A4641">
            <v>2019</v>
          </cell>
          <cell r="B4641" t="str">
            <v>Budget</v>
          </cell>
          <cell r="C4641" t="str">
            <v>May</v>
          </cell>
          <cell r="D4641" t="str">
            <v>Kitchen</v>
          </cell>
          <cell r="E4641">
            <v>101213.329</v>
          </cell>
          <cell r="F4641">
            <v>5</v>
          </cell>
        </row>
        <row r="4642">
          <cell r="A4642">
            <v>2019</v>
          </cell>
          <cell r="B4642" t="str">
            <v>Actual</v>
          </cell>
          <cell r="C4642" t="str">
            <v>May</v>
          </cell>
          <cell r="D4642" t="str">
            <v>Accessories</v>
          </cell>
          <cell r="E4642">
            <v>18396.300999999999</v>
          </cell>
          <cell r="F4642">
            <v>5</v>
          </cell>
        </row>
        <row r="4643">
          <cell r="A4643">
            <v>2018</v>
          </cell>
          <cell r="B4643" t="str">
            <v>Budget</v>
          </cell>
          <cell r="C4643" t="str">
            <v>May</v>
          </cell>
          <cell r="D4643" t="str">
            <v>Chairs</v>
          </cell>
          <cell r="E4643">
            <v>42301.370999999999</v>
          </cell>
          <cell r="F4643">
            <v>5</v>
          </cell>
        </row>
        <row r="4644">
          <cell r="A4644">
            <v>2019</v>
          </cell>
          <cell r="B4644" t="str">
            <v>Actual</v>
          </cell>
          <cell r="C4644" t="str">
            <v>May</v>
          </cell>
          <cell r="D4644" t="str">
            <v>Tables</v>
          </cell>
          <cell r="E4644">
            <v>105127.56799999998</v>
          </cell>
          <cell r="F4644">
            <v>5</v>
          </cell>
        </row>
        <row r="4645">
          <cell r="A4645">
            <v>2018</v>
          </cell>
          <cell r="B4645" t="str">
            <v>Budget</v>
          </cell>
          <cell r="C4645" t="str">
            <v>May</v>
          </cell>
          <cell r="D4645" t="str">
            <v>Kitchen</v>
          </cell>
          <cell r="E4645">
            <v>121047.82199999999</v>
          </cell>
          <cell r="F4645">
            <v>5</v>
          </cell>
        </row>
        <row r="4646">
          <cell r="A4646">
            <v>2019</v>
          </cell>
          <cell r="B4646" t="str">
            <v>Actual</v>
          </cell>
          <cell r="C4646" t="str">
            <v>May</v>
          </cell>
          <cell r="D4646" t="str">
            <v>Accessories</v>
          </cell>
          <cell r="E4646">
            <v>90003.157999999996</v>
          </cell>
          <cell r="F4646">
            <v>5</v>
          </cell>
        </row>
        <row r="4647">
          <cell r="A4647">
            <v>2018</v>
          </cell>
          <cell r="B4647" t="str">
            <v>Budget</v>
          </cell>
          <cell r="C4647" t="str">
            <v>May</v>
          </cell>
          <cell r="D4647" t="str">
            <v>Chairs</v>
          </cell>
          <cell r="E4647">
            <v>36602.663999999997</v>
          </cell>
          <cell r="F4647">
            <v>5</v>
          </cell>
        </row>
        <row r="4648">
          <cell r="A4648">
            <v>2019</v>
          </cell>
          <cell r="B4648" t="str">
            <v>Actual</v>
          </cell>
          <cell r="C4648" t="str">
            <v>May</v>
          </cell>
          <cell r="D4648" t="str">
            <v>Chairs</v>
          </cell>
          <cell r="E4648">
            <v>1040375.917</v>
          </cell>
          <cell r="F4648">
            <v>5</v>
          </cell>
        </row>
        <row r="4649">
          <cell r="A4649">
            <v>2018</v>
          </cell>
          <cell r="B4649" t="str">
            <v>Budget</v>
          </cell>
          <cell r="C4649" t="str">
            <v>May</v>
          </cell>
          <cell r="D4649" t="str">
            <v>Tables</v>
          </cell>
          <cell r="E4649">
            <v>50151.030999999995</v>
          </cell>
          <cell r="F4649">
            <v>5</v>
          </cell>
        </row>
        <row r="4650">
          <cell r="A4650">
            <v>2018</v>
          </cell>
          <cell r="B4650" t="str">
            <v>Actual</v>
          </cell>
          <cell r="C4650" t="str">
            <v>May</v>
          </cell>
          <cell r="D4650" t="str">
            <v>Kitchen</v>
          </cell>
          <cell r="E4650">
            <v>20644.616999999998</v>
          </cell>
          <cell r="F4650">
            <v>5</v>
          </cell>
        </row>
        <row r="4651">
          <cell r="A4651">
            <v>2019</v>
          </cell>
          <cell r="B4651" t="str">
            <v>Budget</v>
          </cell>
          <cell r="C4651" t="str">
            <v>May</v>
          </cell>
          <cell r="D4651" t="str">
            <v>Chairs</v>
          </cell>
          <cell r="E4651">
            <v>192378.67599999998</v>
          </cell>
          <cell r="F4651">
            <v>5</v>
          </cell>
        </row>
        <row r="4652">
          <cell r="A4652">
            <v>2019</v>
          </cell>
          <cell r="B4652" t="str">
            <v>Actual</v>
          </cell>
          <cell r="C4652" t="str">
            <v>May</v>
          </cell>
          <cell r="D4652" t="str">
            <v>Tables</v>
          </cell>
          <cell r="E4652">
            <v>475829.20699999999</v>
          </cell>
          <cell r="F4652">
            <v>5</v>
          </cell>
        </row>
        <row r="4653">
          <cell r="A4653">
            <v>2018</v>
          </cell>
          <cell r="B4653" t="str">
            <v>Budget</v>
          </cell>
          <cell r="C4653" t="str">
            <v>May</v>
          </cell>
          <cell r="D4653" t="str">
            <v>Kitchen</v>
          </cell>
          <cell r="E4653">
            <v>100954.15399999999</v>
          </cell>
          <cell r="F4653">
            <v>5</v>
          </cell>
        </row>
        <row r="4654">
          <cell r="A4654">
            <v>2018</v>
          </cell>
          <cell r="B4654" t="str">
            <v>Actual</v>
          </cell>
          <cell r="C4654" t="str">
            <v>May</v>
          </cell>
          <cell r="D4654" t="str">
            <v>Chairs</v>
          </cell>
          <cell r="E4654">
            <v>51399.516000000003</v>
          </cell>
          <cell r="F4654">
            <v>5</v>
          </cell>
        </row>
        <row r="4655">
          <cell r="A4655">
            <v>2019</v>
          </cell>
          <cell r="B4655" t="str">
            <v>Budget</v>
          </cell>
          <cell r="C4655" t="str">
            <v>May</v>
          </cell>
          <cell r="D4655" t="str">
            <v>Tables</v>
          </cell>
          <cell r="E4655">
            <v>1408637.7479999999</v>
          </cell>
          <cell r="F4655">
            <v>5</v>
          </cell>
        </row>
        <row r="4656">
          <cell r="A4656">
            <v>2019</v>
          </cell>
          <cell r="B4656" t="str">
            <v>Actual</v>
          </cell>
          <cell r="C4656" t="str">
            <v>May</v>
          </cell>
          <cell r="D4656" t="str">
            <v>Kitchen</v>
          </cell>
          <cell r="E4656">
            <v>1354234.9169999999</v>
          </cell>
          <cell r="F4656">
            <v>5</v>
          </cell>
        </row>
        <row r="4657">
          <cell r="A4657">
            <v>2018</v>
          </cell>
          <cell r="B4657" t="str">
            <v>Budget</v>
          </cell>
          <cell r="C4657" t="str">
            <v>May</v>
          </cell>
          <cell r="D4657" t="str">
            <v>Chairs</v>
          </cell>
          <cell r="E4657">
            <v>284492.97100000002</v>
          </cell>
          <cell r="F4657">
            <v>5</v>
          </cell>
        </row>
        <row r="4658">
          <cell r="A4658">
            <v>2019</v>
          </cell>
          <cell r="B4658" t="str">
            <v>Actual</v>
          </cell>
          <cell r="C4658" t="str">
            <v>May</v>
          </cell>
          <cell r="D4658" t="str">
            <v>Chairs</v>
          </cell>
          <cell r="E4658">
            <v>653869.97199999995</v>
          </cell>
          <cell r="F4658">
            <v>5</v>
          </cell>
        </row>
        <row r="4659">
          <cell r="A4659">
            <v>2019</v>
          </cell>
          <cell r="B4659" t="str">
            <v>Budget</v>
          </cell>
          <cell r="C4659" t="str">
            <v>May</v>
          </cell>
          <cell r="D4659" t="str">
            <v>Chairs</v>
          </cell>
          <cell r="E4659">
            <v>734961.72400000005</v>
          </cell>
          <cell r="F4659">
            <v>5</v>
          </cell>
        </row>
        <row r="4660">
          <cell r="A4660">
            <v>2018</v>
          </cell>
          <cell r="B4660" t="str">
            <v>Actual</v>
          </cell>
          <cell r="C4660" t="str">
            <v>May</v>
          </cell>
          <cell r="D4660" t="str">
            <v>Chairs</v>
          </cell>
          <cell r="E4660">
            <v>106763.00599999998</v>
          </cell>
          <cell r="F4660">
            <v>5</v>
          </cell>
        </row>
        <row r="4661">
          <cell r="A4661">
            <v>2018</v>
          </cell>
          <cell r="B4661" t="str">
            <v>Budget</v>
          </cell>
          <cell r="C4661" t="str">
            <v>May</v>
          </cell>
          <cell r="D4661" t="str">
            <v>Chairs</v>
          </cell>
          <cell r="E4661">
            <v>535573.07299999997</v>
          </cell>
          <cell r="F4661">
            <v>5</v>
          </cell>
        </row>
        <row r="4662">
          <cell r="A4662">
            <v>2019</v>
          </cell>
          <cell r="B4662" t="str">
            <v>Actual</v>
          </cell>
          <cell r="C4662" t="str">
            <v>May</v>
          </cell>
          <cell r="D4662" t="str">
            <v>Chairs</v>
          </cell>
          <cell r="E4662">
            <v>411267.87800000003</v>
          </cell>
          <cell r="F4662">
            <v>5</v>
          </cell>
        </row>
        <row r="4663">
          <cell r="A4663">
            <v>2019</v>
          </cell>
          <cell r="B4663" t="str">
            <v>Budget</v>
          </cell>
          <cell r="C4663" t="str">
            <v>May</v>
          </cell>
          <cell r="D4663" t="str">
            <v>Chairs</v>
          </cell>
          <cell r="E4663">
            <v>772542.83400000003</v>
          </cell>
          <cell r="F4663">
            <v>5</v>
          </cell>
        </row>
        <row r="4664">
          <cell r="A4664">
            <v>2019</v>
          </cell>
          <cell r="B4664" t="str">
            <v>Actual</v>
          </cell>
          <cell r="C4664" t="str">
            <v>May</v>
          </cell>
          <cell r="D4664" t="str">
            <v>Chairs</v>
          </cell>
          <cell r="E4664">
            <v>771108.46399999992</v>
          </cell>
          <cell r="F4664">
            <v>5</v>
          </cell>
        </row>
        <row r="4665">
          <cell r="A4665">
            <v>2018</v>
          </cell>
          <cell r="B4665" t="str">
            <v>Budget</v>
          </cell>
          <cell r="C4665" t="str">
            <v>May</v>
          </cell>
          <cell r="D4665" t="str">
            <v>Chairs</v>
          </cell>
          <cell r="E4665">
            <v>581759.13599999994</v>
          </cell>
          <cell r="F4665">
            <v>5</v>
          </cell>
        </row>
        <row r="4666">
          <cell r="A4666">
            <v>2019</v>
          </cell>
          <cell r="B4666" t="str">
            <v>Actual</v>
          </cell>
          <cell r="C4666" t="str">
            <v>May</v>
          </cell>
          <cell r="D4666" t="str">
            <v>Chairs</v>
          </cell>
          <cell r="E4666">
            <v>1459031.6369999999</v>
          </cell>
          <cell r="F4666">
            <v>5</v>
          </cell>
        </row>
        <row r="4667">
          <cell r="A4667">
            <v>2018</v>
          </cell>
          <cell r="B4667" t="str">
            <v>Budget</v>
          </cell>
          <cell r="C4667" t="str">
            <v>May</v>
          </cell>
          <cell r="D4667" t="str">
            <v>Chairs</v>
          </cell>
          <cell r="E4667">
            <v>1831091.0939999998</v>
          </cell>
          <cell r="F4667">
            <v>5</v>
          </cell>
        </row>
        <row r="4668">
          <cell r="A4668">
            <v>2019</v>
          </cell>
          <cell r="B4668" t="str">
            <v>Actual</v>
          </cell>
          <cell r="C4668" t="str">
            <v>May</v>
          </cell>
          <cell r="D4668" t="str">
            <v>Chairs</v>
          </cell>
          <cell r="E4668">
            <v>170433.31899999999</v>
          </cell>
          <cell r="F4668">
            <v>5</v>
          </cell>
        </row>
        <row r="4669">
          <cell r="A4669">
            <v>2019</v>
          </cell>
          <cell r="B4669" t="str">
            <v>Budget</v>
          </cell>
          <cell r="C4669" t="str">
            <v>May</v>
          </cell>
          <cell r="D4669" t="str">
            <v>Chairs</v>
          </cell>
          <cell r="E4669">
            <v>372191.19699999993</v>
          </cell>
          <cell r="F4669">
            <v>5</v>
          </cell>
        </row>
        <row r="4670">
          <cell r="A4670">
            <v>2019</v>
          </cell>
          <cell r="B4670" t="str">
            <v>Actual</v>
          </cell>
          <cell r="C4670" t="str">
            <v>May</v>
          </cell>
          <cell r="D4670" t="str">
            <v>Chairs</v>
          </cell>
          <cell r="E4670">
            <v>24452.428</v>
          </cell>
          <cell r="F4670">
            <v>5</v>
          </cell>
        </row>
        <row r="4671">
          <cell r="A4671">
            <v>2019</v>
          </cell>
          <cell r="B4671" t="str">
            <v>Budget</v>
          </cell>
          <cell r="C4671" t="str">
            <v>May</v>
          </cell>
          <cell r="D4671" t="str">
            <v>Chairs</v>
          </cell>
          <cell r="E4671">
            <v>748505.821</v>
          </cell>
          <cell r="F4671">
            <v>5</v>
          </cell>
        </row>
        <row r="4672">
          <cell r="A4672">
            <v>2019</v>
          </cell>
          <cell r="B4672" t="str">
            <v>Actual</v>
          </cell>
          <cell r="C4672" t="str">
            <v>May</v>
          </cell>
          <cell r="D4672" t="str">
            <v>Chairs</v>
          </cell>
          <cell r="E4672">
            <v>206842.64299999998</v>
          </cell>
          <cell r="F4672">
            <v>5</v>
          </cell>
        </row>
        <row r="4673">
          <cell r="A4673">
            <v>2019</v>
          </cell>
          <cell r="B4673" t="str">
            <v>Budget</v>
          </cell>
          <cell r="C4673" t="str">
            <v>May</v>
          </cell>
          <cell r="D4673" t="str">
            <v>Chairs</v>
          </cell>
          <cell r="E4673">
            <v>12899.361999999999</v>
          </cell>
          <cell r="F4673">
            <v>5</v>
          </cell>
        </row>
        <row r="4674">
          <cell r="A4674">
            <v>2018</v>
          </cell>
          <cell r="B4674" t="str">
            <v>Actual</v>
          </cell>
          <cell r="C4674" t="str">
            <v>May</v>
          </cell>
          <cell r="D4674" t="str">
            <v>Chairs</v>
          </cell>
          <cell r="E4674">
            <v>12451.914999999999</v>
          </cell>
          <cell r="F4674">
            <v>5</v>
          </cell>
        </row>
        <row r="4675">
          <cell r="A4675">
            <v>2019</v>
          </cell>
          <cell r="B4675" t="str">
            <v>Budget</v>
          </cell>
          <cell r="C4675" t="str">
            <v>May</v>
          </cell>
          <cell r="D4675" t="str">
            <v>Chairs</v>
          </cell>
          <cell r="E4675">
            <v>19176.457999999999</v>
          </cell>
          <cell r="F4675">
            <v>5</v>
          </cell>
        </row>
        <row r="4676">
          <cell r="A4676">
            <v>2018</v>
          </cell>
          <cell r="B4676" t="str">
            <v>Actual</v>
          </cell>
          <cell r="C4676" t="str">
            <v>May</v>
          </cell>
          <cell r="D4676" t="str">
            <v>Chairs</v>
          </cell>
          <cell r="E4676">
            <v>425293.79899999994</v>
          </cell>
          <cell r="F4676">
            <v>5</v>
          </cell>
        </row>
        <row r="4677">
          <cell r="A4677">
            <v>2018</v>
          </cell>
          <cell r="B4677" t="str">
            <v>Budget</v>
          </cell>
          <cell r="C4677" t="str">
            <v>May</v>
          </cell>
          <cell r="D4677" t="str">
            <v>Chairs</v>
          </cell>
          <cell r="E4677">
            <v>19252205.370999999</v>
          </cell>
          <cell r="F4677">
            <v>5</v>
          </cell>
        </row>
        <row r="4678">
          <cell r="A4678">
            <v>2019</v>
          </cell>
          <cell r="B4678" t="str">
            <v>Actual</v>
          </cell>
          <cell r="C4678" t="str">
            <v>May</v>
          </cell>
          <cell r="D4678" t="str">
            <v>Chairs</v>
          </cell>
          <cell r="E4678">
            <v>31681.502999999997</v>
          </cell>
          <cell r="F4678">
            <v>5</v>
          </cell>
        </row>
        <row r="4679">
          <cell r="A4679">
            <v>2018</v>
          </cell>
          <cell r="B4679" t="str">
            <v>Budget</v>
          </cell>
          <cell r="C4679" t="str">
            <v>May</v>
          </cell>
          <cell r="D4679" t="str">
            <v>Chairs</v>
          </cell>
          <cell r="E4679">
            <v>7659.4769999999999</v>
          </cell>
          <cell r="F4679">
            <v>5</v>
          </cell>
        </row>
        <row r="4680">
          <cell r="A4680">
            <v>2018</v>
          </cell>
          <cell r="B4680" t="str">
            <v>Actual</v>
          </cell>
          <cell r="C4680" t="str">
            <v>May</v>
          </cell>
          <cell r="D4680" t="str">
            <v>Chairs</v>
          </cell>
          <cell r="E4680">
            <v>79697.254000000001</v>
          </cell>
          <cell r="F4680">
            <v>5</v>
          </cell>
        </row>
        <row r="4681">
          <cell r="A4681">
            <v>2019</v>
          </cell>
          <cell r="B4681" t="str">
            <v>Budget</v>
          </cell>
          <cell r="C4681" t="str">
            <v>May</v>
          </cell>
          <cell r="D4681" t="str">
            <v>Chairs</v>
          </cell>
          <cell r="E4681">
            <v>58713.430999999997</v>
          </cell>
          <cell r="F4681">
            <v>5</v>
          </cell>
        </row>
        <row r="4682">
          <cell r="A4682">
            <v>2018</v>
          </cell>
          <cell r="B4682" t="str">
            <v>Actual</v>
          </cell>
          <cell r="C4682" t="str">
            <v>May</v>
          </cell>
          <cell r="D4682" t="str">
            <v>Chairs</v>
          </cell>
          <cell r="E4682">
            <v>575017.88399999996</v>
          </cell>
          <cell r="F4682">
            <v>5</v>
          </cell>
        </row>
        <row r="4683">
          <cell r="A4683">
            <v>2018</v>
          </cell>
          <cell r="B4683" t="str">
            <v>Budget</v>
          </cell>
          <cell r="C4683" t="str">
            <v>May</v>
          </cell>
          <cell r="D4683" t="str">
            <v>Tables</v>
          </cell>
          <cell r="E4683">
            <v>644718.46600000001</v>
          </cell>
          <cell r="F4683">
            <v>5</v>
          </cell>
        </row>
        <row r="4684">
          <cell r="A4684">
            <v>2018</v>
          </cell>
          <cell r="B4684" t="str">
            <v>Actual</v>
          </cell>
          <cell r="C4684" t="str">
            <v>May</v>
          </cell>
          <cell r="D4684" t="str">
            <v>Kitchen</v>
          </cell>
          <cell r="E4684">
            <v>398508.30599999992</v>
          </cell>
          <cell r="F4684">
            <v>5</v>
          </cell>
        </row>
        <row r="4685">
          <cell r="A4685">
            <v>2019</v>
          </cell>
          <cell r="B4685" t="str">
            <v>Budget</v>
          </cell>
          <cell r="C4685" t="str">
            <v>May</v>
          </cell>
          <cell r="D4685" t="str">
            <v>Chairs</v>
          </cell>
          <cell r="E4685">
            <v>192072.47499999998</v>
          </cell>
          <cell r="F4685">
            <v>5</v>
          </cell>
        </row>
        <row r="4686">
          <cell r="A4686">
            <v>2018</v>
          </cell>
          <cell r="B4686" t="str">
            <v>Actual</v>
          </cell>
          <cell r="C4686" t="str">
            <v>May</v>
          </cell>
          <cell r="D4686" t="str">
            <v>Chairs</v>
          </cell>
          <cell r="E4686">
            <v>114212.686</v>
          </cell>
          <cell r="F4686">
            <v>5</v>
          </cell>
        </row>
        <row r="4687">
          <cell r="A4687">
            <v>2018</v>
          </cell>
          <cell r="B4687" t="str">
            <v>Budget</v>
          </cell>
          <cell r="C4687" t="str">
            <v>May</v>
          </cell>
          <cell r="D4687" t="str">
            <v>Chairs</v>
          </cell>
          <cell r="E4687">
            <v>32519.003999999997</v>
          </cell>
          <cell r="F4687">
            <v>5</v>
          </cell>
        </row>
        <row r="4688">
          <cell r="A4688">
            <v>2018</v>
          </cell>
          <cell r="B4688" t="str">
            <v>Actual</v>
          </cell>
          <cell r="C4688" t="str">
            <v>May</v>
          </cell>
          <cell r="D4688" t="str">
            <v>Chairs</v>
          </cell>
          <cell r="E4688">
            <v>63004.983999999989</v>
          </cell>
          <cell r="F4688">
            <v>5</v>
          </cell>
        </row>
        <row r="4689">
          <cell r="A4689">
            <v>2019</v>
          </cell>
          <cell r="B4689" t="str">
            <v>Budget</v>
          </cell>
          <cell r="C4689" t="str">
            <v>May</v>
          </cell>
          <cell r="D4689" t="str">
            <v>Chairs</v>
          </cell>
          <cell r="E4689">
            <v>623395.07999999996</v>
          </cell>
          <cell r="F4689">
            <v>5</v>
          </cell>
        </row>
        <row r="4690">
          <cell r="A4690">
            <v>2018</v>
          </cell>
          <cell r="B4690" t="str">
            <v>Actual</v>
          </cell>
          <cell r="C4690" t="str">
            <v>May</v>
          </cell>
          <cell r="D4690" t="str">
            <v>Tables</v>
          </cell>
          <cell r="E4690">
            <v>10608043.935999999</v>
          </cell>
          <cell r="F4690">
            <v>5</v>
          </cell>
        </row>
        <row r="4691">
          <cell r="A4691">
            <v>2018</v>
          </cell>
          <cell r="B4691" t="str">
            <v>Budget</v>
          </cell>
          <cell r="C4691" t="str">
            <v>May</v>
          </cell>
          <cell r="D4691" t="str">
            <v>Kitchen</v>
          </cell>
          <cell r="E4691">
            <v>31840.703999999998</v>
          </cell>
          <cell r="F4691">
            <v>5</v>
          </cell>
        </row>
        <row r="4692">
          <cell r="A4692">
            <v>2018</v>
          </cell>
          <cell r="B4692" t="str">
            <v>Actual</v>
          </cell>
          <cell r="C4692" t="str">
            <v>May</v>
          </cell>
          <cell r="D4692" t="str">
            <v>Chairs</v>
          </cell>
          <cell r="E4692">
            <v>639269.19699999993</v>
          </cell>
          <cell r="F4692">
            <v>5</v>
          </cell>
        </row>
        <row r="4693">
          <cell r="A4693">
            <v>2018</v>
          </cell>
          <cell r="B4693" t="str">
            <v>Budget</v>
          </cell>
          <cell r="C4693" t="str">
            <v>May</v>
          </cell>
          <cell r="D4693" t="str">
            <v>Chairs</v>
          </cell>
          <cell r="E4693">
            <v>209272.96599999999</v>
          </cell>
          <cell r="F4693">
            <v>5</v>
          </cell>
        </row>
        <row r="4694">
          <cell r="A4694">
            <v>2018</v>
          </cell>
          <cell r="B4694" t="str">
            <v>Actual</v>
          </cell>
          <cell r="C4694" t="str">
            <v>May</v>
          </cell>
          <cell r="D4694" t="str">
            <v>Chairs</v>
          </cell>
          <cell r="E4694">
            <v>6591.3890000000001</v>
          </cell>
          <cell r="F4694">
            <v>5</v>
          </cell>
        </row>
        <row r="4695">
          <cell r="A4695">
            <v>2019</v>
          </cell>
          <cell r="B4695" t="str">
            <v>Budget</v>
          </cell>
          <cell r="C4695" t="str">
            <v>May</v>
          </cell>
          <cell r="D4695" t="str">
            <v>Tables</v>
          </cell>
          <cell r="E4695">
            <v>1028043.149</v>
          </cell>
          <cell r="F4695">
            <v>5</v>
          </cell>
        </row>
        <row r="4696">
          <cell r="A4696">
            <v>2018</v>
          </cell>
          <cell r="B4696" t="str">
            <v>Actual</v>
          </cell>
          <cell r="C4696" t="str">
            <v>May</v>
          </cell>
          <cell r="D4696" t="str">
            <v>Kitchen</v>
          </cell>
          <cell r="E4696">
            <v>18309.402999999998</v>
          </cell>
          <cell r="F4696">
            <v>5</v>
          </cell>
        </row>
        <row r="4697">
          <cell r="A4697">
            <v>2018</v>
          </cell>
          <cell r="B4697" t="str">
            <v>Budget</v>
          </cell>
          <cell r="C4697" t="str">
            <v>May</v>
          </cell>
          <cell r="D4697" t="str">
            <v>Chairs</v>
          </cell>
          <cell r="E4697">
            <v>2469054.9939999999</v>
          </cell>
          <cell r="F4697">
            <v>5</v>
          </cell>
        </row>
        <row r="4698">
          <cell r="A4698">
            <v>2018</v>
          </cell>
          <cell r="B4698" t="str">
            <v>Actual</v>
          </cell>
          <cell r="C4698" t="str">
            <v>May</v>
          </cell>
          <cell r="D4698" t="str">
            <v>Chairs</v>
          </cell>
          <cell r="E4698">
            <v>397266.06499999994</v>
          </cell>
          <cell r="F4698">
            <v>5</v>
          </cell>
        </row>
        <row r="4699">
          <cell r="A4699">
            <v>2018</v>
          </cell>
          <cell r="B4699" t="str">
            <v>Budget</v>
          </cell>
          <cell r="C4699" t="str">
            <v>May</v>
          </cell>
          <cell r="D4699" t="str">
            <v>Tables</v>
          </cell>
          <cell r="E4699">
            <v>4629640.3509999998</v>
          </cell>
          <cell r="F4699">
            <v>5</v>
          </cell>
        </row>
        <row r="4700">
          <cell r="A4700">
            <v>2018</v>
          </cell>
          <cell r="B4700" t="str">
            <v>Actual</v>
          </cell>
          <cell r="C4700" t="str">
            <v>May</v>
          </cell>
          <cell r="D4700" t="str">
            <v>Kitchen</v>
          </cell>
          <cell r="E4700">
            <v>2666345.9479999999</v>
          </cell>
          <cell r="F4700">
            <v>5</v>
          </cell>
        </row>
        <row r="4701">
          <cell r="A4701">
            <v>2019</v>
          </cell>
          <cell r="B4701" t="str">
            <v>Budget</v>
          </cell>
          <cell r="C4701" t="str">
            <v>May</v>
          </cell>
          <cell r="D4701" t="str">
            <v>Chairs</v>
          </cell>
          <cell r="E4701">
            <v>1033733.638</v>
          </cell>
          <cell r="F4701">
            <v>5</v>
          </cell>
        </row>
        <row r="4702">
          <cell r="A4702">
            <v>2018</v>
          </cell>
          <cell r="B4702" t="str">
            <v>Actual</v>
          </cell>
          <cell r="C4702" t="str">
            <v>May</v>
          </cell>
          <cell r="D4702" t="str">
            <v>Chairs</v>
          </cell>
          <cell r="E4702">
            <v>1233974.868</v>
          </cell>
          <cell r="F4702">
            <v>5</v>
          </cell>
        </row>
        <row r="4703">
          <cell r="A4703">
            <v>2018</v>
          </cell>
          <cell r="B4703" t="str">
            <v>Budget</v>
          </cell>
          <cell r="C4703" t="str">
            <v>May</v>
          </cell>
          <cell r="D4703" t="str">
            <v>Chairs</v>
          </cell>
          <cell r="E4703">
            <v>764994.1179999999</v>
          </cell>
          <cell r="F4703">
            <v>5</v>
          </cell>
        </row>
        <row r="4704">
          <cell r="A4704">
            <v>2018</v>
          </cell>
          <cell r="B4704" t="str">
            <v>Actual</v>
          </cell>
          <cell r="C4704" t="str">
            <v>May</v>
          </cell>
          <cell r="D4704" t="str">
            <v>Tables</v>
          </cell>
          <cell r="E4704">
            <v>2551998.0709999995</v>
          </cell>
          <cell r="F4704">
            <v>5</v>
          </cell>
        </row>
        <row r="4705">
          <cell r="A4705">
            <v>2019</v>
          </cell>
          <cell r="B4705" t="str">
            <v>Budget</v>
          </cell>
          <cell r="C4705" t="str">
            <v>May</v>
          </cell>
          <cell r="D4705" t="str">
            <v>Kitchen</v>
          </cell>
          <cell r="E4705">
            <v>2234693.1879999996</v>
          </cell>
          <cell r="F4705">
            <v>5</v>
          </cell>
        </row>
        <row r="4706">
          <cell r="A4706">
            <v>2018</v>
          </cell>
          <cell r="B4706" t="str">
            <v>Actual</v>
          </cell>
          <cell r="C4706" t="str">
            <v>May</v>
          </cell>
          <cell r="D4706" t="str">
            <v>Accessories</v>
          </cell>
          <cell r="E4706">
            <v>733435.87099999993</v>
          </cell>
          <cell r="F4706">
            <v>5</v>
          </cell>
        </row>
        <row r="4707">
          <cell r="A4707">
            <v>2018</v>
          </cell>
          <cell r="B4707" t="str">
            <v>Budget</v>
          </cell>
          <cell r="C4707" t="str">
            <v>May</v>
          </cell>
          <cell r="D4707" t="str">
            <v>Chairs</v>
          </cell>
          <cell r="E4707">
            <v>1922897.7319999996</v>
          </cell>
          <cell r="F4707">
            <v>5</v>
          </cell>
        </row>
        <row r="4708">
          <cell r="A4708">
            <v>2019</v>
          </cell>
          <cell r="B4708" t="str">
            <v>Actual</v>
          </cell>
          <cell r="C4708" t="str">
            <v>May</v>
          </cell>
          <cell r="D4708" t="str">
            <v>Tables</v>
          </cell>
          <cell r="E4708">
            <v>3956333.9759999993</v>
          </cell>
          <cell r="F4708">
            <v>5</v>
          </cell>
        </row>
        <row r="4709">
          <cell r="A4709">
            <v>2018</v>
          </cell>
          <cell r="B4709" t="str">
            <v>Budget</v>
          </cell>
          <cell r="C4709" t="str">
            <v>May</v>
          </cell>
          <cell r="D4709" t="str">
            <v>Kitchen</v>
          </cell>
          <cell r="E4709">
            <v>337910.23</v>
          </cell>
          <cell r="F4709">
            <v>5</v>
          </cell>
        </row>
        <row r="4710">
          <cell r="A4710">
            <v>2018</v>
          </cell>
          <cell r="B4710" t="str">
            <v>Actual</v>
          </cell>
          <cell r="C4710" t="str">
            <v>May</v>
          </cell>
          <cell r="D4710" t="str">
            <v>Accessories</v>
          </cell>
          <cell r="E4710">
            <v>29190.489999999994</v>
          </cell>
          <cell r="F4710">
            <v>5</v>
          </cell>
        </row>
        <row r="4711">
          <cell r="A4711">
            <v>2018</v>
          </cell>
          <cell r="B4711" t="str">
            <v>Budget</v>
          </cell>
          <cell r="C4711" t="str">
            <v>May</v>
          </cell>
          <cell r="D4711" t="str">
            <v>Chairs</v>
          </cell>
          <cell r="E4711">
            <v>23352.391999999996</v>
          </cell>
          <cell r="F4711">
            <v>5</v>
          </cell>
        </row>
        <row r="4712">
          <cell r="A4712">
            <v>2018</v>
          </cell>
          <cell r="B4712" t="str">
            <v>Actual</v>
          </cell>
          <cell r="C4712" t="str">
            <v>May</v>
          </cell>
          <cell r="D4712" t="str">
            <v>Tables</v>
          </cell>
          <cell r="E4712">
            <v>1391665.2889999999</v>
          </cell>
          <cell r="F4712">
            <v>5</v>
          </cell>
        </row>
        <row r="4713">
          <cell r="A4713">
            <v>2018</v>
          </cell>
          <cell r="B4713" t="str">
            <v>Budget</v>
          </cell>
          <cell r="C4713" t="str">
            <v>May</v>
          </cell>
          <cell r="D4713" t="str">
            <v>Kitchen</v>
          </cell>
          <cell r="E4713">
            <v>1035289.2619999999</v>
          </cell>
          <cell r="F4713">
            <v>5</v>
          </cell>
        </row>
        <row r="4714">
          <cell r="A4714">
            <v>2019</v>
          </cell>
          <cell r="B4714" t="str">
            <v>Actual</v>
          </cell>
          <cell r="C4714" t="str">
            <v>May</v>
          </cell>
          <cell r="D4714" t="str">
            <v>Accessories</v>
          </cell>
          <cell r="E4714">
            <v>1147240.8289999999</v>
          </cell>
          <cell r="F4714">
            <v>5</v>
          </cell>
        </row>
        <row r="4715">
          <cell r="A4715">
            <v>2019</v>
          </cell>
          <cell r="B4715" t="str">
            <v>Budget</v>
          </cell>
          <cell r="C4715" t="str">
            <v>May</v>
          </cell>
          <cell r="D4715" t="str">
            <v>Chairs</v>
          </cell>
          <cell r="E4715">
            <v>507453.1</v>
          </cell>
          <cell r="F4715">
            <v>5</v>
          </cell>
        </row>
        <row r="4716">
          <cell r="A4716">
            <v>2018</v>
          </cell>
          <cell r="B4716" t="str">
            <v>Actual</v>
          </cell>
          <cell r="C4716" t="str">
            <v>May</v>
          </cell>
          <cell r="D4716" t="str">
            <v>Tables</v>
          </cell>
          <cell r="E4716">
            <v>101786.111</v>
          </cell>
          <cell r="F4716">
            <v>5</v>
          </cell>
        </row>
        <row r="4717">
          <cell r="A4717">
            <v>2019</v>
          </cell>
          <cell r="B4717" t="str">
            <v>Budget</v>
          </cell>
          <cell r="C4717" t="str">
            <v>May</v>
          </cell>
          <cell r="D4717" t="str">
            <v>Kitchen</v>
          </cell>
          <cell r="E4717">
            <v>205884.44099999999</v>
          </cell>
          <cell r="F4717">
            <v>5</v>
          </cell>
        </row>
        <row r="4718">
          <cell r="A4718">
            <v>2019</v>
          </cell>
          <cell r="B4718" t="str">
            <v>Actual</v>
          </cell>
          <cell r="C4718" t="str">
            <v>May</v>
          </cell>
          <cell r="D4718" t="str">
            <v>Accessories</v>
          </cell>
          <cell r="E4718">
            <v>639920.0149999999</v>
          </cell>
          <cell r="F4718">
            <v>5</v>
          </cell>
        </row>
        <row r="4719">
          <cell r="A4719">
            <v>2018</v>
          </cell>
          <cell r="B4719" t="str">
            <v>Budget</v>
          </cell>
          <cell r="C4719" t="str">
            <v>May</v>
          </cell>
          <cell r="D4719" t="str">
            <v>Chairs</v>
          </cell>
          <cell r="E4719">
            <v>96794.516000000003</v>
          </cell>
          <cell r="F4719">
            <v>5</v>
          </cell>
        </row>
        <row r="4720">
          <cell r="A4720">
            <v>2019</v>
          </cell>
          <cell r="B4720" t="str">
            <v>Actual</v>
          </cell>
          <cell r="C4720" t="str">
            <v>May</v>
          </cell>
          <cell r="D4720" t="str">
            <v>Chairs</v>
          </cell>
          <cell r="E4720">
            <v>24644.375</v>
          </cell>
          <cell r="F4720">
            <v>5</v>
          </cell>
        </row>
        <row r="4721">
          <cell r="A4721">
            <v>2018</v>
          </cell>
          <cell r="B4721" t="str">
            <v>Budget</v>
          </cell>
          <cell r="C4721" t="str">
            <v>May</v>
          </cell>
          <cell r="D4721" t="str">
            <v>Tables</v>
          </cell>
          <cell r="E4721">
            <v>57046.954999999994</v>
          </cell>
          <cell r="F4721">
            <v>5</v>
          </cell>
        </row>
        <row r="4722">
          <cell r="A4722">
            <v>2019</v>
          </cell>
          <cell r="B4722" t="str">
            <v>Actual</v>
          </cell>
          <cell r="C4722" t="str">
            <v>May</v>
          </cell>
          <cell r="D4722" t="str">
            <v>Kitchen</v>
          </cell>
          <cell r="E4722">
            <v>56173.445999999996</v>
          </cell>
          <cell r="F4722">
            <v>5</v>
          </cell>
        </row>
        <row r="4723">
          <cell r="A4723">
            <v>2019</v>
          </cell>
          <cell r="B4723" t="str">
            <v>Budget</v>
          </cell>
          <cell r="C4723" t="str">
            <v>May</v>
          </cell>
          <cell r="D4723" t="str">
            <v>Chairs</v>
          </cell>
          <cell r="E4723">
            <v>374538.85</v>
          </cell>
          <cell r="F4723">
            <v>5</v>
          </cell>
        </row>
        <row r="4724">
          <cell r="A4724">
            <v>2018</v>
          </cell>
          <cell r="B4724" t="str">
            <v>Actual</v>
          </cell>
          <cell r="C4724" t="str">
            <v>May</v>
          </cell>
          <cell r="D4724" t="str">
            <v>Tables</v>
          </cell>
          <cell r="E4724">
            <v>420173.90799999994</v>
          </cell>
          <cell r="F4724">
            <v>5</v>
          </cell>
        </row>
        <row r="4725">
          <cell r="A4725">
            <v>2018</v>
          </cell>
          <cell r="B4725" t="str">
            <v>Budget</v>
          </cell>
          <cell r="C4725" t="str">
            <v>May</v>
          </cell>
          <cell r="D4725" t="str">
            <v>Kitchen</v>
          </cell>
          <cell r="E4725">
            <v>185056.84399999998</v>
          </cell>
          <cell r="F4725">
            <v>5</v>
          </cell>
        </row>
        <row r="4726">
          <cell r="A4726">
            <v>2018</v>
          </cell>
          <cell r="B4726" t="str">
            <v>Actual</v>
          </cell>
          <cell r="C4726" t="str">
            <v>May</v>
          </cell>
          <cell r="D4726" t="str">
            <v>Chairs</v>
          </cell>
          <cell r="E4726">
            <v>3489401.125</v>
          </cell>
          <cell r="F4726">
            <v>5</v>
          </cell>
        </row>
        <row r="4727">
          <cell r="A4727">
            <v>2018</v>
          </cell>
          <cell r="B4727" t="str">
            <v>Budget</v>
          </cell>
          <cell r="C4727" t="str">
            <v>May</v>
          </cell>
          <cell r="D4727" t="str">
            <v>Tables</v>
          </cell>
          <cell r="E4727">
            <v>252488.565</v>
          </cell>
          <cell r="F4727">
            <v>5</v>
          </cell>
        </row>
        <row r="4728">
          <cell r="A4728">
            <v>2019</v>
          </cell>
          <cell r="B4728" t="str">
            <v>Actual</v>
          </cell>
          <cell r="C4728" t="str">
            <v>May</v>
          </cell>
          <cell r="D4728" t="str">
            <v>Kitchen</v>
          </cell>
          <cell r="E4728">
            <v>278150.62799999997</v>
          </cell>
          <cell r="F4728">
            <v>5</v>
          </cell>
        </row>
        <row r="4729">
          <cell r="A4729">
            <v>2018</v>
          </cell>
          <cell r="B4729" t="str">
            <v>Budget</v>
          </cell>
          <cell r="C4729" t="str">
            <v>May</v>
          </cell>
          <cell r="D4729" t="str">
            <v>Chairs</v>
          </cell>
          <cell r="E4729">
            <v>244757.60399999996</v>
          </cell>
          <cell r="F4729">
            <v>5</v>
          </cell>
        </row>
        <row r="4730">
          <cell r="A4730">
            <v>2018</v>
          </cell>
          <cell r="B4730" t="str">
            <v>Actual</v>
          </cell>
          <cell r="C4730" t="str">
            <v>May</v>
          </cell>
          <cell r="D4730" t="str">
            <v>Chairs</v>
          </cell>
          <cell r="E4730">
            <v>1387533.2869999998</v>
          </cell>
          <cell r="F4730">
            <v>5</v>
          </cell>
        </row>
        <row r="4731">
          <cell r="A4731">
            <v>2019</v>
          </cell>
          <cell r="B4731" t="str">
            <v>Budget</v>
          </cell>
          <cell r="C4731" t="str">
            <v>May</v>
          </cell>
          <cell r="D4731" t="str">
            <v>Chairs</v>
          </cell>
          <cell r="E4731">
            <v>846872.29200000002</v>
          </cell>
          <cell r="F4731">
            <v>5</v>
          </cell>
        </row>
        <row r="4732">
          <cell r="A4732">
            <v>2018</v>
          </cell>
          <cell r="B4732" t="str">
            <v>Actual</v>
          </cell>
          <cell r="C4732" t="str">
            <v>May</v>
          </cell>
          <cell r="D4732" t="str">
            <v>Chairs</v>
          </cell>
          <cell r="E4732">
            <v>9699263.9589999989</v>
          </cell>
          <cell r="F4732">
            <v>5</v>
          </cell>
        </row>
        <row r="4733">
          <cell r="A4733">
            <v>2018</v>
          </cell>
          <cell r="B4733" t="str">
            <v>Budget</v>
          </cell>
          <cell r="C4733" t="str">
            <v>May</v>
          </cell>
          <cell r="D4733" t="str">
            <v>Chairs</v>
          </cell>
          <cell r="E4733">
            <v>1213758.5459999999</v>
          </cell>
          <cell r="F4733">
            <v>5</v>
          </cell>
        </row>
        <row r="4734">
          <cell r="A4734">
            <v>2019</v>
          </cell>
          <cell r="B4734" t="str">
            <v>Actual</v>
          </cell>
          <cell r="C4734" t="str">
            <v>May</v>
          </cell>
          <cell r="D4734" t="str">
            <v>Chairs</v>
          </cell>
          <cell r="E4734">
            <v>769501.92899999989</v>
          </cell>
          <cell r="F4734">
            <v>5</v>
          </cell>
        </row>
        <row r="4735">
          <cell r="A4735">
            <v>2018</v>
          </cell>
          <cell r="B4735" t="str">
            <v>Budget</v>
          </cell>
          <cell r="C4735" t="str">
            <v>May</v>
          </cell>
          <cell r="D4735" t="str">
            <v>Chairs</v>
          </cell>
          <cell r="E4735">
            <v>287654.27599999995</v>
          </cell>
          <cell r="F4735">
            <v>5</v>
          </cell>
        </row>
        <row r="4736">
          <cell r="A4736">
            <v>2019</v>
          </cell>
          <cell r="B4736" t="str">
            <v>Actual</v>
          </cell>
          <cell r="C4736" t="str">
            <v>May</v>
          </cell>
          <cell r="D4736" t="str">
            <v>Chairs</v>
          </cell>
          <cell r="E4736">
            <v>143915.02299999999</v>
          </cell>
          <cell r="F4736">
            <v>5</v>
          </cell>
        </row>
        <row r="4737">
          <cell r="A4737">
            <v>2019</v>
          </cell>
          <cell r="B4737" t="str">
            <v>Budget</v>
          </cell>
          <cell r="C4737" t="str">
            <v>May</v>
          </cell>
          <cell r="D4737" t="str">
            <v>Chairs</v>
          </cell>
          <cell r="E4737">
            <v>864340.22499999998</v>
          </cell>
          <cell r="F4737">
            <v>5</v>
          </cell>
        </row>
        <row r="4738">
          <cell r="A4738">
            <v>2018</v>
          </cell>
          <cell r="B4738" t="str">
            <v>Actual</v>
          </cell>
          <cell r="C4738" t="str">
            <v>May</v>
          </cell>
          <cell r="D4738" t="str">
            <v>Chairs</v>
          </cell>
          <cell r="E4738">
            <v>47267.905999999995</v>
          </cell>
          <cell r="F4738">
            <v>5</v>
          </cell>
        </row>
        <row r="4739">
          <cell r="A4739">
            <v>2018</v>
          </cell>
          <cell r="B4739" t="str">
            <v>Budget</v>
          </cell>
          <cell r="C4739" t="str">
            <v>May</v>
          </cell>
          <cell r="D4739" t="str">
            <v>Chairs</v>
          </cell>
          <cell r="E4739">
            <v>28996.799999999999</v>
          </cell>
          <cell r="F4739">
            <v>5</v>
          </cell>
        </row>
        <row r="4740">
          <cell r="A4740">
            <v>2019</v>
          </cell>
          <cell r="B4740" t="str">
            <v>Actual</v>
          </cell>
          <cell r="C4740" t="str">
            <v>May</v>
          </cell>
          <cell r="D4740" t="str">
            <v>Chairs</v>
          </cell>
          <cell r="E4740">
            <v>12890.471999999998</v>
          </cell>
          <cell r="F4740">
            <v>5</v>
          </cell>
        </row>
        <row r="4741">
          <cell r="A4741">
            <v>2019</v>
          </cell>
          <cell r="B4741" t="str">
            <v>Budget</v>
          </cell>
          <cell r="C4741" t="str">
            <v>May</v>
          </cell>
          <cell r="D4741" t="str">
            <v>Chairs</v>
          </cell>
          <cell r="E4741">
            <v>154959.84</v>
          </cell>
          <cell r="F4741">
            <v>5</v>
          </cell>
        </row>
        <row r="4742">
          <cell r="A4742">
            <v>2019</v>
          </cell>
          <cell r="B4742" t="str">
            <v>Actual</v>
          </cell>
          <cell r="C4742" t="str">
            <v>May</v>
          </cell>
          <cell r="D4742" t="str">
            <v>Chairs</v>
          </cell>
          <cell r="E4742">
            <v>169668.50599999999</v>
          </cell>
          <cell r="F4742">
            <v>5</v>
          </cell>
        </row>
        <row r="4743">
          <cell r="A4743">
            <v>2019</v>
          </cell>
          <cell r="B4743" t="str">
            <v>Budget</v>
          </cell>
          <cell r="C4743" t="str">
            <v>May</v>
          </cell>
          <cell r="D4743" t="str">
            <v>Chairs</v>
          </cell>
          <cell r="E4743">
            <v>291138.39299999998</v>
          </cell>
          <cell r="F4743">
            <v>5</v>
          </cell>
        </row>
        <row r="4744">
          <cell r="A4744">
            <v>2018</v>
          </cell>
          <cell r="B4744" t="str">
            <v>Actual</v>
          </cell>
          <cell r="C4744" t="str">
            <v>May</v>
          </cell>
          <cell r="D4744" t="str">
            <v>Chairs</v>
          </cell>
          <cell r="E4744">
            <v>176657.978</v>
          </cell>
          <cell r="F4744">
            <v>5</v>
          </cell>
        </row>
        <row r="4745">
          <cell r="A4745">
            <v>2019</v>
          </cell>
          <cell r="B4745" t="str">
            <v>Budget</v>
          </cell>
          <cell r="C4745" t="str">
            <v>May</v>
          </cell>
          <cell r="D4745" t="str">
            <v>Chairs</v>
          </cell>
          <cell r="E4745">
            <v>43479.303</v>
          </cell>
          <cell r="F4745">
            <v>5</v>
          </cell>
        </row>
        <row r="4746">
          <cell r="A4746">
            <v>2019</v>
          </cell>
          <cell r="B4746" t="str">
            <v>Actual</v>
          </cell>
          <cell r="C4746" t="str">
            <v>May</v>
          </cell>
          <cell r="D4746" t="str">
            <v>Chairs</v>
          </cell>
          <cell r="E4746">
            <v>28174.937000000002</v>
          </cell>
          <cell r="F4746">
            <v>5</v>
          </cell>
        </row>
        <row r="4747">
          <cell r="A4747">
            <v>2019</v>
          </cell>
          <cell r="B4747" t="str">
            <v>Budget</v>
          </cell>
          <cell r="C4747" t="str">
            <v>May</v>
          </cell>
          <cell r="D4747" t="str">
            <v>Chairs</v>
          </cell>
          <cell r="E4747">
            <v>545111.56000000006</v>
          </cell>
          <cell r="F4747">
            <v>5</v>
          </cell>
        </row>
        <row r="4748">
          <cell r="A4748">
            <v>2018</v>
          </cell>
          <cell r="B4748" t="str">
            <v>Actual</v>
          </cell>
          <cell r="C4748" t="str">
            <v>May</v>
          </cell>
          <cell r="D4748" t="str">
            <v>Chairs</v>
          </cell>
          <cell r="E4748">
            <v>10167.955</v>
          </cell>
          <cell r="F4748">
            <v>5</v>
          </cell>
        </row>
        <row r="4749">
          <cell r="A4749">
            <v>2018</v>
          </cell>
          <cell r="B4749" t="str">
            <v>Budget</v>
          </cell>
          <cell r="C4749" t="str">
            <v>May</v>
          </cell>
          <cell r="D4749" t="str">
            <v>Chairs</v>
          </cell>
          <cell r="E4749">
            <v>428395.61799999996</v>
          </cell>
          <cell r="F4749">
            <v>5</v>
          </cell>
        </row>
        <row r="4750">
          <cell r="A4750">
            <v>2019</v>
          </cell>
          <cell r="B4750" t="str">
            <v>Actual</v>
          </cell>
          <cell r="C4750" t="str">
            <v>May</v>
          </cell>
          <cell r="D4750" t="str">
            <v>Chairs</v>
          </cell>
          <cell r="E4750">
            <v>6164.5849999999991</v>
          </cell>
          <cell r="F4750">
            <v>5</v>
          </cell>
        </row>
        <row r="4751">
          <cell r="A4751">
            <v>2019</v>
          </cell>
          <cell r="B4751" t="str">
            <v>Budget</v>
          </cell>
          <cell r="C4751" t="str">
            <v>May</v>
          </cell>
          <cell r="D4751" t="str">
            <v>Chairs</v>
          </cell>
          <cell r="E4751">
            <v>13845.978999999999</v>
          </cell>
          <cell r="F4751">
            <v>5</v>
          </cell>
        </row>
        <row r="4752">
          <cell r="A4752">
            <v>2018</v>
          </cell>
          <cell r="B4752" t="str">
            <v>Actual</v>
          </cell>
          <cell r="C4752" t="str">
            <v>May</v>
          </cell>
          <cell r="D4752" t="str">
            <v>Chairs</v>
          </cell>
          <cell r="E4752">
            <v>329029.13399999996</v>
          </cell>
          <cell r="F4752">
            <v>5</v>
          </cell>
        </row>
        <row r="4753">
          <cell r="A4753">
            <v>2018</v>
          </cell>
          <cell r="B4753" t="str">
            <v>Budget</v>
          </cell>
          <cell r="C4753" t="str">
            <v>May</v>
          </cell>
          <cell r="D4753" t="str">
            <v>Chairs</v>
          </cell>
          <cell r="E4753">
            <v>695806.88099999994</v>
          </cell>
          <cell r="F4753">
            <v>5</v>
          </cell>
        </row>
        <row r="4754">
          <cell r="A4754">
            <v>2018</v>
          </cell>
          <cell r="B4754" t="str">
            <v>Actual</v>
          </cell>
          <cell r="C4754" t="str">
            <v>May</v>
          </cell>
          <cell r="D4754" t="str">
            <v>Chairs</v>
          </cell>
          <cell r="E4754">
            <v>893337.1719999999</v>
          </cell>
          <cell r="F4754">
            <v>5</v>
          </cell>
        </row>
        <row r="4755">
          <cell r="A4755">
            <v>2019</v>
          </cell>
          <cell r="B4755" t="str">
            <v>Budget</v>
          </cell>
          <cell r="C4755" t="str">
            <v>May</v>
          </cell>
          <cell r="D4755" t="str">
            <v>Tables</v>
          </cell>
          <cell r="E4755">
            <v>54435.702999999994</v>
          </cell>
          <cell r="F4755">
            <v>5</v>
          </cell>
        </row>
        <row r="4756">
          <cell r="A4756">
            <v>2019</v>
          </cell>
          <cell r="B4756" t="str">
            <v>Actual</v>
          </cell>
          <cell r="C4756" t="str">
            <v>May</v>
          </cell>
          <cell r="D4756" t="str">
            <v>Kitchen</v>
          </cell>
          <cell r="E4756">
            <v>21487.767</v>
          </cell>
          <cell r="F4756">
            <v>5</v>
          </cell>
        </row>
        <row r="4757">
          <cell r="A4757">
            <v>2019</v>
          </cell>
          <cell r="B4757" t="str">
            <v>Budget</v>
          </cell>
          <cell r="C4757" t="str">
            <v>May</v>
          </cell>
          <cell r="D4757" t="str">
            <v>Chairs</v>
          </cell>
          <cell r="E4757">
            <v>110835.81599999999</v>
          </cell>
          <cell r="F4757">
            <v>5</v>
          </cell>
        </row>
        <row r="4758">
          <cell r="A4758">
            <v>2018</v>
          </cell>
          <cell r="B4758" t="str">
            <v>Actual</v>
          </cell>
          <cell r="C4758" t="str">
            <v>May</v>
          </cell>
          <cell r="D4758" t="str">
            <v>Chairs</v>
          </cell>
          <cell r="E4758">
            <v>33868.190999999999</v>
          </cell>
          <cell r="F4758">
            <v>5</v>
          </cell>
        </row>
        <row r="4759">
          <cell r="A4759">
            <v>2018</v>
          </cell>
          <cell r="B4759" t="str">
            <v>Budget</v>
          </cell>
          <cell r="C4759" t="str">
            <v>May</v>
          </cell>
          <cell r="D4759" t="str">
            <v>Chairs</v>
          </cell>
          <cell r="E4759">
            <v>248988.27100000001</v>
          </cell>
          <cell r="F4759">
            <v>5</v>
          </cell>
        </row>
        <row r="4760">
          <cell r="A4760">
            <v>2019</v>
          </cell>
          <cell r="B4760" t="str">
            <v>Actual</v>
          </cell>
          <cell r="C4760" t="str">
            <v>May</v>
          </cell>
          <cell r="D4760" t="str">
            <v>Chairs</v>
          </cell>
          <cell r="E4760">
            <v>21790.16</v>
          </cell>
          <cell r="F4760">
            <v>5</v>
          </cell>
        </row>
        <row r="4761">
          <cell r="A4761">
            <v>2018</v>
          </cell>
          <cell r="B4761" t="str">
            <v>Budget</v>
          </cell>
          <cell r="C4761" t="str">
            <v>May</v>
          </cell>
          <cell r="D4761" t="str">
            <v>Chairs</v>
          </cell>
          <cell r="E4761">
            <v>444935.02899999998</v>
          </cell>
          <cell r="F4761">
            <v>5</v>
          </cell>
        </row>
        <row r="4762">
          <cell r="A4762">
            <v>2018</v>
          </cell>
          <cell r="B4762" t="str">
            <v>Actual</v>
          </cell>
          <cell r="C4762" t="str">
            <v>May</v>
          </cell>
          <cell r="D4762" t="str">
            <v>Tables</v>
          </cell>
          <cell r="E4762">
            <v>4802437.43</v>
          </cell>
          <cell r="F4762">
            <v>5</v>
          </cell>
        </row>
        <row r="4763">
          <cell r="A4763">
            <v>2018</v>
          </cell>
          <cell r="B4763" t="str">
            <v>Budget</v>
          </cell>
          <cell r="C4763" t="str">
            <v>May</v>
          </cell>
          <cell r="D4763" t="str">
            <v>Kitchen</v>
          </cell>
          <cell r="E4763">
            <v>106616.15300000001</v>
          </cell>
          <cell r="F4763">
            <v>5</v>
          </cell>
        </row>
        <row r="4764">
          <cell r="A4764">
            <v>2019</v>
          </cell>
          <cell r="B4764" t="str">
            <v>Actual</v>
          </cell>
          <cell r="C4764" t="str">
            <v>May</v>
          </cell>
          <cell r="D4764" t="str">
            <v>Chairs</v>
          </cell>
          <cell r="E4764">
            <v>36501.149999999994</v>
          </cell>
          <cell r="F4764">
            <v>5</v>
          </cell>
        </row>
        <row r="4765">
          <cell r="A4765">
            <v>2018</v>
          </cell>
          <cell r="B4765" t="str">
            <v>Budget</v>
          </cell>
          <cell r="C4765" t="str">
            <v>May</v>
          </cell>
          <cell r="D4765" t="str">
            <v>Chairs</v>
          </cell>
          <cell r="E4765">
            <v>119922.31999999999</v>
          </cell>
          <cell r="F4765">
            <v>5</v>
          </cell>
        </row>
        <row r="4766">
          <cell r="A4766">
            <v>2019</v>
          </cell>
          <cell r="B4766" t="str">
            <v>Actual</v>
          </cell>
          <cell r="C4766" t="str">
            <v>May</v>
          </cell>
          <cell r="D4766" t="str">
            <v>Chairs</v>
          </cell>
          <cell r="E4766">
            <v>194412.09899999999</v>
          </cell>
          <cell r="F4766">
            <v>5</v>
          </cell>
        </row>
        <row r="4767">
          <cell r="A4767">
            <v>2019</v>
          </cell>
          <cell r="B4767" t="str">
            <v>Budget</v>
          </cell>
          <cell r="C4767" t="str">
            <v>May</v>
          </cell>
          <cell r="D4767" t="str">
            <v>Tables</v>
          </cell>
          <cell r="E4767">
            <v>187477.29699999999</v>
          </cell>
          <cell r="F4767">
            <v>5</v>
          </cell>
        </row>
        <row r="4768">
          <cell r="A4768">
            <v>2018</v>
          </cell>
          <cell r="B4768" t="str">
            <v>Actual</v>
          </cell>
          <cell r="C4768" t="str">
            <v>May</v>
          </cell>
          <cell r="D4768" t="str">
            <v>Kitchen</v>
          </cell>
          <cell r="E4768">
            <v>129110.086</v>
          </cell>
          <cell r="F4768">
            <v>5</v>
          </cell>
        </row>
        <row r="4769">
          <cell r="A4769">
            <v>2019</v>
          </cell>
          <cell r="B4769" t="str">
            <v>Budget</v>
          </cell>
          <cell r="C4769" t="str">
            <v>May</v>
          </cell>
          <cell r="D4769" t="str">
            <v>Chairs</v>
          </cell>
          <cell r="E4769">
            <v>82189.302999999985</v>
          </cell>
          <cell r="F4769">
            <v>5</v>
          </cell>
        </row>
        <row r="4770">
          <cell r="A4770">
            <v>2018</v>
          </cell>
          <cell r="B4770" t="str">
            <v>Actual</v>
          </cell>
          <cell r="C4770" t="str">
            <v>May</v>
          </cell>
          <cell r="D4770" t="str">
            <v>Chairs</v>
          </cell>
          <cell r="E4770">
            <v>179500.99299999999</v>
          </cell>
          <cell r="F4770">
            <v>5</v>
          </cell>
        </row>
        <row r="4771">
          <cell r="A4771">
            <v>2019</v>
          </cell>
          <cell r="B4771" t="str">
            <v>Budget</v>
          </cell>
          <cell r="C4771" t="str">
            <v>May</v>
          </cell>
          <cell r="D4771" t="str">
            <v>Tables</v>
          </cell>
          <cell r="E4771">
            <v>189355.663</v>
          </cell>
          <cell r="F4771">
            <v>5</v>
          </cell>
        </row>
        <row r="4772">
          <cell r="A4772">
            <v>2019</v>
          </cell>
          <cell r="B4772" t="str">
            <v>Actual</v>
          </cell>
          <cell r="C4772" t="str">
            <v>May</v>
          </cell>
          <cell r="D4772" t="str">
            <v>Kitchen</v>
          </cell>
          <cell r="E4772">
            <v>196442.72899999996</v>
          </cell>
          <cell r="F4772">
            <v>5</v>
          </cell>
        </row>
        <row r="4773">
          <cell r="A4773">
            <v>2019</v>
          </cell>
          <cell r="B4773" t="str">
            <v>Budget</v>
          </cell>
          <cell r="C4773" t="str">
            <v>May</v>
          </cell>
          <cell r="D4773" t="str">
            <v>Chairs</v>
          </cell>
          <cell r="E4773">
            <v>2946435.2960000001</v>
          </cell>
          <cell r="F4773">
            <v>5</v>
          </cell>
        </row>
        <row r="4774">
          <cell r="A4774">
            <v>2018</v>
          </cell>
          <cell r="B4774" t="str">
            <v>Actual</v>
          </cell>
          <cell r="C4774" t="str">
            <v>May</v>
          </cell>
          <cell r="D4774" t="str">
            <v>Chairs</v>
          </cell>
          <cell r="E4774">
            <v>5837976.3399999999</v>
          </cell>
          <cell r="F4774">
            <v>5</v>
          </cell>
        </row>
        <row r="4775">
          <cell r="A4775">
            <v>2019</v>
          </cell>
          <cell r="B4775" t="str">
            <v>Budget</v>
          </cell>
          <cell r="C4775" t="str">
            <v>May</v>
          </cell>
          <cell r="D4775" t="str">
            <v>Tables</v>
          </cell>
          <cell r="E4775">
            <v>28492.694999999996</v>
          </cell>
          <cell r="F4775">
            <v>5</v>
          </cell>
        </row>
        <row r="4776">
          <cell r="A4776">
            <v>2018</v>
          </cell>
          <cell r="B4776" t="str">
            <v>Actual</v>
          </cell>
          <cell r="C4776" t="str">
            <v>May</v>
          </cell>
          <cell r="D4776" t="str">
            <v>Kitchen</v>
          </cell>
          <cell r="E4776">
            <v>151534.894</v>
          </cell>
          <cell r="F4776">
            <v>5</v>
          </cell>
        </row>
        <row r="4777">
          <cell r="A4777">
            <v>2019</v>
          </cell>
          <cell r="B4777" t="str">
            <v>Budget</v>
          </cell>
          <cell r="C4777" t="str">
            <v>May</v>
          </cell>
          <cell r="D4777" t="str">
            <v>Accessories</v>
          </cell>
          <cell r="E4777">
            <v>1858829.4479999999</v>
          </cell>
          <cell r="F4777">
            <v>5</v>
          </cell>
        </row>
        <row r="4778">
          <cell r="A4778">
            <v>2018</v>
          </cell>
          <cell r="B4778" t="str">
            <v>Actual</v>
          </cell>
          <cell r="C4778" t="str">
            <v>May</v>
          </cell>
          <cell r="D4778" t="str">
            <v>Chairs</v>
          </cell>
          <cell r="E4778">
            <v>2030042.1259999999</v>
          </cell>
          <cell r="F4778">
            <v>5</v>
          </cell>
        </row>
        <row r="4779">
          <cell r="A4779">
            <v>2018</v>
          </cell>
          <cell r="B4779" t="str">
            <v>Budget</v>
          </cell>
          <cell r="C4779" t="str">
            <v>May</v>
          </cell>
          <cell r="D4779" t="str">
            <v>Tables</v>
          </cell>
          <cell r="E4779">
            <v>665432.55099999998</v>
          </cell>
          <cell r="F4779">
            <v>5</v>
          </cell>
        </row>
        <row r="4780">
          <cell r="A4780">
            <v>2018</v>
          </cell>
          <cell r="B4780" t="str">
            <v>Actual</v>
          </cell>
          <cell r="C4780" t="str">
            <v>May</v>
          </cell>
          <cell r="D4780" t="str">
            <v>Kitchen</v>
          </cell>
          <cell r="E4780">
            <v>503724.571</v>
          </cell>
          <cell r="F4780">
            <v>5</v>
          </cell>
        </row>
        <row r="4781">
          <cell r="A4781">
            <v>2018</v>
          </cell>
          <cell r="B4781" t="str">
            <v>Budget</v>
          </cell>
          <cell r="C4781" t="str">
            <v>May</v>
          </cell>
          <cell r="D4781" t="str">
            <v>Accessories</v>
          </cell>
          <cell r="E4781">
            <v>114712.75199999998</v>
          </cell>
          <cell r="F4781">
            <v>5</v>
          </cell>
        </row>
        <row r="4782">
          <cell r="A4782">
            <v>2018</v>
          </cell>
          <cell r="B4782" t="str">
            <v>Actual</v>
          </cell>
          <cell r="C4782" t="str">
            <v>May</v>
          </cell>
          <cell r="D4782" t="str">
            <v>Chairs</v>
          </cell>
          <cell r="E4782">
            <v>290356.79399999999</v>
          </cell>
          <cell r="F4782">
            <v>5</v>
          </cell>
        </row>
        <row r="4783">
          <cell r="A4783">
            <v>2018</v>
          </cell>
          <cell r="B4783" t="str">
            <v>Budget</v>
          </cell>
          <cell r="C4783" t="str">
            <v>May</v>
          </cell>
          <cell r="D4783" t="str">
            <v>Tables</v>
          </cell>
          <cell r="E4783">
            <v>466062.50599999994</v>
          </cell>
          <cell r="F4783">
            <v>5</v>
          </cell>
        </row>
        <row r="4784">
          <cell r="A4784">
            <v>2018</v>
          </cell>
          <cell r="B4784" t="str">
            <v>Actual</v>
          </cell>
          <cell r="C4784" t="str">
            <v>May</v>
          </cell>
          <cell r="D4784" t="str">
            <v>Kitchen</v>
          </cell>
          <cell r="E4784">
            <v>187757.91999999998</v>
          </cell>
          <cell r="F4784">
            <v>5</v>
          </cell>
        </row>
        <row r="4785">
          <cell r="A4785">
            <v>2018</v>
          </cell>
          <cell r="B4785" t="str">
            <v>Budget</v>
          </cell>
          <cell r="C4785" t="str">
            <v>May</v>
          </cell>
          <cell r="D4785" t="str">
            <v>Accessories</v>
          </cell>
          <cell r="E4785">
            <v>83982.968999999997</v>
          </cell>
          <cell r="F4785">
            <v>5</v>
          </cell>
        </row>
        <row r="4786">
          <cell r="A4786">
            <v>2018</v>
          </cell>
          <cell r="B4786" t="str">
            <v>Actual</v>
          </cell>
          <cell r="C4786" t="str">
            <v>May</v>
          </cell>
          <cell r="D4786" t="str">
            <v>Chairs</v>
          </cell>
          <cell r="E4786">
            <v>274007.50299999997</v>
          </cell>
          <cell r="F4786">
            <v>5</v>
          </cell>
        </row>
        <row r="4787">
          <cell r="A4787">
            <v>2018</v>
          </cell>
          <cell r="B4787" t="str">
            <v>Budget</v>
          </cell>
          <cell r="C4787" t="str">
            <v>May</v>
          </cell>
          <cell r="D4787" t="str">
            <v>Tables</v>
          </cell>
          <cell r="E4787">
            <v>335918.64600000001</v>
          </cell>
          <cell r="F4787">
            <v>5</v>
          </cell>
        </row>
        <row r="4788">
          <cell r="A4788">
            <v>2018</v>
          </cell>
          <cell r="B4788" t="str">
            <v>Actual</v>
          </cell>
          <cell r="C4788" t="str">
            <v>May</v>
          </cell>
          <cell r="D4788" t="str">
            <v>Kitchen</v>
          </cell>
          <cell r="E4788">
            <v>293770.20399999997</v>
          </cell>
          <cell r="F4788">
            <v>5</v>
          </cell>
        </row>
        <row r="4789">
          <cell r="A4789">
            <v>2018</v>
          </cell>
          <cell r="B4789" t="str">
            <v>Budget</v>
          </cell>
          <cell r="C4789" t="str">
            <v>May</v>
          </cell>
          <cell r="D4789" t="str">
            <v>Accessories</v>
          </cell>
          <cell r="E4789">
            <v>419787.19999999995</v>
          </cell>
          <cell r="F4789">
            <v>5</v>
          </cell>
        </row>
        <row r="4790">
          <cell r="A4790">
            <v>2018</v>
          </cell>
          <cell r="B4790" t="str">
            <v>Actual</v>
          </cell>
          <cell r="C4790" t="str">
            <v>May</v>
          </cell>
          <cell r="D4790" t="str">
            <v>Chairs</v>
          </cell>
          <cell r="E4790">
            <v>194459.31400000001</v>
          </cell>
          <cell r="F4790">
            <v>5</v>
          </cell>
        </row>
        <row r="4791">
          <cell r="A4791">
            <v>2018</v>
          </cell>
          <cell r="B4791" t="str">
            <v>Budget</v>
          </cell>
          <cell r="C4791" t="str">
            <v>May</v>
          </cell>
          <cell r="D4791" t="str">
            <v>Tables</v>
          </cell>
          <cell r="E4791">
            <v>143392.99099999998</v>
          </cell>
          <cell r="F4791">
            <v>5</v>
          </cell>
        </row>
        <row r="4792">
          <cell r="A4792">
            <v>2019</v>
          </cell>
          <cell r="B4792" t="str">
            <v>Actual</v>
          </cell>
          <cell r="C4792" t="str">
            <v>May</v>
          </cell>
          <cell r="D4792" t="str">
            <v>Kitchen</v>
          </cell>
          <cell r="E4792">
            <v>77250.963999999993</v>
          </cell>
          <cell r="F4792">
            <v>5</v>
          </cell>
        </row>
        <row r="4793">
          <cell r="A4793">
            <v>2018</v>
          </cell>
          <cell r="B4793" t="str">
            <v>Budget</v>
          </cell>
          <cell r="C4793" t="str">
            <v>May</v>
          </cell>
          <cell r="D4793" t="str">
            <v>Accessories</v>
          </cell>
          <cell r="E4793">
            <v>7677.4949999999999</v>
          </cell>
          <cell r="F4793">
            <v>5</v>
          </cell>
        </row>
        <row r="4794">
          <cell r="A4794">
            <v>2018</v>
          </cell>
          <cell r="B4794" t="str">
            <v>Actual</v>
          </cell>
          <cell r="C4794" t="str">
            <v>May</v>
          </cell>
          <cell r="D4794" t="str">
            <v>Chairs</v>
          </cell>
          <cell r="E4794">
            <v>97343.623999999996</v>
          </cell>
          <cell r="F4794">
            <v>5</v>
          </cell>
        </row>
        <row r="4795">
          <cell r="A4795">
            <v>2018</v>
          </cell>
          <cell r="B4795" t="str">
            <v>Budget</v>
          </cell>
          <cell r="C4795" t="str">
            <v>May</v>
          </cell>
          <cell r="D4795" t="str">
            <v>Chairs</v>
          </cell>
          <cell r="E4795">
            <v>58745.106</v>
          </cell>
          <cell r="F4795">
            <v>5</v>
          </cell>
        </row>
        <row r="4796">
          <cell r="A4796">
            <v>2018</v>
          </cell>
          <cell r="B4796" t="str">
            <v>Actual</v>
          </cell>
          <cell r="C4796" t="str">
            <v>May</v>
          </cell>
          <cell r="D4796" t="str">
            <v>Tables</v>
          </cell>
          <cell r="E4796">
            <v>433572.88099999994</v>
          </cell>
          <cell r="F4796">
            <v>5</v>
          </cell>
        </row>
        <row r="4797">
          <cell r="A4797">
            <v>2018</v>
          </cell>
          <cell r="B4797" t="str">
            <v>Budget</v>
          </cell>
          <cell r="C4797" t="str">
            <v>May</v>
          </cell>
          <cell r="D4797" t="str">
            <v>Kitchen</v>
          </cell>
          <cell r="E4797">
            <v>615521.38199999998</v>
          </cell>
          <cell r="F4797">
            <v>5</v>
          </cell>
        </row>
        <row r="4798">
          <cell r="A4798">
            <v>2018</v>
          </cell>
          <cell r="B4798" t="str">
            <v>Actual</v>
          </cell>
          <cell r="C4798" t="str">
            <v>May</v>
          </cell>
          <cell r="D4798" t="str">
            <v>Chairs</v>
          </cell>
          <cell r="E4798">
            <v>76933.688999999998</v>
          </cell>
          <cell r="F4798">
            <v>5</v>
          </cell>
        </row>
        <row r="4799">
          <cell r="A4799">
            <v>2019</v>
          </cell>
          <cell r="B4799" t="str">
            <v>Budget</v>
          </cell>
          <cell r="C4799" t="str">
            <v>May</v>
          </cell>
          <cell r="D4799" t="str">
            <v>Tables</v>
          </cell>
          <cell r="E4799">
            <v>28265.089999999997</v>
          </cell>
          <cell r="F4799">
            <v>5</v>
          </cell>
        </row>
        <row r="4800">
          <cell r="A4800">
            <v>2019</v>
          </cell>
          <cell r="B4800" t="str">
            <v>Actual</v>
          </cell>
          <cell r="C4800" t="str">
            <v>May</v>
          </cell>
          <cell r="D4800" t="str">
            <v>Kitchen</v>
          </cell>
          <cell r="E4800">
            <v>276585.21799999999</v>
          </cell>
          <cell r="F4800">
            <v>5</v>
          </cell>
        </row>
        <row r="4801">
          <cell r="A4801">
            <v>2018</v>
          </cell>
          <cell r="B4801" t="str">
            <v>Budget</v>
          </cell>
          <cell r="C4801" t="str">
            <v>May</v>
          </cell>
          <cell r="D4801" t="str">
            <v>Chairs</v>
          </cell>
          <cell r="E4801">
            <v>25716.956999999999</v>
          </cell>
          <cell r="F4801">
            <v>5</v>
          </cell>
        </row>
        <row r="4802">
          <cell r="A4802">
            <v>2018</v>
          </cell>
          <cell r="B4802" t="str">
            <v>Actual</v>
          </cell>
          <cell r="C4802" t="str">
            <v>May</v>
          </cell>
          <cell r="D4802" t="str">
            <v>Tables</v>
          </cell>
          <cell r="E4802">
            <v>116430.15299999999</v>
          </cell>
          <cell r="F4802">
            <v>5</v>
          </cell>
        </row>
        <row r="4803">
          <cell r="A4803">
            <v>2019</v>
          </cell>
          <cell r="B4803" t="str">
            <v>Budget</v>
          </cell>
          <cell r="C4803" t="str">
            <v>May</v>
          </cell>
          <cell r="D4803" t="str">
            <v>Kitchen</v>
          </cell>
          <cell r="E4803">
            <v>457331.217</v>
          </cell>
          <cell r="F4803">
            <v>5</v>
          </cell>
        </row>
        <row r="4804">
          <cell r="A4804">
            <v>2019</v>
          </cell>
          <cell r="B4804" t="str">
            <v>Actual</v>
          </cell>
          <cell r="C4804" t="str">
            <v>May</v>
          </cell>
          <cell r="D4804" t="str">
            <v>Chairs</v>
          </cell>
          <cell r="E4804">
            <v>48488.159999999996</v>
          </cell>
          <cell r="F4804">
            <v>5</v>
          </cell>
        </row>
        <row r="4805">
          <cell r="A4805">
            <v>2018</v>
          </cell>
          <cell r="B4805" t="str">
            <v>Budget</v>
          </cell>
          <cell r="C4805" t="str">
            <v>May</v>
          </cell>
          <cell r="D4805" t="str">
            <v>Chairs</v>
          </cell>
          <cell r="E4805">
            <v>57698.829999999994</v>
          </cell>
          <cell r="F4805">
            <v>5</v>
          </cell>
        </row>
        <row r="4806">
          <cell r="A4806">
            <v>2019</v>
          </cell>
          <cell r="B4806" t="str">
            <v>Actual</v>
          </cell>
          <cell r="C4806" t="str">
            <v>May</v>
          </cell>
          <cell r="D4806" t="str">
            <v>Chairs</v>
          </cell>
          <cell r="E4806">
            <v>-19649</v>
          </cell>
          <cell r="F4806">
            <v>5</v>
          </cell>
        </row>
        <row r="4807">
          <cell r="A4807">
            <v>2019</v>
          </cell>
          <cell r="B4807" t="str">
            <v>Budget</v>
          </cell>
          <cell r="C4807" t="str">
            <v>May</v>
          </cell>
          <cell r="D4807" t="str">
            <v>Chairs</v>
          </cell>
          <cell r="E4807">
            <v>30593.695999999996</v>
          </cell>
          <cell r="F4807">
            <v>5</v>
          </cell>
        </row>
        <row r="4808">
          <cell r="A4808">
            <v>2018</v>
          </cell>
          <cell r="B4808" t="str">
            <v>Actual</v>
          </cell>
          <cell r="C4808" t="str">
            <v>May</v>
          </cell>
          <cell r="D4808" t="str">
            <v>Chairs</v>
          </cell>
          <cell r="E4808">
            <v>66670.149000000005</v>
          </cell>
          <cell r="F4808">
            <v>5</v>
          </cell>
        </row>
        <row r="4809">
          <cell r="A4809">
            <v>2019</v>
          </cell>
          <cell r="B4809" t="str">
            <v>Budget</v>
          </cell>
          <cell r="C4809" t="str">
            <v>May</v>
          </cell>
          <cell r="D4809" t="str">
            <v>Chairs</v>
          </cell>
          <cell r="E4809">
            <v>157864.72099999999</v>
          </cell>
          <cell r="F4809">
            <v>5</v>
          </cell>
        </row>
        <row r="4810">
          <cell r="A4810">
            <v>2019</v>
          </cell>
          <cell r="B4810" t="str">
            <v>Actual</v>
          </cell>
          <cell r="C4810" t="str">
            <v>May</v>
          </cell>
          <cell r="D4810" t="str">
            <v>Chairs</v>
          </cell>
          <cell r="E4810">
            <v>409590.97199999995</v>
          </cell>
          <cell r="F4810">
            <v>5</v>
          </cell>
        </row>
        <row r="4811">
          <cell r="A4811">
            <v>2018</v>
          </cell>
          <cell r="B4811" t="str">
            <v>Budget</v>
          </cell>
          <cell r="C4811" t="str">
            <v>May</v>
          </cell>
          <cell r="D4811" t="str">
            <v>Chairs</v>
          </cell>
          <cell r="E4811">
            <v>102007.61900000001</v>
          </cell>
          <cell r="F4811">
            <v>5</v>
          </cell>
        </row>
        <row r="4812">
          <cell r="A4812">
            <v>2019</v>
          </cell>
          <cell r="B4812" t="str">
            <v>Actual</v>
          </cell>
          <cell r="C4812" t="str">
            <v>May</v>
          </cell>
          <cell r="D4812" t="str">
            <v>Chairs</v>
          </cell>
          <cell r="E4812">
            <v>69001.099999999991</v>
          </cell>
          <cell r="F4812">
            <v>5</v>
          </cell>
        </row>
        <row r="4813">
          <cell r="A4813">
            <v>2018</v>
          </cell>
          <cell r="B4813" t="str">
            <v>Budget</v>
          </cell>
          <cell r="C4813" t="str">
            <v>May</v>
          </cell>
          <cell r="D4813" t="str">
            <v>Chairs</v>
          </cell>
          <cell r="E4813">
            <v>4935.21</v>
          </cell>
          <cell r="F4813">
            <v>5</v>
          </cell>
        </row>
        <row r="4814">
          <cell r="A4814">
            <v>2019</v>
          </cell>
          <cell r="B4814" t="str">
            <v>Actual</v>
          </cell>
          <cell r="C4814" t="str">
            <v>May</v>
          </cell>
          <cell r="D4814" t="str">
            <v>Chairs</v>
          </cell>
          <cell r="E4814">
            <v>237.35599999999997</v>
          </cell>
          <cell r="F4814">
            <v>5</v>
          </cell>
        </row>
        <row r="4815">
          <cell r="A4815">
            <v>2018</v>
          </cell>
          <cell r="B4815" t="str">
            <v>Budget</v>
          </cell>
          <cell r="C4815" t="str">
            <v>May</v>
          </cell>
          <cell r="D4815" t="str">
            <v>Chairs</v>
          </cell>
          <cell r="E4815">
            <v>142234.70099999997</v>
          </cell>
          <cell r="F4815">
            <v>5</v>
          </cell>
        </row>
        <row r="4816">
          <cell r="A4816">
            <v>2018</v>
          </cell>
          <cell r="B4816" t="str">
            <v>Actual</v>
          </cell>
          <cell r="C4816" t="str">
            <v>May</v>
          </cell>
          <cell r="D4816" t="str">
            <v>Chairs</v>
          </cell>
          <cell r="E4816">
            <v>394704.23299999995</v>
          </cell>
          <cell r="F4816">
            <v>5</v>
          </cell>
        </row>
        <row r="4817">
          <cell r="A4817">
            <v>2019</v>
          </cell>
          <cell r="B4817" t="str">
            <v>Budget</v>
          </cell>
          <cell r="C4817" t="str">
            <v>May</v>
          </cell>
          <cell r="D4817" t="str">
            <v>Chairs</v>
          </cell>
          <cell r="E4817">
            <v>40293.078000000001</v>
          </cell>
          <cell r="F4817">
            <v>5</v>
          </cell>
        </row>
        <row r="4818">
          <cell r="A4818">
            <v>2019</v>
          </cell>
          <cell r="B4818" t="str">
            <v>Actual</v>
          </cell>
          <cell r="C4818" t="str">
            <v>May</v>
          </cell>
          <cell r="D4818" t="str">
            <v>Chairs</v>
          </cell>
          <cell r="E4818">
            <v>33114.158000000003</v>
          </cell>
          <cell r="F4818">
            <v>5</v>
          </cell>
        </row>
        <row r="4819">
          <cell r="A4819">
            <v>2019</v>
          </cell>
          <cell r="B4819" t="str">
            <v>Budget</v>
          </cell>
          <cell r="C4819" t="str">
            <v>May</v>
          </cell>
          <cell r="D4819" t="str">
            <v>Chairs</v>
          </cell>
          <cell r="E4819">
            <v>87763.892999999996</v>
          </cell>
          <cell r="F4819">
            <v>5</v>
          </cell>
        </row>
        <row r="4820">
          <cell r="A4820">
            <v>2018</v>
          </cell>
          <cell r="B4820" t="str">
            <v>Actual</v>
          </cell>
          <cell r="C4820" t="str">
            <v>May</v>
          </cell>
          <cell r="D4820" t="str">
            <v>Chairs</v>
          </cell>
          <cell r="E4820">
            <v>227642.75099999999</v>
          </cell>
          <cell r="F4820">
            <v>5</v>
          </cell>
        </row>
        <row r="4821">
          <cell r="A4821">
            <v>2018</v>
          </cell>
          <cell r="B4821" t="str">
            <v>Budget</v>
          </cell>
          <cell r="C4821" t="str">
            <v>May</v>
          </cell>
          <cell r="D4821" t="str">
            <v>Chairs</v>
          </cell>
          <cell r="E4821">
            <v>36562.616999999998</v>
          </cell>
          <cell r="F4821">
            <v>5</v>
          </cell>
        </row>
        <row r="4822">
          <cell r="A4822">
            <v>2018</v>
          </cell>
          <cell r="B4822" t="str">
            <v>Actual</v>
          </cell>
          <cell r="C4822" t="str">
            <v>May</v>
          </cell>
          <cell r="D4822" t="str">
            <v>Chairs</v>
          </cell>
          <cell r="E4822">
            <v>228895.00899999999</v>
          </cell>
          <cell r="F4822">
            <v>5</v>
          </cell>
        </row>
        <row r="4823">
          <cell r="A4823">
            <v>2018</v>
          </cell>
          <cell r="B4823" t="str">
            <v>Budget</v>
          </cell>
          <cell r="C4823" t="str">
            <v>May</v>
          </cell>
          <cell r="D4823" t="str">
            <v>Chairs</v>
          </cell>
          <cell r="E4823">
            <v>25169.864999999998</v>
          </cell>
          <cell r="F4823">
            <v>5</v>
          </cell>
        </row>
        <row r="4824">
          <cell r="A4824">
            <v>2018</v>
          </cell>
          <cell r="B4824" t="str">
            <v>Actual</v>
          </cell>
          <cell r="C4824" t="str">
            <v>May</v>
          </cell>
          <cell r="D4824" t="str">
            <v>Chairs</v>
          </cell>
          <cell r="E4824">
            <v>36213.184000000001</v>
          </cell>
          <cell r="F4824">
            <v>5</v>
          </cell>
        </row>
        <row r="4825">
          <cell r="A4825">
            <v>2018</v>
          </cell>
          <cell r="B4825" t="str">
            <v>Budget</v>
          </cell>
          <cell r="C4825" t="str">
            <v>May</v>
          </cell>
          <cell r="D4825" t="str">
            <v>Chairs</v>
          </cell>
          <cell r="E4825">
            <v>28065.890999999996</v>
          </cell>
          <cell r="F4825">
            <v>5</v>
          </cell>
        </row>
        <row r="4826">
          <cell r="A4826">
            <v>2019</v>
          </cell>
          <cell r="B4826" t="str">
            <v>Actual</v>
          </cell>
          <cell r="C4826" t="str">
            <v>May</v>
          </cell>
          <cell r="D4826" t="str">
            <v>Chairs</v>
          </cell>
          <cell r="E4826">
            <v>126750.86900000001</v>
          </cell>
          <cell r="F4826">
            <v>5</v>
          </cell>
        </row>
        <row r="4827">
          <cell r="A4827">
            <v>2019</v>
          </cell>
          <cell r="B4827" t="str">
            <v>Budget</v>
          </cell>
          <cell r="C4827" t="str">
            <v>May</v>
          </cell>
          <cell r="D4827" t="str">
            <v>Chairs</v>
          </cell>
          <cell r="E4827">
            <v>17375.987999999998</v>
          </cell>
          <cell r="F4827">
            <v>5</v>
          </cell>
        </row>
        <row r="4828">
          <cell r="A4828">
            <v>2019</v>
          </cell>
          <cell r="B4828" t="str">
            <v>Actual</v>
          </cell>
          <cell r="C4828" t="str">
            <v>May</v>
          </cell>
          <cell r="D4828" t="str">
            <v>Chairs</v>
          </cell>
          <cell r="E4828">
            <v>65721.067999999999</v>
          </cell>
          <cell r="F4828">
            <v>5</v>
          </cell>
        </row>
        <row r="4829">
          <cell r="A4829">
            <v>2018</v>
          </cell>
          <cell r="B4829" t="str">
            <v>Budget</v>
          </cell>
          <cell r="C4829" t="str">
            <v>May</v>
          </cell>
          <cell r="D4829" t="str">
            <v>Chairs</v>
          </cell>
          <cell r="E4829">
            <v>9751.0419999999995</v>
          </cell>
          <cell r="F4829">
            <v>5</v>
          </cell>
        </row>
        <row r="4830">
          <cell r="A4830">
            <v>2019</v>
          </cell>
          <cell r="B4830" t="str">
            <v>Actual</v>
          </cell>
          <cell r="C4830" t="str">
            <v>May</v>
          </cell>
          <cell r="D4830" t="str">
            <v>Tables</v>
          </cell>
          <cell r="E4830">
            <v>99336.964999999997</v>
          </cell>
          <cell r="F4830">
            <v>5</v>
          </cell>
        </row>
        <row r="4831">
          <cell r="A4831">
            <v>2019</v>
          </cell>
          <cell r="B4831" t="str">
            <v>Budget</v>
          </cell>
          <cell r="C4831" t="str">
            <v>May</v>
          </cell>
          <cell r="D4831" t="str">
            <v>Kitchen</v>
          </cell>
          <cell r="E4831">
            <v>31849.628999999997</v>
          </cell>
          <cell r="F4831">
            <v>5</v>
          </cell>
        </row>
        <row r="4832">
          <cell r="A4832">
            <v>2018</v>
          </cell>
          <cell r="B4832" t="str">
            <v>Actual</v>
          </cell>
          <cell r="C4832" t="str">
            <v>May</v>
          </cell>
          <cell r="D4832" t="str">
            <v>Chairs</v>
          </cell>
          <cell r="E4832">
            <v>18149.418000000001</v>
          </cell>
          <cell r="F4832">
            <v>5</v>
          </cell>
        </row>
        <row r="4833">
          <cell r="A4833">
            <v>2018</v>
          </cell>
          <cell r="B4833" t="str">
            <v>Budget</v>
          </cell>
          <cell r="C4833" t="str">
            <v>May</v>
          </cell>
          <cell r="D4833" t="str">
            <v>Chairs</v>
          </cell>
          <cell r="E4833">
            <v>96827.178</v>
          </cell>
          <cell r="F4833">
            <v>5</v>
          </cell>
        </row>
        <row r="4834">
          <cell r="A4834">
            <v>2018</v>
          </cell>
          <cell r="B4834" t="str">
            <v>Actual</v>
          </cell>
          <cell r="C4834" t="str">
            <v>May</v>
          </cell>
          <cell r="D4834" t="str">
            <v>Chairs</v>
          </cell>
          <cell r="E4834">
            <v>251614.83199999999</v>
          </cell>
          <cell r="F4834">
            <v>5</v>
          </cell>
        </row>
        <row r="4835">
          <cell r="A4835">
            <v>2019</v>
          </cell>
          <cell r="B4835" t="str">
            <v>Budget</v>
          </cell>
          <cell r="C4835" t="str">
            <v>May</v>
          </cell>
          <cell r="D4835" t="str">
            <v>Chairs</v>
          </cell>
          <cell r="E4835">
            <v>238762.15999999997</v>
          </cell>
          <cell r="F4835">
            <v>5</v>
          </cell>
        </row>
        <row r="4836">
          <cell r="A4836">
            <v>2018</v>
          </cell>
          <cell r="B4836" t="str">
            <v>Actual</v>
          </cell>
          <cell r="C4836" t="str">
            <v>May</v>
          </cell>
          <cell r="D4836" t="str">
            <v>Chairs</v>
          </cell>
          <cell r="E4836">
            <v>130381.42599999999</v>
          </cell>
          <cell r="F4836">
            <v>5</v>
          </cell>
        </row>
        <row r="4837">
          <cell r="A4837">
            <v>2019</v>
          </cell>
          <cell r="B4837" t="str">
            <v>Budget</v>
          </cell>
          <cell r="C4837" t="str">
            <v>May</v>
          </cell>
          <cell r="D4837" t="str">
            <v>Tables</v>
          </cell>
          <cell r="E4837">
            <v>171999.57599999997</v>
          </cell>
          <cell r="F4837">
            <v>5</v>
          </cell>
        </row>
        <row r="4838">
          <cell r="A4838">
            <v>2018</v>
          </cell>
          <cell r="B4838" t="str">
            <v>Actual</v>
          </cell>
          <cell r="C4838" t="str">
            <v>May</v>
          </cell>
          <cell r="D4838" t="str">
            <v>Kitchen</v>
          </cell>
          <cell r="E4838">
            <v>343738.038</v>
          </cell>
          <cell r="F4838">
            <v>5</v>
          </cell>
        </row>
        <row r="4839">
          <cell r="A4839">
            <v>2019</v>
          </cell>
          <cell r="B4839" t="str">
            <v>Budget</v>
          </cell>
          <cell r="C4839" t="str">
            <v>May</v>
          </cell>
          <cell r="D4839" t="str">
            <v>Chairs</v>
          </cell>
          <cell r="E4839">
            <v>73535.825999999986</v>
          </cell>
          <cell r="F4839">
            <v>5</v>
          </cell>
        </row>
        <row r="4840">
          <cell r="A4840">
            <v>2019</v>
          </cell>
          <cell r="B4840" t="str">
            <v>Actual</v>
          </cell>
          <cell r="C4840" t="str">
            <v>May</v>
          </cell>
          <cell r="D4840" t="str">
            <v>Chairs</v>
          </cell>
          <cell r="E4840">
            <v>213925.166</v>
          </cell>
          <cell r="F4840">
            <v>5</v>
          </cell>
        </row>
        <row r="4841">
          <cell r="A4841">
            <v>2019</v>
          </cell>
          <cell r="B4841" t="str">
            <v>Budget</v>
          </cell>
          <cell r="C4841" t="str">
            <v>May</v>
          </cell>
          <cell r="D4841" t="str">
            <v>Chairs</v>
          </cell>
          <cell r="E4841">
            <v>141124.19999999998</v>
          </cell>
          <cell r="F4841">
            <v>5</v>
          </cell>
        </row>
        <row r="4842">
          <cell r="A4842">
            <v>2018</v>
          </cell>
          <cell r="B4842" t="str">
            <v>Actual</v>
          </cell>
          <cell r="C4842" t="str">
            <v>May</v>
          </cell>
          <cell r="D4842" t="str">
            <v>Tables</v>
          </cell>
          <cell r="E4842">
            <v>47652.828999999998</v>
          </cell>
          <cell r="F4842">
            <v>5</v>
          </cell>
        </row>
        <row r="4843">
          <cell r="A4843">
            <v>2018</v>
          </cell>
          <cell r="B4843" t="str">
            <v>Budget</v>
          </cell>
          <cell r="C4843" t="str">
            <v>May</v>
          </cell>
          <cell r="D4843" t="str">
            <v>Kitchen</v>
          </cell>
          <cell r="E4843">
            <v>195471.30399999997</v>
          </cell>
          <cell r="F4843">
            <v>5</v>
          </cell>
        </row>
        <row r="4844">
          <cell r="A4844">
            <v>2018</v>
          </cell>
          <cell r="B4844" t="str">
            <v>Actual</v>
          </cell>
          <cell r="C4844" t="str">
            <v>May</v>
          </cell>
          <cell r="D4844" t="str">
            <v>Chairs</v>
          </cell>
          <cell r="E4844">
            <v>61104.413999999997</v>
          </cell>
          <cell r="F4844">
            <v>5</v>
          </cell>
        </row>
        <row r="4845">
          <cell r="A4845">
            <v>2018</v>
          </cell>
          <cell r="B4845" t="str">
            <v>Budget</v>
          </cell>
          <cell r="C4845" t="str">
            <v>May</v>
          </cell>
          <cell r="D4845" t="str">
            <v>Chairs</v>
          </cell>
          <cell r="E4845">
            <v>137085.921</v>
          </cell>
          <cell r="F4845">
            <v>5</v>
          </cell>
        </row>
        <row r="4846">
          <cell r="A4846">
            <v>2019</v>
          </cell>
          <cell r="B4846" t="str">
            <v>Actual</v>
          </cell>
          <cell r="C4846" t="str">
            <v>May</v>
          </cell>
          <cell r="D4846" t="str">
            <v>Tables</v>
          </cell>
          <cell r="E4846">
            <v>55523.782999999996</v>
          </cell>
          <cell r="F4846">
            <v>5</v>
          </cell>
        </row>
        <row r="4847">
          <cell r="A4847">
            <v>2018</v>
          </cell>
          <cell r="B4847" t="str">
            <v>Budget</v>
          </cell>
          <cell r="C4847" t="str">
            <v>May</v>
          </cell>
          <cell r="D4847" t="str">
            <v>Kitchen</v>
          </cell>
          <cell r="E4847">
            <v>172966.899</v>
          </cell>
          <cell r="F4847">
            <v>5</v>
          </cell>
        </row>
        <row r="4848">
          <cell r="A4848">
            <v>2018</v>
          </cell>
          <cell r="B4848" t="str">
            <v>Actual</v>
          </cell>
          <cell r="C4848" t="str">
            <v>May</v>
          </cell>
          <cell r="D4848" t="str">
            <v>Chairs</v>
          </cell>
          <cell r="E4848">
            <v>413916.44699999993</v>
          </cell>
          <cell r="F4848">
            <v>5</v>
          </cell>
        </row>
        <row r="4849">
          <cell r="A4849">
            <v>2018</v>
          </cell>
          <cell r="B4849" t="str">
            <v>Budget</v>
          </cell>
          <cell r="C4849" t="str">
            <v>May</v>
          </cell>
          <cell r="D4849" t="str">
            <v>Chairs</v>
          </cell>
          <cell r="E4849">
            <v>98079.141999999993</v>
          </cell>
          <cell r="F4849">
            <v>5</v>
          </cell>
        </row>
        <row r="4850">
          <cell r="A4850">
            <v>2018</v>
          </cell>
          <cell r="B4850" t="str">
            <v>Actual</v>
          </cell>
          <cell r="C4850" t="str">
            <v>May</v>
          </cell>
          <cell r="D4850" t="str">
            <v>Tables</v>
          </cell>
          <cell r="E4850">
            <v>1543260.4040000001</v>
          </cell>
          <cell r="F4850">
            <v>5</v>
          </cell>
        </row>
        <row r="4851">
          <cell r="A4851">
            <v>2018</v>
          </cell>
          <cell r="B4851" t="str">
            <v>Budget</v>
          </cell>
          <cell r="C4851" t="str">
            <v>May</v>
          </cell>
          <cell r="D4851" t="str">
            <v>Chairs</v>
          </cell>
          <cell r="E4851">
            <v>147758.12099999998</v>
          </cell>
          <cell r="F4851">
            <v>5</v>
          </cell>
        </row>
        <row r="4852">
          <cell r="A4852">
            <v>2018</v>
          </cell>
          <cell r="B4852" t="str">
            <v>Actual</v>
          </cell>
          <cell r="C4852" t="str">
            <v>May</v>
          </cell>
          <cell r="D4852" t="str">
            <v>Tables</v>
          </cell>
          <cell r="E4852">
            <v>96130.040999999997</v>
          </cell>
          <cell r="F4852">
            <v>5</v>
          </cell>
        </row>
        <row r="4853">
          <cell r="A4853">
            <v>2019</v>
          </cell>
          <cell r="B4853" t="str">
            <v>Budget</v>
          </cell>
          <cell r="C4853" t="str">
            <v>May</v>
          </cell>
          <cell r="D4853" t="str">
            <v>Kitchen</v>
          </cell>
          <cell r="E4853">
            <v>18432.715</v>
          </cell>
          <cell r="F4853">
            <v>5</v>
          </cell>
        </row>
        <row r="4854">
          <cell r="A4854">
            <v>2018</v>
          </cell>
          <cell r="B4854" t="str">
            <v>Actual</v>
          </cell>
          <cell r="C4854" t="str">
            <v>May</v>
          </cell>
          <cell r="D4854" t="str">
            <v>Accessories</v>
          </cell>
          <cell r="E4854">
            <v>87668.286999999997</v>
          </cell>
          <cell r="F4854">
            <v>5</v>
          </cell>
        </row>
        <row r="4855">
          <cell r="A4855">
            <v>2019</v>
          </cell>
          <cell r="B4855" t="str">
            <v>Budget</v>
          </cell>
          <cell r="C4855" t="str">
            <v>May</v>
          </cell>
          <cell r="D4855" t="str">
            <v>Chairs</v>
          </cell>
          <cell r="E4855">
            <v>38401.453999999998</v>
          </cell>
          <cell r="F4855">
            <v>5</v>
          </cell>
        </row>
        <row r="4856">
          <cell r="A4856">
            <v>2018</v>
          </cell>
          <cell r="B4856" t="str">
            <v>Actual</v>
          </cell>
          <cell r="C4856" t="str">
            <v>May</v>
          </cell>
          <cell r="D4856" t="str">
            <v>Tables</v>
          </cell>
          <cell r="E4856">
            <v>137644.14299999998</v>
          </cell>
          <cell r="F4856">
            <v>5</v>
          </cell>
        </row>
        <row r="4857">
          <cell r="A4857">
            <v>2018</v>
          </cell>
          <cell r="B4857" t="str">
            <v>Budget</v>
          </cell>
          <cell r="C4857" t="str">
            <v>May</v>
          </cell>
          <cell r="D4857" t="str">
            <v>Kitchen</v>
          </cell>
          <cell r="E4857">
            <v>117405.28099999999</v>
          </cell>
          <cell r="F4857">
            <v>5</v>
          </cell>
        </row>
        <row r="4858">
          <cell r="A4858">
            <v>2019</v>
          </cell>
          <cell r="B4858" t="str">
            <v>Actual</v>
          </cell>
          <cell r="C4858" t="str">
            <v>May</v>
          </cell>
          <cell r="D4858" t="str">
            <v>Accessories</v>
          </cell>
          <cell r="E4858">
            <v>55595.343999999997</v>
          </cell>
          <cell r="F4858">
            <v>5</v>
          </cell>
        </row>
        <row r="4859">
          <cell r="A4859">
            <v>2018</v>
          </cell>
          <cell r="B4859" t="str">
            <v>Budget</v>
          </cell>
          <cell r="C4859" t="str">
            <v>May</v>
          </cell>
          <cell r="D4859" t="str">
            <v>Chairs</v>
          </cell>
          <cell r="E4859">
            <v>106769.13799999999</v>
          </cell>
          <cell r="F4859">
            <v>5</v>
          </cell>
        </row>
        <row r="4860">
          <cell r="A4860">
            <v>2018</v>
          </cell>
          <cell r="B4860" t="str">
            <v>Actual</v>
          </cell>
          <cell r="C4860" t="str">
            <v>May</v>
          </cell>
          <cell r="D4860" t="str">
            <v>Tables</v>
          </cell>
          <cell r="E4860">
            <v>115441.43099999998</v>
          </cell>
          <cell r="F4860">
            <v>5</v>
          </cell>
        </row>
        <row r="4861">
          <cell r="A4861">
            <v>2018</v>
          </cell>
          <cell r="B4861" t="str">
            <v>Budget</v>
          </cell>
          <cell r="C4861" t="str">
            <v>May</v>
          </cell>
          <cell r="D4861" t="str">
            <v>Kitchen</v>
          </cell>
          <cell r="E4861">
            <v>183229.69</v>
          </cell>
          <cell r="F4861">
            <v>5</v>
          </cell>
        </row>
        <row r="4862">
          <cell r="A4862">
            <v>2019</v>
          </cell>
          <cell r="B4862" t="str">
            <v>Actual</v>
          </cell>
          <cell r="C4862" t="str">
            <v>May</v>
          </cell>
          <cell r="D4862" t="str">
            <v>Accessories</v>
          </cell>
          <cell r="E4862">
            <v>14454.887999999999</v>
          </cell>
          <cell r="F4862">
            <v>5</v>
          </cell>
        </row>
        <row r="4863">
          <cell r="A4863">
            <v>2019</v>
          </cell>
          <cell r="B4863" t="str">
            <v>Budget</v>
          </cell>
          <cell r="C4863" t="str">
            <v>May</v>
          </cell>
          <cell r="D4863" t="str">
            <v>Chairs</v>
          </cell>
          <cell r="E4863">
            <v>2029901.895</v>
          </cell>
          <cell r="F4863">
            <v>5</v>
          </cell>
        </row>
        <row r="4864">
          <cell r="A4864">
            <v>2018</v>
          </cell>
          <cell r="B4864" t="str">
            <v>Actual</v>
          </cell>
          <cell r="C4864" t="str">
            <v>May</v>
          </cell>
          <cell r="D4864" t="str">
            <v>Tables</v>
          </cell>
          <cell r="E4864">
            <v>153087.095</v>
          </cell>
          <cell r="F4864">
            <v>5</v>
          </cell>
        </row>
        <row r="4865">
          <cell r="A4865">
            <v>2019</v>
          </cell>
          <cell r="B4865" t="str">
            <v>Budget</v>
          </cell>
          <cell r="C4865" t="str">
            <v>May</v>
          </cell>
          <cell r="D4865" t="str">
            <v>Kitchen</v>
          </cell>
          <cell r="E4865">
            <v>88473.777000000002</v>
          </cell>
          <cell r="F4865">
            <v>5</v>
          </cell>
        </row>
        <row r="4866">
          <cell r="A4866">
            <v>2019</v>
          </cell>
          <cell r="B4866" t="str">
            <v>Actual</v>
          </cell>
          <cell r="C4866" t="str">
            <v>May</v>
          </cell>
          <cell r="D4866" t="str">
            <v>Accessories</v>
          </cell>
          <cell r="E4866">
            <v>248269.11199999996</v>
          </cell>
          <cell r="F4866">
            <v>5</v>
          </cell>
        </row>
        <row r="4867">
          <cell r="A4867">
            <v>2018</v>
          </cell>
          <cell r="B4867" t="str">
            <v>Budget</v>
          </cell>
          <cell r="C4867" t="str">
            <v>May</v>
          </cell>
          <cell r="D4867" t="str">
            <v>Chairs</v>
          </cell>
          <cell r="E4867">
            <v>211320.39600000001</v>
          </cell>
          <cell r="F4867">
            <v>5</v>
          </cell>
        </row>
        <row r="4868">
          <cell r="A4868">
            <v>2019</v>
          </cell>
          <cell r="B4868" t="str">
            <v>Actual</v>
          </cell>
          <cell r="C4868" t="str">
            <v>May</v>
          </cell>
          <cell r="D4868" t="str">
            <v>Chairs</v>
          </cell>
          <cell r="E4868">
            <v>411930.72199999995</v>
          </cell>
          <cell r="F4868">
            <v>5</v>
          </cell>
        </row>
        <row r="4869">
          <cell r="A4869">
            <v>2018</v>
          </cell>
          <cell r="B4869" t="str">
            <v>Budget</v>
          </cell>
          <cell r="C4869" t="str">
            <v>May</v>
          </cell>
          <cell r="D4869" t="str">
            <v>Tables</v>
          </cell>
          <cell r="E4869">
            <v>1561830.9489999998</v>
          </cell>
          <cell r="F4869">
            <v>5</v>
          </cell>
        </row>
        <row r="4870">
          <cell r="A4870">
            <v>2018</v>
          </cell>
          <cell r="B4870" t="str">
            <v>Actual</v>
          </cell>
          <cell r="C4870" t="str">
            <v>May</v>
          </cell>
          <cell r="D4870" t="str">
            <v>Kitchen</v>
          </cell>
          <cell r="E4870">
            <v>776757.86300000001</v>
          </cell>
          <cell r="F4870">
            <v>5</v>
          </cell>
        </row>
        <row r="4871">
          <cell r="A4871">
            <v>2018</v>
          </cell>
          <cell r="B4871" t="str">
            <v>Budget</v>
          </cell>
          <cell r="C4871" t="str">
            <v>May</v>
          </cell>
          <cell r="D4871" t="str">
            <v>Chairs</v>
          </cell>
          <cell r="E4871">
            <v>1495419.9189999998</v>
          </cell>
          <cell r="F4871">
            <v>5</v>
          </cell>
        </row>
        <row r="4872">
          <cell r="A4872">
            <v>2018</v>
          </cell>
          <cell r="B4872" t="str">
            <v>Actual</v>
          </cell>
          <cell r="C4872" t="str">
            <v>May</v>
          </cell>
          <cell r="D4872" t="str">
            <v>Tables</v>
          </cell>
          <cell r="E4872">
            <v>214172.59499999997</v>
          </cell>
          <cell r="F4872">
            <v>5</v>
          </cell>
        </row>
        <row r="4873">
          <cell r="A4873">
            <v>2018</v>
          </cell>
          <cell r="B4873" t="str">
            <v>Budget</v>
          </cell>
          <cell r="C4873" t="str">
            <v>May</v>
          </cell>
          <cell r="D4873" t="str">
            <v>Kitchen</v>
          </cell>
          <cell r="E4873">
            <v>82225.031000000003</v>
          </cell>
          <cell r="F4873">
            <v>5</v>
          </cell>
        </row>
        <row r="4874">
          <cell r="A4874">
            <v>2018</v>
          </cell>
          <cell r="B4874" t="str">
            <v>Actual</v>
          </cell>
          <cell r="C4874" t="str">
            <v>May</v>
          </cell>
          <cell r="D4874" t="str">
            <v>Chairs</v>
          </cell>
          <cell r="E4874">
            <v>-6481.7830000000004</v>
          </cell>
          <cell r="F4874">
            <v>5</v>
          </cell>
        </row>
        <row r="4875">
          <cell r="A4875">
            <v>2018</v>
          </cell>
          <cell r="B4875" t="str">
            <v>Budget</v>
          </cell>
          <cell r="C4875" t="str">
            <v>May</v>
          </cell>
          <cell r="D4875" t="str">
            <v>Tables</v>
          </cell>
          <cell r="E4875">
            <v>826901.75399999996</v>
          </cell>
          <cell r="F4875">
            <v>5</v>
          </cell>
        </row>
        <row r="4876">
          <cell r="A4876">
            <v>2019</v>
          </cell>
          <cell r="B4876" t="str">
            <v>Actual</v>
          </cell>
          <cell r="C4876" t="str">
            <v>May</v>
          </cell>
          <cell r="D4876" t="str">
            <v>Kitchen</v>
          </cell>
          <cell r="E4876">
            <v>195890.96099999998</v>
          </cell>
          <cell r="F4876">
            <v>5</v>
          </cell>
        </row>
        <row r="4877">
          <cell r="A4877">
            <v>2019</v>
          </cell>
          <cell r="B4877" t="str">
            <v>Budget</v>
          </cell>
          <cell r="C4877" t="str">
            <v>May</v>
          </cell>
          <cell r="D4877" t="str">
            <v>Chairs</v>
          </cell>
          <cell r="E4877">
            <v>246979.57899999997</v>
          </cell>
          <cell r="F4877">
            <v>5</v>
          </cell>
        </row>
        <row r="4878">
          <cell r="A4878">
            <v>2019</v>
          </cell>
          <cell r="B4878" t="str">
            <v>Actual</v>
          </cell>
          <cell r="C4878" t="str">
            <v>May</v>
          </cell>
          <cell r="D4878" t="str">
            <v>Chairs</v>
          </cell>
          <cell r="E4878">
            <v>5191430.2580000004</v>
          </cell>
          <cell r="F4878">
            <v>5</v>
          </cell>
        </row>
        <row r="4879">
          <cell r="A4879">
            <v>2019</v>
          </cell>
          <cell r="B4879" t="str">
            <v>Budget</v>
          </cell>
          <cell r="C4879" t="str">
            <v>May</v>
          </cell>
          <cell r="D4879" t="str">
            <v>Chairs</v>
          </cell>
          <cell r="E4879">
            <v>2050222.118</v>
          </cell>
          <cell r="F4879">
            <v>5</v>
          </cell>
        </row>
        <row r="4880">
          <cell r="A4880">
            <v>2019</v>
          </cell>
          <cell r="B4880" t="str">
            <v>Actual</v>
          </cell>
          <cell r="C4880" t="str">
            <v>May</v>
          </cell>
          <cell r="D4880" t="str">
            <v>Chairs</v>
          </cell>
          <cell r="E4880">
            <v>-11056.507</v>
          </cell>
          <cell r="F4880">
            <v>5</v>
          </cell>
        </row>
        <row r="4881">
          <cell r="A4881">
            <v>2019</v>
          </cell>
          <cell r="B4881" t="str">
            <v>Budget</v>
          </cell>
          <cell r="C4881" t="str">
            <v>May</v>
          </cell>
          <cell r="D4881" t="str">
            <v>Chairs</v>
          </cell>
          <cell r="E4881">
            <v>620051.57899999991</v>
          </cell>
          <cell r="F4881">
            <v>5</v>
          </cell>
        </row>
        <row r="4882">
          <cell r="A4882">
            <v>2018</v>
          </cell>
          <cell r="B4882" t="str">
            <v>Actual</v>
          </cell>
          <cell r="C4882" t="str">
            <v>May</v>
          </cell>
          <cell r="D4882" t="str">
            <v>Chairs</v>
          </cell>
          <cell r="E4882">
            <v>1741725.3629999999</v>
          </cell>
          <cell r="F4882">
            <v>5</v>
          </cell>
        </row>
        <row r="4883">
          <cell r="A4883">
            <v>2018</v>
          </cell>
          <cell r="B4883" t="str">
            <v>Budget</v>
          </cell>
          <cell r="C4883" t="str">
            <v>May</v>
          </cell>
          <cell r="D4883" t="str">
            <v>Chairs</v>
          </cell>
          <cell r="E4883">
            <v>106128.49800000001</v>
          </cell>
          <cell r="F4883">
            <v>5</v>
          </cell>
        </row>
        <row r="4884">
          <cell r="A4884">
            <v>2018</v>
          </cell>
          <cell r="B4884" t="str">
            <v>Actual</v>
          </cell>
          <cell r="C4884" t="str">
            <v>May</v>
          </cell>
          <cell r="D4884" t="str">
            <v>Chairs</v>
          </cell>
          <cell r="E4884">
            <v>2454222.1969999997</v>
          </cell>
          <cell r="F4884">
            <v>5</v>
          </cell>
        </row>
        <row r="4885">
          <cell r="A4885">
            <v>2018</v>
          </cell>
          <cell r="B4885" t="str">
            <v>Budget</v>
          </cell>
          <cell r="C4885" t="str">
            <v>May</v>
          </cell>
          <cell r="D4885" t="str">
            <v>Chairs</v>
          </cell>
          <cell r="E4885">
            <v>1022050.4419999999</v>
          </cell>
          <cell r="F4885">
            <v>5</v>
          </cell>
        </row>
        <row r="4886">
          <cell r="A4886">
            <v>2018</v>
          </cell>
          <cell r="B4886" t="str">
            <v>Actual</v>
          </cell>
          <cell r="C4886" t="str">
            <v>May</v>
          </cell>
          <cell r="D4886" t="str">
            <v>Chairs</v>
          </cell>
          <cell r="E4886">
            <v>217199.87799999997</v>
          </cell>
          <cell r="F4886">
            <v>5</v>
          </cell>
        </row>
        <row r="4887">
          <cell r="A4887">
            <v>2019</v>
          </cell>
          <cell r="B4887" t="str">
            <v>Budget</v>
          </cell>
          <cell r="C4887" t="str">
            <v>May</v>
          </cell>
          <cell r="D4887" t="str">
            <v>Chairs</v>
          </cell>
          <cell r="E4887">
            <v>74317.445999999996</v>
          </cell>
          <cell r="F4887">
            <v>5</v>
          </cell>
        </row>
        <row r="4888">
          <cell r="A4888">
            <v>2019</v>
          </cell>
          <cell r="B4888" t="str">
            <v>Actual</v>
          </cell>
          <cell r="C4888" t="str">
            <v>May</v>
          </cell>
          <cell r="D4888" t="str">
            <v>Chairs</v>
          </cell>
          <cell r="E4888">
            <v>218988.25899999999</v>
          </cell>
          <cell r="F4888">
            <v>5</v>
          </cell>
        </row>
        <row r="4889">
          <cell r="A4889">
            <v>2018</v>
          </cell>
          <cell r="B4889" t="str">
            <v>Budget</v>
          </cell>
          <cell r="C4889" t="str">
            <v>May</v>
          </cell>
          <cell r="D4889" t="str">
            <v>Chairs</v>
          </cell>
          <cell r="E4889">
            <v>422882.516</v>
          </cell>
          <cell r="F4889">
            <v>5</v>
          </cell>
        </row>
        <row r="4890">
          <cell r="A4890">
            <v>2019</v>
          </cell>
          <cell r="B4890" t="str">
            <v>Actual</v>
          </cell>
          <cell r="C4890" t="str">
            <v>May</v>
          </cell>
          <cell r="D4890" t="str">
            <v>Chairs</v>
          </cell>
          <cell r="E4890">
            <v>1421723.7439999999</v>
          </cell>
          <cell r="F4890">
            <v>5</v>
          </cell>
        </row>
        <row r="4891">
          <cell r="A4891">
            <v>2018</v>
          </cell>
          <cell r="B4891" t="str">
            <v>Budget</v>
          </cell>
          <cell r="C4891" t="str">
            <v>May</v>
          </cell>
          <cell r="D4891" t="str">
            <v>Chairs</v>
          </cell>
          <cell r="E4891">
            <v>5413238.04</v>
          </cell>
          <cell r="F4891">
            <v>5</v>
          </cell>
        </row>
        <row r="4892">
          <cell r="A4892">
            <v>2018</v>
          </cell>
          <cell r="B4892" t="str">
            <v>Actual</v>
          </cell>
          <cell r="C4892" t="str">
            <v>May</v>
          </cell>
          <cell r="D4892" t="str">
            <v>Chairs</v>
          </cell>
          <cell r="E4892">
            <v>247540.53099999999</v>
          </cell>
          <cell r="F4892">
            <v>5</v>
          </cell>
        </row>
        <row r="4893">
          <cell r="A4893">
            <v>2019</v>
          </cell>
          <cell r="B4893" t="str">
            <v>Budget</v>
          </cell>
          <cell r="C4893" t="str">
            <v>May</v>
          </cell>
          <cell r="D4893" t="str">
            <v>Chairs</v>
          </cell>
          <cell r="E4893">
            <v>632195.31900000002</v>
          </cell>
          <cell r="F4893">
            <v>5</v>
          </cell>
        </row>
        <row r="4894">
          <cell r="A4894">
            <v>2018</v>
          </cell>
          <cell r="B4894" t="str">
            <v>Actual</v>
          </cell>
          <cell r="C4894" t="str">
            <v>May</v>
          </cell>
          <cell r="D4894" t="str">
            <v>Chairs</v>
          </cell>
          <cell r="E4894">
            <v>2796504.8439999996</v>
          </cell>
          <cell r="F4894">
            <v>5</v>
          </cell>
        </row>
        <row r="4895">
          <cell r="A4895">
            <v>2019</v>
          </cell>
          <cell r="B4895" t="str">
            <v>Budget</v>
          </cell>
          <cell r="C4895" t="str">
            <v>May</v>
          </cell>
          <cell r="D4895" t="str">
            <v>Chairs</v>
          </cell>
          <cell r="E4895">
            <v>103386.56299999999</v>
          </cell>
          <cell r="F4895">
            <v>5</v>
          </cell>
        </row>
        <row r="4896">
          <cell r="A4896">
            <v>2018</v>
          </cell>
          <cell r="B4896" t="str">
            <v>Actual</v>
          </cell>
          <cell r="C4896" t="str">
            <v>May</v>
          </cell>
          <cell r="D4896" t="str">
            <v>Chairs</v>
          </cell>
          <cell r="E4896">
            <v>210473.99799999999</v>
          </cell>
          <cell r="F4896">
            <v>5</v>
          </cell>
        </row>
        <row r="4897">
          <cell r="A4897">
            <v>2018</v>
          </cell>
          <cell r="B4897" t="str">
            <v>Budget</v>
          </cell>
          <cell r="C4897" t="str">
            <v>May</v>
          </cell>
          <cell r="D4897" t="str">
            <v>Chairs</v>
          </cell>
          <cell r="E4897">
            <v>6304475.7929999996</v>
          </cell>
          <cell r="F4897">
            <v>5</v>
          </cell>
        </row>
        <row r="4898">
          <cell r="A4898">
            <v>2018</v>
          </cell>
          <cell r="B4898" t="str">
            <v>Actual</v>
          </cell>
          <cell r="C4898" t="str">
            <v>May</v>
          </cell>
          <cell r="D4898" t="str">
            <v>Chairs</v>
          </cell>
          <cell r="E4898">
            <v>239951.13099999999</v>
          </cell>
          <cell r="F4898">
            <v>5</v>
          </cell>
        </row>
        <row r="4899">
          <cell r="A4899">
            <v>2018</v>
          </cell>
          <cell r="B4899" t="str">
            <v>Budget</v>
          </cell>
          <cell r="C4899" t="str">
            <v>May</v>
          </cell>
          <cell r="D4899" t="str">
            <v>Chairs</v>
          </cell>
          <cell r="E4899">
            <v>931267.43499999994</v>
          </cell>
          <cell r="F4899">
            <v>5</v>
          </cell>
        </row>
        <row r="4900">
          <cell r="A4900">
            <v>2019</v>
          </cell>
          <cell r="B4900" t="str">
            <v>Actual</v>
          </cell>
          <cell r="C4900" t="str">
            <v>May</v>
          </cell>
          <cell r="D4900" t="str">
            <v>Chairs</v>
          </cell>
          <cell r="E4900">
            <v>1144254.426</v>
          </cell>
          <cell r="F4900">
            <v>5</v>
          </cell>
        </row>
        <row r="4901">
          <cell r="A4901">
            <v>2018</v>
          </cell>
          <cell r="B4901" t="str">
            <v>Budget</v>
          </cell>
          <cell r="C4901" t="str">
            <v>May</v>
          </cell>
          <cell r="D4901" t="str">
            <v>Chairs</v>
          </cell>
          <cell r="E4901">
            <v>2059081.8569999996</v>
          </cell>
          <cell r="F4901">
            <v>5</v>
          </cell>
        </row>
        <row r="4902">
          <cell r="A4902">
            <v>2018</v>
          </cell>
          <cell r="B4902" t="str">
            <v>Actual</v>
          </cell>
          <cell r="C4902" t="str">
            <v>May</v>
          </cell>
          <cell r="D4902" t="str">
            <v>Chairs</v>
          </cell>
          <cell r="E4902">
            <v>92945.705999999991</v>
          </cell>
          <cell r="F4902">
            <v>5</v>
          </cell>
        </row>
        <row r="4903">
          <cell r="A4903">
            <v>2018</v>
          </cell>
          <cell r="B4903" t="str">
            <v>Budget</v>
          </cell>
          <cell r="C4903" t="str">
            <v>May</v>
          </cell>
          <cell r="D4903" t="str">
            <v>Tables</v>
          </cell>
          <cell r="E4903">
            <v>147294.36399999997</v>
          </cell>
          <cell r="F4903">
            <v>5</v>
          </cell>
        </row>
        <row r="4904">
          <cell r="A4904">
            <v>2018</v>
          </cell>
          <cell r="B4904" t="str">
            <v>Actual</v>
          </cell>
          <cell r="C4904" t="str">
            <v>May</v>
          </cell>
          <cell r="D4904" t="str">
            <v>Kitchen</v>
          </cell>
          <cell r="E4904">
            <v>57260.300999999992</v>
          </cell>
          <cell r="F4904">
            <v>5</v>
          </cell>
        </row>
        <row r="4905">
          <cell r="A4905">
            <v>2018</v>
          </cell>
          <cell r="B4905" t="str">
            <v>Budget</v>
          </cell>
          <cell r="C4905" t="str">
            <v>May</v>
          </cell>
          <cell r="D4905" t="str">
            <v>Chairs</v>
          </cell>
          <cell r="E4905">
            <v>266738.56300000002</v>
          </cell>
          <cell r="F4905">
            <v>5</v>
          </cell>
        </row>
        <row r="4906">
          <cell r="A4906">
            <v>2019</v>
          </cell>
          <cell r="B4906" t="str">
            <v>Actual</v>
          </cell>
          <cell r="C4906" t="str">
            <v>May</v>
          </cell>
          <cell r="D4906" t="str">
            <v>Chairs</v>
          </cell>
          <cell r="E4906">
            <v>98214.962999999989</v>
          </cell>
          <cell r="F4906">
            <v>5</v>
          </cell>
        </row>
        <row r="4907">
          <cell r="A4907">
            <v>2019</v>
          </cell>
          <cell r="B4907" t="str">
            <v>Budget</v>
          </cell>
          <cell r="C4907" t="str">
            <v>May</v>
          </cell>
          <cell r="D4907" t="str">
            <v>Chairs</v>
          </cell>
          <cell r="E4907">
            <v>75107.850999999995</v>
          </cell>
          <cell r="F4907">
            <v>5</v>
          </cell>
        </row>
        <row r="4908">
          <cell r="A4908">
            <v>2018</v>
          </cell>
          <cell r="B4908" t="str">
            <v>Actual</v>
          </cell>
          <cell r="C4908" t="str">
            <v>May</v>
          </cell>
          <cell r="D4908" t="str">
            <v>Chairs</v>
          </cell>
          <cell r="E4908">
            <v>153865.299</v>
          </cell>
          <cell r="F4908">
            <v>5</v>
          </cell>
        </row>
        <row r="4909">
          <cell r="A4909">
            <v>2018</v>
          </cell>
          <cell r="B4909" t="str">
            <v>Budget</v>
          </cell>
          <cell r="C4909" t="str">
            <v>May</v>
          </cell>
          <cell r="D4909" t="str">
            <v>Chairs</v>
          </cell>
          <cell r="E4909">
            <v>935712.21099999989</v>
          </cell>
          <cell r="F4909">
            <v>5</v>
          </cell>
        </row>
        <row r="4910">
          <cell r="A4910">
            <v>2018</v>
          </cell>
          <cell r="B4910" t="str">
            <v>Actual</v>
          </cell>
          <cell r="C4910" t="str">
            <v>May</v>
          </cell>
          <cell r="D4910" t="str">
            <v>Tables</v>
          </cell>
          <cell r="E4910">
            <v>695616.26399999997</v>
          </cell>
          <cell r="F4910">
            <v>5</v>
          </cell>
        </row>
        <row r="4911">
          <cell r="A4911">
            <v>2019</v>
          </cell>
          <cell r="B4911" t="str">
            <v>Budget</v>
          </cell>
          <cell r="C4911" t="str">
            <v>May</v>
          </cell>
          <cell r="D4911" t="str">
            <v>Kitchen</v>
          </cell>
          <cell r="E4911">
            <v>311625.23699999996</v>
          </cell>
          <cell r="F4911">
            <v>5</v>
          </cell>
        </row>
        <row r="4912">
          <cell r="A4912">
            <v>2018</v>
          </cell>
          <cell r="B4912" t="str">
            <v>Actual</v>
          </cell>
          <cell r="C4912" t="str">
            <v>May</v>
          </cell>
          <cell r="D4912" t="str">
            <v>Chairs</v>
          </cell>
          <cell r="E4912">
            <v>83388.375</v>
          </cell>
          <cell r="F4912">
            <v>5</v>
          </cell>
        </row>
        <row r="4913">
          <cell r="A4913">
            <v>2018</v>
          </cell>
          <cell r="B4913" t="str">
            <v>Budget</v>
          </cell>
          <cell r="C4913" t="str">
            <v>May</v>
          </cell>
          <cell r="D4913" t="str">
            <v>Chairs</v>
          </cell>
          <cell r="E4913">
            <v>1078845.425</v>
          </cell>
          <cell r="F4913">
            <v>5</v>
          </cell>
        </row>
        <row r="4914">
          <cell r="A4914">
            <v>2019</v>
          </cell>
          <cell r="B4914" t="str">
            <v>Actual</v>
          </cell>
          <cell r="C4914" t="str">
            <v>May</v>
          </cell>
          <cell r="D4914" t="str">
            <v>Chairs</v>
          </cell>
          <cell r="E4914">
            <v>414011.451</v>
          </cell>
          <cell r="F4914">
            <v>5</v>
          </cell>
        </row>
        <row r="4915">
          <cell r="A4915">
            <v>2019</v>
          </cell>
          <cell r="B4915" t="str">
            <v>Budget</v>
          </cell>
          <cell r="C4915" t="str">
            <v>May</v>
          </cell>
          <cell r="D4915" t="str">
            <v>Tables</v>
          </cell>
          <cell r="E4915">
            <v>136788.46299999999</v>
          </cell>
          <cell r="F4915">
            <v>5</v>
          </cell>
        </row>
        <row r="4916">
          <cell r="A4916">
            <v>2019</v>
          </cell>
          <cell r="B4916" t="str">
            <v>Actual</v>
          </cell>
          <cell r="C4916" t="str">
            <v>May</v>
          </cell>
          <cell r="D4916" t="str">
            <v>Kitchen</v>
          </cell>
          <cell r="E4916">
            <v>41400.680999999997</v>
          </cell>
          <cell r="F4916">
            <v>5</v>
          </cell>
        </row>
        <row r="4917">
          <cell r="A4917">
            <v>2019</v>
          </cell>
          <cell r="B4917" t="str">
            <v>Budget</v>
          </cell>
          <cell r="C4917" t="str">
            <v>May</v>
          </cell>
          <cell r="D4917" t="str">
            <v>Chairs</v>
          </cell>
          <cell r="E4917">
            <v>72789.800999999992</v>
          </cell>
          <cell r="F4917">
            <v>5</v>
          </cell>
        </row>
        <row r="4918">
          <cell r="A4918">
            <v>2019</v>
          </cell>
          <cell r="B4918" t="str">
            <v>Actual</v>
          </cell>
          <cell r="C4918" t="str">
            <v>May</v>
          </cell>
          <cell r="D4918" t="str">
            <v>Chairs</v>
          </cell>
          <cell r="E4918">
            <v>16443.329000000002</v>
          </cell>
          <cell r="F4918">
            <v>5</v>
          </cell>
        </row>
        <row r="4919">
          <cell r="A4919">
            <v>2018</v>
          </cell>
          <cell r="B4919" t="str">
            <v>Budget</v>
          </cell>
          <cell r="C4919" t="str">
            <v>May</v>
          </cell>
          <cell r="D4919" t="str">
            <v>Tables</v>
          </cell>
          <cell r="E4919">
            <v>202659.43599999999</v>
          </cell>
          <cell r="F4919">
            <v>5</v>
          </cell>
        </row>
        <row r="4920">
          <cell r="A4920">
            <v>2018</v>
          </cell>
          <cell r="B4920" t="str">
            <v>Actual</v>
          </cell>
          <cell r="C4920" t="str">
            <v>May</v>
          </cell>
          <cell r="D4920" t="str">
            <v>Kitchen</v>
          </cell>
          <cell r="E4920">
            <v>221726.11999999997</v>
          </cell>
          <cell r="F4920">
            <v>5</v>
          </cell>
        </row>
        <row r="4921">
          <cell r="A4921">
            <v>2019</v>
          </cell>
          <cell r="B4921" t="str">
            <v>Budget</v>
          </cell>
          <cell r="C4921" t="str">
            <v>May</v>
          </cell>
          <cell r="D4921" t="str">
            <v>Chairs</v>
          </cell>
          <cell r="E4921">
            <v>15872.017</v>
          </cell>
          <cell r="F4921">
            <v>5</v>
          </cell>
        </row>
        <row r="4922">
          <cell r="A4922">
            <v>2018</v>
          </cell>
          <cell r="B4922" t="str">
            <v>Actual</v>
          </cell>
          <cell r="C4922" t="str">
            <v>May</v>
          </cell>
          <cell r="D4922" t="str">
            <v>Chairs</v>
          </cell>
          <cell r="E4922">
            <v>95989.921999999991</v>
          </cell>
          <cell r="F4922">
            <v>5</v>
          </cell>
        </row>
        <row r="4923">
          <cell r="A4923">
            <v>2018</v>
          </cell>
          <cell r="B4923" t="str">
            <v>Budget</v>
          </cell>
          <cell r="C4923" t="str">
            <v>May</v>
          </cell>
          <cell r="D4923" t="str">
            <v>Chairs</v>
          </cell>
          <cell r="E4923">
            <v>103528.31299999999</v>
          </cell>
          <cell r="F4923">
            <v>5</v>
          </cell>
        </row>
        <row r="4924">
          <cell r="A4924">
            <v>2018</v>
          </cell>
          <cell r="B4924" t="str">
            <v>Actual</v>
          </cell>
          <cell r="C4924" t="str">
            <v>May</v>
          </cell>
          <cell r="D4924" t="str">
            <v>Tables</v>
          </cell>
          <cell r="E4924">
            <v>74930.099999999991</v>
          </cell>
          <cell r="F4924">
            <v>5</v>
          </cell>
        </row>
        <row r="4925">
          <cell r="A4925">
            <v>2018</v>
          </cell>
          <cell r="B4925" t="str">
            <v>Budget</v>
          </cell>
          <cell r="C4925" t="str">
            <v>May</v>
          </cell>
          <cell r="D4925" t="str">
            <v>Kitchen</v>
          </cell>
          <cell r="E4925">
            <v>153727.791</v>
          </cell>
          <cell r="F4925">
            <v>5</v>
          </cell>
        </row>
        <row r="4926">
          <cell r="A4926">
            <v>2018</v>
          </cell>
          <cell r="B4926" t="str">
            <v>Actual</v>
          </cell>
          <cell r="C4926" t="str">
            <v>May</v>
          </cell>
          <cell r="D4926" t="str">
            <v>Accessories</v>
          </cell>
          <cell r="E4926">
            <v>252184.114</v>
          </cell>
          <cell r="F4926">
            <v>5</v>
          </cell>
        </row>
        <row r="4927">
          <cell r="A4927">
            <v>2019</v>
          </cell>
          <cell r="B4927" t="str">
            <v>Budget</v>
          </cell>
          <cell r="C4927" t="str">
            <v>May</v>
          </cell>
          <cell r="D4927" t="str">
            <v>Chairs</v>
          </cell>
          <cell r="E4927">
            <v>396421.80899999995</v>
          </cell>
          <cell r="F4927">
            <v>5</v>
          </cell>
        </row>
        <row r="4928">
          <cell r="A4928">
            <v>2018</v>
          </cell>
          <cell r="B4928" t="str">
            <v>Actual</v>
          </cell>
          <cell r="C4928" t="str">
            <v>May</v>
          </cell>
          <cell r="D4928" t="str">
            <v>Tables</v>
          </cell>
          <cell r="E4928">
            <v>47203.421999999999</v>
          </cell>
          <cell r="F4928">
            <v>5</v>
          </cell>
        </row>
        <row r="4929">
          <cell r="A4929">
            <v>2018</v>
          </cell>
          <cell r="B4929" t="str">
            <v>Budget</v>
          </cell>
          <cell r="C4929" t="str">
            <v>May</v>
          </cell>
          <cell r="D4929" t="str">
            <v>Kitchen</v>
          </cell>
          <cell r="E4929">
            <v>74660.614000000001</v>
          </cell>
          <cell r="F4929">
            <v>5</v>
          </cell>
        </row>
        <row r="4930">
          <cell r="A4930">
            <v>2019</v>
          </cell>
          <cell r="B4930" t="str">
            <v>Actual</v>
          </cell>
          <cell r="C4930" t="str">
            <v>May</v>
          </cell>
          <cell r="D4930" t="str">
            <v>Accessories</v>
          </cell>
          <cell r="E4930">
            <v>845288.88500000001</v>
          </cell>
          <cell r="F4930">
            <v>5</v>
          </cell>
        </row>
        <row r="4931">
          <cell r="A4931">
            <v>2019</v>
          </cell>
          <cell r="B4931" t="str">
            <v>Budget</v>
          </cell>
          <cell r="C4931" t="str">
            <v>May</v>
          </cell>
          <cell r="D4931" t="str">
            <v>Chairs</v>
          </cell>
          <cell r="E4931">
            <v>71876.818999999989</v>
          </cell>
          <cell r="F4931">
            <v>5</v>
          </cell>
        </row>
        <row r="4932">
          <cell r="A4932">
            <v>2018</v>
          </cell>
          <cell r="B4932" t="str">
            <v>Actual</v>
          </cell>
          <cell r="C4932" t="str">
            <v>May</v>
          </cell>
          <cell r="D4932" t="str">
            <v>Tables</v>
          </cell>
          <cell r="E4932">
            <v>899717.36399999994</v>
          </cell>
          <cell r="F4932">
            <v>5</v>
          </cell>
        </row>
        <row r="4933">
          <cell r="A4933">
            <v>2019</v>
          </cell>
          <cell r="B4933" t="str">
            <v>Budget</v>
          </cell>
          <cell r="C4933" t="str">
            <v>May</v>
          </cell>
          <cell r="D4933" t="str">
            <v>Kitchen</v>
          </cell>
          <cell r="E4933">
            <v>28717.471999999998</v>
          </cell>
          <cell r="F4933">
            <v>5</v>
          </cell>
        </row>
        <row r="4934">
          <cell r="A4934">
            <v>2018</v>
          </cell>
          <cell r="B4934" t="str">
            <v>Actual</v>
          </cell>
          <cell r="C4934" t="str">
            <v>May</v>
          </cell>
          <cell r="D4934" t="str">
            <v>Accessories</v>
          </cell>
          <cell r="E4934">
            <v>16149.581</v>
          </cell>
          <cell r="F4934">
            <v>5</v>
          </cell>
        </row>
        <row r="4935">
          <cell r="A4935">
            <v>2018</v>
          </cell>
          <cell r="B4935" t="str">
            <v>Budget</v>
          </cell>
          <cell r="C4935" t="str">
            <v>May</v>
          </cell>
          <cell r="D4935" t="str">
            <v>Chairs</v>
          </cell>
          <cell r="E4935">
            <v>336547.23199999996</v>
          </cell>
          <cell r="F4935">
            <v>5</v>
          </cell>
        </row>
        <row r="4936">
          <cell r="A4936">
            <v>2019</v>
          </cell>
          <cell r="B4936" t="str">
            <v>Actual</v>
          </cell>
          <cell r="C4936" t="str">
            <v>May</v>
          </cell>
          <cell r="D4936" t="str">
            <v>Tables</v>
          </cell>
          <cell r="E4936">
            <v>9236.2340000000004</v>
          </cell>
          <cell r="F4936">
            <v>5</v>
          </cell>
        </row>
        <row r="4937">
          <cell r="A4937">
            <v>2018</v>
          </cell>
          <cell r="B4937" t="str">
            <v>Budget</v>
          </cell>
          <cell r="C4937" t="str">
            <v>May</v>
          </cell>
          <cell r="D4937" t="str">
            <v>Kitchen</v>
          </cell>
          <cell r="E4937">
            <v>260254.96699999998</v>
          </cell>
          <cell r="F4937">
            <v>5</v>
          </cell>
        </row>
        <row r="4938">
          <cell r="A4938">
            <v>2019</v>
          </cell>
          <cell r="B4938" t="str">
            <v>Actual</v>
          </cell>
          <cell r="C4938" t="str">
            <v>May</v>
          </cell>
          <cell r="D4938" t="str">
            <v>Accessories</v>
          </cell>
          <cell r="E4938">
            <v>3869.3059999999996</v>
          </cell>
          <cell r="F4938">
            <v>5</v>
          </cell>
        </row>
        <row r="4939">
          <cell r="A4939">
            <v>2018</v>
          </cell>
          <cell r="B4939" t="str">
            <v>Budget</v>
          </cell>
          <cell r="C4939" t="str">
            <v>May</v>
          </cell>
          <cell r="D4939" t="str">
            <v>Chairs</v>
          </cell>
          <cell r="E4939">
            <v>67621.687000000005</v>
          </cell>
          <cell r="F4939">
            <v>5</v>
          </cell>
        </row>
        <row r="4940">
          <cell r="A4940">
            <v>2018</v>
          </cell>
          <cell r="B4940" t="str">
            <v>Actual</v>
          </cell>
          <cell r="C4940" t="str">
            <v>May</v>
          </cell>
          <cell r="D4940" t="str">
            <v>Chairs</v>
          </cell>
          <cell r="E4940">
            <v>120770.25099999999</v>
          </cell>
          <cell r="F4940">
            <v>5</v>
          </cell>
        </row>
        <row r="4941">
          <cell r="A4941">
            <v>2018</v>
          </cell>
          <cell r="B4941" t="str">
            <v>Budget</v>
          </cell>
          <cell r="C4941" t="str">
            <v>May</v>
          </cell>
          <cell r="D4941" t="str">
            <v>Tables</v>
          </cell>
          <cell r="E4941">
            <v>518109.44499999995</v>
          </cell>
          <cell r="F4941">
            <v>5</v>
          </cell>
        </row>
        <row r="4942">
          <cell r="A4942">
            <v>2018</v>
          </cell>
          <cell r="B4942" t="str">
            <v>Actual</v>
          </cell>
          <cell r="C4942" t="str">
            <v>May</v>
          </cell>
          <cell r="D4942" t="str">
            <v>Kitchen</v>
          </cell>
          <cell r="E4942">
            <v>3115865.9629999995</v>
          </cell>
          <cell r="F4942">
            <v>5</v>
          </cell>
        </row>
        <row r="4943">
          <cell r="A4943">
            <v>2019</v>
          </cell>
          <cell r="B4943" t="str">
            <v>Budget</v>
          </cell>
          <cell r="C4943" t="str">
            <v>May</v>
          </cell>
          <cell r="D4943" t="str">
            <v>Chairs</v>
          </cell>
          <cell r="E4943">
            <v>387583.17499999999</v>
          </cell>
          <cell r="F4943">
            <v>5</v>
          </cell>
        </row>
        <row r="4944">
          <cell r="A4944">
            <v>2019</v>
          </cell>
          <cell r="B4944" t="str">
            <v>Actual</v>
          </cell>
          <cell r="C4944" t="str">
            <v>May</v>
          </cell>
          <cell r="D4944" t="str">
            <v>Tables</v>
          </cell>
          <cell r="E4944">
            <v>122402.52499999999</v>
          </cell>
          <cell r="F4944">
            <v>5</v>
          </cell>
        </row>
        <row r="4945">
          <cell r="A4945">
            <v>2018</v>
          </cell>
          <cell r="B4945" t="str">
            <v>Budget</v>
          </cell>
          <cell r="C4945" t="str">
            <v>May</v>
          </cell>
          <cell r="D4945" t="str">
            <v>Kitchen</v>
          </cell>
          <cell r="E4945">
            <v>439196.76499999996</v>
          </cell>
          <cell r="F4945">
            <v>5</v>
          </cell>
        </row>
        <row r="4946">
          <cell r="A4946">
            <v>2018</v>
          </cell>
          <cell r="B4946" t="str">
            <v>Actual</v>
          </cell>
          <cell r="C4946" t="str">
            <v>May</v>
          </cell>
          <cell r="D4946" t="str">
            <v>Chairs</v>
          </cell>
          <cell r="E4946">
            <v>297695.538</v>
          </cell>
          <cell r="F4946">
            <v>5</v>
          </cell>
        </row>
        <row r="4947">
          <cell r="A4947">
            <v>2018</v>
          </cell>
          <cell r="B4947" t="str">
            <v>Budget</v>
          </cell>
          <cell r="C4947" t="str">
            <v>May</v>
          </cell>
          <cell r="D4947" t="str">
            <v>Tables</v>
          </cell>
          <cell r="E4947">
            <v>492935.88399999996</v>
          </cell>
          <cell r="F4947">
            <v>5</v>
          </cell>
        </row>
        <row r="4948">
          <cell r="A4948">
            <v>2019</v>
          </cell>
          <cell r="B4948" t="str">
            <v>Actual</v>
          </cell>
          <cell r="C4948" t="str">
            <v>May</v>
          </cell>
          <cell r="D4948" t="str">
            <v>Kitchen</v>
          </cell>
          <cell r="E4948">
            <v>293712.91599999997</v>
          </cell>
          <cell r="F4948">
            <v>5</v>
          </cell>
        </row>
        <row r="4949">
          <cell r="A4949">
            <v>2019</v>
          </cell>
          <cell r="B4949" t="str">
            <v>Budget</v>
          </cell>
          <cell r="C4949" t="str">
            <v>May</v>
          </cell>
          <cell r="D4949" t="str">
            <v>Chairs</v>
          </cell>
          <cell r="E4949">
            <v>20220.948999999997</v>
          </cell>
          <cell r="F4949">
            <v>5</v>
          </cell>
        </row>
        <row r="4950">
          <cell r="A4950">
            <v>2019</v>
          </cell>
          <cell r="B4950" t="str">
            <v>Actual</v>
          </cell>
          <cell r="C4950" t="str">
            <v>May</v>
          </cell>
          <cell r="D4950" t="str">
            <v>Chairs</v>
          </cell>
          <cell r="E4950">
            <v>1112275.577</v>
          </cell>
          <cell r="F4950">
            <v>5</v>
          </cell>
        </row>
        <row r="4951">
          <cell r="A4951">
            <v>2018</v>
          </cell>
          <cell r="B4951" t="str">
            <v>Budget</v>
          </cell>
          <cell r="C4951" t="str">
            <v>May</v>
          </cell>
          <cell r="D4951" t="str">
            <v>Chairs</v>
          </cell>
          <cell r="E4951">
            <v>105649.299</v>
          </cell>
          <cell r="F4951">
            <v>5</v>
          </cell>
        </row>
        <row r="4952">
          <cell r="A4952">
            <v>2018</v>
          </cell>
          <cell r="B4952" t="str">
            <v>Actual</v>
          </cell>
          <cell r="C4952" t="str">
            <v>May</v>
          </cell>
          <cell r="D4952" t="str">
            <v>Chairs</v>
          </cell>
          <cell r="E4952">
            <v>268763.95699999999</v>
          </cell>
          <cell r="F4952">
            <v>5</v>
          </cell>
        </row>
        <row r="4953">
          <cell r="A4953">
            <v>2018</v>
          </cell>
          <cell r="B4953" t="str">
            <v>Budget</v>
          </cell>
          <cell r="C4953" t="str">
            <v>May</v>
          </cell>
          <cell r="D4953" t="str">
            <v>Chairs</v>
          </cell>
          <cell r="E4953">
            <v>276072.97899999993</v>
          </cell>
          <cell r="F4953">
            <v>5</v>
          </cell>
        </row>
        <row r="4954">
          <cell r="A4954">
            <v>2018</v>
          </cell>
          <cell r="B4954" t="str">
            <v>Actual</v>
          </cell>
          <cell r="C4954" t="str">
            <v>May</v>
          </cell>
          <cell r="D4954" t="str">
            <v>Chairs</v>
          </cell>
          <cell r="E4954">
            <v>4166412.5649999999</v>
          </cell>
          <cell r="F4954">
            <v>5</v>
          </cell>
        </row>
        <row r="4955">
          <cell r="A4955">
            <v>2019</v>
          </cell>
          <cell r="B4955" t="str">
            <v>Budget</v>
          </cell>
          <cell r="C4955" t="str">
            <v>May</v>
          </cell>
          <cell r="D4955" t="str">
            <v>Chairs</v>
          </cell>
          <cell r="E4955">
            <v>39805.562999999995</v>
          </cell>
          <cell r="F4955">
            <v>5</v>
          </cell>
        </row>
        <row r="4956">
          <cell r="A4956">
            <v>2019</v>
          </cell>
          <cell r="B4956" t="str">
            <v>Actual</v>
          </cell>
          <cell r="C4956" t="str">
            <v>May</v>
          </cell>
          <cell r="D4956" t="str">
            <v>Chairs</v>
          </cell>
          <cell r="E4956">
            <v>641868.89199999999</v>
          </cell>
          <cell r="F4956">
            <v>5</v>
          </cell>
        </row>
        <row r="4957">
          <cell r="A4957">
            <v>2018</v>
          </cell>
          <cell r="B4957" t="str">
            <v>Budget</v>
          </cell>
          <cell r="C4957" t="str">
            <v>May</v>
          </cell>
          <cell r="D4957" t="str">
            <v>Chairs</v>
          </cell>
          <cell r="E4957">
            <v>28702.043999999998</v>
          </cell>
          <cell r="F4957">
            <v>5</v>
          </cell>
        </row>
        <row r="4958">
          <cell r="A4958">
            <v>2019</v>
          </cell>
          <cell r="B4958" t="str">
            <v>Actual</v>
          </cell>
          <cell r="C4958" t="str">
            <v>May</v>
          </cell>
          <cell r="D4958" t="str">
            <v>Chairs</v>
          </cell>
          <cell r="E4958">
            <v>85467.311999999991</v>
          </cell>
          <cell r="F4958">
            <v>5</v>
          </cell>
        </row>
        <row r="4959">
          <cell r="A4959">
            <v>2019</v>
          </cell>
          <cell r="B4959" t="str">
            <v>Budget</v>
          </cell>
          <cell r="C4959" t="str">
            <v>May</v>
          </cell>
          <cell r="D4959" t="str">
            <v>Chairs</v>
          </cell>
          <cell r="E4959">
            <v>57346.680999999997</v>
          </cell>
          <cell r="F4959">
            <v>5</v>
          </cell>
        </row>
        <row r="4960">
          <cell r="A4960">
            <v>2019</v>
          </cell>
          <cell r="B4960" t="str">
            <v>Actual</v>
          </cell>
          <cell r="C4960" t="str">
            <v>May</v>
          </cell>
          <cell r="D4960" t="str">
            <v>Chairs</v>
          </cell>
          <cell r="E4960">
            <v>22700.096999999998</v>
          </cell>
          <cell r="F4960">
            <v>5</v>
          </cell>
        </row>
        <row r="4961">
          <cell r="A4961">
            <v>2019</v>
          </cell>
          <cell r="B4961" t="str">
            <v>Budget</v>
          </cell>
          <cell r="C4961" t="str">
            <v>May</v>
          </cell>
          <cell r="D4961" t="str">
            <v>Chairs</v>
          </cell>
          <cell r="E4961">
            <v>797227.16499999992</v>
          </cell>
          <cell r="F4961">
            <v>5</v>
          </cell>
        </row>
        <row r="4962">
          <cell r="A4962">
            <v>2019</v>
          </cell>
          <cell r="B4962" t="str">
            <v>Actual</v>
          </cell>
          <cell r="C4962" t="str">
            <v>May</v>
          </cell>
          <cell r="D4962" t="str">
            <v>Chairs</v>
          </cell>
          <cell r="E4962">
            <v>288983.84899999999</v>
          </cell>
          <cell r="F4962">
            <v>5</v>
          </cell>
        </row>
        <row r="4963">
          <cell r="A4963">
            <v>2019</v>
          </cell>
          <cell r="B4963" t="str">
            <v>Budget</v>
          </cell>
          <cell r="C4963" t="str">
            <v>May</v>
          </cell>
          <cell r="D4963" t="str">
            <v>Chairs</v>
          </cell>
          <cell r="E4963">
            <v>22412.200999999997</v>
          </cell>
          <cell r="F4963">
            <v>5</v>
          </cell>
        </row>
        <row r="4964">
          <cell r="A4964">
            <v>2019</v>
          </cell>
          <cell r="B4964" t="str">
            <v>Actual</v>
          </cell>
          <cell r="C4964" t="str">
            <v>May</v>
          </cell>
          <cell r="D4964" t="str">
            <v>Chairs</v>
          </cell>
          <cell r="E4964">
            <v>32337.962999999996</v>
          </cell>
          <cell r="F4964">
            <v>5</v>
          </cell>
        </row>
        <row r="4965">
          <cell r="A4965">
            <v>2018</v>
          </cell>
          <cell r="B4965" t="str">
            <v>Budget</v>
          </cell>
          <cell r="C4965" t="str">
            <v>May</v>
          </cell>
          <cell r="D4965" t="str">
            <v>Chairs</v>
          </cell>
          <cell r="E4965">
            <v>434632.00899999996</v>
          </cell>
          <cell r="F4965">
            <v>5</v>
          </cell>
        </row>
        <row r="4966">
          <cell r="A4966">
            <v>2019</v>
          </cell>
          <cell r="B4966" t="str">
            <v>Actual</v>
          </cell>
          <cell r="C4966" t="str">
            <v>May</v>
          </cell>
          <cell r="D4966" t="str">
            <v>Chairs</v>
          </cell>
          <cell r="E4966">
            <v>294046.88599999994</v>
          </cell>
          <cell r="F4966">
            <v>5</v>
          </cell>
        </row>
        <row r="4967">
          <cell r="A4967">
            <v>2018</v>
          </cell>
          <cell r="B4967" t="str">
            <v>Budget</v>
          </cell>
          <cell r="C4967" t="str">
            <v>May</v>
          </cell>
          <cell r="D4967" t="str">
            <v>Chairs</v>
          </cell>
          <cell r="E4967">
            <v>2647255.4359999998</v>
          </cell>
          <cell r="F4967">
            <v>5</v>
          </cell>
        </row>
        <row r="4968">
          <cell r="A4968">
            <v>2018</v>
          </cell>
          <cell r="B4968" t="str">
            <v>Actual</v>
          </cell>
          <cell r="C4968" t="str">
            <v>May</v>
          </cell>
          <cell r="D4968" t="str">
            <v>Chairs</v>
          </cell>
          <cell r="E4968">
            <v>3450779.6819999996</v>
          </cell>
          <cell r="F4968">
            <v>5</v>
          </cell>
        </row>
        <row r="4969">
          <cell r="A4969">
            <v>2018</v>
          </cell>
          <cell r="B4969" t="str">
            <v>Budget</v>
          </cell>
          <cell r="C4969" t="str">
            <v>May</v>
          </cell>
          <cell r="D4969" t="str">
            <v>Chairs</v>
          </cell>
          <cell r="E4969">
            <v>2093099.5469999998</v>
          </cell>
          <cell r="F4969">
            <v>5</v>
          </cell>
        </row>
        <row r="4970">
          <cell r="A4970">
            <v>2019</v>
          </cell>
          <cell r="B4970" t="str">
            <v>Actual</v>
          </cell>
          <cell r="C4970" t="str">
            <v>May</v>
          </cell>
          <cell r="D4970" t="str">
            <v>Chairs</v>
          </cell>
          <cell r="E4970">
            <v>2983768.977</v>
          </cell>
          <cell r="F4970">
            <v>5</v>
          </cell>
        </row>
        <row r="4971">
          <cell r="A4971">
            <v>2018</v>
          </cell>
          <cell r="B4971" t="str">
            <v>Budget</v>
          </cell>
          <cell r="C4971" t="str">
            <v>May</v>
          </cell>
          <cell r="D4971" t="str">
            <v>Chairs</v>
          </cell>
          <cell r="E4971">
            <v>130782.64499999999</v>
          </cell>
          <cell r="F4971">
            <v>5</v>
          </cell>
        </row>
        <row r="4972">
          <cell r="A4972">
            <v>2018</v>
          </cell>
          <cell r="B4972" t="str">
            <v>Actual</v>
          </cell>
          <cell r="C4972" t="str">
            <v>May</v>
          </cell>
          <cell r="D4972" t="str">
            <v>Chairs</v>
          </cell>
          <cell r="E4972">
            <v>1159981.5009999999</v>
          </cell>
          <cell r="F4972">
            <v>5</v>
          </cell>
        </row>
        <row r="4973">
          <cell r="A4973">
            <v>2018</v>
          </cell>
          <cell r="B4973" t="str">
            <v>Budget</v>
          </cell>
          <cell r="C4973" t="str">
            <v>May</v>
          </cell>
          <cell r="D4973" t="str">
            <v>Chairs</v>
          </cell>
          <cell r="E4973">
            <v>211787.99600000001</v>
          </cell>
          <cell r="F4973">
            <v>5</v>
          </cell>
        </row>
        <row r="4974">
          <cell r="A4974">
            <v>2018</v>
          </cell>
          <cell r="B4974" t="str">
            <v>Actual</v>
          </cell>
          <cell r="C4974" t="str">
            <v>May</v>
          </cell>
          <cell r="D4974" t="str">
            <v>Chairs</v>
          </cell>
          <cell r="E4974">
            <v>513928.88399999996</v>
          </cell>
          <cell r="F4974">
            <v>5</v>
          </cell>
        </row>
        <row r="4975">
          <cell r="A4975">
            <v>2018</v>
          </cell>
          <cell r="B4975" t="str">
            <v>Budget</v>
          </cell>
          <cell r="C4975" t="str">
            <v>May</v>
          </cell>
          <cell r="D4975" t="str">
            <v>Tables</v>
          </cell>
          <cell r="E4975">
            <v>72850.47</v>
          </cell>
          <cell r="F4975">
            <v>5</v>
          </cell>
        </row>
        <row r="4976">
          <cell r="A4976">
            <v>2019</v>
          </cell>
          <cell r="B4976" t="str">
            <v>Actual</v>
          </cell>
          <cell r="C4976" t="str">
            <v>May</v>
          </cell>
          <cell r="D4976" t="str">
            <v>Kitchen</v>
          </cell>
          <cell r="E4976">
            <v>2660555.0719999997</v>
          </cell>
          <cell r="F4976">
            <v>5</v>
          </cell>
        </row>
        <row r="4977">
          <cell r="A4977">
            <v>2019</v>
          </cell>
          <cell r="B4977" t="str">
            <v>Budget</v>
          </cell>
          <cell r="C4977" t="str">
            <v>May</v>
          </cell>
          <cell r="D4977" t="str">
            <v>Chairs</v>
          </cell>
          <cell r="E4977">
            <v>13017561.046</v>
          </cell>
          <cell r="F4977">
            <v>5</v>
          </cell>
        </row>
        <row r="4978">
          <cell r="A4978">
            <v>2019</v>
          </cell>
          <cell r="B4978" t="str">
            <v>Actual</v>
          </cell>
          <cell r="C4978" t="str">
            <v>May</v>
          </cell>
          <cell r="D4978" t="str">
            <v>Chairs</v>
          </cell>
          <cell r="E4978">
            <v>396076.49200000003</v>
          </cell>
          <cell r="F4978">
            <v>5</v>
          </cell>
        </row>
        <row r="4979">
          <cell r="A4979">
            <v>2018</v>
          </cell>
          <cell r="B4979" t="str">
            <v>Budget</v>
          </cell>
          <cell r="C4979" t="str">
            <v>May</v>
          </cell>
          <cell r="D4979" t="str">
            <v>Chairs</v>
          </cell>
          <cell r="E4979">
            <v>11652.633999999998</v>
          </cell>
          <cell r="F4979">
            <v>5</v>
          </cell>
        </row>
        <row r="4980">
          <cell r="A4980">
            <v>2019</v>
          </cell>
          <cell r="B4980" t="str">
            <v>Actual</v>
          </cell>
          <cell r="C4980" t="str">
            <v>May</v>
          </cell>
          <cell r="D4980" t="str">
            <v>Chairs</v>
          </cell>
          <cell r="E4980">
            <v>6991313.1469999999</v>
          </cell>
          <cell r="F4980">
            <v>5</v>
          </cell>
        </row>
        <row r="4981">
          <cell r="A4981">
            <v>2019</v>
          </cell>
          <cell r="B4981" t="str">
            <v>Budget</v>
          </cell>
          <cell r="C4981" t="str">
            <v>May</v>
          </cell>
          <cell r="D4981" t="str">
            <v>Chairs</v>
          </cell>
          <cell r="E4981">
            <v>331567.59999999998</v>
          </cell>
          <cell r="F4981">
            <v>5</v>
          </cell>
        </row>
        <row r="4982">
          <cell r="A4982">
            <v>2018</v>
          </cell>
          <cell r="B4982" t="str">
            <v>Actual</v>
          </cell>
          <cell r="C4982" t="str">
            <v>May</v>
          </cell>
          <cell r="D4982" t="str">
            <v>Tables</v>
          </cell>
          <cell r="E4982">
            <v>111359.33199999999</v>
          </cell>
          <cell r="F4982">
            <v>5</v>
          </cell>
        </row>
        <row r="4983">
          <cell r="A4983">
            <v>2018</v>
          </cell>
          <cell r="B4983" t="str">
            <v>Budget</v>
          </cell>
          <cell r="C4983" t="str">
            <v>May</v>
          </cell>
          <cell r="D4983" t="str">
            <v>Kitchen</v>
          </cell>
          <cell r="E4983">
            <v>793038.37899999996</v>
          </cell>
          <cell r="F4983">
            <v>5</v>
          </cell>
        </row>
        <row r="4984">
          <cell r="A4984">
            <v>2019</v>
          </cell>
          <cell r="B4984" t="str">
            <v>Actual</v>
          </cell>
          <cell r="C4984" t="str">
            <v>May</v>
          </cell>
          <cell r="D4984" t="str">
            <v>Chairs</v>
          </cell>
          <cell r="E4984">
            <v>88404.043000000005</v>
          </cell>
          <cell r="F4984">
            <v>5</v>
          </cell>
        </row>
        <row r="4985">
          <cell r="A4985">
            <v>2018</v>
          </cell>
          <cell r="B4985" t="str">
            <v>Budget</v>
          </cell>
          <cell r="C4985" t="str">
            <v>May</v>
          </cell>
          <cell r="D4985" t="str">
            <v>Chairs</v>
          </cell>
          <cell r="E4985">
            <v>1836285.4509999999</v>
          </cell>
          <cell r="F4985">
            <v>5</v>
          </cell>
        </row>
        <row r="4986">
          <cell r="A4986">
            <v>2019</v>
          </cell>
          <cell r="B4986" t="str">
            <v>Actual</v>
          </cell>
          <cell r="C4986" t="str">
            <v>May</v>
          </cell>
          <cell r="D4986" t="str">
            <v>Chairs</v>
          </cell>
          <cell r="E4986">
            <v>907325.53099999996</v>
          </cell>
          <cell r="F4986">
            <v>5</v>
          </cell>
        </row>
        <row r="4987">
          <cell r="A4987">
            <v>2019</v>
          </cell>
          <cell r="B4987" t="str">
            <v>Budget</v>
          </cell>
          <cell r="C4987" t="str">
            <v>May</v>
          </cell>
          <cell r="D4987" t="str">
            <v>Tables</v>
          </cell>
          <cell r="E4987">
            <v>4076031.6029999997</v>
          </cell>
          <cell r="F4987">
            <v>5</v>
          </cell>
        </row>
        <row r="4988">
          <cell r="A4988">
            <v>2018</v>
          </cell>
          <cell r="B4988" t="str">
            <v>Actual</v>
          </cell>
          <cell r="C4988" t="str">
            <v>May</v>
          </cell>
          <cell r="D4988" t="str">
            <v>Kitchen</v>
          </cell>
          <cell r="E4988">
            <v>-8912.2669999999998</v>
          </cell>
          <cell r="F4988">
            <v>5</v>
          </cell>
        </row>
        <row r="4989">
          <cell r="A4989">
            <v>2019</v>
          </cell>
          <cell r="B4989" t="str">
            <v>Budget</v>
          </cell>
          <cell r="C4989" t="str">
            <v>May</v>
          </cell>
          <cell r="D4989" t="str">
            <v>Chairs</v>
          </cell>
          <cell r="E4989">
            <v>-151082.995</v>
          </cell>
          <cell r="F4989">
            <v>5</v>
          </cell>
        </row>
        <row r="4990">
          <cell r="A4990">
            <v>2018</v>
          </cell>
          <cell r="B4990" t="str">
            <v>Actual</v>
          </cell>
          <cell r="C4990" t="str">
            <v>May</v>
          </cell>
          <cell r="D4990" t="str">
            <v>Chairs</v>
          </cell>
          <cell r="E4990">
            <v>392353.36700000003</v>
          </cell>
          <cell r="F4990">
            <v>5</v>
          </cell>
        </row>
        <row r="4991">
          <cell r="A4991">
            <v>2018</v>
          </cell>
          <cell r="B4991" t="str">
            <v>Budget</v>
          </cell>
          <cell r="C4991" t="str">
            <v>May</v>
          </cell>
          <cell r="D4991" t="str">
            <v>Tables</v>
          </cell>
          <cell r="E4991">
            <v>-163522.59</v>
          </cell>
          <cell r="F4991">
            <v>5</v>
          </cell>
        </row>
        <row r="4992">
          <cell r="A4992">
            <v>2019</v>
          </cell>
          <cell r="B4992" t="str">
            <v>Actual</v>
          </cell>
          <cell r="C4992" t="str">
            <v>May</v>
          </cell>
          <cell r="D4992" t="str">
            <v>Kitchen</v>
          </cell>
          <cell r="E4992">
            <v>1892184.3499999999</v>
          </cell>
          <cell r="F4992">
            <v>5</v>
          </cell>
        </row>
        <row r="4993">
          <cell r="A4993">
            <v>2018</v>
          </cell>
          <cell r="B4993" t="str">
            <v>Budget</v>
          </cell>
          <cell r="C4993" t="str">
            <v>May</v>
          </cell>
          <cell r="D4993" t="str">
            <v>Chairs</v>
          </cell>
          <cell r="E4993">
            <v>6485437.6649999991</v>
          </cell>
          <cell r="F4993">
            <v>5</v>
          </cell>
        </row>
        <row r="4994">
          <cell r="A4994">
            <v>2019</v>
          </cell>
          <cell r="B4994" t="str">
            <v>Actual</v>
          </cell>
          <cell r="C4994" t="str">
            <v>May</v>
          </cell>
          <cell r="D4994" t="str">
            <v>Chairs</v>
          </cell>
          <cell r="E4994">
            <v>2490382.517</v>
          </cell>
          <cell r="F4994">
            <v>5</v>
          </cell>
        </row>
        <row r="4995">
          <cell r="A4995">
            <v>2019</v>
          </cell>
          <cell r="B4995" t="str">
            <v>Budget</v>
          </cell>
          <cell r="C4995" t="str">
            <v>May</v>
          </cell>
          <cell r="D4995" t="str">
            <v>Chairs</v>
          </cell>
          <cell r="E4995">
            <v>2313678.1849999996</v>
          </cell>
          <cell r="F4995">
            <v>5</v>
          </cell>
        </row>
        <row r="4996">
          <cell r="A4996">
            <v>2018</v>
          </cell>
          <cell r="B4996" t="str">
            <v>Actual</v>
          </cell>
          <cell r="C4996" t="str">
            <v>May</v>
          </cell>
          <cell r="D4996" t="str">
            <v>Tables</v>
          </cell>
          <cell r="E4996">
            <v>220280.09499999997</v>
          </cell>
          <cell r="F4996">
            <v>5</v>
          </cell>
        </row>
        <row r="4997">
          <cell r="A4997">
            <v>2019</v>
          </cell>
          <cell r="B4997" t="str">
            <v>Budget</v>
          </cell>
          <cell r="C4997" t="str">
            <v>May</v>
          </cell>
          <cell r="D4997" t="str">
            <v>Kitchen</v>
          </cell>
          <cell r="E4997">
            <v>20.565999999999999</v>
          </cell>
          <cell r="F4997">
            <v>5</v>
          </cell>
        </row>
        <row r="4998">
          <cell r="A4998">
            <v>2018</v>
          </cell>
          <cell r="B4998" t="str">
            <v>Actual</v>
          </cell>
          <cell r="C4998" t="str">
            <v>May</v>
          </cell>
          <cell r="D4998" t="str">
            <v>Accessories</v>
          </cell>
          <cell r="E4998">
            <v>1036022.0149999999</v>
          </cell>
          <cell r="F4998">
            <v>5</v>
          </cell>
        </row>
        <row r="4999">
          <cell r="A4999">
            <v>2019</v>
          </cell>
          <cell r="B4999" t="str">
            <v>Budget</v>
          </cell>
          <cell r="C4999" t="str">
            <v>May</v>
          </cell>
          <cell r="D4999" t="str">
            <v>Chairs</v>
          </cell>
          <cell r="E4999">
            <v>2455535.4669999997</v>
          </cell>
          <cell r="F4999">
            <v>5</v>
          </cell>
        </row>
        <row r="5000">
          <cell r="A5000">
            <v>2019</v>
          </cell>
          <cell r="B5000" t="str">
            <v>Actual</v>
          </cell>
          <cell r="C5000" t="str">
            <v>May</v>
          </cell>
          <cell r="D5000" t="str">
            <v>Tables</v>
          </cell>
          <cell r="E5000">
            <v>6126.6590000000006</v>
          </cell>
          <cell r="F5000">
            <v>5</v>
          </cell>
        </row>
        <row r="5001">
          <cell r="A5001">
            <v>2018</v>
          </cell>
          <cell r="B5001" t="str">
            <v>Budget</v>
          </cell>
          <cell r="C5001" t="str">
            <v>May</v>
          </cell>
          <cell r="D5001" t="str">
            <v>Kitchen</v>
          </cell>
          <cell r="E5001">
            <v>787332.03500000003</v>
          </cell>
          <cell r="F5001">
            <v>5</v>
          </cell>
        </row>
        <row r="5002">
          <cell r="A5002">
            <v>2019</v>
          </cell>
          <cell r="B5002" t="str">
            <v>Actual</v>
          </cell>
          <cell r="C5002" t="str">
            <v>May</v>
          </cell>
          <cell r="D5002" t="str">
            <v>Accessories</v>
          </cell>
          <cell r="E5002">
            <v>1505.175</v>
          </cell>
          <cell r="F5002">
            <v>5</v>
          </cell>
        </row>
        <row r="5003">
          <cell r="A5003">
            <v>2018</v>
          </cell>
          <cell r="B5003" t="str">
            <v>Budget</v>
          </cell>
          <cell r="C5003" t="str">
            <v>May</v>
          </cell>
          <cell r="D5003" t="str">
            <v>Chairs</v>
          </cell>
          <cell r="E5003">
            <v>216411.88800000001</v>
          </cell>
          <cell r="F5003">
            <v>5</v>
          </cell>
        </row>
        <row r="5004">
          <cell r="A5004">
            <v>2018</v>
          </cell>
          <cell r="B5004" t="str">
            <v>Actual</v>
          </cell>
          <cell r="C5004" t="str">
            <v>May</v>
          </cell>
          <cell r="D5004" t="str">
            <v>Tables</v>
          </cell>
          <cell r="E5004">
            <v>596488.6129999999</v>
          </cell>
          <cell r="F5004">
            <v>5</v>
          </cell>
        </row>
        <row r="5005">
          <cell r="A5005">
            <v>2018</v>
          </cell>
          <cell r="B5005" t="str">
            <v>Budget</v>
          </cell>
          <cell r="C5005" t="str">
            <v>May</v>
          </cell>
          <cell r="D5005" t="str">
            <v>Kitchen</v>
          </cell>
          <cell r="E5005">
            <v>1146646.0179999999</v>
          </cell>
          <cell r="F5005">
            <v>5</v>
          </cell>
        </row>
        <row r="5006">
          <cell r="A5006">
            <v>2019</v>
          </cell>
          <cell r="B5006" t="str">
            <v>Actual</v>
          </cell>
          <cell r="C5006" t="str">
            <v>May</v>
          </cell>
          <cell r="D5006" t="str">
            <v>Accessories</v>
          </cell>
          <cell r="E5006">
            <v>131203.296</v>
          </cell>
          <cell r="F5006">
            <v>5</v>
          </cell>
        </row>
        <row r="5007">
          <cell r="A5007">
            <v>2019</v>
          </cell>
          <cell r="B5007" t="str">
            <v>Budget</v>
          </cell>
          <cell r="C5007" t="str">
            <v>May</v>
          </cell>
          <cell r="D5007" t="str">
            <v>Chairs</v>
          </cell>
          <cell r="E5007">
            <v>290165.26699999999</v>
          </cell>
          <cell r="F5007">
            <v>5</v>
          </cell>
        </row>
        <row r="5008">
          <cell r="A5008">
            <v>2018</v>
          </cell>
          <cell r="B5008" t="str">
            <v>Actual</v>
          </cell>
          <cell r="C5008" t="str">
            <v>May</v>
          </cell>
          <cell r="D5008" t="str">
            <v>Tables</v>
          </cell>
          <cell r="E5008">
            <v>288744.19</v>
          </cell>
          <cell r="F5008">
            <v>5</v>
          </cell>
        </row>
        <row r="5009">
          <cell r="A5009">
            <v>2019</v>
          </cell>
          <cell r="B5009" t="str">
            <v>Budget</v>
          </cell>
          <cell r="C5009" t="str">
            <v>May</v>
          </cell>
          <cell r="D5009" t="str">
            <v>Kitchen</v>
          </cell>
          <cell r="E5009">
            <v>424587.51299999998</v>
          </cell>
          <cell r="F5009">
            <v>5</v>
          </cell>
        </row>
        <row r="5010">
          <cell r="A5010">
            <v>2019</v>
          </cell>
          <cell r="B5010" t="str">
            <v>Actual</v>
          </cell>
          <cell r="C5010" t="str">
            <v>May</v>
          </cell>
          <cell r="D5010" t="str">
            <v>Accessories</v>
          </cell>
          <cell r="E5010">
            <v>822123.80599999998</v>
          </cell>
          <cell r="F5010">
            <v>5</v>
          </cell>
        </row>
        <row r="5011">
          <cell r="A5011">
            <v>2019</v>
          </cell>
          <cell r="B5011" t="str">
            <v>Budget</v>
          </cell>
          <cell r="C5011" t="str">
            <v>May</v>
          </cell>
          <cell r="D5011" t="str">
            <v>Chairs</v>
          </cell>
          <cell r="E5011">
            <v>1909337.2549999999</v>
          </cell>
          <cell r="F5011">
            <v>5</v>
          </cell>
        </row>
        <row r="5012">
          <cell r="A5012">
            <v>2018</v>
          </cell>
          <cell r="B5012" t="str">
            <v>Actual</v>
          </cell>
          <cell r="C5012" t="str">
            <v>May</v>
          </cell>
          <cell r="D5012" t="str">
            <v>Chairs</v>
          </cell>
          <cell r="E5012">
            <v>9180303.7759999987</v>
          </cell>
          <cell r="F5012">
            <v>5</v>
          </cell>
        </row>
        <row r="5013">
          <cell r="A5013">
            <v>2018</v>
          </cell>
          <cell r="B5013" t="str">
            <v>Budget</v>
          </cell>
          <cell r="C5013" t="str">
            <v>May</v>
          </cell>
          <cell r="D5013" t="str">
            <v>Tables</v>
          </cell>
          <cell r="E5013">
            <v>3334508.9539999994</v>
          </cell>
          <cell r="F5013">
            <v>5</v>
          </cell>
        </row>
        <row r="5014">
          <cell r="A5014">
            <v>2018</v>
          </cell>
          <cell r="B5014" t="str">
            <v>Actual</v>
          </cell>
          <cell r="C5014" t="str">
            <v>May</v>
          </cell>
          <cell r="D5014" t="str">
            <v>Kitchen</v>
          </cell>
          <cell r="E5014">
            <v>1074223.024</v>
          </cell>
          <cell r="F5014">
            <v>5</v>
          </cell>
        </row>
        <row r="5015">
          <cell r="A5015">
            <v>2018</v>
          </cell>
          <cell r="B5015" t="str">
            <v>Budget</v>
          </cell>
          <cell r="C5015" t="str">
            <v>May</v>
          </cell>
          <cell r="D5015" t="str">
            <v>Chairs</v>
          </cell>
          <cell r="E5015">
            <v>292097.19699999999</v>
          </cell>
          <cell r="F5015">
            <v>5</v>
          </cell>
        </row>
        <row r="5016">
          <cell r="A5016">
            <v>2019</v>
          </cell>
          <cell r="B5016" t="str">
            <v>Actual</v>
          </cell>
          <cell r="C5016" t="str">
            <v>May</v>
          </cell>
          <cell r="D5016" t="str">
            <v>Tables</v>
          </cell>
          <cell r="E5016">
            <v>1498431.781</v>
          </cell>
          <cell r="F5016">
            <v>5</v>
          </cell>
        </row>
        <row r="5017">
          <cell r="A5017">
            <v>2019</v>
          </cell>
          <cell r="B5017" t="str">
            <v>Budget</v>
          </cell>
          <cell r="C5017" t="str">
            <v>May</v>
          </cell>
          <cell r="D5017" t="str">
            <v>Kitchen</v>
          </cell>
          <cell r="E5017">
            <v>1500628.129</v>
          </cell>
          <cell r="F5017">
            <v>5</v>
          </cell>
        </row>
        <row r="5018">
          <cell r="A5018">
            <v>2019</v>
          </cell>
          <cell r="B5018" t="str">
            <v>Actual</v>
          </cell>
          <cell r="C5018" t="str">
            <v>May</v>
          </cell>
          <cell r="D5018" t="str">
            <v>Chairs</v>
          </cell>
          <cell r="E5018">
            <v>4819015.2429999998</v>
          </cell>
          <cell r="F5018">
            <v>5</v>
          </cell>
        </row>
        <row r="5019">
          <cell r="A5019">
            <v>2018</v>
          </cell>
          <cell r="B5019" t="str">
            <v>Budget</v>
          </cell>
          <cell r="C5019" t="str">
            <v>May</v>
          </cell>
          <cell r="D5019" t="str">
            <v>Tables</v>
          </cell>
          <cell r="E5019">
            <v>4055472.0289999996</v>
          </cell>
          <cell r="F5019">
            <v>5</v>
          </cell>
        </row>
        <row r="5020">
          <cell r="A5020">
            <v>2018</v>
          </cell>
          <cell r="B5020" t="str">
            <v>Actual</v>
          </cell>
          <cell r="C5020" t="str">
            <v>May</v>
          </cell>
          <cell r="D5020" t="str">
            <v>Kitchen</v>
          </cell>
          <cell r="E5020">
            <v>195452.65599999999</v>
          </cell>
          <cell r="F5020">
            <v>5</v>
          </cell>
        </row>
        <row r="5021">
          <cell r="A5021">
            <v>2018</v>
          </cell>
          <cell r="B5021" t="str">
            <v>Budget</v>
          </cell>
          <cell r="C5021" t="str">
            <v>May</v>
          </cell>
          <cell r="D5021" t="str">
            <v>Chairs</v>
          </cell>
          <cell r="E5021">
            <v>63706.047999999995</v>
          </cell>
          <cell r="F5021">
            <v>5</v>
          </cell>
        </row>
        <row r="5022">
          <cell r="A5022">
            <v>2018</v>
          </cell>
          <cell r="B5022" t="str">
            <v>Actual</v>
          </cell>
          <cell r="C5022" t="str">
            <v>May</v>
          </cell>
          <cell r="D5022" t="str">
            <v>Chairs</v>
          </cell>
          <cell r="E5022">
            <v>187232.47200000001</v>
          </cell>
          <cell r="F5022">
            <v>5</v>
          </cell>
        </row>
        <row r="5023">
          <cell r="A5023">
            <v>2018</v>
          </cell>
          <cell r="B5023" t="str">
            <v>Budget</v>
          </cell>
          <cell r="C5023" t="str">
            <v>May</v>
          </cell>
          <cell r="D5023" t="str">
            <v>Chairs</v>
          </cell>
          <cell r="E5023">
            <v>159790.60999999999</v>
          </cell>
          <cell r="F5023">
            <v>5</v>
          </cell>
        </row>
        <row r="5024">
          <cell r="A5024">
            <v>2018</v>
          </cell>
          <cell r="B5024" t="str">
            <v>Actual</v>
          </cell>
          <cell r="C5024" t="str">
            <v>May</v>
          </cell>
          <cell r="D5024" t="str">
            <v>Chairs</v>
          </cell>
          <cell r="E5024">
            <v>4030596.3039999995</v>
          </cell>
          <cell r="F5024">
            <v>5</v>
          </cell>
        </row>
        <row r="5025">
          <cell r="A5025">
            <v>2018</v>
          </cell>
          <cell r="B5025" t="str">
            <v>Budget</v>
          </cell>
          <cell r="C5025" t="str">
            <v>May</v>
          </cell>
          <cell r="D5025" t="str">
            <v>Chairs</v>
          </cell>
          <cell r="E5025">
            <v>1174907.51</v>
          </cell>
          <cell r="F5025">
            <v>5</v>
          </cell>
        </row>
        <row r="5026">
          <cell r="A5026">
            <v>2019</v>
          </cell>
          <cell r="B5026" t="str">
            <v>Actual</v>
          </cell>
          <cell r="C5026" t="str">
            <v>May</v>
          </cell>
          <cell r="D5026" t="str">
            <v>Chairs</v>
          </cell>
          <cell r="E5026">
            <v>1170601.0119999999</v>
          </cell>
          <cell r="F5026">
            <v>5</v>
          </cell>
        </row>
        <row r="5027">
          <cell r="A5027">
            <v>2019</v>
          </cell>
          <cell r="B5027" t="str">
            <v>Budget</v>
          </cell>
          <cell r="C5027" t="str">
            <v>May</v>
          </cell>
          <cell r="D5027" t="str">
            <v>Chairs</v>
          </cell>
          <cell r="E5027">
            <v>1954216.4739999997</v>
          </cell>
          <cell r="F5027">
            <v>5</v>
          </cell>
        </row>
        <row r="5028">
          <cell r="A5028">
            <v>2018</v>
          </cell>
          <cell r="B5028" t="str">
            <v>Actual</v>
          </cell>
          <cell r="C5028" t="str">
            <v>May</v>
          </cell>
          <cell r="D5028" t="str">
            <v>Chairs</v>
          </cell>
          <cell r="E5028">
            <v>2146487.4549999996</v>
          </cell>
          <cell r="F5028">
            <v>5</v>
          </cell>
        </row>
        <row r="5029">
          <cell r="A5029">
            <v>2018</v>
          </cell>
          <cell r="B5029" t="str">
            <v>Budget</v>
          </cell>
          <cell r="C5029" t="str">
            <v>May</v>
          </cell>
          <cell r="D5029" t="str">
            <v>Chairs</v>
          </cell>
          <cell r="E5029">
            <v>464445.02299999999</v>
          </cell>
          <cell r="F5029">
            <v>5</v>
          </cell>
        </row>
        <row r="5030">
          <cell r="A5030">
            <v>2019</v>
          </cell>
          <cell r="B5030" t="str">
            <v>Actual</v>
          </cell>
          <cell r="C5030" t="str">
            <v>May</v>
          </cell>
          <cell r="D5030" t="str">
            <v>Chairs</v>
          </cell>
          <cell r="E5030">
            <v>302519.973</v>
          </cell>
          <cell r="F5030">
            <v>5</v>
          </cell>
        </row>
        <row r="5031">
          <cell r="A5031">
            <v>2019</v>
          </cell>
          <cell r="B5031" t="str">
            <v>Budget</v>
          </cell>
          <cell r="C5031" t="str">
            <v>May</v>
          </cell>
          <cell r="D5031" t="str">
            <v>Chairs</v>
          </cell>
          <cell r="E5031">
            <v>415928.81400000001</v>
          </cell>
          <cell r="F5031">
            <v>5</v>
          </cell>
        </row>
        <row r="5032">
          <cell r="A5032">
            <v>2018</v>
          </cell>
          <cell r="B5032" t="str">
            <v>Actual</v>
          </cell>
          <cell r="C5032" t="str">
            <v>May</v>
          </cell>
          <cell r="D5032" t="str">
            <v>Chairs</v>
          </cell>
          <cell r="E5032">
            <v>447493.109</v>
          </cell>
          <cell r="F5032">
            <v>5</v>
          </cell>
        </row>
        <row r="5033">
          <cell r="A5033">
            <v>2019</v>
          </cell>
          <cell r="B5033" t="str">
            <v>Budget</v>
          </cell>
          <cell r="C5033" t="str">
            <v>May</v>
          </cell>
          <cell r="D5033" t="str">
            <v>Chairs</v>
          </cell>
          <cell r="E5033">
            <v>1119533.17</v>
          </cell>
          <cell r="F5033">
            <v>5</v>
          </cell>
        </row>
        <row r="5034">
          <cell r="A5034">
            <v>2018</v>
          </cell>
          <cell r="B5034" t="str">
            <v>Actual</v>
          </cell>
          <cell r="C5034" t="str">
            <v>May</v>
          </cell>
          <cell r="D5034" t="str">
            <v>Chairs</v>
          </cell>
          <cell r="E5034">
            <v>317024.61</v>
          </cell>
          <cell r="F5034">
            <v>5</v>
          </cell>
        </row>
        <row r="5035">
          <cell r="A5035">
            <v>2019</v>
          </cell>
          <cell r="B5035" t="str">
            <v>Budget</v>
          </cell>
          <cell r="C5035" t="str">
            <v>May</v>
          </cell>
          <cell r="D5035" t="str">
            <v>Chairs</v>
          </cell>
          <cell r="E5035">
            <v>359421.11799999996</v>
          </cell>
          <cell r="F5035">
            <v>5</v>
          </cell>
        </row>
        <row r="5036">
          <cell r="A5036">
            <v>2019</v>
          </cell>
          <cell r="B5036" t="str">
            <v>Actual</v>
          </cell>
          <cell r="C5036" t="str">
            <v>May</v>
          </cell>
          <cell r="D5036" t="str">
            <v>Chairs</v>
          </cell>
          <cell r="E5036">
            <v>640092.88</v>
          </cell>
          <cell r="F5036">
            <v>5</v>
          </cell>
        </row>
        <row r="5037">
          <cell r="A5037">
            <v>2019</v>
          </cell>
          <cell r="B5037" t="str">
            <v>Budget</v>
          </cell>
          <cell r="C5037" t="str">
            <v>May</v>
          </cell>
          <cell r="D5037" t="str">
            <v>Chairs</v>
          </cell>
          <cell r="E5037">
            <v>402826.01799999998</v>
          </cell>
          <cell r="F5037">
            <v>5</v>
          </cell>
        </row>
        <row r="5038">
          <cell r="A5038">
            <v>2019</v>
          </cell>
          <cell r="B5038" t="str">
            <v>Actual</v>
          </cell>
          <cell r="C5038" t="str">
            <v>May</v>
          </cell>
          <cell r="D5038" t="str">
            <v>Chairs</v>
          </cell>
          <cell r="E5038">
            <v>169442.69299999997</v>
          </cell>
          <cell r="F5038">
            <v>5</v>
          </cell>
        </row>
        <row r="5039">
          <cell r="A5039">
            <v>2018</v>
          </cell>
          <cell r="B5039" t="str">
            <v>Budget</v>
          </cell>
          <cell r="C5039" t="str">
            <v>May</v>
          </cell>
          <cell r="D5039" t="str">
            <v>Chairs</v>
          </cell>
          <cell r="E5039">
            <v>271864.07500000001</v>
          </cell>
          <cell r="F5039">
            <v>5</v>
          </cell>
        </row>
        <row r="5040">
          <cell r="A5040">
            <v>2018</v>
          </cell>
          <cell r="B5040" t="str">
            <v>Actual</v>
          </cell>
          <cell r="C5040" t="str">
            <v>May</v>
          </cell>
          <cell r="D5040" t="str">
            <v>Chairs</v>
          </cell>
          <cell r="E5040">
            <v>16570.96</v>
          </cell>
          <cell r="F5040">
            <v>5</v>
          </cell>
        </row>
        <row r="5041">
          <cell r="A5041">
            <v>2019</v>
          </cell>
          <cell r="B5041" t="str">
            <v>Budget</v>
          </cell>
          <cell r="C5041" t="str">
            <v>May</v>
          </cell>
          <cell r="D5041" t="str">
            <v>Chairs</v>
          </cell>
          <cell r="E5041">
            <v>38097.002999999997</v>
          </cell>
          <cell r="F5041">
            <v>5</v>
          </cell>
        </row>
        <row r="5042">
          <cell r="A5042">
            <v>2018</v>
          </cell>
          <cell r="B5042" t="str">
            <v>Actual</v>
          </cell>
          <cell r="C5042" t="str">
            <v>May</v>
          </cell>
          <cell r="D5042" t="str">
            <v>Chairs</v>
          </cell>
          <cell r="E5042">
            <v>658911.55399999989</v>
          </cell>
          <cell r="F5042">
            <v>5</v>
          </cell>
        </row>
        <row r="5043">
          <cell r="A5043">
            <v>2018</v>
          </cell>
          <cell r="B5043" t="str">
            <v>Budget</v>
          </cell>
          <cell r="C5043" t="str">
            <v>May</v>
          </cell>
          <cell r="D5043" t="str">
            <v>Chairs</v>
          </cell>
          <cell r="E5043">
            <v>262997.44799999997</v>
          </cell>
          <cell r="F5043">
            <v>5</v>
          </cell>
        </row>
        <row r="5044">
          <cell r="A5044">
            <v>2018</v>
          </cell>
          <cell r="B5044" t="str">
            <v>Actual</v>
          </cell>
          <cell r="C5044" t="str">
            <v>May</v>
          </cell>
          <cell r="D5044" t="str">
            <v>Chairs</v>
          </cell>
          <cell r="E5044">
            <v>185067.79199999999</v>
          </cell>
          <cell r="F5044">
            <v>5</v>
          </cell>
        </row>
        <row r="5045">
          <cell r="A5045">
            <v>2019</v>
          </cell>
          <cell r="B5045" t="str">
            <v>Budget</v>
          </cell>
          <cell r="C5045" t="str">
            <v>May</v>
          </cell>
          <cell r="D5045" t="str">
            <v>Chairs</v>
          </cell>
          <cell r="E5045">
            <v>53133.024000000005</v>
          </cell>
          <cell r="F5045">
            <v>5</v>
          </cell>
        </row>
        <row r="5046">
          <cell r="A5046">
            <v>2019</v>
          </cell>
          <cell r="B5046" t="str">
            <v>Actual</v>
          </cell>
          <cell r="C5046" t="str">
            <v>May</v>
          </cell>
          <cell r="D5046" t="str">
            <v>Chairs</v>
          </cell>
          <cell r="E5046">
            <v>53325.208999999995</v>
          </cell>
          <cell r="F5046">
            <v>5</v>
          </cell>
        </row>
        <row r="5047">
          <cell r="A5047">
            <v>2018</v>
          </cell>
          <cell r="B5047" t="str">
            <v>Budget</v>
          </cell>
          <cell r="C5047" t="str">
            <v>May</v>
          </cell>
          <cell r="D5047" t="str">
            <v>Tables</v>
          </cell>
          <cell r="E5047">
            <v>656541.25599999994</v>
          </cell>
          <cell r="F5047">
            <v>5</v>
          </cell>
        </row>
        <row r="5048">
          <cell r="A5048">
            <v>2018</v>
          </cell>
          <cell r="B5048" t="str">
            <v>Actual</v>
          </cell>
          <cell r="C5048" t="str">
            <v>May</v>
          </cell>
          <cell r="D5048" t="str">
            <v>Kitchen</v>
          </cell>
          <cell r="E5048">
            <v>287048.89499999996</v>
          </cell>
          <cell r="F5048">
            <v>5</v>
          </cell>
        </row>
        <row r="5049">
          <cell r="A5049">
            <v>2018</v>
          </cell>
          <cell r="B5049" t="str">
            <v>Budget</v>
          </cell>
          <cell r="C5049" t="str">
            <v>May</v>
          </cell>
          <cell r="D5049" t="str">
            <v>Chairs</v>
          </cell>
          <cell r="E5049">
            <v>97103.530999999988</v>
          </cell>
          <cell r="F5049">
            <v>5</v>
          </cell>
        </row>
        <row r="5050">
          <cell r="A5050">
            <v>2018</v>
          </cell>
          <cell r="B5050" t="str">
            <v>Actual</v>
          </cell>
          <cell r="C5050" t="str">
            <v>May</v>
          </cell>
          <cell r="D5050" t="str">
            <v>Chairs</v>
          </cell>
          <cell r="E5050">
            <v>99122.078999999998</v>
          </cell>
          <cell r="F5050">
            <v>5</v>
          </cell>
        </row>
        <row r="5051">
          <cell r="A5051">
            <v>2018</v>
          </cell>
          <cell r="B5051" t="str">
            <v>Budget</v>
          </cell>
          <cell r="C5051" t="str">
            <v>May</v>
          </cell>
          <cell r="D5051" t="str">
            <v>Chairs</v>
          </cell>
          <cell r="E5051">
            <v>137991.20300000001</v>
          </cell>
          <cell r="F5051">
            <v>5</v>
          </cell>
        </row>
        <row r="5052">
          <cell r="A5052">
            <v>2019</v>
          </cell>
          <cell r="B5052" t="str">
            <v>Actual</v>
          </cell>
          <cell r="C5052" t="str">
            <v>May</v>
          </cell>
          <cell r="D5052" t="str">
            <v>Chairs</v>
          </cell>
          <cell r="E5052">
            <v>116900.73499999999</v>
          </cell>
          <cell r="F5052">
            <v>5</v>
          </cell>
        </row>
        <row r="5053">
          <cell r="A5053">
            <v>2018</v>
          </cell>
          <cell r="B5053" t="str">
            <v>Budget</v>
          </cell>
          <cell r="C5053" t="str">
            <v>May</v>
          </cell>
          <cell r="D5053" t="str">
            <v>Chairs</v>
          </cell>
          <cell r="E5053">
            <v>35492.421999999999</v>
          </cell>
          <cell r="F5053">
            <v>5</v>
          </cell>
        </row>
        <row r="5054">
          <cell r="A5054">
            <v>2018</v>
          </cell>
          <cell r="B5054" t="str">
            <v>Actual</v>
          </cell>
          <cell r="C5054" t="str">
            <v>May</v>
          </cell>
          <cell r="D5054" t="str">
            <v>Tables</v>
          </cell>
          <cell r="E5054">
            <v>123340.966</v>
          </cell>
          <cell r="F5054">
            <v>5</v>
          </cell>
        </row>
        <row r="5055">
          <cell r="A5055">
            <v>2019</v>
          </cell>
          <cell r="B5055" t="str">
            <v>Budget</v>
          </cell>
          <cell r="C5055" t="str">
            <v>May</v>
          </cell>
          <cell r="D5055" t="str">
            <v>Kitchen</v>
          </cell>
          <cell r="E5055">
            <v>1098938.2249999999</v>
          </cell>
          <cell r="F5055">
            <v>5</v>
          </cell>
        </row>
        <row r="5056">
          <cell r="A5056">
            <v>2018</v>
          </cell>
          <cell r="B5056" t="str">
            <v>Actual</v>
          </cell>
          <cell r="C5056" t="str">
            <v>May</v>
          </cell>
          <cell r="D5056" t="str">
            <v>Chairs</v>
          </cell>
          <cell r="E5056">
            <v>322758.43599999999</v>
          </cell>
          <cell r="F5056">
            <v>5</v>
          </cell>
        </row>
        <row r="5057">
          <cell r="A5057">
            <v>2018</v>
          </cell>
          <cell r="B5057" t="str">
            <v>Budget</v>
          </cell>
          <cell r="C5057" t="str">
            <v>May</v>
          </cell>
          <cell r="D5057" t="str">
            <v>Chairs</v>
          </cell>
          <cell r="E5057">
            <v>106936.28399999999</v>
          </cell>
          <cell r="F5057">
            <v>5</v>
          </cell>
        </row>
        <row r="5058">
          <cell r="A5058">
            <v>2018</v>
          </cell>
          <cell r="B5058" t="str">
            <v>Actual</v>
          </cell>
          <cell r="C5058" t="str">
            <v>May</v>
          </cell>
          <cell r="D5058" t="str">
            <v>Chairs</v>
          </cell>
          <cell r="E5058">
            <v>41266.350999999995</v>
          </cell>
          <cell r="F5058">
            <v>5</v>
          </cell>
        </row>
        <row r="5059">
          <cell r="A5059">
            <v>2018</v>
          </cell>
          <cell r="B5059" t="str">
            <v>Budget</v>
          </cell>
          <cell r="C5059" t="str">
            <v>May</v>
          </cell>
          <cell r="D5059" t="str">
            <v>Tables</v>
          </cell>
          <cell r="E5059">
            <v>203607.74</v>
          </cell>
          <cell r="F5059">
            <v>5</v>
          </cell>
        </row>
        <row r="5060">
          <cell r="A5060">
            <v>2018</v>
          </cell>
          <cell r="B5060" t="str">
            <v>Actual</v>
          </cell>
          <cell r="C5060" t="str">
            <v>May</v>
          </cell>
          <cell r="D5060" t="str">
            <v>Kitchen</v>
          </cell>
          <cell r="E5060">
            <v>1779926.4909999999</v>
          </cell>
          <cell r="F5060">
            <v>5</v>
          </cell>
        </row>
        <row r="5061">
          <cell r="A5061">
            <v>2018</v>
          </cell>
          <cell r="B5061" t="str">
            <v>Budget</v>
          </cell>
          <cell r="C5061" t="str">
            <v>May</v>
          </cell>
          <cell r="D5061" t="str">
            <v>Chairs</v>
          </cell>
          <cell r="E5061">
            <v>1183765.2259999998</v>
          </cell>
          <cell r="F5061">
            <v>5</v>
          </cell>
        </row>
        <row r="5062">
          <cell r="A5062">
            <v>2019</v>
          </cell>
          <cell r="B5062" t="str">
            <v>Actual</v>
          </cell>
          <cell r="C5062" t="str">
            <v>May</v>
          </cell>
          <cell r="D5062" t="str">
            <v>Chairs</v>
          </cell>
          <cell r="E5062">
            <v>412850.38199999998</v>
          </cell>
          <cell r="F5062">
            <v>5</v>
          </cell>
        </row>
        <row r="5063">
          <cell r="A5063">
            <v>2018</v>
          </cell>
          <cell r="B5063" t="str">
            <v>Budget</v>
          </cell>
          <cell r="C5063" t="str">
            <v>May</v>
          </cell>
          <cell r="D5063" t="str">
            <v>Tables</v>
          </cell>
          <cell r="E5063">
            <v>147810.033</v>
          </cell>
          <cell r="F5063">
            <v>5</v>
          </cell>
        </row>
        <row r="5064">
          <cell r="A5064">
            <v>2019</v>
          </cell>
          <cell r="B5064" t="str">
            <v>Actual</v>
          </cell>
          <cell r="C5064" t="str">
            <v>May</v>
          </cell>
          <cell r="D5064" t="str">
            <v>Kitchen</v>
          </cell>
          <cell r="E5064">
            <v>511426.80399999995</v>
          </cell>
          <cell r="F5064">
            <v>5</v>
          </cell>
        </row>
        <row r="5065">
          <cell r="A5065">
            <v>2019</v>
          </cell>
          <cell r="B5065" t="str">
            <v>Budget</v>
          </cell>
          <cell r="C5065" t="str">
            <v>May</v>
          </cell>
          <cell r="D5065" t="str">
            <v>Chairs</v>
          </cell>
          <cell r="E5065">
            <v>408690.625</v>
          </cell>
          <cell r="F5065">
            <v>5</v>
          </cell>
        </row>
        <row r="5066">
          <cell r="A5066">
            <v>2019</v>
          </cell>
          <cell r="B5066" t="str">
            <v>Actual</v>
          </cell>
          <cell r="C5066" t="str">
            <v>May</v>
          </cell>
          <cell r="D5066" t="str">
            <v>Chairs</v>
          </cell>
          <cell r="E5066">
            <v>176716.70799999998</v>
          </cell>
          <cell r="F5066">
            <v>5</v>
          </cell>
        </row>
        <row r="5067">
          <cell r="A5067">
            <v>2019</v>
          </cell>
          <cell r="B5067" t="str">
            <v>Budget</v>
          </cell>
          <cell r="C5067" t="str">
            <v>May</v>
          </cell>
          <cell r="D5067" t="str">
            <v>Chairs</v>
          </cell>
          <cell r="E5067">
            <v>1716472.5060000001</v>
          </cell>
          <cell r="F5067">
            <v>5</v>
          </cell>
        </row>
        <row r="5068">
          <cell r="A5068">
            <v>2019</v>
          </cell>
          <cell r="B5068" t="str">
            <v>Actual</v>
          </cell>
          <cell r="C5068" t="str">
            <v>May</v>
          </cell>
          <cell r="D5068" t="str">
            <v>Tables</v>
          </cell>
          <cell r="E5068">
            <v>9748.9069999999992</v>
          </cell>
          <cell r="F5068">
            <v>5</v>
          </cell>
        </row>
        <row r="5069">
          <cell r="A5069">
            <v>2018</v>
          </cell>
          <cell r="B5069" t="str">
            <v>Budget</v>
          </cell>
          <cell r="C5069" t="str">
            <v>May</v>
          </cell>
          <cell r="D5069" t="str">
            <v>Kitchen</v>
          </cell>
          <cell r="E5069">
            <v>104430.43799999999</v>
          </cell>
          <cell r="F5069">
            <v>5</v>
          </cell>
        </row>
        <row r="5070">
          <cell r="A5070">
            <v>2019</v>
          </cell>
          <cell r="B5070" t="str">
            <v>Actual</v>
          </cell>
          <cell r="C5070" t="str">
            <v>May</v>
          </cell>
          <cell r="D5070" t="str">
            <v>Accessories</v>
          </cell>
          <cell r="E5070">
            <v>13955.256000000001</v>
          </cell>
          <cell r="F5070">
            <v>5</v>
          </cell>
        </row>
        <row r="5071">
          <cell r="A5071">
            <v>2018</v>
          </cell>
          <cell r="B5071" t="str">
            <v>Budget</v>
          </cell>
          <cell r="C5071" t="str">
            <v>May</v>
          </cell>
          <cell r="D5071" t="str">
            <v>Chairs</v>
          </cell>
          <cell r="E5071">
            <v>30819.585999999999</v>
          </cell>
          <cell r="F5071">
            <v>5</v>
          </cell>
        </row>
        <row r="5072">
          <cell r="A5072">
            <v>2019</v>
          </cell>
          <cell r="B5072" t="str">
            <v>Actual</v>
          </cell>
          <cell r="C5072" t="str">
            <v>May</v>
          </cell>
          <cell r="D5072" t="str">
            <v>Tables</v>
          </cell>
          <cell r="E5072">
            <v>461312.56499999994</v>
          </cell>
          <cell r="F5072">
            <v>5</v>
          </cell>
        </row>
        <row r="5073">
          <cell r="A5073">
            <v>2019</v>
          </cell>
          <cell r="B5073" t="str">
            <v>Budget</v>
          </cell>
          <cell r="C5073" t="str">
            <v>May</v>
          </cell>
          <cell r="D5073" t="str">
            <v>Kitchen</v>
          </cell>
          <cell r="E5073">
            <v>98608.537999999986</v>
          </cell>
          <cell r="F5073">
            <v>5</v>
          </cell>
        </row>
        <row r="5074">
          <cell r="A5074">
            <v>2019</v>
          </cell>
          <cell r="B5074" t="str">
            <v>Actual</v>
          </cell>
          <cell r="C5074" t="str">
            <v>May</v>
          </cell>
          <cell r="D5074" t="str">
            <v>Accessories</v>
          </cell>
          <cell r="E5074">
            <v>1112785.6459999999</v>
          </cell>
          <cell r="F5074">
            <v>5</v>
          </cell>
        </row>
        <row r="5075">
          <cell r="A5075">
            <v>2018</v>
          </cell>
          <cell r="B5075" t="str">
            <v>Budget</v>
          </cell>
          <cell r="C5075" t="str">
            <v>May</v>
          </cell>
          <cell r="D5075" t="str">
            <v>Chairs</v>
          </cell>
          <cell r="E5075">
            <v>554526.53899999999</v>
          </cell>
          <cell r="F5075">
            <v>5</v>
          </cell>
        </row>
        <row r="5076">
          <cell r="A5076">
            <v>2018</v>
          </cell>
          <cell r="B5076" t="str">
            <v>Actual</v>
          </cell>
          <cell r="C5076" t="str">
            <v>May</v>
          </cell>
          <cell r="D5076" t="str">
            <v>Tables</v>
          </cell>
          <cell r="E5076">
            <v>248554.17299999998</v>
          </cell>
          <cell r="F5076">
            <v>5</v>
          </cell>
        </row>
        <row r="5077">
          <cell r="A5077">
            <v>2018</v>
          </cell>
          <cell r="B5077" t="str">
            <v>Budget</v>
          </cell>
          <cell r="C5077" t="str">
            <v>May</v>
          </cell>
          <cell r="D5077" t="str">
            <v>Kitchen</v>
          </cell>
          <cell r="E5077">
            <v>177964.00999999998</v>
          </cell>
          <cell r="F5077">
            <v>5</v>
          </cell>
        </row>
        <row r="5078">
          <cell r="A5078">
            <v>2018</v>
          </cell>
          <cell r="B5078" t="str">
            <v>Actual</v>
          </cell>
          <cell r="C5078" t="str">
            <v>May</v>
          </cell>
          <cell r="D5078" t="str">
            <v>Accessories</v>
          </cell>
          <cell r="E5078">
            <v>179380.929</v>
          </cell>
          <cell r="F5078">
            <v>5</v>
          </cell>
        </row>
        <row r="5079">
          <cell r="A5079">
            <v>2018</v>
          </cell>
          <cell r="B5079" t="str">
            <v>Budget</v>
          </cell>
          <cell r="C5079" t="str">
            <v>May</v>
          </cell>
          <cell r="D5079" t="str">
            <v>Chairs</v>
          </cell>
          <cell r="E5079">
            <v>666071.30099999998</v>
          </cell>
          <cell r="F5079">
            <v>5</v>
          </cell>
        </row>
        <row r="5080">
          <cell r="A5080">
            <v>2018</v>
          </cell>
          <cell r="B5080" t="str">
            <v>Actual</v>
          </cell>
          <cell r="C5080" t="str">
            <v>May</v>
          </cell>
          <cell r="D5080" t="str">
            <v>Tables</v>
          </cell>
          <cell r="E5080">
            <v>1668816.709</v>
          </cell>
          <cell r="F5080">
            <v>5</v>
          </cell>
        </row>
        <row r="5081">
          <cell r="A5081">
            <v>2019</v>
          </cell>
          <cell r="B5081" t="str">
            <v>Budget</v>
          </cell>
          <cell r="C5081" t="str">
            <v>May</v>
          </cell>
          <cell r="D5081" t="str">
            <v>Kitchen</v>
          </cell>
          <cell r="E5081">
            <v>273500.33899999998</v>
          </cell>
          <cell r="F5081">
            <v>5</v>
          </cell>
        </row>
        <row r="5082">
          <cell r="A5082">
            <v>2019</v>
          </cell>
          <cell r="B5082" t="str">
            <v>Actual</v>
          </cell>
          <cell r="C5082" t="str">
            <v>May</v>
          </cell>
          <cell r="D5082" t="str">
            <v>Accessories</v>
          </cell>
          <cell r="E5082">
            <v>27289.835999999999</v>
          </cell>
          <cell r="F5082">
            <v>5</v>
          </cell>
        </row>
        <row r="5083">
          <cell r="A5083">
            <v>2018</v>
          </cell>
          <cell r="B5083" t="str">
            <v>Budget</v>
          </cell>
          <cell r="C5083" t="str">
            <v>May</v>
          </cell>
          <cell r="D5083" t="str">
            <v>Chairs</v>
          </cell>
          <cell r="E5083">
            <v>32489.491999999995</v>
          </cell>
          <cell r="F5083">
            <v>5</v>
          </cell>
        </row>
        <row r="5084">
          <cell r="A5084">
            <v>2019</v>
          </cell>
          <cell r="B5084" t="str">
            <v>Actual</v>
          </cell>
          <cell r="C5084" t="str">
            <v>May</v>
          </cell>
          <cell r="D5084" t="str">
            <v>Chairs</v>
          </cell>
          <cell r="E5084">
            <v>664088.93599999999</v>
          </cell>
          <cell r="F5084">
            <v>5</v>
          </cell>
        </row>
        <row r="5085">
          <cell r="A5085">
            <v>2018</v>
          </cell>
          <cell r="B5085" t="str">
            <v>Budget</v>
          </cell>
          <cell r="C5085" t="str">
            <v>May</v>
          </cell>
          <cell r="D5085" t="str">
            <v>Tables</v>
          </cell>
          <cell r="E5085">
            <v>724835.92999999993</v>
          </cell>
          <cell r="F5085">
            <v>5</v>
          </cell>
        </row>
        <row r="5086">
          <cell r="A5086">
            <v>2018</v>
          </cell>
          <cell r="B5086" t="str">
            <v>Actual</v>
          </cell>
          <cell r="C5086" t="str">
            <v>May</v>
          </cell>
          <cell r="D5086" t="str">
            <v>Kitchen</v>
          </cell>
          <cell r="E5086">
            <v>101153.948</v>
          </cell>
          <cell r="F5086">
            <v>5</v>
          </cell>
        </row>
        <row r="5087">
          <cell r="A5087">
            <v>2019</v>
          </cell>
          <cell r="B5087" t="str">
            <v>Budget</v>
          </cell>
          <cell r="C5087" t="str">
            <v>May</v>
          </cell>
          <cell r="D5087" t="str">
            <v>Chairs</v>
          </cell>
          <cell r="E5087">
            <v>100825.96299999999</v>
          </cell>
          <cell r="F5087">
            <v>5</v>
          </cell>
        </row>
        <row r="5088">
          <cell r="A5088">
            <v>2018</v>
          </cell>
          <cell r="B5088" t="str">
            <v>Actual</v>
          </cell>
          <cell r="C5088" t="str">
            <v>May</v>
          </cell>
          <cell r="D5088" t="str">
            <v>Tables</v>
          </cell>
          <cell r="E5088">
            <v>26418.133000000002</v>
          </cell>
          <cell r="F5088">
            <v>5</v>
          </cell>
        </row>
        <row r="5089">
          <cell r="A5089">
            <v>2018</v>
          </cell>
          <cell r="B5089" t="str">
            <v>Budget</v>
          </cell>
          <cell r="C5089" t="str">
            <v>May</v>
          </cell>
          <cell r="D5089" t="str">
            <v>Kitchen</v>
          </cell>
          <cell r="E5089">
            <v>1095273.4310000001</v>
          </cell>
          <cell r="F5089">
            <v>5</v>
          </cell>
        </row>
        <row r="5090">
          <cell r="A5090">
            <v>2019</v>
          </cell>
          <cell r="B5090" t="str">
            <v>Actual</v>
          </cell>
          <cell r="C5090" t="str">
            <v>May</v>
          </cell>
          <cell r="D5090" t="str">
            <v>Chairs</v>
          </cell>
          <cell r="E5090">
            <v>132756.39299999998</v>
          </cell>
          <cell r="F5090">
            <v>5</v>
          </cell>
        </row>
        <row r="5091">
          <cell r="A5091">
            <v>2018</v>
          </cell>
          <cell r="B5091" t="str">
            <v>Budget</v>
          </cell>
          <cell r="C5091" t="str">
            <v>May</v>
          </cell>
          <cell r="D5091" t="str">
            <v>Tables</v>
          </cell>
          <cell r="E5091">
            <v>58052.714999999997</v>
          </cell>
          <cell r="F5091">
            <v>5</v>
          </cell>
        </row>
        <row r="5092">
          <cell r="A5092">
            <v>2019</v>
          </cell>
          <cell r="B5092" t="str">
            <v>Actual</v>
          </cell>
          <cell r="C5092" t="str">
            <v>May</v>
          </cell>
          <cell r="D5092" t="str">
            <v>Kitchen</v>
          </cell>
          <cell r="E5092">
            <v>102257.86900000001</v>
          </cell>
          <cell r="F5092">
            <v>5</v>
          </cell>
        </row>
        <row r="5093">
          <cell r="A5093">
            <v>2019</v>
          </cell>
          <cell r="B5093" t="str">
            <v>Budget</v>
          </cell>
          <cell r="C5093" t="str">
            <v>May</v>
          </cell>
          <cell r="D5093" t="str">
            <v>Chairs</v>
          </cell>
          <cell r="E5093">
            <v>1329341.1880000001</v>
          </cell>
          <cell r="F5093">
            <v>5</v>
          </cell>
        </row>
        <row r="5094">
          <cell r="A5094">
            <v>2018</v>
          </cell>
          <cell r="B5094" t="str">
            <v>Actual</v>
          </cell>
          <cell r="C5094" t="str">
            <v>May</v>
          </cell>
          <cell r="D5094" t="str">
            <v>Chairs</v>
          </cell>
          <cell r="E5094">
            <v>1058801.7649999999</v>
          </cell>
          <cell r="F5094">
            <v>5</v>
          </cell>
        </row>
        <row r="5095">
          <cell r="A5095">
            <v>2018</v>
          </cell>
          <cell r="B5095" t="str">
            <v>Budget</v>
          </cell>
          <cell r="C5095" t="str">
            <v>May</v>
          </cell>
          <cell r="D5095" t="str">
            <v>Chairs</v>
          </cell>
          <cell r="E5095">
            <v>2434866.7279999997</v>
          </cell>
          <cell r="F5095">
            <v>5</v>
          </cell>
        </row>
        <row r="5096">
          <cell r="A5096">
            <v>2018</v>
          </cell>
          <cell r="B5096" t="str">
            <v>Actual</v>
          </cell>
          <cell r="C5096" t="str">
            <v>May</v>
          </cell>
          <cell r="D5096" t="str">
            <v>Chairs</v>
          </cell>
          <cell r="E5096">
            <v>343578.90700000001</v>
          </cell>
          <cell r="F5096">
            <v>5</v>
          </cell>
        </row>
        <row r="5097">
          <cell r="A5097">
            <v>2019</v>
          </cell>
          <cell r="B5097" t="str">
            <v>Budget</v>
          </cell>
          <cell r="C5097" t="str">
            <v>May</v>
          </cell>
          <cell r="D5097" t="str">
            <v>Chairs</v>
          </cell>
          <cell r="E5097">
            <v>44484.811000000002</v>
          </cell>
          <cell r="F5097">
            <v>5</v>
          </cell>
        </row>
        <row r="5098">
          <cell r="A5098">
            <v>2018</v>
          </cell>
          <cell r="B5098" t="str">
            <v>Actual</v>
          </cell>
          <cell r="C5098" t="str">
            <v>May</v>
          </cell>
          <cell r="D5098" t="str">
            <v>Chairs</v>
          </cell>
          <cell r="E5098">
            <v>24894.73</v>
          </cell>
          <cell r="F5098">
            <v>5</v>
          </cell>
        </row>
        <row r="5099">
          <cell r="A5099">
            <v>2018</v>
          </cell>
          <cell r="B5099" t="str">
            <v>Budget</v>
          </cell>
          <cell r="C5099" t="str">
            <v>May</v>
          </cell>
          <cell r="D5099" t="str">
            <v>Chairs</v>
          </cell>
          <cell r="E5099">
            <v>42192.43</v>
          </cell>
          <cell r="F5099">
            <v>5</v>
          </cell>
        </row>
        <row r="5100">
          <cell r="A5100">
            <v>2019</v>
          </cell>
          <cell r="B5100" t="str">
            <v>Actual</v>
          </cell>
          <cell r="C5100" t="str">
            <v>May</v>
          </cell>
          <cell r="D5100" t="str">
            <v>Chairs</v>
          </cell>
          <cell r="E5100">
            <v>158799.11599999998</v>
          </cell>
          <cell r="F5100">
            <v>5</v>
          </cell>
        </row>
        <row r="5101">
          <cell r="A5101">
            <v>2019</v>
          </cell>
          <cell r="B5101" t="str">
            <v>Budget</v>
          </cell>
          <cell r="C5101" t="str">
            <v>May</v>
          </cell>
          <cell r="D5101" t="str">
            <v>Chairs</v>
          </cell>
          <cell r="E5101">
            <v>3903.6549999999993</v>
          </cell>
          <cell r="F5101">
            <v>5</v>
          </cell>
        </row>
        <row r="5102">
          <cell r="A5102">
            <v>2019</v>
          </cell>
          <cell r="B5102" t="str">
            <v>Actual</v>
          </cell>
          <cell r="C5102" t="str">
            <v>May</v>
          </cell>
          <cell r="D5102" t="str">
            <v>Chairs</v>
          </cell>
          <cell r="E5102">
            <v>302383.31199999998</v>
          </cell>
          <cell r="F5102">
            <v>5</v>
          </cell>
        </row>
        <row r="5103">
          <cell r="A5103">
            <v>2018</v>
          </cell>
          <cell r="B5103" t="str">
            <v>Budget</v>
          </cell>
          <cell r="C5103" t="str">
            <v>May</v>
          </cell>
          <cell r="D5103" t="str">
            <v>Chairs</v>
          </cell>
          <cell r="E5103">
            <v>163975.57399999999</v>
          </cell>
          <cell r="F5103">
            <v>5</v>
          </cell>
        </row>
        <row r="5104">
          <cell r="A5104">
            <v>2018</v>
          </cell>
          <cell r="B5104" t="str">
            <v>Actual</v>
          </cell>
          <cell r="C5104" t="str">
            <v>May</v>
          </cell>
          <cell r="D5104" t="str">
            <v>Chairs</v>
          </cell>
          <cell r="E5104">
            <v>39742.996999999996</v>
          </cell>
          <cell r="F5104">
            <v>5</v>
          </cell>
        </row>
        <row r="5105">
          <cell r="A5105">
            <v>2018</v>
          </cell>
          <cell r="B5105" t="str">
            <v>Budget</v>
          </cell>
          <cell r="C5105" t="str">
            <v>May</v>
          </cell>
          <cell r="D5105" t="str">
            <v>Chairs</v>
          </cell>
          <cell r="E5105">
            <v>24480.672999999999</v>
          </cell>
          <cell r="F5105">
            <v>5</v>
          </cell>
        </row>
        <row r="5106">
          <cell r="A5106">
            <v>2019</v>
          </cell>
          <cell r="B5106" t="str">
            <v>Actual</v>
          </cell>
          <cell r="C5106" t="str">
            <v>May</v>
          </cell>
          <cell r="D5106" t="str">
            <v>Chairs</v>
          </cell>
          <cell r="E5106">
            <v>52267.606999999996</v>
          </cell>
          <cell r="F5106">
            <v>5</v>
          </cell>
        </row>
        <row r="5107">
          <cell r="A5107">
            <v>2018</v>
          </cell>
          <cell r="B5107" t="str">
            <v>Budget</v>
          </cell>
          <cell r="C5107" t="str">
            <v>May</v>
          </cell>
          <cell r="D5107" t="str">
            <v>Chairs</v>
          </cell>
          <cell r="E5107">
            <v>30183.320999999996</v>
          </cell>
          <cell r="F5107">
            <v>5</v>
          </cell>
        </row>
        <row r="5108">
          <cell r="A5108">
            <v>2019</v>
          </cell>
          <cell r="B5108" t="str">
            <v>Actual</v>
          </cell>
          <cell r="C5108" t="str">
            <v>May</v>
          </cell>
          <cell r="D5108" t="str">
            <v>Chairs</v>
          </cell>
          <cell r="E5108">
            <v>76443.884999999995</v>
          </cell>
          <cell r="F5108">
            <v>5</v>
          </cell>
        </row>
        <row r="5109">
          <cell r="A5109">
            <v>2019</v>
          </cell>
          <cell r="B5109" t="str">
            <v>Budget</v>
          </cell>
          <cell r="C5109" t="str">
            <v>May</v>
          </cell>
          <cell r="D5109" t="str">
            <v>Chairs</v>
          </cell>
          <cell r="E5109">
            <v>133438.49400000001</v>
          </cell>
          <cell r="F5109">
            <v>5</v>
          </cell>
        </row>
        <row r="5110">
          <cell r="A5110">
            <v>2019</v>
          </cell>
          <cell r="B5110" t="str">
            <v>Actual</v>
          </cell>
          <cell r="C5110" t="str">
            <v>May</v>
          </cell>
          <cell r="D5110" t="str">
            <v>Chairs</v>
          </cell>
          <cell r="E5110">
            <v>21021.496999999999</v>
          </cell>
          <cell r="F5110">
            <v>5</v>
          </cell>
        </row>
        <row r="5111">
          <cell r="A5111">
            <v>2019</v>
          </cell>
          <cell r="B5111" t="str">
            <v>Budget</v>
          </cell>
          <cell r="C5111" t="str">
            <v>May</v>
          </cell>
          <cell r="D5111" t="str">
            <v>Chairs</v>
          </cell>
          <cell r="E5111">
            <v>14195.257999999998</v>
          </cell>
          <cell r="F5111">
            <v>5</v>
          </cell>
        </row>
        <row r="5112">
          <cell r="A5112">
            <v>2018</v>
          </cell>
          <cell r="B5112" t="str">
            <v>Actual</v>
          </cell>
          <cell r="C5112" t="str">
            <v>May</v>
          </cell>
          <cell r="D5112" t="str">
            <v>Chairs</v>
          </cell>
          <cell r="E5112">
            <v>15675.779</v>
          </cell>
          <cell r="F5112">
            <v>5</v>
          </cell>
        </row>
        <row r="5113">
          <cell r="A5113">
            <v>2018</v>
          </cell>
          <cell r="B5113" t="str">
            <v>Budget</v>
          </cell>
          <cell r="C5113" t="str">
            <v>May</v>
          </cell>
          <cell r="D5113" t="str">
            <v>Chairs</v>
          </cell>
          <cell r="E5113">
            <v>20168.434999999998</v>
          </cell>
          <cell r="F5113">
            <v>5</v>
          </cell>
        </row>
        <row r="5114">
          <cell r="A5114">
            <v>2019</v>
          </cell>
          <cell r="B5114" t="str">
            <v>Actual</v>
          </cell>
          <cell r="C5114" t="str">
            <v>May</v>
          </cell>
          <cell r="D5114" t="str">
            <v>Chairs</v>
          </cell>
          <cell r="E5114">
            <v>1366.729</v>
          </cell>
          <cell r="F5114">
            <v>5</v>
          </cell>
        </row>
        <row r="5115">
          <cell r="A5115">
            <v>2019</v>
          </cell>
          <cell r="B5115" t="str">
            <v>Budget</v>
          </cell>
          <cell r="C5115" t="str">
            <v>May</v>
          </cell>
          <cell r="D5115" t="str">
            <v>Chairs</v>
          </cell>
          <cell r="E5115">
            <v>1735.5729999999999</v>
          </cell>
          <cell r="F5115">
            <v>5</v>
          </cell>
        </row>
        <row r="5116">
          <cell r="A5116">
            <v>2019</v>
          </cell>
          <cell r="B5116" t="str">
            <v>Actual</v>
          </cell>
          <cell r="C5116" t="str">
            <v>May</v>
          </cell>
          <cell r="D5116" t="str">
            <v>Chairs</v>
          </cell>
          <cell r="E5116">
            <v>118613.432</v>
          </cell>
          <cell r="F5116">
            <v>5</v>
          </cell>
        </row>
        <row r="5117">
          <cell r="A5117">
            <v>2018</v>
          </cell>
          <cell r="B5117" t="str">
            <v>Budget</v>
          </cell>
          <cell r="C5117" t="str">
            <v>May</v>
          </cell>
          <cell r="D5117" t="str">
            <v>Chairs</v>
          </cell>
          <cell r="E5117">
            <v>33726.412999999993</v>
          </cell>
          <cell r="F5117">
            <v>5</v>
          </cell>
        </row>
        <row r="5118">
          <cell r="A5118">
            <v>2019</v>
          </cell>
          <cell r="B5118" t="str">
            <v>Actual</v>
          </cell>
          <cell r="C5118" t="str">
            <v>May</v>
          </cell>
          <cell r="D5118" t="str">
            <v>Chairs</v>
          </cell>
          <cell r="E5118">
            <v>267872.03100000002</v>
          </cell>
          <cell r="F5118">
            <v>5</v>
          </cell>
        </row>
        <row r="5119">
          <cell r="A5119">
            <v>2018</v>
          </cell>
          <cell r="B5119" t="str">
            <v>Budget</v>
          </cell>
          <cell r="C5119" t="str">
            <v>May</v>
          </cell>
          <cell r="D5119" t="str">
            <v>Tables</v>
          </cell>
          <cell r="E5119">
            <v>133741.804</v>
          </cell>
          <cell r="F5119">
            <v>5</v>
          </cell>
        </row>
        <row r="5120">
          <cell r="A5120">
            <v>2018</v>
          </cell>
          <cell r="B5120" t="str">
            <v>Actual</v>
          </cell>
          <cell r="C5120" t="str">
            <v>May</v>
          </cell>
          <cell r="D5120" t="str">
            <v>Kitchen</v>
          </cell>
          <cell r="E5120">
            <v>41506.653999999995</v>
          </cell>
          <cell r="F5120">
            <v>5</v>
          </cell>
        </row>
        <row r="5121">
          <cell r="A5121">
            <v>2018</v>
          </cell>
          <cell r="B5121" t="str">
            <v>Budget</v>
          </cell>
          <cell r="C5121" t="str">
            <v>May</v>
          </cell>
          <cell r="D5121" t="str">
            <v>Chairs</v>
          </cell>
          <cell r="E5121">
            <v>97609.553999999989</v>
          </cell>
          <cell r="F5121">
            <v>5</v>
          </cell>
        </row>
        <row r="5122">
          <cell r="A5122">
            <v>2019</v>
          </cell>
          <cell r="B5122" t="str">
            <v>Actual</v>
          </cell>
          <cell r="C5122" t="str">
            <v>May</v>
          </cell>
          <cell r="D5122" t="str">
            <v>Chairs</v>
          </cell>
          <cell r="E5122">
            <v>64137.724000000002</v>
          </cell>
          <cell r="F5122">
            <v>5</v>
          </cell>
        </row>
        <row r="5123">
          <cell r="A5123">
            <v>2019</v>
          </cell>
          <cell r="B5123" t="str">
            <v>Budget</v>
          </cell>
          <cell r="C5123" t="str">
            <v>May</v>
          </cell>
          <cell r="D5123" t="str">
            <v>Chairs</v>
          </cell>
          <cell r="E5123">
            <v>70239.861999999994</v>
          </cell>
          <cell r="F5123">
            <v>5</v>
          </cell>
        </row>
        <row r="5124">
          <cell r="A5124">
            <v>2019</v>
          </cell>
          <cell r="B5124" t="str">
            <v>Actual</v>
          </cell>
          <cell r="C5124" t="str">
            <v>May</v>
          </cell>
          <cell r="D5124" t="str">
            <v>Chairs</v>
          </cell>
          <cell r="E5124">
            <v>1424355.156</v>
          </cell>
          <cell r="F5124">
            <v>5</v>
          </cell>
        </row>
        <row r="5125">
          <cell r="A5125">
            <v>2018</v>
          </cell>
          <cell r="B5125" t="str">
            <v>Budget</v>
          </cell>
          <cell r="C5125" t="str">
            <v>May</v>
          </cell>
          <cell r="D5125" t="str">
            <v>Chairs</v>
          </cell>
          <cell r="E5125">
            <v>129473.708</v>
          </cell>
          <cell r="F5125">
            <v>5</v>
          </cell>
        </row>
        <row r="5126">
          <cell r="A5126">
            <v>2018</v>
          </cell>
          <cell r="B5126" t="str">
            <v>Actual</v>
          </cell>
          <cell r="C5126" t="str">
            <v>May</v>
          </cell>
          <cell r="D5126" t="str">
            <v>Tables</v>
          </cell>
          <cell r="E5126">
            <v>21732.703999999998</v>
          </cell>
          <cell r="F5126">
            <v>5</v>
          </cell>
        </row>
        <row r="5127">
          <cell r="A5127">
            <v>2018</v>
          </cell>
          <cell r="B5127" t="str">
            <v>Budget</v>
          </cell>
          <cell r="C5127" t="str">
            <v>May</v>
          </cell>
          <cell r="D5127" t="str">
            <v>Kitchen</v>
          </cell>
          <cell r="E5127">
            <v>315209.14600000001</v>
          </cell>
          <cell r="F5127">
            <v>5</v>
          </cell>
        </row>
        <row r="5128">
          <cell r="A5128">
            <v>2018</v>
          </cell>
          <cell r="B5128" t="str">
            <v>Actual</v>
          </cell>
          <cell r="C5128" t="str">
            <v>May</v>
          </cell>
          <cell r="D5128" t="str">
            <v>Chairs</v>
          </cell>
          <cell r="E5128">
            <v>102272.42199999999</v>
          </cell>
          <cell r="F5128">
            <v>5</v>
          </cell>
        </row>
        <row r="5129">
          <cell r="A5129">
            <v>2019</v>
          </cell>
          <cell r="B5129" t="str">
            <v>Budget</v>
          </cell>
          <cell r="C5129" t="str">
            <v>May</v>
          </cell>
          <cell r="D5129" t="str">
            <v>Chairs</v>
          </cell>
          <cell r="E5129">
            <v>49926.995999999999</v>
          </cell>
          <cell r="F5129">
            <v>5</v>
          </cell>
        </row>
        <row r="5130">
          <cell r="A5130">
            <v>2019</v>
          </cell>
          <cell r="B5130" t="str">
            <v>Actual</v>
          </cell>
          <cell r="C5130" t="str">
            <v>May</v>
          </cell>
          <cell r="D5130" t="str">
            <v>Chairs</v>
          </cell>
          <cell r="E5130">
            <v>356898.73800000001</v>
          </cell>
          <cell r="F5130">
            <v>5</v>
          </cell>
        </row>
        <row r="5131">
          <cell r="A5131">
            <v>2018</v>
          </cell>
          <cell r="B5131" t="str">
            <v>Budget</v>
          </cell>
          <cell r="C5131" t="str">
            <v>May</v>
          </cell>
          <cell r="D5131" t="str">
            <v>Tables</v>
          </cell>
          <cell r="E5131">
            <v>120190.595</v>
          </cell>
          <cell r="F5131">
            <v>5</v>
          </cell>
        </row>
        <row r="5132">
          <cell r="A5132">
            <v>2018</v>
          </cell>
          <cell r="B5132" t="str">
            <v>Actual</v>
          </cell>
          <cell r="C5132" t="str">
            <v>May</v>
          </cell>
          <cell r="D5132" t="str">
            <v>Kitchen</v>
          </cell>
          <cell r="E5132">
            <v>16841.047999999999</v>
          </cell>
          <cell r="F5132">
            <v>5</v>
          </cell>
        </row>
        <row r="5133">
          <cell r="A5133">
            <v>2018</v>
          </cell>
          <cell r="B5133" t="str">
            <v>Budget</v>
          </cell>
          <cell r="C5133" t="str">
            <v>May</v>
          </cell>
          <cell r="D5133" t="str">
            <v>Chairs</v>
          </cell>
          <cell r="E5133">
            <v>19662.614999999998</v>
          </cell>
          <cell r="F5133">
            <v>5</v>
          </cell>
        </row>
        <row r="5134">
          <cell r="A5134">
            <v>2018</v>
          </cell>
          <cell r="B5134" t="str">
            <v>Actual</v>
          </cell>
          <cell r="C5134" t="str">
            <v>May</v>
          </cell>
          <cell r="D5134" t="str">
            <v>Chairs</v>
          </cell>
          <cell r="E5134">
            <v>396443.90100000001</v>
          </cell>
          <cell r="F5134">
            <v>5</v>
          </cell>
        </row>
        <row r="5135">
          <cell r="A5135">
            <v>2019</v>
          </cell>
          <cell r="B5135" t="str">
            <v>Budget</v>
          </cell>
          <cell r="C5135" t="str">
            <v>May</v>
          </cell>
          <cell r="D5135" t="str">
            <v>Tables</v>
          </cell>
          <cell r="E5135">
            <v>2018090.4449999998</v>
          </cell>
          <cell r="F5135">
            <v>5</v>
          </cell>
        </row>
        <row r="5136">
          <cell r="A5136">
            <v>2018</v>
          </cell>
          <cell r="B5136" t="str">
            <v>Actual</v>
          </cell>
          <cell r="C5136" t="str">
            <v>May</v>
          </cell>
          <cell r="D5136" t="str">
            <v>Kitchen</v>
          </cell>
          <cell r="E5136">
            <v>-606796.72199999995</v>
          </cell>
          <cell r="F5136">
            <v>5</v>
          </cell>
        </row>
        <row r="5137">
          <cell r="A5137">
            <v>2018</v>
          </cell>
          <cell r="B5137" t="str">
            <v>Budget</v>
          </cell>
          <cell r="C5137" t="str">
            <v>May</v>
          </cell>
          <cell r="D5137" t="str">
            <v>Chairs</v>
          </cell>
          <cell r="E5137">
            <v>1287276.0109999999</v>
          </cell>
          <cell r="F5137">
            <v>5</v>
          </cell>
        </row>
        <row r="5138">
          <cell r="A5138">
            <v>2019</v>
          </cell>
          <cell r="B5138" t="str">
            <v>Actual</v>
          </cell>
          <cell r="C5138" t="str">
            <v>May</v>
          </cell>
          <cell r="D5138" t="str">
            <v>Chairs</v>
          </cell>
          <cell r="E5138">
            <v>1279916.0079999999</v>
          </cell>
          <cell r="F5138">
            <v>5</v>
          </cell>
        </row>
        <row r="5139">
          <cell r="A5139">
            <v>2019</v>
          </cell>
          <cell r="B5139" t="str">
            <v>Budget</v>
          </cell>
          <cell r="C5139" t="str">
            <v>May</v>
          </cell>
          <cell r="D5139" t="str">
            <v>Chairs</v>
          </cell>
          <cell r="E5139">
            <v>4450102.727</v>
          </cell>
          <cell r="F5139">
            <v>5</v>
          </cell>
        </row>
        <row r="5140">
          <cell r="A5140">
            <v>2018</v>
          </cell>
          <cell r="B5140" t="str">
            <v>Actual</v>
          </cell>
          <cell r="C5140" t="str">
            <v>May</v>
          </cell>
          <cell r="D5140" t="str">
            <v>Tables</v>
          </cell>
          <cell r="E5140">
            <v>193565.86199999996</v>
          </cell>
          <cell r="F5140">
            <v>5</v>
          </cell>
        </row>
        <row r="5141">
          <cell r="A5141">
            <v>2019</v>
          </cell>
          <cell r="B5141" t="str">
            <v>Budget</v>
          </cell>
          <cell r="C5141" t="str">
            <v>May</v>
          </cell>
          <cell r="D5141" t="str">
            <v>Kitchen</v>
          </cell>
          <cell r="E5141">
            <v>10429.138999999999</v>
          </cell>
          <cell r="F5141">
            <v>5</v>
          </cell>
        </row>
        <row r="5142">
          <cell r="A5142">
            <v>2018</v>
          </cell>
          <cell r="B5142" t="str">
            <v>Actual</v>
          </cell>
          <cell r="C5142" t="str">
            <v>May</v>
          </cell>
          <cell r="D5142" t="str">
            <v>Accessories</v>
          </cell>
          <cell r="E5142">
            <v>1005065.5789999999</v>
          </cell>
          <cell r="F5142">
            <v>5</v>
          </cell>
        </row>
        <row r="5143">
          <cell r="A5143">
            <v>2018</v>
          </cell>
          <cell r="B5143" t="str">
            <v>Budget</v>
          </cell>
          <cell r="C5143" t="str">
            <v>May</v>
          </cell>
          <cell r="D5143" t="str">
            <v>Chairs</v>
          </cell>
          <cell r="E5143">
            <v>352268.40600000002</v>
          </cell>
          <cell r="F5143">
            <v>5</v>
          </cell>
        </row>
        <row r="5144">
          <cell r="A5144">
            <v>2018</v>
          </cell>
          <cell r="B5144" t="str">
            <v>Actual</v>
          </cell>
          <cell r="C5144" t="str">
            <v>May</v>
          </cell>
          <cell r="D5144" t="str">
            <v>Tables</v>
          </cell>
          <cell r="E5144">
            <v>1677523.3019999999</v>
          </cell>
          <cell r="F5144">
            <v>5</v>
          </cell>
        </row>
        <row r="5145">
          <cell r="A5145">
            <v>2019</v>
          </cell>
          <cell r="B5145" t="str">
            <v>Budget</v>
          </cell>
          <cell r="C5145" t="str">
            <v>May</v>
          </cell>
          <cell r="D5145" t="str">
            <v>Kitchen</v>
          </cell>
          <cell r="E5145">
            <v>167249.894</v>
          </cell>
          <cell r="F5145">
            <v>5</v>
          </cell>
        </row>
        <row r="5146">
          <cell r="A5146">
            <v>2018</v>
          </cell>
          <cell r="B5146" t="str">
            <v>Actual</v>
          </cell>
          <cell r="C5146" t="str">
            <v>May</v>
          </cell>
          <cell r="D5146" t="str">
            <v>Accessories</v>
          </cell>
          <cell r="E5146">
            <v>1880279.8559999999</v>
          </cell>
          <cell r="F5146">
            <v>5</v>
          </cell>
        </row>
        <row r="5147">
          <cell r="A5147">
            <v>2018</v>
          </cell>
          <cell r="B5147" t="str">
            <v>Budget</v>
          </cell>
          <cell r="C5147" t="str">
            <v>May</v>
          </cell>
          <cell r="D5147" t="str">
            <v>Chairs</v>
          </cell>
          <cell r="E5147">
            <v>1172015.1169999999</v>
          </cell>
          <cell r="F5147">
            <v>5</v>
          </cell>
        </row>
        <row r="5148">
          <cell r="A5148">
            <v>2019</v>
          </cell>
          <cell r="B5148" t="str">
            <v>Actual</v>
          </cell>
          <cell r="C5148" t="str">
            <v>May</v>
          </cell>
          <cell r="D5148" t="str">
            <v>Tables</v>
          </cell>
          <cell r="E5148">
            <v>136165.84099999999</v>
          </cell>
          <cell r="F5148">
            <v>5</v>
          </cell>
        </row>
        <row r="5149">
          <cell r="A5149">
            <v>2018</v>
          </cell>
          <cell r="B5149" t="str">
            <v>Budget</v>
          </cell>
          <cell r="C5149" t="str">
            <v>May</v>
          </cell>
          <cell r="D5149" t="str">
            <v>Kitchen</v>
          </cell>
          <cell r="E5149">
            <v>289623.18699999998</v>
          </cell>
          <cell r="F5149">
            <v>5</v>
          </cell>
        </row>
        <row r="5150">
          <cell r="A5150">
            <v>2018</v>
          </cell>
          <cell r="B5150" t="str">
            <v>Actual</v>
          </cell>
          <cell r="C5150" t="str">
            <v>May</v>
          </cell>
          <cell r="D5150" t="str">
            <v>Accessories</v>
          </cell>
          <cell r="E5150">
            <v>2982094.6259999997</v>
          </cell>
          <cell r="F5150">
            <v>5</v>
          </cell>
        </row>
        <row r="5151">
          <cell r="A5151">
            <v>2018</v>
          </cell>
          <cell r="B5151" t="str">
            <v>Budget</v>
          </cell>
          <cell r="C5151" t="str">
            <v>May</v>
          </cell>
          <cell r="D5151" t="str">
            <v>Chairs</v>
          </cell>
          <cell r="E5151">
            <v>257863.35399999996</v>
          </cell>
          <cell r="F5151">
            <v>5</v>
          </cell>
        </row>
        <row r="5152">
          <cell r="A5152">
            <v>2018</v>
          </cell>
          <cell r="B5152" t="str">
            <v>Actual</v>
          </cell>
          <cell r="C5152" t="str">
            <v>May</v>
          </cell>
          <cell r="D5152" t="str">
            <v>Tables</v>
          </cell>
          <cell r="E5152">
            <v>85954.560999999987</v>
          </cell>
          <cell r="F5152">
            <v>5</v>
          </cell>
        </row>
        <row r="5153">
          <cell r="A5153">
            <v>2019</v>
          </cell>
          <cell r="B5153" t="str">
            <v>Budget</v>
          </cell>
          <cell r="C5153" t="str">
            <v>May</v>
          </cell>
          <cell r="D5153" t="str">
            <v>Kitchen</v>
          </cell>
          <cell r="E5153">
            <v>192925.41099999996</v>
          </cell>
          <cell r="F5153">
            <v>5</v>
          </cell>
        </row>
        <row r="5154">
          <cell r="A5154">
            <v>2019</v>
          </cell>
          <cell r="B5154" t="str">
            <v>Actual</v>
          </cell>
          <cell r="C5154" t="str">
            <v>May</v>
          </cell>
          <cell r="D5154" t="str">
            <v>Accessories</v>
          </cell>
          <cell r="E5154">
            <v>45372.515999999996</v>
          </cell>
          <cell r="F5154">
            <v>5</v>
          </cell>
        </row>
        <row r="5155">
          <cell r="A5155">
            <v>2018</v>
          </cell>
          <cell r="B5155" t="str">
            <v>Budget</v>
          </cell>
          <cell r="C5155" t="str">
            <v>May</v>
          </cell>
          <cell r="D5155" t="str">
            <v>Chairs</v>
          </cell>
          <cell r="E5155">
            <v>19502.181999999997</v>
          </cell>
          <cell r="F5155">
            <v>5</v>
          </cell>
        </row>
        <row r="5156">
          <cell r="A5156">
            <v>2019</v>
          </cell>
          <cell r="B5156" t="str">
            <v>Actual</v>
          </cell>
          <cell r="C5156" t="str">
            <v>May</v>
          </cell>
          <cell r="D5156" t="str">
            <v>Chairs</v>
          </cell>
          <cell r="E5156">
            <v>116074.93099999998</v>
          </cell>
          <cell r="F5156">
            <v>5</v>
          </cell>
        </row>
        <row r="5157">
          <cell r="A5157">
            <v>2019</v>
          </cell>
          <cell r="B5157" t="str">
            <v>Budget</v>
          </cell>
          <cell r="C5157" t="str">
            <v>May</v>
          </cell>
          <cell r="D5157" t="str">
            <v>Tables</v>
          </cell>
          <cell r="E5157">
            <v>19310.284</v>
          </cell>
          <cell r="F5157">
            <v>5</v>
          </cell>
        </row>
        <row r="5158">
          <cell r="A5158">
            <v>2018</v>
          </cell>
          <cell r="B5158" t="str">
            <v>Actual</v>
          </cell>
          <cell r="C5158" t="str">
            <v>May</v>
          </cell>
          <cell r="D5158" t="str">
            <v>Kitchen</v>
          </cell>
          <cell r="E5158">
            <v>5570.6839999999993</v>
          </cell>
          <cell r="F5158">
            <v>5</v>
          </cell>
        </row>
        <row r="5159">
          <cell r="A5159">
            <v>2019</v>
          </cell>
          <cell r="B5159" t="str">
            <v>Budget</v>
          </cell>
          <cell r="C5159" t="str">
            <v>May</v>
          </cell>
          <cell r="D5159" t="str">
            <v>Chairs</v>
          </cell>
          <cell r="E5159">
            <v>16781.771999999997</v>
          </cell>
          <cell r="F5159">
            <v>5</v>
          </cell>
        </row>
        <row r="5160">
          <cell r="A5160">
            <v>2019</v>
          </cell>
          <cell r="B5160" t="str">
            <v>Actual</v>
          </cell>
          <cell r="C5160" t="str">
            <v>May</v>
          </cell>
          <cell r="D5160" t="str">
            <v>Tables</v>
          </cell>
          <cell r="E5160">
            <v>41977.082000000002</v>
          </cell>
          <cell r="F5160">
            <v>5</v>
          </cell>
        </row>
        <row r="5161">
          <cell r="A5161">
            <v>2018</v>
          </cell>
          <cell r="B5161" t="str">
            <v>Budget</v>
          </cell>
          <cell r="C5161" t="str">
            <v>May</v>
          </cell>
          <cell r="D5161" t="str">
            <v>Kitchen</v>
          </cell>
          <cell r="E5161">
            <v>151390.29499999998</v>
          </cell>
          <cell r="F5161">
            <v>5</v>
          </cell>
        </row>
        <row r="5162">
          <cell r="A5162">
            <v>2018</v>
          </cell>
          <cell r="B5162" t="str">
            <v>Actual</v>
          </cell>
          <cell r="C5162" t="str">
            <v>May</v>
          </cell>
          <cell r="D5162" t="str">
            <v>Chairs</v>
          </cell>
          <cell r="E5162">
            <v>82749.87</v>
          </cell>
          <cell r="F5162">
            <v>5</v>
          </cell>
        </row>
        <row r="5163">
          <cell r="A5163">
            <v>2019</v>
          </cell>
          <cell r="B5163" t="str">
            <v>Budget</v>
          </cell>
          <cell r="C5163" t="str">
            <v>May</v>
          </cell>
          <cell r="D5163" t="str">
            <v>Tables</v>
          </cell>
          <cell r="E5163">
            <v>36720.543999999994</v>
          </cell>
          <cell r="F5163">
            <v>5</v>
          </cell>
        </row>
        <row r="5164">
          <cell r="A5164">
            <v>2018</v>
          </cell>
          <cell r="B5164" t="str">
            <v>Actual</v>
          </cell>
          <cell r="C5164" t="str">
            <v>May</v>
          </cell>
          <cell r="D5164" t="str">
            <v>Kitchen</v>
          </cell>
          <cell r="E5164">
            <v>86134.607999999993</v>
          </cell>
          <cell r="F5164">
            <v>5</v>
          </cell>
        </row>
        <row r="5165">
          <cell r="A5165">
            <v>2018</v>
          </cell>
          <cell r="B5165" t="str">
            <v>Budget</v>
          </cell>
          <cell r="C5165" t="str">
            <v>May</v>
          </cell>
          <cell r="D5165" t="str">
            <v>Chairs</v>
          </cell>
          <cell r="E5165">
            <v>69842.114999999991</v>
          </cell>
          <cell r="F5165">
            <v>5</v>
          </cell>
        </row>
        <row r="5166">
          <cell r="A5166">
            <v>2018</v>
          </cell>
          <cell r="B5166" t="str">
            <v>Actual</v>
          </cell>
          <cell r="C5166" t="str">
            <v>May</v>
          </cell>
          <cell r="D5166" t="str">
            <v>Chairs</v>
          </cell>
          <cell r="E5166">
            <v>66667.439999999988</v>
          </cell>
          <cell r="F5166">
            <v>5</v>
          </cell>
        </row>
        <row r="5167">
          <cell r="A5167">
            <v>2019</v>
          </cell>
          <cell r="B5167" t="str">
            <v>Budget</v>
          </cell>
          <cell r="C5167" t="str">
            <v>May</v>
          </cell>
          <cell r="D5167" t="str">
            <v>Chairs</v>
          </cell>
          <cell r="E5167">
            <v>307378.33699999994</v>
          </cell>
          <cell r="F5167">
            <v>5</v>
          </cell>
        </row>
        <row r="5168">
          <cell r="A5168">
            <v>2018</v>
          </cell>
          <cell r="B5168" t="str">
            <v>Actual</v>
          </cell>
          <cell r="C5168" t="str">
            <v>May</v>
          </cell>
          <cell r="D5168" t="str">
            <v>Chairs</v>
          </cell>
          <cell r="E5168">
            <v>49670.11</v>
          </cell>
          <cell r="F5168">
            <v>5</v>
          </cell>
        </row>
        <row r="5169">
          <cell r="A5169">
            <v>2018</v>
          </cell>
          <cell r="B5169" t="str">
            <v>Budget</v>
          </cell>
          <cell r="C5169" t="str">
            <v>May</v>
          </cell>
          <cell r="D5169" t="str">
            <v>Chairs</v>
          </cell>
          <cell r="E5169">
            <v>39097.330999999998</v>
          </cell>
          <cell r="F5169">
            <v>5</v>
          </cell>
        </row>
        <row r="5170">
          <cell r="A5170">
            <v>2019</v>
          </cell>
          <cell r="B5170" t="str">
            <v>Actual</v>
          </cell>
          <cell r="C5170" t="str">
            <v>May</v>
          </cell>
          <cell r="D5170" t="str">
            <v>Chairs</v>
          </cell>
          <cell r="E5170">
            <v>66004.721999999994</v>
          </cell>
          <cell r="F5170">
            <v>5</v>
          </cell>
        </row>
        <row r="5171">
          <cell r="A5171">
            <v>2018</v>
          </cell>
          <cell r="B5171" t="str">
            <v>Budget</v>
          </cell>
          <cell r="C5171" t="str">
            <v>May</v>
          </cell>
          <cell r="D5171" t="str">
            <v>Chairs</v>
          </cell>
          <cell r="E5171">
            <v>427320.80300000001</v>
          </cell>
          <cell r="F5171">
            <v>5</v>
          </cell>
        </row>
        <row r="5172">
          <cell r="A5172">
            <v>2018</v>
          </cell>
          <cell r="B5172" t="str">
            <v>Actual</v>
          </cell>
          <cell r="C5172" t="str">
            <v>May</v>
          </cell>
          <cell r="D5172" t="str">
            <v>Chairs</v>
          </cell>
          <cell r="E5172">
            <v>7978.0889999999999</v>
          </cell>
          <cell r="F5172">
            <v>5</v>
          </cell>
        </row>
        <row r="5173">
          <cell r="A5173">
            <v>2018</v>
          </cell>
          <cell r="B5173" t="str">
            <v>Budget</v>
          </cell>
          <cell r="C5173" t="str">
            <v>May</v>
          </cell>
          <cell r="D5173" t="str">
            <v>Chairs</v>
          </cell>
          <cell r="E5173">
            <v>193638.51499999998</v>
          </cell>
          <cell r="F5173">
            <v>5</v>
          </cell>
        </row>
        <row r="5174">
          <cell r="A5174">
            <v>2018</v>
          </cell>
          <cell r="B5174" t="str">
            <v>Actual</v>
          </cell>
          <cell r="C5174" t="str">
            <v>May</v>
          </cell>
          <cell r="D5174" t="str">
            <v>Chairs</v>
          </cell>
          <cell r="E5174">
            <v>168494.242</v>
          </cell>
          <cell r="F5174">
            <v>5</v>
          </cell>
        </row>
        <row r="5175">
          <cell r="A5175">
            <v>2019</v>
          </cell>
          <cell r="B5175" t="str">
            <v>Budget</v>
          </cell>
          <cell r="C5175" t="str">
            <v>May</v>
          </cell>
          <cell r="D5175" t="str">
            <v>Chairs</v>
          </cell>
          <cell r="E5175">
            <v>101308.984</v>
          </cell>
          <cell r="F5175">
            <v>5</v>
          </cell>
        </row>
        <row r="5176">
          <cell r="A5176">
            <v>2019</v>
          </cell>
          <cell r="B5176" t="str">
            <v>Actual</v>
          </cell>
          <cell r="C5176" t="str">
            <v>May</v>
          </cell>
          <cell r="D5176" t="str">
            <v>Chairs</v>
          </cell>
          <cell r="E5176">
            <v>745500.9659999999</v>
          </cell>
          <cell r="F5176">
            <v>5</v>
          </cell>
        </row>
        <row r="5177">
          <cell r="A5177">
            <v>2019</v>
          </cell>
          <cell r="B5177" t="str">
            <v>Budget</v>
          </cell>
          <cell r="C5177" t="str">
            <v>May</v>
          </cell>
          <cell r="D5177" t="str">
            <v>Chairs</v>
          </cell>
          <cell r="E5177">
            <v>878162.28500000003</v>
          </cell>
          <cell r="F5177">
            <v>5</v>
          </cell>
        </row>
        <row r="5178">
          <cell r="A5178">
            <v>2019</v>
          </cell>
          <cell r="B5178" t="str">
            <v>Actual</v>
          </cell>
          <cell r="C5178" t="str">
            <v>May</v>
          </cell>
          <cell r="D5178" t="str">
            <v>Chairs</v>
          </cell>
          <cell r="E5178">
            <v>2519882.8689999999</v>
          </cell>
          <cell r="F5178">
            <v>5</v>
          </cell>
        </row>
        <row r="5179">
          <cell r="A5179">
            <v>2019</v>
          </cell>
          <cell r="B5179" t="str">
            <v>Budget</v>
          </cell>
          <cell r="C5179" t="str">
            <v>May</v>
          </cell>
          <cell r="D5179" t="str">
            <v>Chairs</v>
          </cell>
          <cell r="E5179">
            <v>728857.99699999997</v>
          </cell>
          <cell r="F5179">
            <v>5</v>
          </cell>
        </row>
        <row r="5180">
          <cell r="A5180">
            <v>2018</v>
          </cell>
          <cell r="B5180" t="str">
            <v>Actual</v>
          </cell>
          <cell r="C5180" t="str">
            <v>May</v>
          </cell>
          <cell r="D5180" t="str">
            <v>Chairs</v>
          </cell>
          <cell r="E5180">
            <v>146181.29399999999</v>
          </cell>
          <cell r="F5180">
            <v>5</v>
          </cell>
        </row>
        <row r="5181">
          <cell r="A5181">
            <v>2019</v>
          </cell>
          <cell r="B5181" t="str">
            <v>Budget</v>
          </cell>
          <cell r="C5181" t="str">
            <v>May</v>
          </cell>
          <cell r="D5181" t="str">
            <v>Chairs</v>
          </cell>
          <cell r="E5181">
            <v>95672.968999999997</v>
          </cell>
          <cell r="F5181">
            <v>5</v>
          </cell>
        </row>
        <row r="5182">
          <cell r="A5182">
            <v>2018</v>
          </cell>
          <cell r="B5182" t="str">
            <v>Actual</v>
          </cell>
          <cell r="C5182" t="str">
            <v>May</v>
          </cell>
          <cell r="D5182" t="str">
            <v>Chairs</v>
          </cell>
          <cell r="E5182">
            <v>106736.48299999999</v>
          </cell>
          <cell r="F5182">
            <v>5</v>
          </cell>
        </row>
        <row r="5183">
          <cell r="A5183">
            <v>2019</v>
          </cell>
          <cell r="B5183" t="str">
            <v>Budget</v>
          </cell>
          <cell r="C5183" t="str">
            <v>May</v>
          </cell>
          <cell r="D5183" t="str">
            <v>Chairs</v>
          </cell>
          <cell r="E5183">
            <v>139049.85499999998</v>
          </cell>
          <cell r="F5183">
            <v>5</v>
          </cell>
        </row>
        <row r="5184">
          <cell r="A5184">
            <v>2019</v>
          </cell>
          <cell r="B5184" t="str">
            <v>Actual</v>
          </cell>
          <cell r="C5184" t="str">
            <v>May</v>
          </cell>
          <cell r="D5184" t="str">
            <v>Chairs</v>
          </cell>
          <cell r="E5184">
            <v>208811.49799999999</v>
          </cell>
          <cell r="F5184">
            <v>5</v>
          </cell>
        </row>
        <row r="5185">
          <cell r="A5185">
            <v>2019</v>
          </cell>
          <cell r="B5185" t="str">
            <v>Budget</v>
          </cell>
          <cell r="C5185" t="str">
            <v>May</v>
          </cell>
          <cell r="D5185" t="str">
            <v>Chairs</v>
          </cell>
          <cell r="E5185">
            <v>725216.66700000002</v>
          </cell>
          <cell r="F5185">
            <v>5</v>
          </cell>
        </row>
        <row r="5186">
          <cell r="A5186">
            <v>2019</v>
          </cell>
          <cell r="B5186" t="str">
            <v>Actual</v>
          </cell>
          <cell r="C5186" t="str">
            <v>May</v>
          </cell>
          <cell r="D5186" t="str">
            <v>Chairs</v>
          </cell>
          <cell r="E5186">
            <v>11260.262999999999</v>
          </cell>
          <cell r="F5186">
            <v>5</v>
          </cell>
        </row>
        <row r="5187">
          <cell r="A5187">
            <v>2019</v>
          </cell>
          <cell r="B5187" t="str">
            <v>Budget</v>
          </cell>
          <cell r="C5187" t="str">
            <v>May</v>
          </cell>
          <cell r="D5187" t="str">
            <v>Chairs</v>
          </cell>
          <cell r="E5187">
            <v>252062.98599999998</v>
          </cell>
          <cell r="F5187">
            <v>5</v>
          </cell>
        </row>
        <row r="5188">
          <cell r="A5188">
            <v>2018</v>
          </cell>
          <cell r="B5188" t="str">
            <v>Actual</v>
          </cell>
          <cell r="C5188" t="str">
            <v>May</v>
          </cell>
          <cell r="D5188" t="str">
            <v>Chairs</v>
          </cell>
          <cell r="E5188">
            <v>390054.16099999996</v>
          </cell>
          <cell r="F5188">
            <v>5</v>
          </cell>
        </row>
        <row r="5189">
          <cell r="A5189">
            <v>2019</v>
          </cell>
          <cell r="B5189" t="str">
            <v>Budget</v>
          </cell>
          <cell r="C5189" t="str">
            <v>May</v>
          </cell>
          <cell r="D5189" t="str">
            <v>Chairs</v>
          </cell>
          <cell r="E5189">
            <v>816921.62999999989</v>
          </cell>
          <cell r="F5189">
            <v>5</v>
          </cell>
        </row>
        <row r="5190">
          <cell r="A5190">
            <v>2019</v>
          </cell>
          <cell r="B5190" t="str">
            <v>Actual</v>
          </cell>
          <cell r="C5190" t="str">
            <v>May</v>
          </cell>
          <cell r="D5190" t="str">
            <v>Chairs</v>
          </cell>
          <cell r="E5190">
            <v>1110349.0439999998</v>
          </cell>
          <cell r="F5190">
            <v>5</v>
          </cell>
        </row>
        <row r="5191">
          <cell r="A5191">
            <v>2018</v>
          </cell>
          <cell r="B5191" t="str">
            <v>Budget</v>
          </cell>
          <cell r="C5191" t="str">
            <v>May</v>
          </cell>
          <cell r="D5191" t="str">
            <v>Tables</v>
          </cell>
          <cell r="E5191">
            <v>2811017.1809999999</v>
          </cell>
          <cell r="F5191">
            <v>5</v>
          </cell>
        </row>
        <row r="5192">
          <cell r="A5192">
            <v>2019</v>
          </cell>
          <cell r="B5192" t="str">
            <v>Actual</v>
          </cell>
          <cell r="C5192" t="str">
            <v>May</v>
          </cell>
          <cell r="D5192" t="str">
            <v>Kitchen</v>
          </cell>
          <cell r="E5192">
            <v>4990873.909</v>
          </cell>
          <cell r="F5192">
            <v>5</v>
          </cell>
        </row>
        <row r="5193">
          <cell r="A5193">
            <v>2019</v>
          </cell>
          <cell r="B5193" t="str">
            <v>Budget</v>
          </cell>
          <cell r="C5193" t="str">
            <v>May</v>
          </cell>
          <cell r="D5193" t="str">
            <v>Chairs</v>
          </cell>
          <cell r="E5193">
            <v>3715167.7499999995</v>
          </cell>
          <cell r="F5193">
            <v>5</v>
          </cell>
        </row>
        <row r="5194">
          <cell r="A5194">
            <v>2018</v>
          </cell>
          <cell r="B5194" t="str">
            <v>Actual</v>
          </cell>
          <cell r="C5194" t="str">
            <v>May</v>
          </cell>
          <cell r="D5194" t="str">
            <v>Chairs</v>
          </cell>
          <cell r="E5194">
            <v>121296.973</v>
          </cell>
          <cell r="F5194">
            <v>5</v>
          </cell>
        </row>
        <row r="5195">
          <cell r="A5195">
            <v>2018</v>
          </cell>
          <cell r="B5195" t="str">
            <v>Budget</v>
          </cell>
          <cell r="C5195" t="str">
            <v>May</v>
          </cell>
          <cell r="D5195" t="str">
            <v>Chairs</v>
          </cell>
          <cell r="E5195">
            <v>567275.98899999994</v>
          </cell>
          <cell r="F5195">
            <v>5</v>
          </cell>
        </row>
        <row r="5196">
          <cell r="A5196">
            <v>2018</v>
          </cell>
          <cell r="B5196" t="str">
            <v>Actual</v>
          </cell>
          <cell r="C5196" t="str">
            <v>May</v>
          </cell>
          <cell r="D5196" t="str">
            <v>Chairs</v>
          </cell>
          <cell r="E5196">
            <v>17567.893</v>
          </cell>
          <cell r="F5196">
            <v>5</v>
          </cell>
        </row>
        <row r="5197">
          <cell r="A5197">
            <v>2018</v>
          </cell>
          <cell r="B5197" t="str">
            <v>Budget</v>
          </cell>
          <cell r="C5197" t="str">
            <v>May</v>
          </cell>
          <cell r="D5197" t="str">
            <v>Chairs</v>
          </cell>
          <cell r="E5197">
            <v>47230.679999999993</v>
          </cell>
          <cell r="F5197">
            <v>5</v>
          </cell>
        </row>
        <row r="5198">
          <cell r="A5198">
            <v>2018</v>
          </cell>
          <cell r="B5198" t="str">
            <v>Actual</v>
          </cell>
          <cell r="C5198" t="str">
            <v>May</v>
          </cell>
          <cell r="D5198" t="str">
            <v>Tables</v>
          </cell>
          <cell r="E5198">
            <v>29986.452999999998</v>
          </cell>
          <cell r="F5198">
            <v>5</v>
          </cell>
        </row>
        <row r="5199">
          <cell r="A5199">
            <v>2018</v>
          </cell>
          <cell r="B5199" t="str">
            <v>Budget</v>
          </cell>
          <cell r="C5199" t="str">
            <v>May</v>
          </cell>
          <cell r="D5199" t="str">
            <v>Kitchen</v>
          </cell>
          <cell r="E5199">
            <v>43283.254000000001</v>
          </cell>
          <cell r="F5199">
            <v>5</v>
          </cell>
        </row>
        <row r="5200">
          <cell r="A5200">
            <v>2018</v>
          </cell>
          <cell r="B5200" t="str">
            <v>Actual</v>
          </cell>
          <cell r="C5200" t="str">
            <v>May</v>
          </cell>
          <cell r="D5200" t="str">
            <v>Chairs</v>
          </cell>
          <cell r="E5200">
            <v>304828.60800000001</v>
          </cell>
          <cell r="F5200">
            <v>5</v>
          </cell>
        </row>
        <row r="5201">
          <cell r="A5201">
            <v>2019</v>
          </cell>
          <cell r="B5201" t="str">
            <v>Budget</v>
          </cell>
          <cell r="C5201" t="str">
            <v>May</v>
          </cell>
          <cell r="D5201" t="str">
            <v>Chairs</v>
          </cell>
          <cell r="E5201">
            <v>75481.174999999988</v>
          </cell>
          <cell r="F5201">
            <v>5</v>
          </cell>
        </row>
        <row r="5202">
          <cell r="A5202">
            <v>2019</v>
          </cell>
          <cell r="B5202" t="str">
            <v>Actual</v>
          </cell>
          <cell r="C5202" t="str">
            <v>May</v>
          </cell>
          <cell r="D5202" t="str">
            <v>Chairs</v>
          </cell>
          <cell r="E5202">
            <v>36201.711000000003</v>
          </cell>
          <cell r="F5202">
            <v>5</v>
          </cell>
        </row>
        <row r="5203">
          <cell r="A5203">
            <v>2019</v>
          </cell>
          <cell r="B5203" t="str">
            <v>Budget</v>
          </cell>
          <cell r="C5203" t="str">
            <v>May</v>
          </cell>
          <cell r="D5203" t="str">
            <v>Tables</v>
          </cell>
          <cell r="E5203">
            <v>-4507369.2649999997</v>
          </cell>
          <cell r="F5203">
            <v>5</v>
          </cell>
        </row>
        <row r="5204">
          <cell r="A5204">
            <v>2018</v>
          </cell>
          <cell r="B5204" t="str">
            <v>Actual</v>
          </cell>
          <cell r="C5204" t="str">
            <v>May</v>
          </cell>
          <cell r="D5204" t="str">
            <v>Kitchen</v>
          </cell>
          <cell r="E5204">
            <v>6379.3939999999993</v>
          </cell>
          <cell r="F5204">
            <v>5</v>
          </cell>
        </row>
        <row r="5205">
          <cell r="A5205">
            <v>2018</v>
          </cell>
          <cell r="B5205" t="str">
            <v>Budget</v>
          </cell>
          <cell r="C5205" t="str">
            <v>May</v>
          </cell>
          <cell r="D5205" t="str">
            <v>Chairs</v>
          </cell>
          <cell r="E5205">
            <v>-404.76099999999997</v>
          </cell>
          <cell r="F5205">
            <v>5</v>
          </cell>
        </row>
        <row r="5206">
          <cell r="A5206">
            <v>2019</v>
          </cell>
          <cell r="B5206" t="str">
            <v>Actual</v>
          </cell>
          <cell r="C5206" t="str">
            <v>May</v>
          </cell>
          <cell r="D5206" t="str">
            <v>Chairs</v>
          </cell>
          <cell r="E5206">
            <v>-111.30699999999999</v>
          </cell>
          <cell r="F5206">
            <v>5</v>
          </cell>
        </row>
        <row r="5207">
          <cell r="A5207">
            <v>2019</v>
          </cell>
          <cell r="B5207" t="str">
            <v>Budget</v>
          </cell>
          <cell r="C5207" t="str">
            <v>May</v>
          </cell>
          <cell r="D5207" t="str">
            <v>Tables</v>
          </cell>
          <cell r="E5207">
            <v>-54.25</v>
          </cell>
          <cell r="F5207">
            <v>5</v>
          </cell>
        </row>
        <row r="5208">
          <cell r="A5208">
            <v>2019</v>
          </cell>
          <cell r="B5208" t="str">
            <v>Actual</v>
          </cell>
          <cell r="C5208" t="str">
            <v>May</v>
          </cell>
          <cell r="D5208" t="str">
            <v>Kitchen</v>
          </cell>
          <cell r="E5208">
            <v>-221.65499999999997</v>
          </cell>
          <cell r="F5208">
            <v>5</v>
          </cell>
        </row>
        <row r="5209">
          <cell r="A5209">
            <v>2019</v>
          </cell>
          <cell r="B5209" t="str">
            <v>Budget</v>
          </cell>
          <cell r="C5209" t="str">
            <v>May</v>
          </cell>
          <cell r="D5209" t="str">
            <v>Chairs</v>
          </cell>
          <cell r="E5209">
            <v>237505.17699999997</v>
          </cell>
          <cell r="F5209">
            <v>5</v>
          </cell>
        </row>
        <row r="5210">
          <cell r="A5210">
            <v>2018</v>
          </cell>
          <cell r="B5210" t="str">
            <v>Actual</v>
          </cell>
          <cell r="C5210" t="str">
            <v>May</v>
          </cell>
          <cell r="D5210" t="str">
            <v>Chairs</v>
          </cell>
          <cell r="E5210">
            <v>61034.581999999995</v>
          </cell>
          <cell r="F5210">
            <v>5</v>
          </cell>
        </row>
        <row r="5211">
          <cell r="A5211">
            <v>2018</v>
          </cell>
          <cell r="B5211" t="str">
            <v>Budget</v>
          </cell>
          <cell r="C5211" t="str">
            <v>May</v>
          </cell>
          <cell r="D5211" t="str">
            <v>Chairs</v>
          </cell>
          <cell r="E5211">
            <v>98120.343999999997</v>
          </cell>
          <cell r="F5211">
            <v>5</v>
          </cell>
        </row>
        <row r="5212">
          <cell r="A5212">
            <v>2019</v>
          </cell>
          <cell r="B5212" t="str">
            <v>Actual</v>
          </cell>
          <cell r="C5212" t="str">
            <v>May</v>
          </cell>
          <cell r="D5212" t="str">
            <v>Tables</v>
          </cell>
          <cell r="E5212">
            <v>4369718.71</v>
          </cell>
          <cell r="F5212">
            <v>5</v>
          </cell>
        </row>
        <row r="5213">
          <cell r="A5213">
            <v>2018</v>
          </cell>
          <cell r="B5213" t="str">
            <v>Budget</v>
          </cell>
          <cell r="C5213" t="str">
            <v>May</v>
          </cell>
          <cell r="D5213" t="str">
            <v>Kitchen</v>
          </cell>
          <cell r="E5213">
            <v>46959.933999999994</v>
          </cell>
          <cell r="F5213">
            <v>5</v>
          </cell>
        </row>
        <row r="5214">
          <cell r="A5214">
            <v>2019</v>
          </cell>
          <cell r="B5214" t="str">
            <v>Actual</v>
          </cell>
          <cell r="C5214" t="str">
            <v>May</v>
          </cell>
          <cell r="D5214" t="str">
            <v>Accessories</v>
          </cell>
          <cell r="E5214">
            <v>572550.48199999996</v>
          </cell>
          <cell r="F5214">
            <v>5</v>
          </cell>
        </row>
        <row r="5215">
          <cell r="A5215">
            <v>2019</v>
          </cell>
          <cell r="B5215" t="str">
            <v>Budget</v>
          </cell>
          <cell r="C5215" t="str">
            <v>May</v>
          </cell>
          <cell r="D5215" t="str">
            <v>Chairs</v>
          </cell>
          <cell r="E5215">
            <v>51331.574000000001</v>
          </cell>
          <cell r="F5215">
            <v>5</v>
          </cell>
        </row>
        <row r="5216">
          <cell r="A5216">
            <v>2018</v>
          </cell>
          <cell r="B5216" t="str">
            <v>Actual</v>
          </cell>
          <cell r="C5216" t="str">
            <v>May</v>
          </cell>
          <cell r="D5216" t="str">
            <v>Tables</v>
          </cell>
          <cell r="E5216">
            <v>326275.64899999998</v>
          </cell>
          <cell r="F5216">
            <v>5</v>
          </cell>
        </row>
        <row r="5217">
          <cell r="A5217">
            <v>2018</v>
          </cell>
          <cell r="B5217" t="str">
            <v>Budget</v>
          </cell>
          <cell r="C5217" t="str">
            <v>May</v>
          </cell>
          <cell r="D5217" t="str">
            <v>Kitchen</v>
          </cell>
          <cell r="E5217">
            <v>342397.31400000001</v>
          </cell>
          <cell r="F5217">
            <v>5</v>
          </cell>
        </row>
        <row r="5218">
          <cell r="A5218">
            <v>2019</v>
          </cell>
          <cell r="B5218" t="str">
            <v>Actual</v>
          </cell>
          <cell r="C5218" t="str">
            <v>May</v>
          </cell>
          <cell r="D5218" t="str">
            <v>Accessories</v>
          </cell>
          <cell r="E5218">
            <v>454598.739</v>
          </cell>
          <cell r="F5218">
            <v>5</v>
          </cell>
        </row>
        <row r="5219">
          <cell r="A5219">
            <v>2019</v>
          </cell>
          <cell r="B5219" t="str">
            <v>Budget</v>
          </cell>
          <cell r="C5219" t="str">
            <v>May</v>
          </cell>
          <cell r="D5219" t="str">
            <v>Chairs</v>
          </cell>
          <cell r="E5219">
            <v>3282144.7960000001</v>
          </cell>
          <cell r="F5219">
            <v>5</v>
          </cell>
        </row>
        <row r="5220">
          <cell r="A5220">
            <v>2018</v>
          </cell>
          <cell r="B5220" t="str">
            <v>Actual</v>
          </cell>
          <cell r="C5220" t="str">
            <v>May</v>
          </cell>
          <cell r="D5220" t="str">
            <v>Tables</v>
          </cell>
          <cell r="E5220">
            <v>490306.22899999993</v>
          </cell>
          <cell r="F5220">
            <v>5</v>
          </cell>
        </row>
        <row r="5221">
          <cell r="A5221">
            <v>2019</v>
          </cell>
          <cell r="B5221" t="str">
            <v>Budget</v>
          </cell>
          <cell r="C5221" t="str">
            <v>May</v>
          </cell>
          <cell r="D5221" t="str">
            <v>Kitchen</v>
          </cell>
          <cell r="E5221">
            <v>311511.29099999997</v>
          </cell>
          <cell r="F5221">
            <v>5</v>
          </cell>
        </row>
        <row r="5222">
          <cell r="A5222">
            <v>2018</v>
          </cell>
          <cell r="B5222" t="str">
            <v>Actual</v>
          </cell>
          <cell r="C5222" t="str">
            <v>May</v>
          </cell>
          <cell r="D5222" t="str">
            <v>Accessories</v>
          </cell>
          <cell r="E5222">
            <v>270481.484</v>
          </cell>
          <cell r="F5222">
            <v>5</v>
          </cell>
        </row>
        <row r="5223">
          <cell r="A5223">
            <v>2018</v>
          </cell>
          <cell r="B5223" t="str">
            <v>Budget</v>
          </cell>
          <cell r="C5223" t="str">
            <v>May</v>
          </cell>
          <cell r="D5223" t="str">
            <v>Chairs</v>
          </cell>
          <cell r="E5223">
            <v>128037.89599999999</v>
          </cell>
          <cell r="F5223">
            <v>5</v>
          </cell>
        </row>
        <row r="5224">
          <cell r="A5224">
            <v>2019</v>
          </cell>
          <cell r="B5224" t="str">
            <v>Actual</v>
          </cell>
          <cell r="C5224" t="str">
            <v>May</v>
          </cell>
          <cell r="D5224" t="str">
            <v>Tables</v>
          </cell>
          <cell r="E5224">
            <v>506668.66599999997</v>
          </cell>
          <cell r="F5224">
            <v>5</v>
          </cell>
        </row>
        <row r="5225">
          <cell r="A5225">
            <v>2018</v>
          </cell>
          <cell r="B5225" t="str">
            <v>Budget</v>
          </cell>
          <cell r="C5225" t="str">
            <v>May</v>
          </cell>
          <cell r="D5225" t="str">
            <v>Kitchen</v>
          </cell>
          <cell r="E5225">
            <v>403089.53999999992</v>
          </cell>
          <cell r="F5225">
            <v>5</v>
          </cell>
        </row>
        <row r="5226">
          <cell r="A5226">
            <v>2019</v>
          </cell>
          <cell r="B5226" t="str">
            <v>Actual</v>
          </cell>
          <cell r="C5226" t="str">
            <v>May</v>
          </cell>
          <cell r="D5226" t="str">
            <v>Accessories</v>
          </cell>
          <cell r="E5226">
            <v>443199.04299999995</v>
          </cell>
          <cell r="F5226">
            <v>5</v>
          </cell>
        </row>
        <row r="5227">
          <cell r="A5227">
            <v>2018</v>
          </cell>
          <cell r="B5227" t="str">
            <v>Budget</v>
          </cell>
          <cell r="C5227" t="str">
            <v>May</v>
          </cell>
          <cell r="D5227" t="str">
            <v>Chairs</v>
          </cell>
          <cell r="E5227">
            <v>205408.973</v>
          </cell>
          <cell r="F5227">
            <v>5</v>
          </cell>
        </row>
        <row r="5228">
          <cell r="A5228">
            <v>2018</v>
          </cell>
          <cell r="B5228" t="str">
            <v>Actual</v>
          </cell>
          <cell r="C5228" t="str">
            <v>May</v>
          </cell>
          <cell r="D5228" t="str">
            <v>Chairs</v>
          </cell>
          <cell r="E5228">
            <v>309432.38899999997</v>
          </cell>
          <cell r="F5228">
            <v>5</v>
          </cell>
        </row>
        <row r="5229">
          <cell r="A5229">
            <v>2019</v>
          </cell>
          <cell r="B5229" t="str">
            <v>Budget</v>
          </cell>
          <cell r="C5229" t="str">
            <v>May</v>
          </cell>
          <cell r="D5229" t="str">
            <v>Tables</v>
          </cell>
          <cell r="E5229">
            <v>83370.895999999993</v>
          </cell>
          <cell r="F5229">
            <v>5</v>
          </cell>
        </row>
        <row r="5230">
          <cell r="A5230">
            <v>2018</v>
          </cell>
          <cell r="B5230" t="str">
            <v>Actual</v>
          </cell>
          <cell r="C5230" t="str">
            <v>May</v>
          </cell>
          <cell r="D5230" t="str">
            <v>Kitchen</v>
          </cell>
          <cell r="E5230">
            <v>301560.34299999999</v>
          </cell>
          <cell r="F5230">
            <v>5</v>
          </cell>
        </row>
        <row r="5231">
          <cell r="A5231">
            <v>2018</v>
          </cell>
          <cell r="B5231" t="str">
            <v>Budget</v>
          </cell>
          <cell r="C5231" t="str">
            <v>May</v>
          </cell>
          <cell r="D5231" t="str">
            <v>Chairs</v>
          </cell>
          <cell r="E5231">
            <v>163841.20199999999</v>
          </cell>
          <cell r="F5231">
            <v>5</v>
          </cell>
        </row>
        <row r="5232">
          <cell r="A5232">
            <v>2019</v>
          </cell>
          <cell r="B5232" t="str">
            <v>Actual</v>
          </cell>
          <cell r="C5232" t="str">
            <v>May</v>
          </cell>
          <cell r="D5232" t="str">
            <v>Tables</v>
          </cell>
          <cell r="E5232">
            <v>2759805.923</v>
          </cell>
          <cell r="F5232">
            <v>5</v>
          </cell>
        </row>
        <row r="5233">
          <cell r="A5233">
            <v>2019</v>
          </cell>
          <cell r="B5233" t="str">
            <v>Budget</v>
          </cell>
          <cell r="C5233" t="str">
            <v>May</v>
          </cell>
          <cell r="D5233" t="str">
            <v>Kitchen</v>
          </cell>
          <cell r="E5233">
            <v>482904.20499999996</v>
          </cell>
          <cell r="F5233">
            <v>5</v>
          </cell>
        </row>
        <row r="5234">
          <cell r="A5234">
            <v>2019</v>
          </cell>
          <cell r="B5234" t="str">
            <v>Actual</v>
          </cell>
          <cell r="C5234" t="str">
            <v>May</v>
          </cell>
          <cell r="D5234" t="str">
            <v>Chairs</v>
          </cell>
          <cell r="E5234">
            <v>28426.971999999998</v>
          </cell>
          <cell r="F5234">
            <v>5</v>
          </cell>
        </row>
        <row r="5235">
          <cell r="A5235">
            <v>2019</v>
          </cell>
          <cell r="B5235" t="str">
            <v>Budget</v>
          </cell>
          <cell r="C5235" t="str">
            <v>May</v>
          </cell>
          <cell r="D5235" t="str">
            <v>Tables</v>
          </cell>
          <cell r="E5235">
            <v>78407.944999999992</v>
          </cell>
          <cell r="F5235">
            <v>5</v>
          </cell>
        </row>
        <row r="5236">
          <cell r="A5236">
            <v>2019</v>
          </cell>
          <cell r="B5236" t="str">
            <v>Actual</v>
          </cell>
          <cell r="C5236" t="str">
            <v>May</v>
          </cell>
          <cell r="D5236" t="str">
            <v>Kitchen</v>
          </cell>
          <cell r="E5236">
            <v>30868.942999999996</v>
          </cell>
          <cell r="F5236">
            <v>5</v>
          </cell>
        </row>
        <row r="5237">
          <cell r="A5237">
            <v>2019</v>
          </cell>
          <cell r="B5237" t="str">
            <v>Budget</v>
          </cell>
          <cell r="C5237" t="str">
            <v>May</v>
          </cell>
          <cell r="D5237" t="str">
            <v>Chairs</v>
          </cell>
          <cell r="E5237">
            <v>-4422.8799999999992</v>
          </cell>
          <cell r="F5237">
            <v>5</v>
          </cell>
        </row>
        <row r="5238">
          <cell r="A5238">
            <v>2018</v>
          </cell>
          <cell r="B5238" t="str">
            <v>Actual</v>
          </cell>
          <cell r="C5238" t="str">
            <v>May</v>
          </cell>
          <cell r="D5238" t="str">
            <v>Chairs</v>
          </cell>
          <cell r="E5238">
            <v>51856.497000000003</v>
          </cell>
          <cell r="F5238">
            <v>5</v>
          </cell>
        </row>
        <row r="5239">
          <cell r="A5239">
            <v>2019</v>
          </cell>
          <cell r="B5239" t="str">
            <v>Budget</v>
          </cell>
          <cell r="C5239" t="str">
            <v>May</v>
          </cell>
          <cell r="D5239" t="str">
            <v>Chairs</v>
          </cell>
          <cell r="E5239">
            <v>39311.663999999997</v>
          </cell>
          <cell r="F5239">
            <v>5</v>
          </cell>
        </row>
        <row r="5240">
          <cell r="A5240">
            <v>2019</v>
          </cell>
          <cell r="B5240" t="str">
            <v>Actual</v>
          </cell>
          <cell r="C5240" t="str">
            <v>May</v>
          </cell>
          <cell r="D5240" t="str">
            <v>Chairs</v>
          </cell>
          <cell r="E5240">
            <v>106541.533</v>
          </cell>
          <cell r="F5240">
            <v>5</v>
          </cell>
        </row>
        <row r="5241">
          <cell r="A5241">
            <v>2019</v>
          </cell>
          <cell r="B5241" t="str">
            <v>Budget</v>
          </cell>
          <cell r="C5241" t="str">
            <v>May</v>
          </cell>
          <cell r="D5241" t="str">
            <v>Chairs</v>
          </cell>
          <cell r="E5241">
            <v>42829095.917999998</v>
          </cell>
          <cell r="F5241">
            <v>5</v>
          </cell>
        </row>
        <row r="5242">
          <cell r="A5242">
            <v>2019</v>
          </cell>
          <cell r="B5242" t="str">
            <v>Actual</v>
          </cell>
          <cell r="C5242" t="str">
            <v>May</v>
          </cell>
          <cell r="D5242" t="str">
            <v>Chairs</v>
          </cell>
          <cell r="E5242">
            <v>13172.964</v>
          </cell>
          <cell r="F5242">
            <v>5</v>
          </cell>
        </row>
        <row r="5243">
          <cell r="A5243">
            <v>2018</v>
          </cell>
          <cell r="B5243" t="str">
            <v>Budget</v>
          </cell>
          <cell r="C5243" t="str">
            <v>May</v>
          </cell>
          <cell r="D5243" t="str">
            <v>Chairs</v>
          </cell>
          <cell r="E5243">
            <v>-28496.565999999995</v>
          </cell>
          <cell r="F5243">
            <v>5</v>
          </cell>
        </row>
        <row r="5244">
          <cell r="A5244">
            <v>2019</v>
          </cell>
          <cell r="B5244" t="str">
            <v>Actual</v>
          </cell>
          <cell r="C5244" t="str">
            <v>May</v>
          </cell>
          <cell r="D5244" t="str">
            <v>Chairs</v>
          </cell>
          <cell r="E5244">
            <v>135021.201</v>
          </cell>
          <cell r="F5244">
            <v>5</v>
          </cell>
        </row>
        <row r="5245">
          <cell r="A5245">
            <v>2018</v>
          </cell>
          <cell r="B5245" t="str">
            <v>Budget</v>
          </cell>
          <cell r="C5245" t="str">
            <v>May</v>
          </cell>
          <cell r="D5245" t="str">
            <v>Chairs</v>
          </cell>
          <cell r="E5245">
            <v>52409.811999999998</v>
          </cell>
          <cell r="F5245">
            <v>5</v>
          </cell>
        </row>
        <row r="5246">
          <cell r="A5246">
            <v>2019</v>
          </cell>
          <cell r="B5246" t="str">
            <v>Actual</v>
          </cell>
          <cell r="C5246" t="str">
            <v>May</v>
          </cell>
          <cell r="D5246" t="str">
            <v>Chairs</v>
          </cell>
          <cell r="E5246">
            <v>40863.668999999994</v>
          </cell>
          <cell r="F5246">
            <v>5</v>
          </cell>
        </row>
        <row r="5247">
          <cell r="A5247">
            <v>2018</v>
          </cell>
          <cell r="B5247" t="str">
            <v>Budget</v>
          </cell>
          <cell r="C5247" t="str">
            <v>May</v>
          </cell>
          <cell r="D5247" t="str">
            <v>Chairs</v>
          </cell>
          <cell r="E5247">
            <v>2551.9829999999997</v>
          </cell>
          <cell r="F5247">
            <v>5</v>
          </cell>
        </row>
        <row r="5248">
          <cell r="A5248">
            <v>2018</v>
          </cell>
          <cell r="B5248" t="str">
            <v>Actual</v>
          </cell>
          <cell r="C5248" t="str">
            <v>May</v>
          </cell>
          <cell r="D5248" t="str">
            <v>Chairs</v>
          </cell>
          <cell r="E5248">
            <v>133461.92300000001</v>
          </cell>
          <cell r="F5248">
            <v>5</v>
          </cell>
        </row>
        <row r="5249">
          <cell r="A5249">
            <v>2019</v>
          </cell>
          <cell r="B5249" t="str">
            <v>Budget</v>
          </cell>
          <cell r="C5249" t="str">
            <v>May</v>
          </cell>
          <cell r="D5249" t="str">
            <v>Chairs</v>
          </cell>
          <cell r="E5249">
            <v>41411.614999999998</v>
          </cell>
          <cell r="F5249">
            <v>5</v>
          </cell>
        </row>
        <row r="5250">
          <cell r="A5250">
            <v>2019</v>
          </cell>
          <cell r="B5250" t="str">
            <v>Actual</v>
          </cell>
          <cell r="C5250" t="str">
            <v>May</v>
          </cell>
          <cell r="D5250" t="str">
            <v>Chairs</v>
          </cell>
          <cell r="E5250">
            <v>88292.945999999996</v>
          </cell>
          <cell r="F5250">
            <v>5</v>
          </cell>
        </row>
        <row r="5251">
          <cell r="A5251">
            <v>2019</v>
          </cell>
          <cell r="B5251" t="str">
            <v>Budget</v>
          </cell>
          <cell r="C5251" t="str">
            <v>May</v>
          </cell>
          <cell r="D5251" t="str">
            <v>Chairs</v>
          </cell>
          <cell r="E5251">
            <v>6527864.5949999997</v>
          </cell>
          <cell r="F5251">
            <v>5</v>
          </cell>
        </row>
        <row r="5252">
          <cell r="A5252">
            <v>2019</v>
          </cell>
          <cell r="B5252" t="str">
            <v>Actual</v>
          </cell>
          <cell r="C5252" t="str">
            <v>May</v>
          </cell>
          <cell r="D5252" t="str">
            <v>Chairs</v>
          </cell>
          <cell r="E5252">
            <v>64841.391999999993</v>
          </cell>
          <cell r="F5252">
            <v>5</v>
          </cell>
        </row>
        <row r="5253">
          <cell r="A5253">
            <v>2019</v>
          </cell>
          <cell r="B5253" t="str">
            <v>Budget</v>
          </cell>
          <cell r="C5253" t="str">
            <v>May</v>
          </cell>
          <cell r="D5253" t="str">
            <v>Chairs</v>
          </cell>
          <cell r="E5253">
            <v>16468.969999999998</v>
          </cell>
          <cell r="F5253">
            <v>5</v>
          </cell>
        </row>
        <row r="5254">
          <cell r="A5254">
            <v>2019</v>
          </cell>
          <cell r="B5254" t="str">
            <v>Actual</v>
          </cell>
          <cell r="C5254" t="str">
            <v>May</v>
          </cell>
          <cell r="D5254" t="str">
            <v>Chairs</v>
          </cell>
          <cell r="E5254">
            <v>13663.131999999998</v>
          </cell>
          <cell r="F5254">
            <v>5</v>
          </cell>
        </row>
        <row r="5255">
          <cell r="A5255">
            <v>2018</v>
          </cell>
          <cell r="B5255" t="str">
            <v>Budget</v>
          </cell>
          <cell r="C5255" t="str">
            <v>May</v>
          </cell>
          <cell r="D5255" t="str">
            <v>Chairs</v>
          </cell>
          <cell r="E5255">
            <v>4105.0659999999998</v>
          </cell>
          <cell r="F5255">
            <v>5</v>
          </cell>
        </row>
        <row r="5256">
          <cell r="A5256">
            <v>2019</v>
          </cell>
          <cell r="B5256" t="str">
            <v>Actual</v>
          </cell>
          <cell r="C5256" t="str">
            <v>May</v>
          </cell>
          <cell r="D5256" t="str">
            <v>Chairs</v>
          </cell>
          <cell r="E5256">
            <v>8044.5119999999997</v>
          </cell>
          <cell r="F5256">
            <v>5</v>
          </cell>
        </row>
        <row r="5257">
          <cell r="A5257">
            <v>2018</v>
          </cell>
          <cell r="B5257" t="str">
            <v>Budget</v>
          </cell>
          <cell r="C5257" t="str">
            <v>May</v>
          </cell>
          <cell r="D5257" t="str">
            <v>Chairs</v>
          </cell>
          <cell r="E5257">
            <v>-68322.365999999995</v>
          </cell>
          <cell r="F5257">
            <v>5</v>
          </cell>
        </row>
        <row r="5258">
          <cell r="A5258">
            <v>2018</v>
          </cell>
          <cell r="B5258" t="str">
            <v>Actual</v>
          </cell>
          <cell r="C5258" t="str">
            <v>May</v>
          </cell>
          <cell r="D5258" t="str">
            <v>Chairs</v>
          </cell>
          <cell r="E5258">
            <v>12780.817000000001</v>
          </cell>
          <cell r="F5258">
            <v>5</v>
          </cell>
        </row>
        <row r="5259">
          <cell r="A5259">
            <v>2019</v>
          </cell>
          <cell r="B5259" t="str">
            <v>Budget</v>
          </cell>
          <cell r="C5259" t="str">
            <v>May</v>
          </cell>
          <cell r="D5259" t="str">
            <v>Chairs</v>
          </cell>
          <cell r="E5259">
            <v>12378.499</v>
          </cell>
          <cell r="F5259">
            <v>5</v>
          </cell>
        </row>
        <row r="5260">
          <cell r="A5260">
            <v>2018</v>
          </cell>
          <cell r="B5260" t="str">
            <v>Actual</v>
          </cell>
          <cell r="C5260" t="str">
            <v>May</v>
          </cell>
          <cell r="D5260" t="str">
            <v>Chairs</v>
          </cell>
          <cell r="E5260">
            <v>135310.973</v>
          </cell>
          <cell r="F5260">
            <v>5</v>
          </cell>
        </row>
        <row r="5261">
          <cell r="A5261">
            <v>2018</v>
          </cell>
          <cell r="B5261" t="str">
            <v>Budget</v>
          </cell>
          <cell r="C5261" t="str">
            <v>May</v>
          </cell>
          <cell r="D5261" t="str">
            <v>Chairs</v>
          </cell>
          <cell r="E5261">
            <v>120749.80399999999</v>
          </cell>
          <cell r="F5261">
            <v>5</v>
          </cell>
        </row>
        <row r="5262">
          <cell r="A5262">
            <v>2018</v>
          </cell>
          <cell r="B5262" t="str">
            <v>Actual</v>
          </cell>
          <cell r="C5262" t="str">
            <v>May</v>
          </cell>
          <cell r="D5262" t="str">
            <v>Chairs</v>
          </cell>
          <cell r="E5262">
            <v>13567.406999999997</v>
          </cell>
          <cell r="F5262">
            <v>5</v>
          </cell>
        </row>
        <row r="5263">
          <cell r="A5263">
            <v>2018</v>
          </cell>
          <cell r="B5263" t="str">
            <v>Budget</v>
          </cell>
          <cell r="C5263" t="str">
            <v>May</v>
          </cell>
          <cell r="D5263" t="str">
            <v>Tables</v>
          </cell>
          <cell r="E5263">
            <v>195337.96099999998</v>
          </cell>
          <cell r="F5263">
            <v>5</v>
          </cell>
        </row>
        <row r="5264">
          <cell r="A5264">
            <v>2019</v>
          </cell>
          <cell r="B5264" t="str">
            <v>Actual</v>
          </cell>
          <cell r="C5264" t="str">
            <v>May</v>
          </cell>
          <cell r="D5264" t="str">
            <v>Kitchen</v>
          </cell>
          <cell r="E5264">
            <v>44883189.077999994</v>
          </cell>
          <cell r="F5264">
            <v>5</v>
          </cell>
        </row>
        <row r="5265">
          <cell r="A5265">
            <v>2018</v>
          </cell>
          <cell r="B5265" t="str">
            <v>Budget</v>
          </cell>
          <cell r="C5265" t="str">
            <v>May</v>
          </cell>
          <cell r="D5265" t="str">
            <v>Chairs</v>
          </cell>
          <cell r="E5265">
            <v>842945.9219999999</v>
          </cell>
          <cell r="F5265">
            <v>5</v>
          </cell>
        </row>
        <row r="5266">
          <cell r="A5266">
            <v>2018</v>
          </cell>
          <cell r="B5266" t="str">
            <v>Actual</v>
          </cell>
          <cell r="C5266" t="str">
            <v>May</v>
          </cell>
          <cell r="D5266" t="str">
            <v>Chairs</v>
          </cell>
          <cell r="E5266">
            <v>5670.3220000000001</v>
          </cell>
          <cell r="F5266">
            <v>5</v>
          </cell>
        </row>
        <row r="5267">
          <cell r="A5267">
            <v>2019</v>
          </cell>
          <cell r="B5267" t="str">
            <v>Budget</v>
          </cell>
          <cell r="C5267" t="str">
            <v>May</v>
          </cell>
          <cell r="D5267" t="str">
            <v>Chairs</v>
          </cell>
          <cell r="E5267">
            <v>6588.82</v>
          </cell>
          <cell r="F5267">
            <v>5</v>
          </cell>
        </row>
        <row r="5268">
          <cell r="A5268">
            <v>2019</v>
          </cell>
          <cell r="B5268" t="str">
            <v>Actual</v>
          </cell>
          <cell r="C5268" t="str">
            <v>May</v>
          </cell>
          <cell r="D5268" t="str">
            <v>Chairs</v>
          </cell>
          <cell r="E5268">
            <v>7967.0150000000003</v>
          </cell>
          <cell r="F5268">
            <v>5</v>
          </cell>
        </row>
        <row r="5269">
          <cell r="A5269">
            <v>2018</v>
          </cell>
          <cell r="B5269" t="str">
            <v>Budget</v>
          </cell>
          <cell r="C5269" t="str">
            <v>May</v>
          </cell>
          <cell r="D5269" t="str">
            <v>Chairs</v>
          </cell>
          <cell r="E5269">
            <v>411191.03200000001</v>
          </cell>
          <cell r="F5269">
            <v>5</v>
          </cell>
        </row>
        <row r="5270">
          <cell r="A5270">
            <v>2019</v>
          </cell>
          <cell r="B5270" t="str">
            <v>Actual</v>
          </cell>
          <cell r="C5270" t="str">
            <v>May</v>
          </cell>
          <cell r="D5270" t="str">
            <v>Tables</v>
          </cell>
          <cell r="E5270">
            <v>1070387.311</v>
          </cell>
          <cell r="F5270">
            <v>5</v>
          </cell>
        </row>
        <row r="5271">
          <cell r="A5271">
            <v>2018</v>
          </cell>
          <cell r="B5271" t="str">
            <v>Budget</v>
          </cell>
          <cell r="C5271" t="str">
            <v>May</v>
          </cell>
          <cell r="D5271" t="str">
            <v>Kitchen</v>
          </cell>
          <cell r="E5271">
            <v>482491.63199999998</v>
          </cell>
          <cell r="F5271">
            <v>5</v>
          </cell>
        </row>
        <row r="5272">
          <cell r="A5272">
            <v>2019</v>
          </cell>
          <cell r="B5272" t="str">
            <v>Actual</v>
          </cell>
          <cell r="C5272" t="str">
            <v>May</v>
          </cell>
          <cell r="D5272" t="str">
            <v>Chairs</v>
          </cell>
          <cell r="E5272">
            <v>11836.552</v>
          </cell>
          <cell r="F5272">
            <v>5</v>
          </cell>
        </row>
        <row r="5273">
          <cell r="A5273">
            <v>2018</v>
          </cell>
          <cell r="B5273" t="str">
            <v>Budget</v>
          </cell>
          <cell r="C5273" t="str">
            <v>May</v>
          </cell>
          <cell r="D5273" t="str">
            <v>Chairs</v>
          </cell>
          <cell r="E5273">
            <v>8412.5439999999999</v>
          </cell>
          <cell r="F5273">
            <v>5</v>
          </cell>
        </row>
        <row r="5274">
          <cell r="A5274">
            <v>2019</v>
          </cell>
          <cell r="B5274" t="str">
            <v>Actual</v>
          </cell>
          <cell r="C5274" t="str">
            <v>May</v>
          </cell>
          <cell r="D5274" t="str">
            <v>Chairs</v>
          </cell>
          <cell r="E5274">
            <v>1516.9349999999999</v>
          </cell>
          <cell r="F5274">
            <v>5</v>
          </cell>
        </row>
        <row r="5275">
          <cell r="A5275">
            <v>2019</v>
          </cell>
          <cell r="B5275" t="str">
            <v>Budget</v>
          </cell>
          <cell r="C5275" t="str">
            <v>May</v>
          </cell>
          <cell r="D5275" t="str">
            <v>Tables</v>
          </cell>
          <cell r="E5275">
            <v>37827.209000000003</v>
          </cell>
          <cell r="F5275">
            <v>5</v>
          </cell>
        </row>
        <row r="5276">
          <cell r="A5276">
            <v>2019</v>
          </cell>
          <cell r="B5276" t="str">
            <v>Actual</v>
          </cell>
          <cell r="C5276" t="str">
            <v>May</v>
          </cell>
          <cell r="D5276" t="str">
            <v>Kitchen</v>
          </cell>
          <cell r="E5276">
            <v>91274.47</v>
          </cell>
          <cell r="F5276">
            <v>5</v>
          </cell>
        </row>
        <row r="5277">
          <cell r="A5277">
            <v>2018</v>
          </cell>
          <cell r="B5277" t="str">
            <v>Budget</v>
          </cell>
          <cell r="C5277" t="str">
            <v>May</v>
          </cell>
          <cell r="D5277" t="str">
            <v>Chairs</v>
          </cell>
          <cell r="E5277">
            <v>18169.402999999998</v>
          </cell>
          <cell r="F5277">
            <v>5</v>
          </cell>
        </row>
        <row r="5278">
          <cell r="A5278">
            <v>2019</v>
          </cell>
          <cell r="B5278" t="str">
            <v>Actual</v>
          </cell>
          <cell r="C5278" t="str">
            <v>May</v>
          </cell>
          <cell r="D5278" t="str">
            <v>Chairs</v>
          </cell>
          <cell r="E5278">
            <v>13279.14</v>
          </cell>
          <cell r="F5278">
            <v>5</v>
          </cell>
        </row>
        <row r="5279">
          <cell r="A5279">
            <v>2018</v>
          </cell>
          <cell r="B5279" t="str">
            <v>Budget</v>
          </cell>
          <cell r="C5279" t="str">
            <v>May</v>
          </cell>
          <cell r="D5279" t="str">
            <v>Tables</v>
          </cell>
          <cell r="E5279">
            <v>4840.5839999999998</v>
          </cell>
          <cell r="F5279">
            <v>5</v>
          </cell>
        </row>
        <row r="5280">
          <cell r="A5280">
            <v>2018</v>
          </cell>
          <cell r="B5280" t="str">
            <v>Actual</v>
          </cell>
          <cell r="C5280" t="str">
            <v>May</v>
          </cell>
          <cell r="D5280" t="str">
            <v>Kitchen</v>
          </cell>
          <cell r="E5280">
            <v>38648.561000000002</v>
          </cell>
          <cell r="F5280">
            <v>5</v>
          </cell>
        </row>
        <row r="5281">
          <cell r="A5281">
            <v>2019</v>
          </cell>
          <cell r="B5281" t="str">
            <v>Budget</v>
          </cell>
          <cell r="C5281" t="str">
            <v>May</v>
          </cell>
          <cell r="D5281" t="str">
            <v>Chairs</v>
          </cell>
          <cell r="E5281">
            <v>47096.916999999994</v>
          </cell>
          <cell r="F5281">
            <v>5</v>
          </cell>
        </row>
        <row r="5282">
          <cell r="A5282">
            <v>2018</v>
          </cell>
          <cell r="B5282" t="str">
            <v>Actual</v>
          </cell>
          <cell r="C5282" t="str">
            <v>May</v>
          </cell>
          <cell r="D5282" t="str">
            <v>Chairs</v>
          </cell>
          <cell r="E5282">
            <v>31598.510999999999</v>
          </cell>
          <cell r="F5282">
            <v>5</v>
          </cell>
        </row>
        <row r="5283">
          <cell r="A5283">
            <v>2019</v>
          </cell>
          <cell r="B5283" t="str">
            <v>Budget</v>
          </cell>
          <cell r="C5283" t="str">
            <v>May</v>
          </cell>
          <cell r="D5283" t="str">
            <v>Chairs</v>
          </cell>
          <cell r="E5283">
            <v>45735.493999999999</v>
          </cell>
          <cell r="F5283">
            <v>5</v>
          </cell>
        </row>
        <row r="5284">
          <cell r="A5284">
            <v>2019</v>
          </cell>
          <cell r="B5284" t="str">
            <v>Actual</v>
          </cell>
          <cell r="C5284" t="str">
            <v>May</v>
          </cell>
          <cell r="D5284" t="str">
            <v>Tables</v>
          </cell>
          <cell r="E5284">
            <v>45705.974999999999</v>
          </cell>
          <cell r="F5284">
            <v>5</v>
          </cell>
        </row>
        <row r="5285">
          <cell r="A5285">
            <v>2019</v>
          </cell>
          <cell r="B5285" t="str">
            <v>Budget</v>
          </cell>
          <cell r="C5285" t="str">
            <v>May</v>
          </cell>
          <cell r="D5285" t="str">
            <v>Kitchen</v>
          </cell>
          <cell r="E5285">
            <v>43942.471999999994</v>
          </cell>
          <cell r="F5285">
            <v>5</v>
          </cell>
        </row>
        <row r="5286">
          <cell r="A5286">
            <v>2018</v>
          </cell>
          <cell r="B5286" t="str">
            <v>Actual</v>
          </cell>
          <cell r="C5286" t="str">
            <v>May</v>
          </cell>
          <cell r="D5286" t="str">
            <v>Accessories</v>
          </cell>
          <cell r="E5286">
            <v>264963.58</v>
          </cell>
          <cell r="F5286">
            <v>5</v>
          </cell>
        </row>
        <row r="5287">
          <cell r="A5287">
            <v>2019</v>
          </cell>
          <cell r="B5287" t="str">
            <v>Budget</v>
          </cell>
          <cell r="C5287" t="str">
            <v>May</v>
          </cell>
          <cell r="D5287" t="str">
            <v>Chairs</v>
          </cell>
          <cell r="E5287">
            <v>137576.96399999998</v>
          </cell>
          <cell r="F5287">
            <v>5</v>
          </cell>
        </row>
        <row r="5288">
          <cell r="A5288">
            <v>2019</v>
          </cell>
          <cell r="B5288" t="str">
            <v>Actual</v>
          </cell>
          <cell r="C5288" t="str">
            <v>May</v>
          </cell>
          <cell r="D5288" t="str">
            <v>Tables</v>
          </cell>
          <cell r="E5288">
            <v>33261360.916000001</v>
          </cell>
          <cell r="F5288">
            <v>5</v>
          </cell>
        </row>
        <row r="5289">
          <cell r="A5289">
            <v>2018</v>
          </cell>
          <cell r="B5289" t="str">
            <v>Budget</v>
          </cell>
          <cell r="C5289" t="str">
            <v>May</v>
          </cell>
          <cell r="D5289" t="str">
            <v>Kitchen</v>
          </cell>
          <cell r="E5289">
            <v>4038133.7990000001</v>
          </cell>
          <cell r="F5289">
            <v>5</v>
          </cell>
        </row>
        <row r="5290">
          <cell r="A5290">
            <v>2019</v>
          </cell>
          <cell r="B5290" t="str">
            <v>Actual</v>
          </cell>
          <cell r="C5290" t="str">
            <v>May</v>
          </cell>
          <cell r="D5290" t="str">
            <v>Accessories</v>
          </cell>
          <cell r="E5290">
            <v>9140.7469999999994</v>
          </cell>
          <cell r="F5290">
            <v>5</v>
          </cell>
        </row>
        <row r="5291">
          <cell r="A5291">
            <v>2019</v>
          </cell>
          <cell r="B5291" t="str">
            <v>Budget</v>
          </cell>
          <cell r="C5291" t="str">
            <v>May</v>
          </cell>
          <cell r="D5291" t="str">
            <v>Chairs</v>
          </cell>
          <cell r="E5291">
            <v>616066.95499999996</v>
          </cell>
          <cell r="F5291">
            <v>5</v>
          </cell>
        </row>
        <row r="5292">
          <cell r="A5292">
            <v>2018</v>
          </cell>
          <cell r="B5292" t="str">
            <v>Actual</v>
          </cell>
          <cell r="C5292" t="str">
            <v>May</v>
          </cell>
          <cell r="D5292" t="str">
            <v>Tables</v>
          </cell>
          <cell r="E5292">
            <v>112503.18099999998</v>
          </cell>
          <cell r="F5292">
            <v>5</v>
          </cell>
        </row>
        <row r="5293">
          <cell r="A5293">
            <v>2018</v>
          </cell>
          <cell r="B5293" t="str">
            <v>Budget</v>
          </cell>
          <cell r="C5293" t="str">
            <v>May</v>
          </cell>
          <cell r="D5293" t="str">
            <v>Kitchen</v>
          </cell>
          <cell r="E5293">
            <v>47235.285999999993</v>
          </cell>
          <cell r="F5293">
            <v>5</v>
          </cell>
        </row>
        <row r="5294">
          <cell r="A5294">
            <v>2019</v>
          </cell>
          <cell r="B5294" t="str">
            <v>Actual</v>
          </cell>
          <cell r="C5294" t="str">
            <v>May</v>
          </cell>
          <cell r="D5294" t="str">
            <v>Accessories</v>
          </cell>
          <cell r="E5294">
            <v>219461.11599999998</v>
          </cell>
          <cell r="F5294">
            <v>5</v>
          </cell>
        </row>
        <row r="5295">
          <cell r="A5295">
            <v>2019</v>
          </cell>
          <cell r="B5295" t="str">
            <v>Budget</v>
          </cell>
          <cell r="C5295" t="str">
            <v>May</v>
          </cell>
          <cell r="D5295" t="str">
            <v>Chairs</v>
          </cell>
          <cell r="E5295">
            <v>604514.37199999997</v>
          </cell>
          <cell r="F5295">
            <v>5</v>
          </cell>
        </row>
        <row r="5296">
          <cell r="A5296">
            <v>2019</v>
          </cell>
          <cell r="B5296" t="str">
            <v>Actual</v>
          </cell>
          <cell r="C5296" t="str">
            <v>May</v>
          </cell>
          <cell r="D5296" t="str">
            <v>Tables</v>
          </cell>
          <cell r="E5296">
            <v>332488.17699999997</v>
          </cell>
          <cell r="F5296">
            <v>5</v>
          </cell>
        </row>
        <row r="5297">
          <cell r="A5297">
            <v>2019</v>
          </cell>
          <cell r="B5297" t="str">
            <v>Budget</v>
          </cell>
          <cell r="C5297" t="str">
            <v>May</v>
          </cell>
          <cell r="D5297" t="str">
            <v>Kitchen</v>
          </cell>
          <cell r="E5297">
            <v>160490.85499999998</v>
          </cell>
          <cell r="F5297">
            <v>5</v>
          </cell>
        </row>
        <row r="5298">
          <cell r="A5298">
            <v>2019</v>
          </cell>
          <cell r="B5298" t="str">
            <v>Actual</v>
          </cell>
          <cell r="C5298" t="str">
            <v>May</v>
          </cell>
          <cell r="D5298" t="str">
            <v>Accessories</v>
          </cell>
          <cell r="E5298">
            <v>-18596.914000000001</v>
          </cell>
          <cell r="F5298">
            <v>5</v>
          </cell>
        </row>
        <row r="5299">
          <cell r="A5299">
            <v>2019</v>
          </cell>
          <cell r="B5299" t="str">
            <v>Budget</v>
          </cell>
          <cell r="C5299" t="str">
            <v>May</v>
          </cell>
          <cell r="D5299" t="str">
            <v>Chairs</v>
          </cell>
          <cell r="E5299">
            <v>681081.90500000003</v>
          </cell>
          <cell r="F5299">
            <v>5</v>
          </cell>
        </row>
        <row r="5300">
          <cell r="A5300">
            <v>2018</v>
          </cell>
          <cell r="B5300" t="str">
            <v>Actual</v>
          </cell>
          <cell r="C5300" t="str">
            <v>May</v>
          </cell>
          <cell r="D5300" t="str">
            <v>Chairs</v>
          </cell>
          <cell r="E5300">
            <v>2850.1339999999996</v>
          </cell>
          <cell r="F5300">
            <v>5</v>
          </cell>
        </row>
        <row r="5301">
          <cell r="A5301">
            <v>2018</v>
          </cell>
          <cell r="B5301" t="str">
            <v>Budget</v>
          </cell>
          <cell r="C5301" t="str">
            <v>May</v>
          </cell>
          <cell r="D5301" t="str">
            <v>Tables</v>
          </cell>
          <cell r="E5301">
            <v>690938.89899999998</v>
          </cell>
          <cell r="F5301">
            <v>5</v>
          </cell>
        </row>
        <row r="5302">
          <cell r="A5302">
            <v>2018</v>
          </cell>
          <cell r="B5302" t="str">
            <v>Actual</v>
          </cell>
          <cell r="C5302" t="str">
            <v>May</v>
          </cell>
          <cell r="D5302" t="str">
            <v>Kitchen</v>
          </cell>
          <cell r="E5302">
            <v>197691.38199999998</v>
          </cell>
          <cell r="F5302">
            <v>5</v>
          </cell>
        </row>
        <row r="5303">
          <cell r="A5303">
            <v>2019</v>
          </cell>
          <cell r="B5303" t="str">
            <v>Budget</v>
          </cell>
          <cell r="C5303" t="str">
            <v>May</v>
          </cell>
          <cell r="D5303" t="str">
            <v>Chairs</v>
          </cell>
          <cell r="E5303">
            <v>676980.96900000004</v>
          </cell>
          <cell r="F5303">
            <v>5</v>
          </cell>
        </row>
        <row r="5304">
          <cell r="A5304">
            <v>2019</v>
          </cell>
          <cell r="B5304" t="str">
            <v>Actual</v>
          </cell>
          <cell r="C5304" t="str">
            <v>May</v>
          </cell>
          <cell r="D5304" t="str">
            <v>Tables</v>
          </cell>
          <cell r="E5304">
            <v>696556.7699999999</v>
          </cell>
          <cell r="F5304">
            <v>5</v>
          </cell>
        </row>
        <row r="5305">
          <cell r="A5305">
            <v>2018</v>
          </cell>
          <cell r="B5305" t="str">
            <v>Budget</v>
          </cell>
          <cell r="C5305" t="str">
            <v>May</v>
          </cell>
          <cell r="D5305" t="str">
            <v>Kitchen</v>
          </cell>
          <cell r="E5305">
            <v>1585966.9279999998</v>
          </cell>
          <cell r="F5305">
            <v>5</v>
          </cell>
        </row>
        <row r="5306">
          <cell r="A5306">
            <v>2019</v>
          </cell>
          <cell r="B5306" t="str">
            <v>Actual</v>
          </cell>
          <cell r="C5306" t="str">
            <v>May</v>
          </cell>
          <cell r="D5306" t="str">
            <v>Chairs</v>
          </cell>
          <cell r="E5306">
            <v>71935.164000000004</v>
          </cell>
          <cell r="F5306">
            <v>5</v>
          </cell>
        </row>
        <row r="5307">
          <cell r="A5307">
            <v>2019</v>
          </cell>
          <cell r="B5307" t="str">
            <v>Budget</v>
          </cell>
          <cell r="C5307" t="str">
            <v>May</v>
          </cell>
          <cell r="D5307" t="str">
            <v>Tables</v>
          </cell>
          <cell r="E5307">
            <v>140568.84099999999</v>
          </cell>
          <cell r="F5307">
            <v>5</v>
          </cell>
        </row>
        <row r="5308">
          <cell r="A5308">
            <v>2018</v>
          </cell>
          <cell r="B5308" t="str">
            <v>Actual</v>
          </cell>
          <cell r="C5308" t="str">
            <v>May</v>
          </cell>
          <cell r="D5308" t="str">
            <v>Kitchen</v>
          </cell>
          <cell r="E5308">
            <v>55028.743000000002</v>
          </cell>
          <cell r="F5308">
            <v>5</v>
          </cell>
        </row>
        <row r="5309">
          <cell r="A5309">
            <v>2019</v>
          </cell>
          <cell r="B5309" t="str">
            <v>Budget</v>
          </cell>
          <cell r="C5309" t="str">
            <v>May</v>
          </cell>
          <cell r="D5309" t="str">
            <v>Chairs</v>
          </cell>
          <cell r="E5309">
            <v>105928.382</v>
          </cell>
          <cell r="F5309">
            <v>5</v>
          </cell>
        </row>
        <row r="5310">
          <cell r="A5310">
            <v>2018</v>
          </cell>
          <cell r="B5310" t="str">
            <v>Actual</v>
          </cell>
          <cell r="C5310" t="str">
            <v>May</v>
          </cell>
          <cell r="D5310" t="str">
            <v>Chairs</v>
          </cell>
          <cell r="E5310">
            <v>102368.315</v>
          </cell>
          <cell r="F5310">
            <v>5</v>
          </cell>
        </row>
        <row r="5311">
          <cell r="A5311">
            <v>2018</v>
          </cell>
          <cell r="B5311" t="str">
            <v>Budget</v>
          </cell>
          <cell r="C5311" t="str">
            <v>May</v>
          </cell>
          <cell r="D5311" t="str">
            <v>Chairs</v>
          </cell>
          <cell r="E5311">
            <v>1612139.8159999999</v>
          </cell>
          <cell r="F5311">
            <v>5</v>
          </cell>
        </row>
        <row r="5312">
          <cell r="A5312">
            <v>2019</v>
          </cell>
          <cell r="B5312" t="str">
            <v>Actual</v>
          </cell>
          <cell r="C5312" t="str">
            <v>May</v>
          </cell>
          <cell r="D5312" t="str">
            <v>Chairs</v>
          </cell>
          <cell r="E5312">
            <v>274357.85299999994</v>
          </cell>
          <cell r="F5312">
            <v>5</v>
          </cell>
        </row>
        <row r="5313">
          <cell r="A5313">
            <v>2019</v>
          </cell>
          <cell r="B5313" t="str">
            <v>Budget</v>
          </cell>
          <cell r="C5313" t="str">
            <v>May</v>
          </cell>
          <cell r="D5313" t="str">
            <v>Chairs</v>
          </cell>
          <cell r="E5313">
            <v>165344.38199999998</v>
          </cell>
          <cell r="F5313">
            <v>5</v>
          </cell>
        </row>
        <row r="5314">
          <cell r="A5314">
            <v>2019</v>
          </cell>
          <cell r="B5314" t="str">
            <v>Actual</v>
          </cell>
          <cell r="C5314" t="str">
            <v>May</v>
          </cell>
          <cell r="D5314" t="str">
            <v>Chairs</v>
          </cell>
          <cell r="E5314">
            <v>155650.908</v>
          </cell>
          <cell r="F5314">
            <v>5</v>
          </cell>
        </row>
        <row r="5315">
          <cell r="A5315">
            <v>2018</v>
          </cell>
          <cell r="B5315" t="str">
            <v>Budget</v>
          </cell>
          <cell r="C5315" t="str">
            <v>May</v>
          </cell>
          <cell r="D5315" t="str">
            <v>Chairs</v>
          </cell>
          <cell r="E5315">
            <v>19649.244999999999</v>
          </cell>
          <cell r="F5315">
            <v>5</v>
          </cell>
        </row>
        <row r="5316">
          <cell r="A5316">
            <v>2018</v>
          </cell>
          <cell r="B5316" t="str">
            <v>Actual</v>
          </cell>
          <cell r="C5316" t="str">
            <v>May</v>
          </cell>
          <cell r="D5316" t="str">
            <v>Chairs</v>
          </cell>
          <cell r="E5316">
            <v>11081.833000000001</v>
          </cell>
          <cell r="F5316">
            <v>5</v>
          </cell>
        </row>
        <row r="5317">
          <cell r="A5317">
            <v>2019</v>
          </cell>
          <cell r="B5317" t="str">
            <v>Budget</v>
          </cell>
          <cell r="C5317" t="str">
            <v>May</v>
          </cell>
          <cell r="D5317" t="str">
            <v>Chairs</v>
          </cell>
          <cell r="E5317">
            <v>236552.88299999997</v>
          </cell>
          <cell r="F5317">
            <v>5</v>
          </cell>
        </row>
        <row r="5318">
          <cell r="A5318">
            <v>2019</v>
          </cell>
          <cell r="B5318" t="str">
            <v>Actual</v>
          </cell>
          <cell r="C5318" t="str">
            <v>May</v>
          </cell>
          <cell r="D5318" t="str">
            <v>Chairs</v>
          </cell>
          <cell r="E5318">
            <v>24954.516999999996</v>
          </cell>
          <cell r="F5318">
            <v>5</v>
          </cell>
        </row>
        <row r="5319">
          <cell r="A5319">
            <v>2018</v>
          </cell>
          <cell r="B5319" t="str">
            <v>Budget</v>
          </cell>
          <cell r="C5319" t="str">
            <v>May</v>
          </cell>
          <cell r="D5319" t="str">
            <v>Chairs</v>
          </cell>
          <cell r="E5319">
            <v>2016.28</v>
          </cell>
          <cell r="F5319">
            <v>5</v>
          </cell>
        </row>
        <row r="5320">
          <cell r="A5320">
            <v>2019</v>
          </cell>
          <cell r="B5320" t="str">
            <v>Actual</v>
          </cell>
          <cell r="C5320" t="str">
            <v>May</v>
          </cell>
          <cell r="D5320" t="str">
            <v>Chairs</v>
          </cell>
          <cell r="E5320">
            <v>200688.516</v>
          </cell>
          <cell r="F5320">
            <v>5</v>
          </cell>
        </row>
        <row r="5321">
          <cell r="A5321">
            <v>2019</v>
          </cell>
          <cell r="B5321" t="str">
            <v>Budget</v>
          </cell>
          <cell r="C5321" t="str">
            <v>May</v>
          </cell>
          <cell r="D5321" t="str">
            <v>Chairs</v>
          </cell>
          <cell r="E5321">
            <v>467547.28299999994</v>
          </cell>
          <cell r="F5321">
            <v>5</v>
          </cell>
        </row>
        <row r="5322">
          <cell r="A5322">
            <v>2018</v>
          </cell>
          <cell r="B5322" t="str">
            <v>Actual</v>
          </cell>
          <cell r="C5322" t="str">
            <v>May</v>
          </cell>
          <cell r="D5322" t="str">
            <v>Chairs</v>
          </cell>
          <cell r="E5322">
            <v>48727.797999999995</v>
          </cell>
          <cell r="F5322">
            <v>5</v>
          </cell>
        </row>
        <row r="5323">
          <cell r="A5323">
            <v>2018</v>
          </cell>
          <cell r="B5323" t="str">
            <v>Budget</v>
          </cell>
          <cell r="C5323" t="str">
            <v>May</v>
          </cell>
          <cell r="D5323" t="str">
            <v>Chairs</v>
          </cell>
          <cell r="E5323">
            <v>587115.81599999999</v>
          </cell>
          <cell r="F5323">
            <v>5</v>
          </cell>
        </row>
        <row r="5324">
          <cell r="A5324">
            <v>2019</v>
          </cell>
          <cell r="B5324" t="str">
            <v>Actual</v>
          </cell>
          <cell r="C5324" t="str">
            <v>May</v>
          </cell>
          <cell r="D5324" t="str">
            <v>Chairs</v>
          </cell>
          <cell r="E5324">
            <v>267594.18699999998</v>
          </cell>
          <cell r="F5324">
            <v>5</v>
          </cell>
        </row>
        <row r="5325">
          <cell r="A5325">
            <v>2018</v>
          </cell>
          <cell r="B5325" t="str">
            <v>Budget</v>
          </cell>
          <cell r="C5325" t="str">
            <v>May</v>
          </cell>
          <cell r="D5325" t="str">
            <v>Chairs</v>
          </cell>
          <cell r="E5325">
            <v>333303.01899999997</v>
          </cell>
          <cell r="F5325">
            <v>5</v>
          </cell>
        </row>
        <row r="5326">
          <cell r="A5326">
            <v>2019</v>
          </cell>
          <cell r="B5326" t="str">
            <v>Actual</v>
          </cell>
          <cell r="C5326" t="str">
            <v>May</v>
          </cell>
          <cell r="D5326" t="str">
            <v>Chairs</v>
          </cell>
          <cell r="E5326">
            <v>4242898.24</v>
          </cell>
          <cell r="F5326">
            <v>5</v>
          </cell>
        </row>
        <row r="5327">
          <cell r="A5327">
            <v>2019</v>
          </cell>
          <cell r="B5327" t="str">
            <v>Budget</v>
          </cell>
          <cell r="C5327" t="str">
            <v>May</v>
          </cell>
          <cell r="D5327" t="str">
            <v>Chairs</v>
          </cell>
          <cell r="E5327">
            <v>95579.952999999994</v>
          </cell>
          <cell r="F5327">
            <v>5</v>
          </cell>
        </row>
        <row r="5328">
          <cell r="A5328">
            <v>2018</v>
          </cell>
          <cell r="B5328" t="str">
            <v>Actual</v>
          </cell>
          <cell r="C5328" t="str">
            <v>May</v>
          </cell>
          <cell r="D5328" t="str">
            <v>Chairs</v>
          </cell>
          <cell r="E5328">
            <v>316706.57199999999</v>
          </cell>
          <cell r="F5328">
            <v>5</v>
          </cell>
        </row>
        <row r="5329">
          <cell r="A5329">
            <v>2018</v>
          </cell>
          <cell r="B5329" t="str">
            <v>Budget</v>
          </cell>
          <cell r="C5329" t="str">
            <v>May</v>
          </cell>
          <cell r="D5329" t="str">
            <v>Chairs</v>
          </cell>
          <cell r="E5329">
            <v>83498.575999999986</v>
          </cell>
          <cell r="F5329">
            <v>5</v>
          </cell>
        </row>
        <row r="5330">
          <cell r="A5330">
            <v>2018</v>
          </cell>
          <cell r="B5330" t="str">
            <v>Actual</v>
          </cell>
          <cell r="C5330" t="str">
            <v>May</v>
          </cell>
          <cell r="D5330" t="str">
            <v>Chairs</v>
          </cell>
          <cell r="E5330">
            <v>107826.145</v>
          </cell>
          <cell r="F5330">
            <v>5</v>
          </cell>
        </row>
        <row r="5331">
          <cell r="A5331">
            <v>2019</v>
          </cell>
          <cell r="B5331" t="str">
            <v>Budget</v>
          </cell>
          <cell r="C5331" t="str">
            <v>May</v>
          </cell>
          <cell r="D5331" t="str">
            <v>Chairs</v>
          </cell>
          <cell r="E5331">
            <v>238222.71899999998</v>
          </cell>
          <cell r="F5331">
            <v>5</v>
          </cell>
        </row>
        <row r="5332">
          <cell r="A5332">
            <v>2018</v>
          </cell>
          <cell r="B5332" t="str">
            <v>Actual</v>
          </cell>
          <cell r="C5332" t="str">
            <v>May</v>
          </cell>
          <cell r="D5332" t="str">
            <v>Chairs</v>
          </cell>
          <cell r="E5332">
            <v>97953.309999999983</v>
          </cell>
          <cell r="F5332">
            <v>5</v>
          </cell>
        </row>
        <row r="5333">
          <cell r="A5333">
            <v>2018</v>
          </cell>
          <cell r="B5333" t="str">
            <v>Budget</v>
          </cell>
          <cell r="C5333" t="str">
            <v>May</v>
          </cell>
          <cell r="D5333" t="str">
            <v>Chairs</v>
          </cell>
          <cell r="E5333">
            <v>36965.873</v>
          </cell>
          <cell r="F5333">
            <v>5</v>
          </cell>
        </row>
        <row r="5334">
          <cell r="A5334">
            <v>2019</v>
          </cell>
          <cell r="B5334" t="str">
            <v>Actual</v>
          </cell>
          <cell r="C5334" t="str">
            <v>May</v>
          </cell>
          <cell r="D5334" t="str">
            <v>Chairs</v>
          </cell>
          <cell r="E5334">
            <v>248979.52799999996</v>
          </cell>
          <cell r="F5334">
            <v>5</v>
          </cell>
        </row>
        <row r="5335">
          <cell r="A5335">
            <v>2019</v>
          </cell>
          <cell r="B5335" t="str">
            <v>Budget</v>
          </cell>
          <cell r="C5335" t="str">
            <v>May</v>
          </cell>
          <cell r="D5335" t="str">
            <v>Tables</v>
          </cell>
          <cell r="E5335">
            <v>90773.68299999999</v>
          </cell>
          <cell r="F5335">
            <v>5</v>
          </cell>
        </row>
        <row r="5336">
          <cell r="A5336">
            <v>2019</v>
          </cell>
          <cell r="B5336" t="str">
            <v>Actual</v>
          </cell>
          <cell r="C5336" t="str">
            <v>May</v>
          </cell>
          <cell r="D5336" t="str">
            <v>Kitchen</v>
          </cell>
          <cell r="E5336">
            <v>1773789.5209999997</v>
          </cell>
          <cell r="F5336">
            <v>5</v>
          </cell>
        </row>
        <row r="5337">
          <cell r="A5337">
            <v>2019</v>
          </cell>
          <cell r="B5337" t="str">
            <v>Budget</v>
          </cell>
          <cell r="C5337" t="str">
            <v>May</v>
          </cell>
          <cell r="D5337" t="str">
            <v>Chairs</v>
          </cell>
          <cell r="E5337">
            <v>1870330.8959999997</v>
          </cell>
          <cell r="F5337">
            <v>5</v>
          </cell>
        </row>
        <row r="5338">
          <cell r="A5338">
            <v>2018</v>
          </cell>
          <cell r="B5338" t="str">
            <v>Actual</v>
          </cell>
          <cell r="C5338" t="str">
            <v>May</v>
          </cell>
          <cell r="D5338" t="str">
            <v>Chairs</v>
          </cell>
          <cell r="E5338">
            <v>947696.12</v>
          </cell>
          <cell r="F5338">
            <v>5</v>
          </cell>
        </row>
        <row r="5339">
          <cell r="A5339">
            <v>2018</v>
          </cell>
          <cell r="B5339" t="str">
            <v>Budget</v>
          </cell>
          <cell r="C5339" t="str">
            <v>May</v>
          </cell>
          <cell r="D5339" t="str">
            <v>Chairs</v>
          </cell>
          <cell r="E5339">
            <v>415409.34399999998</v>
          </cell>
          <cell r="F5339">
            <v>5</v>
          </cell>
        </row>
        <row r="5340">
          <cell r="A5340">
            <v>2018</v>
          </cell>
          <cell r="B5340" t="str">
            <v>Actual</v>
          </cell>
          <cell r="C5340" t="str">
            <v>May</v>
          </cell>
          <cell r="D5340" t="str">
            <v>Chairs</v>
          </cell>
          <cell r="E5340">
            <v>302696.21899999998</v>
          </cell>
          <cell r="F5340">
            <v>5</v>
          </cell>
        </row>
        <row r="5341">
          <cell r="A5341">
            <v>2018</v>
          </cell>
          <cell r="B5341" t="str">
            <v>Budget</v>
          </cell>
          <cell r="C5341" t="str">
            <v>May</v>
          </cell>
          <cell r="D5341" t="str">
            <v>Chairs</v>
          </cell>
          <cell r="E5341">
            <v>12825857.534</v>
          </cell>
          <cell r="F5341">
            <v>5</v>
          </cell>
        </row>
        <row r="5342">
          <cell r="A5342">
            <v>2018</v>
          </cell>
          <cell r="B5342" t="str">
            <v>Actual</v>
          </cell>
          <cell r="C5342" t="str">
            <v>May</v>
          </cell>
          <cell r="D5342" t="str">
            <v>Tables</v>
          </cell>
          <cell r="E5342">
            <v>19197190.921999998</v>
          </cell>
          <cell r="F5342">
            <v>5</v>
          </cell>
        </row>
        <row r="5343">
          <cell r="A5343">
            <v>2019</v>
          </cell>
          <cell r="B5343" t="str">
            <v>Budget</v>
          </cell>
          <cell r="C5343" t="str">
            <v>May</v>
          </cell>
          <cell r="D5343" t="str">
            <v>Kitchen</v>
          </cell>
          <cell r="E5343">
            <v>2254012.2149999999</v>
          </cell>
          <cell r="F5343">
            <v>5</v>
          </cell>
        </row>
        <row r="5344">
          <cell r="A5344">
            <v>2018</v>
          </cell>
          <cell r="B5344" t="str">
            <v>Actual</v>
          </cell>
          <cell r="C5344" t="str">
            <v>May</v>
          </cell>
          <cell r="D5344" t="str">
            <v>Chairs</v>
          </cell>
          <cell r="E5344">
            <v>6422239.3969999999</v>
          </cell>
          <cell r="F5344">
            <v>5</v>
          </cell>
        </row>
        <row r="5345">
          <cell r="A5345">
            <v>2018</v>
          </cell>
          <cell r="B5345" t="str">
            <v>Budget</v>
          </cell>
          <cell r="C5345" t="str">
            <v>May</v>
          </cell>
          <cell r="D5345" t="str">
            <v>Chairs</v>
          </cell>
          <cell r="E5345">
            <v>11440557.52</v>
          </cell>
          <cell r="F5345">
            <v>5</v>
          </cell>
        </row>
        <row r="5346">
          <cell r="A5346">
            <v>2019</v>
          </cell>
          <cell r="B5346" t="str">
            <v>Actual</v>
          </cell>
          <cell r="C5346" t="str">
            <v>May</v>
          </cell>
          <cell r="D5346" t="str">
            <v>Chairs</v>
          </cell>
          <cell r="E5346">
            <v>501883.09499999997</v>
          </cell>
          <cell r="F5346">
            <v>5</v>
          </cell>
        </row>
        <row r="5347">
          <cell r="A5347">
            <v>2018</v>
          </cell>
          <cell r="B5347" t="str">
            <v>Budget</v>
          </cell>
          <cell r="C5347" t="str">
            <v>May</v>
          </cell>
          <cell r="D5347" t="str">
            <v>Tables</v>
          </cell>
          <cell r="E5347">
            <v>250985.39899999998</v>
          </cell>
          <cell r="F5347">
            <v>5</v>
          </cell>
        </row>
        <row r="5348">
          <cell r="A5348">
            <v>2019</v>
          </cell>
          <cell r="B5348" t="str">
            <v>Actual</v>
          </cell>
          <cell r="C5348" t="str">
            <v>May</v>
          </cell>
          <cell r="D5348" t="str">
            <v>Kitchen</v>
          </cell>
          <cell r="E5348">
            <v>381163.67099999997</v>
          </cell>
          <cell r="F5348">
            <v>5</v>
          </cell>
        </row>
        <row r="5349">
          <cell r="A5349">
            <v>2018</v>
          </cell>
          <cell r="B5349" t="str">
            <v>Budget</v>
          </cell>
          <cell r="C5349" t="str">
            <v>May</v>
          </cell>
          <cell r="D5349" t="str">
            <v>Chairs</v>
          </cell>
          <cell r="E5349">
            <v>2109871.3930000002</v>
          </cell>
          <cell r="F5349">
            <v>5</v>
          </cell>
        </row>
        <row r="5350">
          <cell r="A5350">
            <v>2018</v>
          </cell>
          <cell r="B5350" t="str">
            <v>Actual</v>
          </cell>
          <cell r="C5350" t="str">
            <v>May</v>
          </cell>
          <cell r="D5350" t="str">
            <v>Chairs</v>
          </cell>
          <cell r="E5350">
            <v>523758.15100000001</v>
          </cell>
          <cell r="F5350">
            <v>5</v>
          </cell>
        </row>
        <row r="5351">
          <cell r="A5351">
            <v>2018</v>
          </cell>
          <cell r="B5351" t="str">
            <v>Budget</v>
          </cell>
          <cell r="C5351" t="str">
            <v>May</v>
          </cell>
          <cell r="D5351" t="str">
            <v>Tables</v>
          </cell>
          <cell r="E5351">
            <v>6204678.1229999997</v>
          </cell>
          <cell r="F5351">
            <v>5</v>
          </cell>
        </row>
        <row r="5352">
          <cell r="A5352">
            <v>2019</v>
          </cell>
          <cell r="B5352" t="str">
            <v>Actual</v>
          </cell>
          <cell r="C5352" t="str">
            <v>May</v>
          </cell>
          <cell r="D5352" t="str">
            <v>Kitchen</v>
          </cell>
          <cell r="E5352">
            <v>2097943.2949999999</v>
          </cell>
          <cell r="F5352">
            <v>5</v>
          </cell>
        </row>
        <row r="5353">
          <cell r="A5353">
            <v>2019</v>
          </cell>
          <cell r="B5353" t="str">
            <v>Budget</v>
          </cell>
          <cell r="C5353" t="str">
            <v>May</v>
          </cell>
          <cell r="D5353" t="str">
            <v>Chairs</v>
          </cell>
          <cell r="E5353">
            <v>-121428.069</v>
          </cell>
          <cell r="F5353">
            <v>5</v>
          </cell>
        </row>
        <row r="5354">
          <cell r="A5354">
            <v>2018</v>
          </cell>
          <cell r="B5354" t="str">
            <v>Actual</v>
          </cell>
          <cell r="C5354" t="str">
            <v>May</v>
          </cell>
          <cell r="D5354" t="str">
            <v>Chairs</v>
          </cell>
          <cell r="E5354">
            <v>35972131.236999996</v>
          </cell>
          <cell r="F5354">
            <v>5</v>
          </cell>
        </row>
        <row r="5355">
          <cell r="A5355">
            <v>2018</v>
          </cell>
          <cell r="B5355" t="str">
            <v>Budget</v>
          </cell>
          <cell r="C5355" t="str">
            <v>May</v>
          </cell>
          <cell r="D5355" t="str">
            <v>Chairs</v>
          </cell>
          <cell r="E5355">
            <v>2226396.4309999999</v>
          </cell>
          <cell r="F5355">
            <v>5</v>
          </cell>
        </row>
        <row r="5356">
          <cell r="A5356">
            <v>2019</v>
          </cell>
          <cell r="B5356" t="str">
            <v>Actual</v>
          </cell>
          <cell r="C5356" t="str">
            <v>May</v>
          </cell>
          <cell r="D5356" t="str">
            <v>Tables</v>
          </cell>
          <cell r="E5356">
            <v>6775107.3249999993</v>
          </cell>
          <cell r="F5356">
            <v>5</v>
          </cell>
        </row>
        <row r="5357">
          <cell r="A5357">
            <v>2018</v>
          </cell>
          <cell r="B5357" t="str">
            <v>Budget</v>
          </cell>
          <cell r="C5357" t="str">
            <v>May</v>
          </cell>
          <cell r="D5357" t="str">
            <v>Kitchen</v>
          </cell>
          <cell r="E5357">
            <v>40175418.667999998</v>
          </cell>
          <cell r="F5357">
            <v>5</v>
          </cell>
        </row>
        <row r="5358">
          <cell r="A5358">
            <v>2018</v>
          </cell>
          <cell r="B5358" t="str">
            <v>Actual</v>
          </cell>
          <cell r="C5358" t="str">
            <v>May</v>
          </cell>
          <cell r="D5358" t="str">
            <v>Accessories</v>
          </cell>
          <cell r="E5358">
            <v>19024756.274999999</v>
          </cell>
          <cell r="F5358">
            <v>5</v>
          </cell>
        </row>
        <row r="5359">
          <cell r="A5359">
            <v>2019</v>
          </cell>
          <cell r="B5359" t="str">
            <v>Budget</v>
          </cell>
          <cell r="C5359" t="str">
            <v>May</v>
          </cell>
          <cell r="D5359" t="str">
            <v>Chairs</v>
          </cell>
          <cell r="E5359">
            <v>39337330.934999995</v>
          </cell>
          <cell r="F5359">
            <v>5</v>
          </cell>
        </row>
        <row r="5360">
          <cell r="A5360">
            <v>2019</v>
          </cell>
          <cell r="B5360" t="str">
            <v>Actual</v>
          </cell>
          <cell r="C5360" t="str">
            <v>May</v>
          </cell>
          <cell r="D5360" t="str">
            <v>Tables</v>
          </cell>
          <cell r="E5360">
            <v>148670.59899999999</v>
          </cell>
          <cell r="F5360">
            <v>5</v>
          </cell>
        </row>
        <row r="5361">
          <cell r="A5361">
            <v>2018</v>
          </cell>
          <cell r="B5361" t="str">
            <v>Budget</v>
          </cell>
          <cell r="C5361" t="str">
            <v>May</v>
          </cell>
          <cell r="D5361" t="str">
            <v>Kitchen</v>
          </cell>
          <cell r="E5361">
            <v>303067.12099999998</v>
          </cell>
          <cell r="F5361">
            <v>5</v>
          </cell>
        </row>
        <row r="5362">
          <cell r="A5362">
            <v>2018</v>
          </cell>
          <cell r="B5362" t="str">
            <v>Actual</v>
          </cell>
          <cell r="C5362" t="str">
            <v>May</v>
          </cell>
          <cell r="D5362" t="str">
            <v>Accessories</v>
          </cell>
          <cell r="E5362">
            <v>803111.21099999989</v>
          </cell>
          <cell r="F5362">
            <v>5</v>
          </cell>
        </row>
        <row r="5363">
          <cell r="A5363">
            <v>2018</v>
          </cell>
          <cell r="B5363" t="str">
            <v>Budget</v>
          </cell>
          <cell r="C5363" t="str">
            <v>May</v>
          </cell>
          <cell r="D5363" t="str">
            <v>Chairs</v>
          </cell>
          <cell r="E5363">
            <v>281105.74799999996</v>
          </cell>
          <cell r="F5363">
            <v>5</v>
          </cell>
        </row>
        <row r="5364">
          <cell r="A5364">
            <v>2018</v>
          </cell>
          <cell r="B5364" t="str">
            <v>Actual</v>
          </cell>
          <cell r="C5364" t="str">
            <v>May</v>
          </cell>
          <cell r="D5364" t="str">
            <v>Tables</v>
          </cell>
          <cell r="E5364">
            <v>118453.53099999999</v>
          </cell>
          <cell r="F5364">
            <v>5</v>
          </cell>
        </row>
        <row r="5365">
          <cell r="A5365">
            <v>2018</v>
          </cell>
          <cell r="B5365" t="str">
            <v>Budget</v>
          </cell>
          <cell r="C5365" t="str">
            <v>May</v>
          </cell>
          <cell r="D5365" t="str">
            <v>Kitchen</v>
          </cell>
          <cell r="E5365">
            <v>691527.50100000005</v>
          </cell>
          <cell r="F5365">
            <v>5</v>
          </cell>
        </row>
        <row r="5366">
          <cell r="A5366">
            <v>2018</v>
          </cell>
          <cell r="B5366" t="str">
            <v>Actual</v>
          </cell>
          <cell r="C5366" t="str">
            <v>May</v>
          </cell>
          <cell r="D5366" t="str">
            <v>Accessories</v>
          </cell>
          <cell r="E5366">
            <v>5752304.8939999994</v>
          </cell>
          <cell r="F5366">
            <v>5</v>
          </cell>
        </row>
        <row r="5367">
          <cell r="A5367">
            <v>2019</v>
          </cell>
          <cell r="B5367" t="str">
            <v>Budget</v>
          </cell>
          <cell r="C5367" t="str">
            <v>May</v>
          </cell>
          <cell r="D5367" t="str">
            <v>Chairs</v>
          </cell>
          <cell r="E5367">
            <v>156293.158</v>
          </cell>
          <cell r="F5367">
            <v>5</v>
          </cell>
        </row>
        <row r="5368">
          <cell r="A5368">
            <v>2018</v>
          </cell>
          <cell r="B5368" t="str">
            <v>Actual</v>
          </cell>
          <cell r="C5368" t="str">
            <v>May</v>
          </cell>
          <cell r="D5368" t="str">
            <v>Tables</v>
          </cell>
          <cell r="E5368">
            <v>88585.055999999997</v>
          </cell>
          <cell r="F5368">
            <v>5</v>
          </cell>
        </row>
        <row r="5369">
          <cell r="A5369">
            <v>2018</v>
          </cell>
          <cell r="B5369" t="str">
            <v>Budget</v>
          </cell>
          <cell r="C5369" t="str">
            <v>May</v>
          </cell>
          <cell r="D5369" t="str">
            <v>Kitchen</v>
          </cell>
          <cell r="E5369">
            <v>-6275.8359999999993</v>
          </cell>
          <cell r="F5369">
            <v>5</v>
          </cell>
        </row>
        <row r="5370">
          <cell r="A5370">
            <v>2018</v>
          </cell>
          <cell r="B5370" t="str">
            <v>Actual</v>
          </cell>
          <cell r="C5370" t="str">
            <v>May</v>
          </cell>
          <cell r="D5370" t="str">
            <v>Accessories</v>
          </cell>
          <cell r="E5370">
            <v>5645445.3229999999</v>
          </cell>
          <cell r="F5370">
            <v>5</v>
          </cell>
        </row>
        <row r="5371">
          <cell r="A5371">
            <v>2019</v>
          </cell>
          <cell r="B5371" t="str">
            <v>Budget</v>
          </cell>
          <cell r="C5371" t="str">
            <v>May</v>
          </cell>
          <cell r="D5371" t="str">
            <v>Chairs</v>
          </cell>
          <cell r="E5371">
            <v>4895818.585</v>
          </cell>
          <cell r="F5371">
            <v>5</v>
          </cell>
        </row>
        <row r="5372">
          <cell r="A5372">
            <v>2019</v>
          </cell>
          <cell r="B5372" t="str">
            <v>Actual</v>
          </cell>
          <cell r="C5372" t="str">
            <v>May</v>
          </cell>
          <cell r="D5372" t="str">
            <v>Chairs</v>
          </cell>
          <cell r="E5372">
            <v>216184.00999999998</v>
          </cell>
          <cell r="F5372">
            <v>5</v>
          </cell>
        </row>
        <row r="5373">
          <cell r="A5373">
            <v>2018</v>
          </cell>
          <cell r="B5373" t="str">
            <v>Budget</v>
          </cell>
          <cell r="C5373" t="str">
            <v>May</v>
          </cell>
          <cell r="D5373" t="str">
            <v>Tables</v>
          </cell>
          <cell r="E5373">
            <v>294843.26899999997</v>
          </cell>
          <cell r="F5373">
            <v>5</v>
          </cell>
        </row>
        <row r="5374">
          <cell r="A5374">
            <v>2019</v>
          </cell>
          <cell r="B5374" t="str">
            <v>Actual</v>
          </cell>
          <cell r="C5374" t="str">
            <v>May</v>
          </cell>
          <cell r="D5374" t="str">
            <v>Kitchen</v>
          </cell>
          <cell r="E5374">
            <v>107194.45099999999</v>
          </cell>
          <cell r="F5374">
            <v>5</v>
          </cell>
        </row>
        <row r="5375">
          <cell r="A5375">
            <v>2018</v>
          </cell>
          <cell r="B5375" t="str">
            <v>Budget</v>
          </cell>
          <cell r="C5375" t="str">
            <v>May</v>
          </cell>
          <cell r="D5375" t="str">
            <v>Chairs</v>
          </cell>
          <cell r="E5375">
            <v>808936.05799999996</v>
          </cell>
          <cell r="F5375">
            <v>5</v>
          </cell>
        </row>
        <row r="5376">
          <cell r="A5376">
            <v>2019</v>
          </cell>
          <cell r="B5376" t="str">
            <v>Actual</v>
          </cell>
          <cell r="C5376" t="str">
            <v>May</v>
          </cell>
          <cell r="D5376" t="str">
            <v>Tables</v>
          </cell>
          <cell r="E5376">
            <v>3435799.4509999994</v>
          </cell>
          <cell r="F5376">
            <v>5</v>
          </cell>
        </row>
        <row r="5377">
          <cell r="A5377">
            <v>2018</v>
          </cell>
          <cell r="B5377" t="str">
            <v>Budget</v>
          </cell>
          <cell r="C5377" t="str">
            <v>May</v>
          </cell>
          <cell r="D5377" t="str">
            <v>Kitchen</v>
          </cell>
          <cell r="E5377">
            <v>1710984.1139999998</v>
          </cell>
          <cell r="F5377">
            <v>5</v>
          </cell>
        </row>
        <row r="5378">
          <cell r="A5378">
            <v>2018</v>
          </cell>
          <cell r="B5378" t="str">
            <v>Actual</v>
          </cell>
          <cell r="C5378" t="str">
            <v>May</v>
          </cell>
          <cell r="D5378" t="str">
            <v>Chairs</v>
          </cell>
          <cell r="E5378">
            <v>577110.7649999999</v>
          </cell>
          <cell r="F5378">
            <v>5</v>
          </cell>
        </row>
        <row r="5379">
          <cell r="A5379">
            <v>2018</v>
          </cell>
          <cell r="B5379" t="str">
            <v>Budget</v>
          </cell>
          <cell r="C5379" t="str">
            <v>May</v>
          </cell>
          <cell r="D5379" t="str">
            <v>Tables</v>
          </cell>
          <cell r="E5379">
            <v>1506474.6689999998</v>
          </cell>
          <cell r="F5379">
            <v>5</v>
          </cell>
        </row>
        <row r="5380">
          <cell r="A5380">
            <v>2018</v>
          </cell>
          <cell r="B5380" t="str">
            <v>Actual</v>
          </cell>
          <cell r="C5380" t="str">
            <v>May</v>
          </cell>
          <cell r="D5380" t="str">
            <v>Kitchen</v>
          </cell>
          <cell r="E5380">
            <v>596940.68700000003</v>
          </cell>
          <cell r="F5380">
            <v>5</v>
          </cell>
        </row>
        <row r="5381">
          <cell r="A5381">
            <v>2019</v>
          </cell>
          <cell r="B5381" t="str">
            <v>Budget</v>
          </cell>
          <cell r="C5381" t="str">
            <v>May</v>
          </cell>
          <cell r="D5381" t="str">
            <v>Chairs</v>
          </cell>
          <cell r="E5381">
            <v>71140079.170999989</v>
          </cell>
          <cell r="F5381">
            <v>5</v>
          </cell>
        </row>
        <row r="5382">
          <cell r="A5382">
            <v>2019</v>
          </cell>
          <cell r="B5382" t="str">
            <v>Actual</v>
          </cell>
          <cell r="C5382" t="str">
            <v>May</v>
          </cell>
          <cell r="D5382" t="str">
            <v>Chairs</v>
          </cell>
          <cell r="E5382">
            <v>55345.856999999996</v>
          </cell>
          <cell r="F5382">
            <v>5</v>
          </cell>
        </row>
        <row r="5383">
          <cell r="A5383">
            <v>2019</v>
          </cell>
          <cell r="B5383" t="str">
            <v>Budget</v>
          </cell>
          <cell r="C5383" t="str">
            <v>May</v>
          </cell>
          <cell r="D5383" t="str">
            <v>Chairs</v>
          </cell>
          <cell r="E5383">
            <v>14781868.612</v>
          </cell>
          <cell r="F5383">
            <v>5</v>
          </cell>
        </row>
        <row r="5384">
          <cell r="A5384">
            <v>2018</v>
          </cell>
          <cell r="B5384" t="str">
            <v>Actual</v>
          </cell>
          <cell r="C5384" t="str">
            <v>May</v>
          </cell>
          <cell r="D5384" t="str">
            <v>Chairs</v>
          </cell>
          <cell r="E5384">
            <v>14652482.327</v>
          </cell>
          <cell r="F5384">
            <v>5</v>
          </cell>
        </row>
        <row r="5385">
          <cell r="A5385">
            <v>2019</v>
          </cell>
          <cell r="B5385" t="str">
            <v>Budget</v>
          </cell>
          <cell r="C5385" t="str">
            <v>May</v>
          </cell>
          <cell r="D5385" t="str">
            <v>Chairs</v>
          </cell>
          <cell r="E5385">
            <v>4443436.9210000001</v>
          </cell>
          <cell r="F5385">
            <v>5</v>
          </cell>
        </row>
        <row r="5386">
          <cell r="A5386">
            <v>2019</v>
          </cell>
          <cell r="B5386" t="str">
            <v>Actual</v>
          </cell>
          <cell r="C5386" t="str">
            <v>May</v>
          </cell>
          <cell r="D5386" t="str">
            <v>Chairs</v>
          </cell>
          <cell r="E5386">
            <v>21181701.344999999</v>
          </cell>
          <cell r="F5386">
            <v>5</v>
          </cell>
        </row>
        <row r="5387">
          <cell r="A5387">
            <v>2019</v>
          </cell>
          <cell r="B5387" t="str">
            <v>Budget</v>
          </cell>
          <cell r="C5387" t="str">
            <v>May</v>
          </cell>
          <cell r="D5387" t="str">
            <v>Chairs</v>
          </cell>
          <cell r="E5387">
            <v>6927531.4009999996</v>
          </cell>
          <cell r="F5387">
            <v>5</v>
          </cell>
        </row>
        <row r="5388">
          <cell r="A5388">
            <v>2018</v>
          </cell>
          <cell r="B5388" t="str">
            <v>Actual</v>
          </cell>
          <cell r="C5388" t="str">
            <v>May</v>
          </cell>
          <cell r="D5388" t="str">
            <v>Chairs</v>
          </cell>
          <cell r="E5388">
            <v>53417237.502999999</v>
          </cell>
          <cell r="F5388">
            <v>5</v>
          </cell>
        </row>
        <row r="5389">
          <cell r="A5389">
            <v>2018</v>
          </cell>
          <cell r="B5389" t="str">
            <v>Budget</v>
          </cell>
          <cell r="C5389" t="str">
            <v>May</v>
          </cell>
          <cell r="D5389" t="str">
            <v>Chairs</v>
          </cell>
          <cell r="E5389">
            <v>6034345.5129999993</v>
          </cell>
          <cell r="F5389">
            <v>5</v>
          </cell>
        </row>
        <row r="5390">
          <cell r="A5390">
            <v>2019</v>
          </cell>
          <cell r="B5390" t="str">
            <v>Actual</v>
          </cell>
          <cell r="C5390" t="str">
            <v>May</v>
          </cell>
          <cell r="D5390" t="str">
            <v>Chairs</v>
          </cell>
          <cell r="E5390">
            <v>14861658.405999998</v>
          </cell>
          <cell r="F5390">
            <v>5</v>
          </cell>
        </row>
        <row r="5391">
          <cell r="A5391">
            <v>2019</v>
          </cell>
          <cell r="B5391" t="str">
            <v>Budget</v>
          </cell>
          <cell r="C5391" t="str">
            <v>May</v>
          </cell>
          <cell r="D5391" t="str">
            <v>Chairs</v>
          </cell>
          <cell r="E5391">
            <v>5746907.5929999994</v>
          </cell>
          <cell r="F5391">
            <v>5</v>
          </cell>
        </row>
        <row r="5392">
          <cell r="A5392">
            <v>2019</v>
          </cell>
          <cell r="B5392" t="str">
            <v>Actual</v>
          </cell>
          <cell r="C5392" t="str">
            <v>May</v>
          </cell>
          <cell r="D5392" t="str">
            <v>Chairs</v>
          </cell>
          <cell r="E5392">
            <v>27559621.039999999</v>
          </cell>
          <cell r="F5392">
            <v>5</v>
          </cell>
        </row>
        <row r="5393">
          <cell r="A5393">
            <v>2018</v>
          </cell>
          <cell r="B5393" t="str">
            <v>Budget</v>
          </cell>
          <cell r="C5393" t="str">
            <v>Jun</v>
          </cell>
          <cell r="D5393" t="str">
            <v>Chairs</v>
          </cell>
          <cell r="E5393">
            <v>270101.38399999996</v>
          </cell>
          <cell r="F5393">
            <v>6</v>
          </cell>
        </row>
        <row r="5394">
          <cell r="A5394">
            <v>2019</v>
          </cell>
          <cell r="B5394" t="str">
            <v>Actual</v>
          </cell>
          <cell r="C5394" t="str">
            <v>Jun</v>
          </cell>
          <cell r="D5394" t="str">
            <v>Chairs</v>
          </cell>
          <cell r="E5394">
            <v>201546.82799999998</v>
          </cell>
          <cell r="F5394">
            <v>6</v>
          </cell>
        </row>
        <row r="5395">
          <cell r="A5395">
            <v>2019</v>
          </cell>
          <cell r="B5395" t="str">
            <v>Budget</v>
          </cell>
          <cell r="C5395" t="str">
            <v>Jun</v>
          </cell>
          <cell r="D5395" t="str">
            <v>Chairs</v>
          </cell>
          <cell r="E5395">
            <v>13683.579</v>
          </cell>
          <cell r="F5395">
            <v>6</v>
          </cell>
        </row>
        <row r="5396">
          <cell r="A5396">
            <v>2019</v>
          </cell>
          <cell r="B5396" t="str">
            <v>Actual</v>
          </cell>
          <cell r="C5396" t="str">
            <v>Jun</v>
          </cell>
          <cell r="D5396" t="str">
            <v>Chairs</v>
          </cell>
          <cell r="E5396">
            <v>35037.743999999999</v>
          </cell>
          <cell r="F5396">
            <v>6</v>
          </cell>
        </row>
        <row r="5397">
          <cell r="A5397">
            <v>2018</v>
          </cell>
          <cell r="B5397" t="str">
            <v>Budget</v>
          </cell>
          <cell r="C5397" t="str">
            <v>Jun</v>
          </cell>
          <cell r="D5397" t="str">
            <v>Chairs</v>
          </cell>
          <cell r="E5397">
            <v>14332.556</v>
          </cell>
          <cell r="F5397">
            <v>6</v>
          </cell>
        </row>
        <row r="5398">
          <cell r="A5398">
            <v>2018</v>
          </cell>
          <cell r="B5398" t="str">
            <v>Actual</v>
          </cell>
          <cell r="C5398" t="str">
            <v>Jun</v>
          </cell>
          <cell r="D5398" t="str">
            <v>Chairs</v>
          </cell>
          <cell r="E5398">
            <v>1256817.324</v>
          </cell>
          <cell r="F5398">
            <v>6</v>
          </cell>
        </row>
        <row r="5399">
          <cell r="A5399">
            <v>2018</v>
          </cell>
          <cell r="B5399" t="str">
            <v>Budget</v>
          </cell>
          <cell r="C5399" t="str">
            <v>Jun</v>
          </cell>
          <cell r="D5399" t="str">
            <v>Chairs</v>
          </cell>
          <cell r="E5399">
            <v>65678.612999999998</v>
          </cell>
          <cell r="F5399">
            <v>6</v>
          </cell>
        </row>
        <row r="5400">
          <cell r="A5400">
            <v>2018</v>
          </cell>
          <cell r="B5400" t="str">
            <v>Actual</v>
          </cell>
          <cell r="C5400" t="str">
            <v>Jun</v>
          </cell>
          <cell r="D5400" t="str">
            <v>Chairs</v>
          </cell>
          <cell r="E5400">
            <v>59002.565999999999</v>
          </cell>
          <cell r="F5400">
            <v>6</v>
          </cell>
        </row>
        <row r="5401">
          <cell r="A5401">
            <v>2019</v>
          </cell>
          <cell r="B5401" t="str">
            <v>Budget</v>
          </cell>
          <cell r="C5401" t="str">
            <v>Jun</v>
          </cell>
          <cell r="D5401" t="str">
            <v>Chairs</v>
          </cell>
          <cell r="E5401">
            <v>527446.19899999991</v>
          </cell>
          <cell r="F5401">
            <v>6</v>
          </cell>
        </row>
        <row r="5402">
          <cell r="A5402">
            <v>2019</v>
          </cell>
          <cell r="B5402" t="str">
            <v>Actual</v>
          </cell>
          <cell r="C5402" t="str">
            <v>Jun</v>
          </cell>
          <cell r="D5402" t="str">
            <v>Chairs</v>
          </cell>
          <cell r="E5402">
            <v>61950.07</v>
          </cell>
          <cell r="F5402">
            <v>6</v>
          </cell>
        </row>
        <row r="5403">
          <cell r="A5403">
            <v>2018</v>
          </cell>
          <cell r="B5403" t="str">
            <v>Budget</v>
          </cell>
          <cell r="C5403" t="str">
            <v>Jun</v>
          </cell>
          <cell r="D5403" t="str">
            <v>Chairs</v>
          </cell>
          <cell r="E5403">
            <v>9401.3150000000005</v>
          </cell>
          <cell r="F5403">
            <v>6</v>
          </cell>
        </row>
        <row r="5404">
          <cell r="A5404">
            <v>2018</v>
          </cell>
          <cell r="B5404" t="str">
            <v>Actual</v>
          </cell>
          <cell r="C5404" t="str">
            <v>Jun</v>
          </cell>
          <cell r="D5404" t="str">
            <v>Chairs</v>
          </cell>
          <cell r="E5404">
            <v>344263.62599999999</v>
          </cell>
          <cell r="F5404">
            <v>6</v>
          </cell>
        </row>
        <row r="5405">
          <cell r="A5405">
            <v>2018</v>
          </cell>
          <cell r="B5405" t="str">
            <v>Budget</v>
          </cell>
          <cell r="C5405" t="str">
            <v>Jun</v>
          </cell>
          <cell r="D5405" t="str">
            <v>Chairs</v>
          </cell>
          <cell r="E5405">
            <v>118673.72999999998</v>
          </cell>
          <cell r="F5405">
            <v>6</v>
          </cell>
        </row>
        <row r="5406">
          <cell r="A5406">
            <v>2019</v>
          </cell>
          <cell r="B5406" t="str">
            <v>Actual</v>
          </cell>
          <cell r="C5406" t="str">
            <v>Jun</v>
          </cell>
          <cell r="D5406" t="str">
            <v>Chairs</v>
          </cell>
          <cell r="E5406">
            <v>161970.9</v>
          </cell>
          <cell r="F5406">
            <v>6</v>
          </cell>
        </row>
        <row r="5407">
          <cell r="A5407">
            <v>2018</v>
          </cell>
          <cell r="B5407" t="str">
            <v>Budget</v>
          </cell>
          <cell r="C5407" t="str">
            <v>Jun</v>
          </cell>
          <cell r="D5407" t="str">
            <v>Tables</v>
          </cell>
          <cell r="E5407">
            <v>161704.34</v>
          </cell>
          <cell r="F5407">
            <v>6</v>
          </cell>
        </row>
        <row r="5408">
          <cell r="A5408">
            <v>2018</v>
          </cell>
          <cell r="B5408" t="str">
            <v>Actual</v>
          </cell>
          <cell r="C5408" t="str">
            <v>Jun</v>
          </cell>
          <cell r="D5408" t="str">
            <v>Kitchen</v>
          </cell>
          <cell r="E5408">
            <v>4438.7769999999991</v>
          </cell>
          <cell r="F5408">
            <v>6</v>
          </cell>
        </row>
        <row r="5409">
          <cell r="A5409">
            <v>2019</v>
          </cell>
          <cell r="B5409" t="str">
            <v>Budget</v>
          </cell>
          <cell r="C5409" t="str">
            <v>Jun</v>
          </cell>
          <cell r="D5409" t="str">
            <v>Chairs</v>
          </cell>
          <cell r="E5409">
            <v>14451.892</v>
          </cell>
          <cell r="F5409">
            <v>6</v>
          </cell>
        </row>
        <row r="5410">
          <cell r="A5410">
            <v>2019</v>
          </cell>
          <cell r="B5410" t="str">
            <v>Actual</v>
          </cell>
          <cell r="C5410" t="str">
            <v>Jun</v>
          </cell>
          <cell r="D5410" t="str">
            <v>Chairs</v>
          </cell>
          <cell r="E5410">
            <v>41813.436000000002</v>
          </cell>
          <cell r="F5410">
            <v>6</v>
          </cell>
        </row>
        <row r="5411">
          <cell r="A5411">
            <v>2018</v>
          </cell>
          <cell r="B5411" t="str">
            <v>Budget</v>
          </cell>
          <cell r="C5411" t="str">
            <v>Jun</v>
          </cell>
          <cell r="D5411" t="str">
            <v>Chairs</v>
          </cell>
          <cell r="E5411">
            <v>22851.71</v>
          </cell>
          <cell r="F5411">
            <v>6</v>
          </cell>
        </row>
        <row r="5412">
          <cell r="A5412">
            <v>2018</v>
          </cell>
          <cell r="B5412" t="str">
            <v>Actual</v>
          </cell>
          <cell r="C5412" t="str">
            <v>Jun</v>
          </cell>
          <cell r="D5412" t="str">
            <v>Chairs</v>
          </cell>
          <cell r="E5412">
            <v>77189.566999999995</v>
          </cell>
          <cell r="F5412">
            <v>6</v>
          </cell>
        </row>
        <row r="5413">
          <cell r="A5413">
            <v>2018</v>
          </cell>
          <cell r="B5413" t="str">
            <v>Budget</v>
          </cell>
          <cell r="C5413" t="str">
            <v>Jun</v>
          </cell>
          <cell r="D5413" t="str">
            <v>Chairs</v>
          </cell>
          <cell r="E5413">
            <v>28359.414999999997</v>
          </cell>
          <cell r="F5413">
            <v>6</v>
          </cell>
        </row>
        <row r="5414">
          <cell r="A5414">
            <v>2019</v>
          </cell>
          <cell r="B5414" t="str">
            <v>Actual</v>
          </cell>
          <cell r="C5414" t="str">
            <v>Jun</v>
          </cell>
          <cell r="D5414" t="str">
            <v>Tables</v>
          </cell>
          <cell r="E5414">
            <v>7219.2889999999998</v>
          </cell>
          <cell r="F5414">
            <v>6</v>
          </cell>
        </row>
        <row r="5415">
          <cell r="A5415">
            <v>2018</v>
          </cell>
          <cell r="B5415" t="str">
            <v>Budget</v>
          </cell>
          <cell r="C5415" t="str">
            <v>Jun</v>
          </cell>
          <cell r="D5415" t="str">
            <v>Kitchen</v>
          </cell>
          <cell r="E5415">
            <v>38296.915999999997</v>
          </cell>
          <cell r="F5415">
            <v>6</v>
          </cell>
        </row>
        <row r="5416">
          <cell r="A5416">
            <v>2019</v>
          </cell>
          <cell r="B5416" t="str">
            <v>Actual</v>
          </cell>
          <cell r="C5416" t="str">
            <v>Jun</v>
          </cell>
          <cell r="D5416" t="str">
            <v>Chairs</v>
          </cell>
          <cell r="E5416">
            <v>25365.312000000002</v>
          </cell>
          <cell r="F5416">
            <v>6</v>
          </cell>
        </row>
        <row r="5417">
          <cell r="A5417">
            <v>2019</v>
          </cell>
          <cell r="B5417" t="str">
            <v>Budget</v>
          </cell>
          <cell r="C5417" t="str">
            <v>Jun</v>
          </cell>
          <cell r="D5417" t="str">
            <v>Chairs</v>
          </cell>
          <cell r="E5417">
            <v>31418.253999999997</v>
          </cell>
          <cell r="F5417">
            <v>6</v>
          </cell>
        </row>
        <row r="5418">
          <cell r="A5418">
            <v>2018</v>
          </cell>
          <cell r="B5418" t="str">
            <v>Actual</v>
          </cell>
          <cell r="C5418" t="str">
            <v>Jun</v>
          </cell>
          <cell r="D5418" t="str">
            <v>Chairs</v>
          </cell>
          <cell r="E5418">
            <v>14967.841</v>
          </cell>
          <cell r="F5418">
            <v>6</v>
          </cell>
        </row>
        <row r="5419">
          <cell r="A5419">
            <v>2019</v>
          </cell>
          <cell r="B5419" t="str">
            <v>Budget</v>
          </cell>
          <cell r="C5419" t="str">
            <v>Jun</v>
          </cell>
          <cell r="D5419" t="str">
            <v>Tables</v>
          </cell>
          <cell r="E5419">
            <v>16273.396999999999</v>
          </cell>
          <cell r="F5419">
            <v>6</v>
          </cell>
        </row>
        <row r="5420">
          <cell r="A5420">
            <v>2019</v>
          </cell>
          <cell r="B5420" t="str">
            <v>Actual</v>
          </cell>
          <cell r="C5420" t="str">
            <v>Jun</v>
          </cell>
          <cell r="D5420" t="str">
            <v>Kitchen</v>
          </cell>
          <cell r="E5420">
            <v>98692.096999999994</v>
          </cell>
          <cell r="F5420">
            <v>6</v>
          </cell>
        </row>
        <row r="5421">
          <cell r="A5421">
            <v>2018</v>
          </cell>
          <cell r="B5421" t="str">
            <v>Budget</v>
          </cell>
          <cell r="C5421" t="str">
            <v>Jun</v>
          </cell>
          <cell r="D5421" t="str">
            <v>Chairs</v>
          </cell>
          <cell r="E5421">
            <v>129581.43099999998</v>
          </cell>
          <cell r="F5421">
            <v>6</v>
          </cell>
        </row>
        <row r="5422">
          <cell r="A5422">
            <v>2018</v>
          </cell>
          <cell r="B5422" t="str">
            <v>Actual</v>
          </cell>
          <cell r="C5422" t="str">
            <v>Jun</v>
          </cell>
          <cell r="D5422" t="str">
            <v>Chairs</v>
          </cell>
          <cell r="E5422">
            <v>37098.277999999998</v>
          </cell>
          <cell r="F5422">
            <v>6</v>
          </cell>
        </row>
        <row r="5423">
          <cell r="A5423">
            <v>2019</v>
          </cell>
          <cell r="B5423" t="str">
            <v>Budget</v>
          </cell>
          <cell r="C5423" t="str">
            <v>Jun</v>
          </cell>
          <cell r="D5423" t="str">
            <v>Tables</v>
          </cell>
          <cell r="E5423">
            <v>174.08999999999997</v>
          </cell>
          <cell r="F5423">
            <v>6</v>
          </cell>
        </row>
        <row r="5424">
          <cell r="A5424">
            <v>2018</v>
          </cell>
          <cell r="B5424" t="str">
            <v>Actual</v>
          </cell>
          <cell r="C5424" t="str">
            <v>Jun</v>
          </cell>
          <cell r="D5424" t="str">
            <v>Kitchen</v>
          </cell>
          <cell r="E5424">
            <v>1893.941</v>
          </cell>
          <cell r="F5424">
            <v>6</v>
          </cell>
        </row>
        <row r="5425">
          <cell r="A5425">
            <v>2018</v>
          </cell>
          <cell r="B5425" t="str">
            <v>Budget</v>
          </cell>
          <cell r="C5425" t="str">
            <v>Jun</v>
          </cell>
          <cell r="D5425" t="str">
            <v>Chairs</v>
          </cell>
          <cell r="E5425">
            <v>23523.240999999998</v>
          </cell>
          <cell r="F5425">
            <v>6</v>
          </cell>
        </row>
        <row r="5426">
          <cell r="A5426">
            <v>2018</v>
          </cell>
          <cell r="B5426" t="str">
            <v>Actual</v>
          </cell>
          <cell r="C5426" t="str">
            <v>Jun</v>
          </cell>
          <cell r="D5426" t="str">
            <v>Chairs</v>
          </cell>
          <cell r="E5426">
            <v>95087.320999999996</v>
          </cell>
          <cell r="F5426">
            <v>6</v>
          </cell>
        </row>
        <row r="5427">
          <cell r="A5427">
            <v>2018</v>
          </cell>
          <cell r="B5427" t="str">
            <v>Budget</v>
          </cell>
          <cell r="C5427" t="str">
            <v>Jun</v>
          </cell>
          <cell r="D5427" t="str">
            <v>Chairs</v>
          </cell>
          <cell r="E5427">
            <v>34496.811999999998</v>
          </cell>
          <cell r="F5427">
            <v>6</v>
          </cell>
        </row>
        <row r="5428">
          <cell r="A5428">
            <v>2019</v>
          </cell>
          <cell r="B5428" t="str">
            <v>Actual</v>
          </cell>
          <cell r="C5428" t="str">
            <v>Jun</v>
          </cell>
          <cell r="D5428" t="str">
            <v>Tables</v>
          </cell>
          <cell r="E5428">
            <v>68972.777999999991</v>
          </cell>
          <cell r="F5428">
            <v>6</v>
          </cell>
        </row>
        <row r="5429">
          <cell r="A5429">
            <v>2018</v>
          </cell>
          <cell r="B5429" t="str">
            <v>Budget</v>
          </cell>
          <cell r="C5429" t="str">
            <v>Jun</v>
          </cell>
          <cell r="D5429" t="str">
            <v>Kitchen</v>
          </cell>
          <cell r="E5429">
            <v>481004.00599999994</v>
          </cell>
          <cell r="F5429">
            <v>6</v>
          </cell>
        </row>
        <row r="5430">
          <cell r="A5430">
            <v>2019</v>
          </cell>
          <cell r="B5430" t="str">
            <v>Actual</v>
          </cell>
          <cell r="C5430" t="str">
            <v>Jun</v>
          </cell>
          <cell r="D5430" t="str">
            <v>Accessories</v>
          </cell>
          <cell r="E5430">
            <v>62057.911999999997</v>
          </cell>
          <cell r="F5430">
            <v>6</v>
          </cell>
        </row>
        <row r="5431">
          <cell r="A5431">
            <v>2018</v>
          </cell>
          <cell r="B5431" t="str">
            <v>Budget</v>
          </cell>
          <cell r="C5431" t="str">
            <v>Jun</v>
          </cell>
          <cell r="D5431" t="str">
            <v>Chairs</v>
          </cell>
          <cell r="E5431">
            <v>82367.922000000006</v>
          </cell>
          <cell r="F5431">
            <v>6</v>
          </cell>
        </row>
        <row r="5432">
          <cell r="A5432">
            <v>2019</v>
          </cell>
          <cell r="B5432" t="str">
            <v>Actual</v>
          </cell>
          <cell r="C5432" t="str">
            <v>Jun</v>
          </cell>
          <cell r="D5432" t="str">
            <v>Tables</v>
          </cell>
          <cell r="E5432">
            <v>84530.858999999997</v>
          </cell>
          <cell r="F5432">
            <v>6</v>
          </cell>
        </row>
        <row r="5433">
          <cell r="A5433">
            <v>2019</v>
          </cell>
          <cell r="B5433" t="str">
            <v>Budget</v>
          </cell>
          <cell r="C5433" t="str">
            <v>Jun</v>
          </cell>
          <cell r="D5433" t="str">
            <v>Kitchen</v>
          </cell>
          <cell r="E5433">
            <v>45343.101999999999</v>
          </cell>
          <cell r="F5433">
            <v>6</v>
          </cell>
        </row>
        <row r="5434">
          <cell r="A5434">
            <v>2018</v>
          </cell>
          <cell r="B5434" t="str">
            <v>Actual</v>
          </cell>
          <cell r="C5434" t="str">
            <v>Jun</v>
          </cell>
          <cell r="D5434" t="str">
            <v>Accessories</v>
          </cell>
          <cell r="E5434">
            <v>22186.758999999998</v>
          </cell>
          <cell r="F5434">
            <v>6</v>
          </cell>
        </row>
        <row r="5435">
          <cell r="A5435">
            <v>2018</v>
          </cell>
          <cell r="B5435" t="str">
            <v>Budget</v>
          </cell>
          <cell r="C5435" t="str">
            <v>Jun</v>
          </cell>
          <cell r="D5435" t="str">
            <v>Chairs</v>
          </cell>
          <cell r="E5435">
            <v>78057.224000000002</v>
          </cell>
          <cell r="F5435">
            <v>6</v>
          </cell>
        </row>
        <row r="5436">
          <cell r="A5436">
            <v>2019</v>
          </cell>
          <cell r="B5436" t="str">
            <v>Actual</v>
          </cell>
          <cell r="C5436" t="str">
            <v>Jun</v>
          </cell>
          <cell r="D5436" t="str">
            <v>Tables</v>
          </cell>
          <cell r="E5436">
            <v>53123.076999999997</v>
          </cell>
          <cell r="F5436">
            <v>6</v>
          </cell>
        </row>
        <row r="5437">
          <cell r="A5437">
            <v>2018</v>
          </cell>
          <cell r="B5437" t="str">
            <v>Budget</v>
          </cell>
          <cell r="C5437" t="str">
            <v>Jun</v>
          </cell>
          <cell r="D5437" t="str">
            <v>Kitchen</v>
          </cell>
          <cell r="E5437">
            <v>79227.623999999996</v>
          </cell>
          <cell r="F5437">
            <v>6</v>
          </cell>
        </row>
        <row r="5438">
          <cell r="A5438">
            <v>2019</v>
          </cell>
          <cell r="B5438" t="str">
            <v>Actual</v>
          </cell>
          <cell r="C5438" t="str">
            <v>Jun</v>
          </cell>
          <cell r="D5438" t="str">
            <v>Accessories</v>
          </cell>
          <cell r="E5438">
            <v>90161.414000000004</v>
          </cell>
          <cell r="F5438">
            <v>6</v>
          </cell>
        </row>
        <row r="5439">
          <cell r="A5439">
            <v>2018</v>
          </cell>
          <cell r="B5439" t="str">
            <v>Budget</v>
          </cell>
          <cell r="C5439" t="str">
            <v>Jun</v>
          </cell>
          <cell r="D5439" t="str">
            <v>Chairs</v>
          </cell>
          <cell r="E5439">
            <v>2144902.5709999995</v>
          </cell>
          <cell r="F5439">
            <v>6</v>
          </cell>
        </row>
        <row r="5440">
          <cell r="A5440">
            <v>2019</v>
          </cell>
          <cell r="B5440" t="str">
            <v>Actual</v>
          </cell>
          <cell r="C5440" t="str">
            <v>Jun</v>
          </cell>
          <cell r="D5440" t="str">
            <v>Tables</v>
          </cell>
          <cell r="E5440">
            <v>125293.62999999999</v>
          </cell>
          <cell r="F5440">
            <v>6</v>
          </cell>
        </row>
        <row r="5441">
          <cell r="A5441">
            <v>2018</v>
          </cell>
          <cell r="B5441" t="str">
            <v>Budget</v>
          </cell>
          <cell r="C5441" t="str">
            <v>Jun</v>
          </cell>
          <cell r="D5441" t="str">
            <v>Kitchen</v>
          </cell>
          <cell r="E5441">
            <v>110600.90999999999</v>
          </cell>
          <cell r="F5441">
            <v>6</v>
          </cell>
        </row>
        <row r="5442">
          <cell r="A5442">
            <v>2019</v>
          </cell>
          <cell r="B5442" t="str">
            <v>Actual</v>
          </cell>
          <cell r="C5442" t="str">
            <v>Jun</v>
          </cell>
          <cell r="D5442" t="str">
            <v>Accessories</v>
          </cell>
          <cell r="E5442">
            <v>151703.11799999999</v>
          </cell>
          <cell r="F5442">
            <v>6</v>
          </cell>
        </row>
        <row r="5443">
          <cell r="A5443">
            <v>2018</v>
          </cell>
          <cell r="B5443" t="str">
            <v>Budget</v>
          </cell>
          <cell r="C5443" t="str">
            <v>Jun</v>
          </cell>
          <cell r="D5443" t="str">
            <v>Chairs</v>
          </cell>
          <cell r="E5443">
            <v>7836.3389999999999</v>
          </cell>
          <cell r="F5443">
            <v>6</v>
          </cell>
        </row>
        <row r="5444">
          <cell r="A5444">
            <v>2018</v>
          </cell>
          <cell r="B5444" t="str">
            <v>Actual</v>
          </cell>
          <cell r="C5444" t="str">
            <v>Jun</v>
          </cell>
          <cell r="D5444" t="str">
            <v>Chairs</v>
          </cell>
          <cell r="E5444">
            <v>60108.026999999995</v>
          </cell>
          <cell r="F5444">
            <v>6</v>
          </cell>
        </row>
        <row r="5445">
          <cell r="A5445">
            <v>2018</v>
          </cell>
          <cell r="B5445" t="str">
            <v>Budget</v>
          </cell>
          <cell r="C5445" t="str">
            <v>Jun</v>
          </cell>
          <cell r="D5445" t="str">
            <v>Tables</v>
          </cell>
          <cell r="E5445">
            <v>15645.293999999998</v>
          </cell>
          <cell r="F5445">
            <v>6</v>
          </cell>
        </row>
        <row r="5446">
          <cell r="A5446">
            <v>2019</v>
          </cell>
          <cell r="B5446" t="str">
            <v>Actual</v>
          </cell>
          <cell r="C5446" t="str">
            <v>Jun</v>
          </cell>
          <cell r="D5446" t="str">
            <v>Kitchen</v>
          </cell>
          <cell r="E5446">
            <v>161057.35799999998</v>
          </cell>
          <cell r="F5446">
            <v>6</v>
          </cell>
        </row>
        <row r="5447">
          <cell r="A5447">
            <v>2018</v>
          </cell>
          <cell r="B5447" t="str">
            <v>Budget</v>
          </cell>
          <cell r="C5447" t="str">
            <v>Jun</v>
          </cell>
          <cell r="D5447" t="str">
            <v>Chairs</v>
          </cell>
          <cell r="E5447">
            <v>144266.22</v>
          </cell>
          <cell r="F5447">
            <v>6</v>
          </cell>
        </row>
        <row r="5448">
          <cell r="A5448">
            <v>2018</v>
          </cell>
          <cell r="B5448" t="str">
            <v>Actual</v>
          </cell>
          <cell r="C5448" t="str">
            <v>Jun</v>
          </cell>
          <cell r="D5448" t="str">
            <v>Tables</v>
          </cell>
          <cell r="E5448">
            <v>189149.065</v>
          </cell>
          <cell r="F5448">
            <v>6</v>
          </cell>
        </row>
        <row r="5449">
          <cell r="A5449">
            <v>2018</v>
          </cell>
          <cell r="B5449" t="str">
            <v>Budget</v>
          </cell>
          <cell r="C5449" t="str">
            <v>Jun</v>
          </cell>
          <cell r="D5449" t="str">
            <v>Kitchen</v>
          </cell>
          <cell r="E5449">
            <v>231741.24399999998</v>
          </cell>
          <cell r="F5449">
            <v>6</v>
          </cell>
        </row>
        <row r="5450">
          <cell r="A5450">
            <v>2019</v>
          </cell>
          <cell r="B5450" t="str">
            <v>Actual</v>
          </cell>
          <cell r="C5450" t="str">
            <v>Jun</v>
          </cell>
          <cell r="D5450" t="str">
            <v>Chairs</v>
          </cell>
          <cell r="E5450">
            <v>286853.80499999999</v>
          </cell>
          <cell r="F5450">
            <v>6</v>
          </cell>
        </row>
        <row r="5451">
          <cell r="A5451">
            <v>2019</v>
          </cell>
          <cell r="B5451" t="str">
            <v>Budget</v>
          </cell>
          <cell r="C5451" t="str">
            <v>Jun</v>
          </cell>
          <cell r="D5451" t="str">
            <v>Tables</v>
          </cell>
          <cell r="E5451">
            <v>30007.061000000002</v>
          </cell>
          <cell r="F5451">
            <v>6</v>
          </cell>
        </row>
        <row r="5452">
          <cell r="A5452">
            <v>2019</v>
          </cell>
          <cell r="B5452" t="str">
            <v>Actual</v>
          </cell>
          <cell r="C5452" t="str">
            <v>Jun</v>
          </cell>
          <cell r="D5452" t="str">
            <v>Kitchen</v>
          </cell>
          <cell r="E5452">
            <v>5557.0059999999994</v>
          </cell>
          <cell r="F5452">
            <v>6</v>
          </cell>
        </row>
        <row r="5453">
          <cell r="A5453">
            <v>2019</v>
          </cell>
          <cell r="B5453" t="str">
            <v>Budget</v>
          </cell>
          <cell r="C5453" t="str">
            <v>Jun</v>
          </cell>
          <cell r="D5453" t="str">
            <v>Chairs</v>
          </cell>
          <cell r="E5453">
            <v>8857.3169999999991</v>
          </cell>
          <cell r="F5453">
            <v>6</v>
          </cell>
        </row>
        <row r="5454">
          <cell r="A5454">
            <v>2018</v>
          </cell>
          <cell r="B5454" t="str">
            <v>Actual</v>
          </cell>
          <cell r="C5454" t="str">
            <v>Jun</v>
          </cell>
          <cell r="D5454" t="str">
            <v>Chairs</v>
          </cell>
          <cell r="E5454">
            <v>-4293.317</v>
          </cell>
          <cell r="F5454">
            <v>6</v>
          </cell>
        </row>
        <row r="5455">
          <cell r="A5455">
            <v>2018</v>
          </cell>
          <cell r="B5455" t="str">
            <v>Budget</v>
          </cell>
          <cell r="C5455" t="str">
            <v>Jun</v>
          </cell>
          <cell r="D5455" t="str">
            <v>Chairs</v>
          </cell>
          <cell r="E5455">
            <v>352690.80699999997</v>
          </cell>
          <cell r="F5455">
            <v>6</v>
          </cell>
        </row>
        <row r="5456">
          <cell r="A5456">
            <v>2018</v>
          </cell>
          <cell r="B5456" t="str">
            <v>Actual</v>
          </cell>
          <cell r="C5456" t="str">
            <v>Jun</v>
          </cell>
          <cell r="D5456" t="str">
            <v>Chairs</v>
          </cell>
          <cell r="E5456">
            <v>35805.608999999997</v>
          </cell>
          <cell r="F5456">
            <v>6</v>
          </cell>
        </row>
        <row r="5457">
          <cell r="A5457">
            <v>2018</v>
          </cell>
          <cell r="B5457" t="str">
            <v>Budget</v>
          </cell>
          <cell r="C5457" t="str">
            <v>Jun</v>
          </cell>
          <cell r="D5457" t="str">
            <v>Chairs</v>
          </cell>
          <cell r="E5457">
            <v>84116.346999999994</v>
          </cell>
          <cell r="F5457">
            <v>6</v>
          </cell>
        </row>
        <row r="5458">
          <cell r="A5458">
            <v>2018</v>
          </cell>
          <cell r="B5458" t="str">
            <v>Actual</v>
          </cell>
          <cell r="C5458" t="str">
            <v>Jun</v>
          </cell>
          <cell r="D5458" t="str">
            <v>Chairs</v>
          </cell>
          <cell r="E5458">
            <v>1313256.581</v>
          </cell>
          <cell r="F5458">
            <v>6</v>
          </cell>
        </row>
        <row r="5459">
          <cell r="A5459">
            <v>2019</v>
          </cell>
          <cell r="B5459" t="str">
            <v>Budget</v>
          </cell>
          <cell r="C5459" t="str">
            <v>Jun</v>
          </cell>
          <cell r="D5459" t="str">
            <v>Chairs</v>
          </cell>
          <cell r="E5459">
            <v>178122.41999999998</v>
          </cell>
          <cell r="F5459">
            <v>6</v>
          </cell>
        </row>
        <row r="5460">
          <cell r="A5460">
            <v>2018</v>
          </cell>
          <cell r="B5460" t="str">
            <v>Actual</v>
          </cell>
          <cell r="C5460" t="str">
            <v>Jun</v>
          </cell>
          <cell r="D5460" t="str">
            <v>Chairs</v>
          </cell>
          <cell r="E5460">
            <v>5680375.6449999996</v>
          </cell>
          <cell r="F5460">
            <v>6</v>
          </cell>
        </row>
        <row r="5461">
          <cell r="A5461">
            <v>2019</v>
          </cell>
          <cell r="B5461" t="str">
            <v>Budget</v>
          </cell>
          <cell r="C5461" t="str">
            <v>Jun</v>
          </cell>
          <cell r="D5461" t="str">
            <v>Chairs</v>
          </cell>
          <cell r="E5461">
            <v>23224.018999999997</v>
          </cell>
          <cell r="F5461">
            <v>6</v>
          </cell>
        </row>
        <row r="5462">
          <cell r="A5462">
            <v>2019</v>
          </cell>
          <cell r="B5462" t="str">
            <v>Actual</v>
          </cell>
          <cell r="C5462" t="str">
            <v>Jun</v>
          </cell>
          <cell r="D5462" t="str">
            <v>Chairs</v>
          </cell>
          <cell r="E5462">
            <v>90498.52</v>
          </cell>
          <cell r="F5462">
            <v>6</v>
          </cell>
        </row>
        <row r="5463">
          <cell r="A5463">
            <v>2019</v>
          </cell>
          <cell r="B5463" t="str">
            <v>Budget</v>
          </cell>
          <cell r="C5463" t="str">
            <v>Jun</v>
          </cell>
          <cell r="D5463" t="str">
            <v>Chairs</v>
          </cell>
          <cell r="E5463">
            <v>69511.133999999991</v>
          </cell>
          <cell r="F5463">
            <v>6</v>
          </cell>
        </row>
        <row r="5464">
          <cell r="A5464">
            <v>2019</v>
          </cell>
          <cell r="B5464" t="str">
            <v>Actual</v>
          </cell>
          <cell r="C5464" t="str">
            <v>Jun</v>
          </cell>
          <cell r="D5464" t="str">
            <v>Chairs</v>
          </cell>
          <cell r="E5464">
            <v>689984.42099999997</v>
          </cell>
          <cell r="F5464">
            <v>6</v>
          </cell>
        </row>
        <row r="5465">
          <cell r="A5465">
            <v>2018</v>
          </cell>
          <cell r="B5465" t="str">
            <v>Budget</v>
          </cell>
          <cell r="C5465" t="str">
            <v>Jun</v>
          </cell>
          <cell r="D5465" t="str">
            <v>Chairs</v>
          </cell>
          <cell r="E5465">
            <v>481402.201</v>
          </cell>
          <cell r="F5465">
            <v>6</v>
          </cell>
        </row>
        <row r="5466">
          <cell r="A5466">
            <v>2019</v>
          </cell>
          <cell r="B5466" t="str">
            <v>Actual</v>
          </cell>
          <cell r="C5466" t="str">
            <v>Jun</v>
          </cell>
          <cell r="D5466" t="str">
            <v>Chairs</v>
          </cell>
          <cell r="E5466">
            <v>146740.99299999999</v>
          </cell>
          <cell r="F5466">
            <v>6</v>
          </cell>
        </row>
        <row r="5467">
          <cell r="A5467">
            <v>2019</v>
          </cell>
          <cell r="B5467" t="str">
            <v>Budget</v>
          </cell>
          <cell r="C5467" t="str">
            <v>Jun</v>
          </cell>
          <cell r="D5467" t="str">
            <v>Chairs</v>
          </cell>
          <cell r="E5467">
            <v>241987.03199999998</v>
          </cell>
          <cell r="F5467">
            <v>6</v>
          </cell>
        </row>
        <row r="5468">
          <cell r="A5468">
            <v>2019</v>
          </cell>
          <cell r="B5468" t="str">
            <v>Actual</v>
          </cell>
          <cell r="C5468" t="str">
            <v>Jun</v>
          </cell>
          <cell r="D5468" t="str">
            <v>Chairs</v>
          </cell>
          <cell r="E5468">
            <v>521782.8</v>
          </cell>
          <cell r="F5468">
            <v>6</v>
          </cell>
        </row>
        <row r="5469">
          <cell r="A5469">
            <v>2018</v>
          </cell>
          <cell r="B5469" t="str">
            <v>Budget</v>
          </cell>
          <cell r="C5469" t="str">
            <v>Jun</v>
          </cell>
          <cell r="D5469" t="str">
            <v>Chairs</v>
          </cell>
          <cell r="E5469">
            <v>26072.276999999998</v>
          </cell>
          <cell r="F5469">
            <v>6</v>
          </cell>
        </row>
        <row r="5470">
          <cell r="A5470">
            <v>2019</v>
          </cell>
          <cell r="B5470" t="str">
            <v>Actual</v>
          </cell>
          <cell r="C5470" t="str">
            <v>Jun</v>
          </cell>
          <cell r="D5470" t="str">
            <v>Chairs</v>
          </cell>
          <cell r="E5470">
            <v>64605.337999999996</v>
          </cell>
          <cell r="F5470">
            <v>6</v>
          </cell>
        </row>
        <row r="5471">
          <cell r="A5471">
            <v>2018</v>
          </cell>
          <cell r="B5471" t="str">
            <v>Budget</v>
          </cell>
          <cell r="C5471" t="str">
            <v>Jun</v>
          </cell>
          <cell r="D5471" t="str">
            <v>Chairs</v>
          </cell>
          <cell r="E5471">
            <v>46235.048999999999</v>
          </cell>
          <cell r="F5471">
            <v>6</v>
          </cell>
        </row>
        <row r="5472">
          <cell r="A5472">
            <v>2018</v>
          </cell>
          <cell r="B5472" t="str">
            <v>Actual</v>
          </cell>
          <cell r="C5472" t="str">
            <v>Jun</v>
          </cell>
          <cell r="D5472" t="str">
            <v>Chairs</v>
          </cell>
          <cell r="E5472">
            <v>53831.560999999994</v>
          </cell>
          <cell r="F5472">
            <v>6</v>
          </cell>
        </row>
        <row r="5473">
          <cell r="A5473">
            <v>2018</v>
          </cell>
          <cell r="B5473" t="str">
            <v>Budget</v>
          </cell>
          <cell r="C5473" t="str">
            <v>Jun</v>
          </cell>
          <cell r="D5473" t="str">
            <v>Chairs</v>
          </cell>
          <cell r="E5473">
            <v>510095.74699999992</v>
          </cell>
          <cell r="F5473">
            <v>6</v>
          </cell>
        </row>
        <row r="5474">
          <cell r="A5474">
            <v>2018</v>
          </cell>
          <cell r="B5474" t="str">
            <v>Actual</v>
          </cell>
          <cell r="C5474" t="str">
            <v>Jun</v>
          </cell>
          <cell r="D5474" t="str">
            <v>Chairs</v>
          </cell>
          <cell r="E5474">
            <v>1119500.746</v>
          </cell>
          <cell r="F5474">
            <v>6</v>
          </cell>
        </row>
        <row r="5475">
          <cell r="A5475">
            <v>2018</v>
          </cell>
          <cell r="B5475" t="str">
            <v>Budget</v>
          </cell>
          <cell r="C5475" t="str">
            <v>Jun</v>
          </cell>
          <cell r="D5475" t="str">
            <v>Chairs</v>
          </cell>
          <cell r="E5475">
            <v>114769.07399999999</v>
          </cell>
          <cell r="F5475">
            <v>6</v>
          </cell>
        </row>
        <row r="5476">
          <cell r="A5476">
            <v>2018</v>
          </cell>
          <cell r="B5476" t="str">
            <v>Actual</v>
          </cell>
          <cell r="C5476" t="str">
            <v>Jun</v>
          </cell>
          <cell r="D5476" t="str">
            <v>Chairs</v>
          </cell>
          <cell r="E5476">
            <v>476781.04599999997</v>
          </cell>
          <cell r="F5476">
            <v>6</v>
          </cell>
        </row>
        <row r="5477">
          <cell r="A5477">
            <v>2019</v>
          </cell>
          <cell r="B5477" t="str">
            <v>Budget</v>
          </cell>
          <cell r="C5477" t="str">
            <v>Jun</v>
          </cell>
          <cell r="D5477" t="str">
            <v>Chairs</v>
          </cell>
          <cell r="E5477">
            <v>285163.06699999998</v>
          </cell>
          <cell r="F5477">
            <v>6</v>
          </cell>
        </row>
        <row r="5478">
          <cell r="A5478">
            <v>2018</v>
          </cell>
          <cell r="B5478" t="str">
            <v>Actual</v>
          </cell>
          <cell r="C5478" t="str">
            <v>Jun</v>
          </cell>
          <cell r="D5478" t="str">
            <v>Chairs</v>
          </cell>
          <cell r="E5478">
            <v>29932.363999999994</v>
          </cell>
          <cell r="F5478">
            <v>6</v>
          </cell>
        </row>
        <row r="5479">
          <cell r="A5479">
            <v>2018</v>
          </cell>
          <cell r="B5479" t="str">
            <v>Budget</v>
          </cell>
          <cell r="C5479" t="str">
            <v>Jun</v>
          </cell>
          <cell r="D5479" t="str">
            <v>Tables</v>
          </cell>
          <cell r="E5479">
            <v>67450.97099999999</v>
          </cell>
          <cell r="F5479">
            <v>6</v>
          </cell>
        </row>
        <row r="5480">
          <cell r="A5480">
            <v>2019</v>
          </cell>
          <cell r="B5480" t="str">
            <v>Actual</v>
          </cell>
          <cell r="C5480" t="str">
            <v>Jun</v>
          </cell>
          <cell r="D5480" t="str">
            <v>Kitchen</v>
          </cell>
          <cell r="E5480">
            <v>98987.573999999993</v>
          </cell>
          <cell r="F5480">
            <v>6</v>
          </cell>
        </row>
        <row r="5481">
          <cell r="A5481">
            <v>2019</v>
          </cell>
          <cell r="B5481" t="str">
            <v>Budget</v>
          </cell>
          <cell r="C5481" t="str">
            <v>Jun</v>
          </cell>
          <cell r="D5481" t="str">
            <v>Chairs</v>
          </cell>
          <cell r="E5481">
            <v>14733.298999999999</v>
          </cell>
          <cell r="F5481">
            <v>6</v>
          </cell>
        </row>
        <row r="5482">
          <cell r="A5482">
            <v>2018</v>
          </cell>
          <cell r="B5482" t="str">
            <v>Actual</v>
          </cell>
          <cell r="C5482" t="str">
            <v>Jun</v>
          </cell>
          <cell r="D5482" t="str">
            <v>Chairs</v>
          </cell>
          <cell r="E5482">
            <v>205.45699999999999</v>
          </cell>
          <cell r="F5482">
            <v>6</v>
          </cell>
        </row>
        <row r="5483">
          <cell r="A5483">
            <v>2018</v>
          </cell>
          <cell r="B5483" t="str">
            <v>Budget</v>
          </cell>
          <cell r="C5483" t="str">
            <v>Jun</v>
          </cell>
          <cell r="D5483" t="str">
            <v>Chairs</v>
          </cell>
          <cell r="E5483">
            <v>63885.786999999997</v>
          </cell>
          <cell r="F5483">
            <v>6</v>
          </cell>
        </row>
        <row r="5484">
          <cell r="A5484">
            <v>2019</v>
          </cell>
          <cell r="B5484" t="str">
            <v>Actual</v>
          </cell>
          <cell r="C5484" t="str">
            <v>Jun</v>
          </cell>
          <cell r="D5484" t="str">
            <v>Chairs</v>
          </cell>
          <cell r="E5484">
            <v>35177.31</v>
          </cell>
          <cell r="F5484">
            <v>6</v>
          </cell>
        </row>
        <row r="5485">
          <cell r="A5485">
            <v>2018</v>
          </cell>
          <cell r="B5485" t="str">
            <v>Budget</v>
          </cell>
          <cell r="C5485" t="str">
            <v>Jun</v>
          </cell>
          <cell r="D5485" t="str">
            <v>Chairs</v>
          </cell>
          <cell r="E5485">
            <v>33904.142999999996</v>
          </cell>
          <cell r="F5485">
            <v>6</v>
          </cell>
        </row>
        <row r="5486">
          <cell r="A5486">
            <v>2019</v>
          </cell>
          <cell r="B5486" t="str">
            <v>Actual</v>
          </cell>
          <cell r="C5486" t="str">
            <v>Jun</v>
          </cell>
          <cell r="D5486" t="str">
            <v>Tables</v>
          </cell>
          <cell r="E5486">
            <v>10314.996999999999</v>
          </cell>
          <cell r="F5486">
            <v>6</v>
          </cell>
        </row>
        <row r="5487">
          <cell r="A5487">
            <v>2019</v>
          </cell>
          <cell r="B5487" t="str">
            <v>Budget</v>
          </cell>
          <cell r="C5487" t="str">
            <v>Jun</v>
          </cell>
          <cell r="D5487" t="str">
            <v>Kitchen</v>
          </cell>
          <cell r="E5487">
            <v>7090.482</v>
          </cell>
          <cell r="F5487">
            <v>6</v>
          </cell>
        </row>
        <row r="5488">
          <cell r="A5488">
            <v>2019</v>
          </cell>
          <cell r="B5488" t="str">
            <v>Actual</v>
          </cell>
          <cell r="C5488" t="str">
            <v>Jun</v>
          </cell>
          <cell r="D5488" t="str">
            <v>Chairs</v>
          </cell>
          <cell r="E5488">
            <v>15464.126999999999</v>
          </cell>
          <cell r="F5488">
            <v>6</v>
          </cell>
        </row>
        <row r="5489">
          <cell r="A5489">
            <v>2019</v>
          </cell>
          <cell r="B5489" t="str">
            <v>Budget</v>
          </cell>
          <cell r="C5489" t="str">
            <v>Jun</v>
          </cell>
          <cell r="D5489" t="str">
            <v>Chairs</v>
          </cell>
          <cell r="E5489">
            <v>25221.524999999998</v>
          </cell>
          <cell r="F5489">
            <v>6</v>
          </cell>
        </row>
        <row r="5490">
          <cell r="A5490">
            <v>2019</v>
          </cell>
          <cell r="B5490" t="str">
            <v>Actual</v>
          </cell>
          <cell r="C5490" t="str">
            <v>Jun</v>
          </cell>
          <cell r="D5490" t="str">
            <v>Chairs</v>
          </cell>
          <cell r="E5490">
            <v>39832.148999999998</v>
          </cell>
          <cell r="F5490">
            <v>6</v>
          </cell>
        </row>
        <row r="5491">
          <cell r="A5491">
            <v>2019</v>
          </cell>
          <cell r="B5491" t="str">
            <v>Budget</v>
          </cell>
          <cell r="C5491" t="str">
            <v>Jun</v>
          </cell>
          <cell r="D5491" t="str">
            <v>Tables</v>
          </cell>
          <cell r="E5491">
            <v>135189.66999999998</v>
          </cell>
          <cell r="F5491">
            <v>6</v>
          </cell>
        </row>
        <row r="5492">
          <cell r="A5492">
            <v>2019</v>
          </cell>
          <cell r="B5492" t="str">
            <v>Actual</v>
          </cell>
          <cell r="C5492" t="str">
            <v>Jun</v>
          </cell>
          <cell r="D5492" t="str">
            <v>Kitchen</v>
          </cell>
          <cell r="E5492">
            <v>7336.5809999999992</v>
          </cell>
          <cell r="F5492">
            <v>6</v>
          </cell>
        </row>
        <row r="5493">
          <cell r="A5493">
            <v>2018</v>
          </cell>
          <cell r="B5493" t="str">
            <v>Budget</v>
          </cell>
          <cell r="C5493" t="str">
            <v>Jun</v>
          </cell>
          <cell r="D5493" t="str">
            <v>Chairs</v>
          </cell>
          <cell r="E5493">
            <v>152099.962</v>
          </cell>
          <cell r="F5493">
            <v>6</v>
          </cell>
        </row>
        <row r="5494">
          <cell r="A5494">
            <v>2019</v>
          </cell>
          <cell r="B5494" t="str">
            <v>Actual</v>
          </cell>
          <cell r="C5494" t="str">
            <v>Jun</v>
          </cell>
          <cell r="D5494" t="str">
            <v>Chairs</v>
          </cell>
          <cell r="E5494">
            <v>44863.377999999997</v>
          </cell>
          <cell r="F5494">
            <v>6</v>
          </cell>
        </row>
        <row r="5495">
          <cell r="A5495">
            <v>2019</v>
          </cell>
          <cell r="B5495" t="str">
            <v>Budget</v>
          </cell>
          <cell r="C5495" t="str">
            <v>Jun</v>
          </cell>
          <cell r="D5495" t="str">
            <v>Tables</v>
          </cell>
          <cell r="E5495">
            <v>180880.45499999999</v>
          </cell>
          <cell r="F5495">
            <v>6</v>
          </cell>
        </row>
        <row r="5496">
          <cell r="A5496">
            <v>2018</v>
          </cell>
          <cell r="B5496" t="str">
            <v>Actual</v>
          </cell>
          <cell r="C5496" t="str">
            <v>Jun</v>
          </cell>
          <cell r="D5496" t="str">
            <v>Kitchen</v>
          </cell>
          <cell r="E5496">
            <v>3081939.9240000001</v>
          </cell>
          <cell r="F5496">
            <v>6</v>
          </cell>
        </row>
        <row r="5497">
          <cell r="A5497">
            <v>2019</v>
          </cell>
          <cell r="B5497" t="str">
            <v>Budget</v>
          </cell>
          <cell r="C5497" t="str">
            <v>Jun</v>
          </cell>
          <cell r="D5497" t="str">
            <v>Chairs</v>
          </cell>
          <cell r="E5497">
            <v>3242199.6460000002</v>
          </cell>
          <cell r="F5497">
            <v>6</v>
          </cell>
        </row>
        <row r="5498">
          <cell r="A5498">
            <v>2018</v>
          </cell>
          <cell r="B5498" t="str">
            <v>Actual</v>
          </cell>
          <cell r="C5498" t="str">
            <v>Jun</v>
          </cell>
          <cell r="D5498" t="str">
            <v>Chairs</v>
          </cell>
          <cell r="E5498">
            <v>32558.819999999996</v>
          </cell>
          <cell r="F5498">
            <v>6</v>
          </cell>
        </row>
        <row r="5499">
          <cell r="A5499">
            <v>2018</v>
          </cell>
          <cell r="B5499" t="str">
            <v>Budget</v>
          </cell>
          <cell r="C5499" t="str">
            <v>Jun</v>
          </cell>
          <cell r="D5499" t="str">
            <v>Chairs</v>
          </cell>
          <cell r="E5499">
            <v>3506.4049999999997</v>
          </cell>
          <cell r="F5499">
            <v>6</v>
          </cell>
        </row>
        <row r="5500">
          <cell r="A5500">
            <v>2018</v>
          </cell>
          <cell r="B5500" t="str">
            <v>Actual</v>
          </cell>
          <cell r="C5500" t="str">
            <v>Jun</v>
          </cell>
          <cell r="D5500" t="str">
            <v>Tables</v>
          </cell>
          <cell r="E5500">
            <v>8875.1319999999996</v>
          </cell>
          <cell r="F5500">
            <v>6</v>
          </cell>
        </row>
        <row r="5501">
          <cell r="A5501">
            <v>2019</v>
          </cell>
          <cell r="B5501" t="str">
            <v>Budget</v>
          </cell>
          <cell r="C5501" t="str">
            <v>Jun</v>
          </cell>
          <cell r="D5501" t="str">
            <v>Kitchen</v>
          </cell>
          <cell r="E5501">
            <v>187260.21300000002</v>
          </cell>
          <cell r="F5501">
            <v>6</v>
          </cell>
        </row>
        <row r="5502">
          <cell r="A5502">
            <v>2018</v>
          </cell>
          <cell r="B5502" t="str">
            <v>Actual</v>
          </cell>
          <cell r="C5502" t="str">
            <v>Jun</v>
          </cell>
          <cell r="D5502" t="str">
            <v>Accessories</v>
          </cell>
          <cell r="E5502">
            <v>47827.864000000001</v>
          </cell>
          <cell r="F5502">
            <v>6</v>
          </cell>
        </row>
        <row r="5503">
          <cell r="A5503">
            <v>2019</v>
          </cell>
          <cell r="B5503" t="str">
            <v>Budget</v>
          </cell>
          <cell r="C5503" t="str">
            <v>Jun</v>
          </cell>
          <cell r="D5503" t="str">
            <v>Chairs</v>
          </cell>
          <cell r="E5503">
            <v>5437.0259999999998</v>
          </cell>
          <cell r="F5503">
            <v>6</v>
          </cell>
        </row>
        <row r="5504">
          <cell r="A5504">
            <v>2019</v>
          </cell>
          <cell r="B5504" t="str">
            <v>Actual</v>
          </cell>
          <cell r="C5504" t="str">
            <v>Jun</v>
          </cell>
          <cell r="D5504" t="str">
            <v>Tables</v>
          </cell>
          <cell r="E5504">
            <v>4289139.54</v>
          </cell>
          <cell r="F5504">
            <v>6</v>
          </cell>
        </row>
        <row r="5505">
          <cell r="A5505">
            <v>2018</v>
          </cell>
          <cell r="B5505" t="str">
            <v>Budget</v>
          </cell>
          <cell r="C5505" t="str">
            <v>Jun</v>
          </cell>
          <cell r="D5505" t="str">
            <v>Kitchen</v>
          </cell>
          <cell r="E5505">
            <v>51965.508000000002</v>
          </cell>
          <cell r="F5505">
            <v>6</v>
          </cell>
        </row>
        <row r="5506">
          <cell r="A5506">
            <v>2018</v>
          </cell>
          <cell r="B5506" t="str">
            <v>Actual</v>
          </cell>
          <cell r="C5506" t="str">
            <v>Jun</v>
          </cell>
          <cell r="D5506" t="str">
            <v>Accessories</v>
          </cell>
          <cell r="E5506">
            <v>64573.733</v>
          </cell>
          <cell r="F5506">
            <v>6</v>
          </cell>
        </row>
        <row r="5507">
          <cell r="A5507">
            <v>2018</v>
          </cell>
          <cell r="B5507" t="str">
            <v>Budget</v>
          </cell>
          <cell r="C5507" t="str">
            <v>Jun</v>
          </cell>
          <cell r="D5507" t="str">
            <v>Chairs</v>
          </cell>
          <cell r="E5507">
            <v>160746.83099999998</v>
          </cell>
          <cell r="F5507">
            <v>6</v>
          </cell>
        </row>
        <row r="5508">
          <cell r="A5508">
            <v>2019</v>
          </cell>
          <cell r="B5508" t="str">
            <v>Actual</v>
          </cell>
          <cell r="C5508" t="str">
            <v>Jun</v>
          </cell>
          <cell r="D5508" t="str">
            <v>Tables</v>
          </cell>
          <cell r="E5508">
            <v>90746.634999999995</v>
          </cell>
          <cell r="F5508">
            <v>6</v>
          </cell>
        </row>
        <row r="5509">
          <cell r="A5509">
            <v>2018</v>
          </cell>
          <cell r="B5509" t="str">
            <v>Budget</v>
          </cell>
          <cell r="C5509" t="str">
            <v>Jun</v>
          </cell>
          <cell r="D5509" t="str">
            <v>Kitchen</v>
          </cell>
          <cell r="E5509">
            <v>120526.469</v>
          </cell>
          <cell r="F5509">
            <v>6</v>
          </cell>
        </row>
        <row r="5510">
          <cell r="A5510">
            <v>2019</v>
          </cell>
          <cell r="B5510" t="str">
            <v>Actual</v>
          </cell>
          <cell r="C5510" t="str">
            <v>Jun</v>
          </cell>
          <cell r="D5510" t="str">
            <v>Accessories</v>
          </cell>
          <cell r="E5510">
            <v>1125632.1159999999</v>
          </cell>
          <cell r="F5510">
            <v>6</v>
          </cell>
        </row>
        <row r="5511">
          <cell r="A5511">
            <v>2018</v>
          </cell>
          <cell r="B5511" t="str">
            <v>Budget</v>
          </cell>
          <cell r="C5511" t="str">
            <v>Jun</v>
          </cell>
          <cell r="D5511" t="str">
            <v>Chairs</v>
          </cell>
          <cell r="E5511">
            <v>327230.81999999995</v>
          </cell>
          <cell r="F5511">
            <v>6</v>
          </cell>
        </row>
        <row r="5512">
          <cell r="A5512">
            <v>2018</v>
          </cell>
          <cell r="B5512" t="str">
            <v>Actual</v>
          </cell>
          <cell r="C5512" t="str">
            <v>Jun</v>
          </cell>
          <cell r="D5512" t="str">
            <v>Tables</v>
          </cell>
          <cell r="E5512">
            <v>108524.10799999999</v>
          </cell>
          <cell r="F5512">
            <v>6</v>
          </cell>
        </row>
        <row r="5513">
          <cell r="A5513">
            <v>2019</v>
          </cell>
          <cell r="B5513" t="str">
            <v>Budget</v>
          </cell>
          <cell r="C5513" t="str">
            <v>Jun</v>
          </cell>
          <cell r="D5513" t="str">
            <v>Kitchen</v>
          </cell>
          <cell r="E5513">
            <v>269346.44799999997</v>
          </cell>
          <cell r="F5513">
            <v>6</v>
          </cell>
        </row>
        <row r="5514">
          <cell r="A5514">
            <v>2019</v>
          </cell>
          <cell r="B5514" t="str">
            <v>Actual</v>
          </cell>
          <cell r="C5514" t="str">
            <v>Jun</v>
          </cell>
          <cell r="D5514" t="str">
            <v>Accessories</v>
          </cell>
          <cell r="E5514">
            <v>267548.86199999996</v>
          </cell>
          <cell r="F5514">
            <v>6</v>
          </cell>
        </row>
        <row r="5515">
          <cell r="A5515">
            <v>2019</v>
          </cell>
          <cell r="B5515" t="str">
            <v>Budget</v>
          </cell>
          <cell r="C5515" t="str">
            <v>Jun</v>
          </cell>
          <cell r="D5515" t="str">
            <v>Chairs</v>
          </cell>
          <cell r="E5515">
            <v>-209.84599999999998</v>
          </cell>
          <cell r="F5515">
            <v>6</v>
          </cell>
        </row>
        <row r="5516">
          <cell r="A5516">
            <v>2019</v>
          </cell>
          <cell r="B5516" t="str">
            <v>Actual</v>
          </cell>
          <cell r="C5516" t="str">
            <v>Jun</v>
          </cell>
          <cell r="D5516" t="str">
            <v>Chairs</v>
          </cell>
          <cell r="E5516">
            <v>2380134.5260000001</v>
          </cell>
          <cell r="F5516">
            <v>6</v>
          </cell>
        </row>
        <row r="5517">
          <cell r="A5517">
            <v>2019</v>
          </cell>
          <cell r="B5517" t="str">
            <v>Budget</v>
          </cell>
          <cell r="C5517" t="str">
            <v>Jun</v>
          </cell>
          <cell r="D5517" t="str">
            <v>Tables</v>
          </cell>
          <cell r="E5517">
            <v>1618644.65</v>
          </cell>
          <cell r="F5517">
            <v>6</v>
          </cell>
        </row>
        <row r="5518">
          <cell r="A5518">
            <v>2019</v>
          </cell>
          <cell r="B5518" t="str">
            <v>Actual</v>
          </cell>
          <cell r="C5518" t="str">
            <v>Jun</v>
          </cell>
          <cell r="D5518" t="str">
            <v>Kitchen</v>
          </cell>
          <cell r="E5518">
            <v>-1124.4870000000001</v>
          </cell>
          <cell r="F5518">
            <v>6</v>
          </cell>
        </row>
        <row r="5519">
          <cell r="A5519">
            <v>2018</v>
          </cell>
          <cell r="B5519" t="str">
            <v>Budget</v>
          </cell>
          <cell r="C5519" t="str">
            <v>Jun</v>
          </cell>
          <cell r="D5519" t="str">
            <v>Chairs</v>
          </cell>
          <cell r="E5519">
            <v>-37162.047999999995</v>
          </cell>
          <cell r="F5519">
            <v>6</v>
          </cell>
        </row>
        <row r="5520">
          <cell r="A5520">
            <v>2019</v>
          </cell>
          <cell r="B5520" t="str">
            <v>Actual</v>
          </cell>
          <cell r="C5520" t="str">
            <v>Jun</v>
          </cell>
          <cell r="D5520" t="str">
            <v>Tables</v>
          </cell>
          <cell r="E5520">
            <v>-21218.267</v>
          </cell>
          <cell r="F5520">
            <v>6</v>
          </cell>
        </row>
        <row r="5521">
          <cell r="A5521">
            <v>2019</v>
          </cell>
          <cell r="B5521" t="str">
            <v>Budget</v>
          </cell>
          <cell r="C5521" t="str">
            <v>Jun</v>
          </cell>
          <cell r="D5521" t="str">
            <v>Kitchen</v>
          </cell>
          <cell r="E5521">
            <v>-18687.185999999998</v>
          </cell>
          <cell r="F5521">
            <v>6</v>
          </cell>
        </row>
        <row r="5522">
          <cell r="A5522">
            <v>2019</v>
          </cell>
          <cell r="B5522" t="str">
            <v>Actual</v>
          </cell>
          <cell r="C5522" t="str">
            <v>Jun</v>
          </cell>
          <cell r="D5522" t="str">
            <v>Chairs</v>
          </cell>
          <cell r="E5522">
            <v>-11009.453</v>
          </cell>
          <cell r="F5522">
            <v>6</v>
          </cell>
        </row>
        <row r="5523">
          <cell r="A5523">
            <v>2018</v>
          </cell>
          <cell r="B5523" t="str">
            <v>Budget</v>
          </cell>
          <cell r="C5523" t="str">
            <v>Jun</v>
          </cell>
          <cell r="D5523" t="str">
            <v>Tables</v>
          </cell>
          <cell r="E5523">
            <v>-20246.883999999998</v>
          </cell>
          <cell r="F5523">
            <v>6</v>
          </cell>
        </row>
        <row r="5524">
          <cell r="A5524">
            <v>2019</v>
          </cell>
          <cell r="B5524" t="str">
            <v>Actual</v>
          </cell>
          <cell r="C5524" t="str">
            <v>Jun</v>
          </cell>
          <cell r="D5524" t="str">
            <v>Kitchen</v>
          </cell>
          <cell r="E5524">
            <v>-17913.035</v>
          </cell>
          <cell r="F5524">
            <v>6</v>
          </cell>
        </row>
        <row r="5525">
          <cell r="A5525">
            <v>2019</v>
          </cell>
          <cell r="B5525" t="str">
            <v>Budget</v>
          </cell>
          <cell r="C5525" t="str">
            <v>Jun</v>
          </cell>
          <cell r="D5525" t="str">
            <v>Chairs</v>
          </cell>
          <cell r="E5525">
            <v>1232408.0020000001</v>
          </cell>
          <cell r="F5525">
            <v>6</v>
          </cell>
        </row>
        <row r="5526">
          <cell r="A5526">
            <v>2019</v>
          </cell>
          <cell r="B5526" t="str">
            <v>Actual</v>
          </cell>
          <cell r="C5526" t="str">
            <v>Jun</v>
          </cell>
          <cell r="D5526" t="str">
            <v>Chairs</v>
          </cell>
          <cell r="E5526">
            <v>42734.377</v>
          </cell>
          <cell r="F5526">
            <v>6</v>
          </cell>
        </row>
        <row r="5527">
          <cell r="A5527">
            <v>2018</v>
          </cell>
          <cell r="B5527" t="str">
            <v>Budget</v>
          </cell>
          <cell r="C5527" t="str">
            <v>Jun</v>
          </cell>
          <cell r="D5527" t="str">
            <v>Chairs</v>
          </cell>
          <cell r="E5527">
            <v>12083.406999999997</v>
          </cell>
          <cell r="F5527">
            <v>6</v>
          </cell>
        </row>
        <row r="5528">
          <cell r="A5528">
            <v>2018</v>
          </cell>
          <cell r="B5528" t="str">
            <v>Actual</v>
          </cell>
          <cell r="C5528" t="str">
            <v>Jun</v>
          </cell>
          <cell r="D5528" t="str">
            <v>Chairs</v>
          </cell>
          <cell r="E5528">
            <v>146279.81200000001</v>
          </cell>
          <cell r="F5528">
            <v>6</v>
          </cell>
        </row>
        <row r="5529">
          <cell r="A5529">
            <v>2018</v>
          </cell>
          <cell r="B5529" t="str">
            <v>Budget</v>
          </cell>
          <cell r="C5529" t="str">
            <v>Jun</v>
          </cell>
          <cell r="D5529" t="str">
            <v>Chairs</v>
          </cell>
          <cell r="E5529">
            <v>92722.517999999982</v>
          </cell>
          <cell r="F5529">
            <v>6</v>
          </cell>
        </row>
        <row r="5530">
          <cell r="A5530">
            <v>2019</v>
          </cell>
          <cell r="B5530" t="str">
            <v>Actual</v>
          </cell>
          <cell r="C5530" t="str">
            <v>Jun</v>
          </cell>
          <cell r="D5530" t="str">
            <v>Chairs</v>
          </cell>
          <cell r="E5530">
            <v>445969.74799999996</v>
          </cell>
          <cell r="F5530">
            <v>6</v>
          </cell>
        </row>
        <row r="5531">
          <cell r="A5531">
            <v>2019</v>
          </cell>
          <cell r="B5531" t="str">
            <v>Budget</v>
          </cell>
          <cell r="C5531" t="str">
            <v>Jun</v>
          </cell>
          <cell r="D5531" t="str">
            <v>Chairs</v>
          </cell>
          <cell r="E5531">
            <v>619124.4219999999</v>
          </cell>
          <cell r="F5531">
            <v>6</v>
          </cell>
        </row>
        <row r="5532">
          <cell r="A5532">
            <v>2019</v>
          </cell>
          <cell r="B5532" t="str">
            <v>Actual</v>
          </cell>
          <cell r="C5532" t="str">
            <v>Jun</v>
          </cell>
          <cell r="D5532" t="str">
            <v>Chairs</v>
          </cell>
          <cell r="E5532">
            <v>1215934.202</v>
          </cell>
          <cell r="F5532">
            <v>6</v>
          </cell>
        </row>
        <row r="5533">
          <cell r="A5533">
            <v>2018</v>
          </cell>
          <cell r="B5533" t="str">
            <v>Budget</v>
          </cell>
          <cell r="C5533" t="str">
            <v>Jun</v>
          </cell>
          <cell r="D5533" t="str">
            <v>Chairs</v>
          </cell>
          <cell r="E5533">
            <v>193603.9</v>
          </cell>
          <cell r="F5533">
            <v>6</v>
          </cell>
        </row>
        <row r="5534">
          <cell r="A5534">
            <v>2018</v>
          </cell>
          <cell r="B5534" t="str">
            <v>Actual</v>
          </cell>
          <cell r="C5534" t="str">
            <v>Jun</v>
          </cell>
          <cell r="D5534" t="str">
            <v>Chairs</v>
          </cell>
          <cell r="E5534">
            <v>133103.761</v>
          </cell>
          <cell r="F5534">
            <v>6</v>
          </cell>
        </row>
        <row r="5535">
          <cell r="A5535">
            <v>2019</v>
          </cell>
          <cell r="B5535" t="str">
            <v>Budget</v>
          </cell>
          <cell r="C5535" t="str">
            <v>Jun</v>
          </cell>
          <cell r="D5535" t="str">
            <v>Chairs</v>
          </cell>
          <cell r="E5535">
            <v>164332.56699999998</v>
          </cell>
          <cell r="F5535">
            <v>6</v>
          </cell>
        </row>
        <row r="5536">
          <cell r="A5536">
            <v>2019</v>
          </cell>
          <cell r="B5536" t="str">
            <v>Actual</v>
          </cell>
          <cell r="C5536" t="str">
            <v>Jun</v>
          </cell>
          <cell r="D5536" t="str">
            <v>Chairs</v>
          </cell>
          <cell r="E5536">
            <v>97914.081999999995</v>
          </cell>
          <cell r="F5536">
            <v>6</v>
          </cell>
        </row>
        <row r="5537">
          <cell r="A5537">
            <v>2018</v>
          </cell>
          <cell r="B5537" t="str">
            <v>Budget</v>
          </cell>
          <cell r="C5537" t="str">
            <v>Jun</v>
          </cell>
          <cell r="D5537" t="str">
            <v>Chairs</v>
          </cell>
          <cell r="E5537">
            <v>3899.4619999999995</v>
          </cell>
          <cell r="F5537">
            <v>6</v>
          </cell>
        </row>
        <row r="5538">
          <cell r="A5538">
            <v>2018</v>
          </cell>
          <cell r="B5538" t="str">
            <v>Actual</v>
          </cell>
          <cell r="C5538" t="str">
            <v>Jun</v>
          </cell>
          <cell r="D5538" t="str">
            <v>Chairs</v>
          </cell>
          <cell r="E5538">
            <v>254466.64600000001</v>
          </cell>
          <cell r="F5538">
            <v>6</v>
          </cell>
        </row>
        <row r="5539">
          <cell r="A5539">
            <v>2019</v>
          </cell>
          <cell r="B5539" t="str">
            <v>Budget</v>
          </cell>
          <cell r="C5539" t="str">
            <v>Jun</v>
          </cell>
          <cell r="D5539" t="str">
            <v>Chairs</v>
          </cell>
          <cell r="E5539">
            <v>132383.36299999998</v>
          </cell>
          <cell r="F5539">
            <v>6</v>
          </cell>
        </row>
        <row r="5540">
          <cell r="A5540">
            <v>2018</v>
          </cell>
          <cell r="B5540" t="str">
            <v>Actual</v>
          </cell>
          <cell r="C5540" t="str">
            <v>Jun</v>
          </cell>
          <cell r="D5540" t="str">
            <v>Chairs</v>
          </cell>
          <cell r="E5540">
            <v>38479.504000000001</v>
          </cell>
          <cell r="F5540">
            <v>6</v>
          </cell>
        </row>
        <row r="5541">
          <cell r="A5541">
            <v>2018</v>
          </cell>
          <cell r="B5541" t="str">
            <v>Budget</v>
          </cell>
          <cell r="C5541" t="str">
            <v>Jun</v>
          </cell>
          <cell r="D5541" t="str">
            <v>Chairs</v>
          </cell>
          <cell r="E5541">
            <v>134729.098</v>
          </cell>
          <cell r="F5541">
            <v>6</v>
          </cell>
        </row>
        <row r="5542">
          <cell r="A5542">
            <v>2018</v>
          </cell>
          <cell r="B5542" t="str">
            <v>Actual</v>
          </cell>
          <cell r="C5542" t="str">
            <v>Jun</v>
          </cell>
          <cell r="D5542" t="str">
            <v>Chairs</v>
          </cell>
          <cell r="E5542">
            <v>258632.00999999998</v>
          </cell>
          <cell r="F5542">
            <v>6</v>
          </cell>
        </row>
        <row r="5543">
          <cell r="A5543">
            <v>2018</v>
          </cell>
          <cell r="B5543" t="str">
            <v>Budget</v>
          </cell>
          <cell r="C5543" t="str">
            <v>Jun</v>
          </cell>
          <cell r="D5543" t="str">
            <v>Chairs</v>
          </cell>
          <cell r="E5543">
            <v>316514.065</v>
          </cell>
          <cell r="F5543">
            <v>6</v>
          </cell>
        </row>
        <row r="5544">
          <cell r="A5544">
            <v>2018</v>
          </cell>
          <cell r="B5544" t="str">
            <v>Actual</v>
          </cell>
          <cell r="C5544" t="str">
            <v>Jun</v>
          </cell>
          <cell r="D5544" t="str">
            <v>Chairs</v>
          </cell>
          <cell r="E5544">
            <v>60450.508999999991</v>
          </cell>
          <cell r="F5544">
            <v>6</v>
          </cell>
        </row>
        <row r="5545">
          <cell r="A5545">
            <v>2018</v>
          </cell>
          <cell r="B5545" t="str">
            <v>Budget</v>
          </cell>
          <cell r="C5545" t="str">
            <v>Jun</v>
          </cell>
          <cell r="D5545" t="str">
            <v>Chairs</v>
          </cell>
          <cell r="E5545">
            <v>60762.561999999998</v>
          </cell>
          <cell r="F5545">
            <v>6</v>
          </cell>
        </row>
        <row r="5546">
          <cell r="A5546">
            <v>2019</v>
          </cell>
          <cell r="B5546" t="str">
            <v>Actual</v>
          </cell>
          <cell r="C5546" t="str">
            <v>Jun</v>
          </cell>
          <cell r="D5546" t="str">
            <v>Chairs</v>
          </cell>
          <cell r="E5546">
            <v>55989.36</v>
          </cell>
          <cell r="F5546">
            <v>6</v>
          </cell>
        </row>
        <row r="5547">
          <cell r="A5547">
            <v>2019</v>
          </cell>
          <cell r="B5547" t="str">
            <v>Budget</v>
          </cell>
          <cell r="C5547" t="str">
            <v>Jun</v>
          </cell>
          <cell r="D5547" t="str">
            <v>Chairs</v>
          </cell>
          <cell r="E5547">
            <v>48277.585999999996</v>
          </cell>
          <cell r="F5547">
            <v>6</v>
          </cell>
        </row>
        <row r="5548">
          <cell r="A5548">
            <v>2019</v>
          </cell>
          <cell r="B5548" t="str">
            <v>Actual</v>
          </cell>
          <cell r="C5548" t="str">
            <v>Jun</v>
          </cell>
          <cell r="D5548" t="str">
            <v>Chairs</v>
          </cell>
          <cell r="E5548">
            <v>79206.161999999997</v>
          </cell>
          <cell r="F5548">
            <v>6</v>
          </cell>
        </row>
        <row r="5549">
          <cell r="A5549">
            <v>2019</v>
          </cell>
          <cell r="B5549" t="str">
            <v>Budget</v>
          </cell>
          <cell r="C5549" t="str">
            <v>Jun</v>
          </cell>
          <cell r="D5549" t="str">
            <v>Chairs</v>
          </cell>
          <cell r="E5549">
            <v>-206.27599999999998</v>
          </cell>
          <cell r="F5549">
            <v>6</v>
          </cell>
        </row>
        <row r="5550">
          <cell r="A5550">
            <v>2018</v>
          </cell>
          <cell r="B5550" t="str">
            <v>Actual</v>
          </cell>
          <cell r="C5550" t="str">
            <v>Jun</v>
          </cell>
          <cell r="D5550" t="str">
            <v>Chairs</v>
          </cell>
          <cell r="E5550">
            <v>105946.12699999998</v>
          </cell>
          <cell r="F5550">
            <v>6</v>
          </cell>
        </row>
        <row r="5551">
          <cell r="A5551">
            <v>2019</v>
          </cell>
          <cell r="B5551" t="str">
            <v>Budget</v>
          </cell>
          <cell r="C5551" t="str">
            <v>Jun</v>
          </cell>
          <cell r="D5551" t="str">
            <v>Tables</v>
          </cell>
          <cell r="E5551">
            <v>823088.50399999996</v>
          </cell>
          <cell r="F5551">
            <v>6</v>
          </cell>
        </row>
        <row r="5552">
          <cell r="A5552">
            <v>2018</v>
          </cell>
          <cell r="B5552" t="str">
            <v>Actual</v>
          </cell>
          <cell r="C5552" t="str">
            <v>Jun</v>
          </cell>
          <cell r="D5552" t="str">
            <v>Kitchen</v>
          </cell>
          <cell r="E5552">
            <v>116963.06999999999</v>
          </cell>
          <cell r="F5552">
            <v>6</v>
          </cell>
        </row>
        <row r="5553">
          <cell r="A5553">
            <v>2019</v>
          </cell>
          <cell r="B5553" t="str">
            <v>Budget</v>
          </cell>
          <cell r="C5553" t="str">
            <v>Jun</v>
          </cell>
          <cell r="D5553" t="str">
            <v>Chairs</v>
          </cell>
          <cell r="E5553">
            <v>-371.084</v>
          </cell>
          <cell r="F5553">
            <v>6</v>
          </cell>
        </row>
        <row r="5554">
          <cell r="A5554">
            <v>2019</v>
          </cell>
          <cell r="B5554" t="str">
            <v>Actual</v>
          </cell>
          <cell r="C5554" t="str">
            <v>Jun</v>
          </cell>
          <cell r="D5554" t="str">
            <v>Chairs</v>
          </cell>
          <cell r="E5554">
            <v>87070.27</v>
          </cell>
          <cell r="F5554">
            <v>6</v>
          </cell>
        </row>
        <row r="5555">
          <cell r="A5555">
            <v>2019</v>
          </cell>
          <cell r="B5555" t="str">
            <v>Budget</v>
          </cell>
          <cell r="C5555" t="str">
            <v>Jun</v>
          </cell>
          <cell r="D5555" t="str">
            <v>Chairs</v>
          </cell>
          <cell r="E5555">
            <v>237271.95099999997</v>
          </cell>
          <cell r="F5555">
            <v>6</v>
          </cell>
        </row>
        <row r="5556">
          <cell r="A5556">
            <v>2019</v>
          </cell>
          <cell r="B5556" t="str">
            <v>Actual</v>
          </cell>
          <cell r="C5556" t="str">
            <v>Jun</v>
          </cell>
          <cell r="D5556" t="str">
            <v>Chairs</v>
          </cell>
          <cell r="E5556">
            <v>585114.42499999993</v>
          </cell>
          <cell r="F5556">
            <v>6</v>
          </cell>
        </row>
        <row r="5557">
          <cell r="A5557">
            <v>2019</v>
          </cell>
          <cell r="B5557" t="str">
            <v>Budget</v>
          </cell>
          <cell r="C5557" t="str">
            <v>Jun</v>
          </cell>
          <cell r="D5557" t="str">
            <v>Chairs</v>
          </cell>
          <cell r="E5557">
            <v>392589.28099999996</v>
          </cell>
          <cell r="F5557">
            <v>6</v>
          </cell>
        </row>
        <row r="5558">
          <cell r="A5558">
            <v>2018</v>
          </cell>
          <cell r="B5558" t="str">
            <v>Actual</v>
          </cell>
          <cell r="C5558" t="str">
            <v>Jun</v>
          </cell>
          <cell r="D5558" t="str">
            <v>Tables</v>
          </cell>
          <cell r="E5558">
            <v>89723.066999999995</v>
          </cell>
          <cell r="F5558">
            <v>6</v>
          </cell>
        </row>
        <row r="5559">
          <cell r="A5559">
            <v>2019</v>
          </cell>
          <cell r="B5559" t="str">
            <v>Budget</v>
          </cell>
          <cell r="C5559" t="str">
            <v>Jun</v>
          </cell>
          <cell r="D5559" t="str">
            <v>Kitchen</v>
          </cell>
          <cell r="E5559">
            <v>89605.837999999989</v>
          </cell>
          <cell r="F5559">
            <v>6</v>
          </cell>
        </row>
        <row r="5560">
          <cell r="A5560">
            <v>2018</v>
          </cell>
          <cell r="B5560" t="str">
            <v>Actual</v>
          </cell>
          <cell r="C5560" t="str">
            <v>Jun</v>
          </cell>
          <cell r="D5560" t="str">
            <v>Chairs</v>
          </cell>
          <cell r="E5560">
            <v>19639.788</v>
          </cell>
          <cell r="F5560">
            <v>6</v>
          </cell>
        </row>
        <row r="5561">
          <cell r="A5561">
            <v>2019</v>
          </cell>
          <cell r="B5561" t="str">
            <v>Budget</v>
          </cell>
          <cell r="C5561" t="str">
            <v>Jun</v>
          </cell>
          <cell r="D5561" t="str">
            <v>Chairs</v>
          </cell>
          <cell r="E5561">
            <v>499022.35599999991</v>
          </cell>
          <cell r="F5561">
            <v>6</v>
          </cell>
        </row>
        <row r="5562">
          <cell r="A5562">
            <v>2019</v>
          </cell>
          <cell r="B5562" t="str">
            <v>Actual</v>
          </cell>
          <cell r="C5562" t="str">
            <v>Jun</v>
          </cell>
          <cell r="D5562" t="str">
            <v>Chairs</v>
          </cell>
          <cell r="E5562">
            <v>73135.313999999998</v>
          </cell>
          <cell r="F5562">
            <v>6</v>
          </cell>
        </row>
        <row r="5563">
          <cell r="A5563">
            <v>2018</v>
          </cell>
          <cell r="B5563" t="str">
            <v>Budget</v>
          </cell>
          <cell r="C5563" t="str">
            <v>Jun</v>
          </cell>
          <cell r="D5563" t="str">
            <v>Tables</v>
          </cell>
          <cell r="E5563">
            <v>166726.65099999998</v>
          </cell>
          <cell r="F5563">
            <v>6</v>
          </cell>
        </row>
        <row r="5564">
          <cell r="A5564">
            <v>2018</v>
          </cell>
          <cell r="B5564" t="str">
            <v>Actual</v>
          </cell>
          <cell r="C5564" t="str">
            <v>Jun</v>
          </cell>
          <cell r="D5564" t="str">
            <v>Kitchen</v>
          </cell>
          <cell r="E5564">
            <v>236412.49099999998</v>
          </cell>
          <cell r="F5564">
            <v>6</v>
          </cell>
        </row>
        <row r="5565">
          <cell r="A5565">
            <v>2018</v>
          </cell>
          <cell r="B5565" t="str">
            <v>Budget</v>
          </cell>
          <cell r="C5565" t="str">
            <v>Jun</v>
          </cell>
          <cell r="D5565" t="str">
            <v>Chairs</v>
          </cell>
          <cell r="E5565">
            <v>4651238.8229999999</v>
          </cell>
          <cell r="F5565">
            <v>6</v>
          </cell>
        </row>
        <row r="5566">
          <cell r="A5566">
            <v>2018</v>
          </cell>
          <cell r="B5566" t="str">
            <v>Actual</v>
          </cell>
          <cell r="C5566" t="str">
            <v>Jun</v>
          </cell>
          <cell r="D5566" t="str">
            <v>Chairs</v>
          </cell>
          <cell r="E5566">
            <v>184222.35299999997</v>
          </cell>
          <cell r="F5566">
            <v>6</v>
          </cell>
        </row>
        <row r="5567">
          <cell r="A5567">
            <v>2018</v>
          </cell>
          <cell r="B5567" t="str">
            <v>Budget</v>
          </cell>
          <cell r="C5567" t="str">
            <v>Jun</v>
          </cell>
          <cell r="D5567" t="str">
            <v>Tables</v>
          </cell>
          <cell r="E5567">
            <v>381114.13899999997</v>
          </cell>
          <cell r="F5567">
            <v>6</v>
          </cell>
        </row>
        <row r="5568">
          <cell r="A5568">
            <v>2019</v>
          </cell>
          <cell r="B5568" t="str">
            <v>Actual</v>
          </cell>
          <cell r="C5568" t="str">
            <v>Jun</v>
          </cell>
          <cell r="D5568" t="str">
            <v>Kitchen</v>
          </cell>
          <cell r="E5568">
            <v>97825.315000000002</v>
          </cell>
          <cell r="F5568">
            <v>6</v>
          </cell>
        </row>
        <row r="5569">
          <cell r="A5569">
            <v>2019</v>
          </cell>
          <cell r="B5569" t="str">
            <v>Budget</v>
          </cell>
          <cell r="C5569" t="str">
            <v>Jun</v>
          </cell>
          <cell r="D5569" t="str">
            <v>Chairs</v>
          </cell>
          <cell r="E5569">
            <v>1450842.96</v>
          </cell>
          <cell r="F5569">
            <v>6</v>
          </cell>
        </row>
        <row r="5570">
          <cell r="A5570">
            <v>2019</v>
          </cell>
          <cell r="B5570" t="str">
            <v>Actual</v>
          </cell>
          <cell r="C5570" t="str">
            <v>Jun</v>
          </cell>
          <cell r="D5570" t="str">
            <v>Chairs</v>
          </cell>
          <cell r="E5570">
            <v>1186934.7349999999</v>
          </cell>
          <cell r="F5570">
            <v>6</v>
          </cell>
        </row>
        <row r="5571">
          <cell r="A5571">
            <v>2018</v>
          </cell>
          <cell r="B5571" t="str">
            <v>Budget</v>
          </cell>
          <cell r="C5571" t="str">
            <v>Jun</v>
          </cell>
          <cell r="D5571" t="str">
            <v>Chairs</v>
          </cell>
          <cell r="E5571">
            <v>2904552.665</v>
          </cell>
          <cell r="F5571">
            <v>6</v>
          </cell>
        </row>
        <row r="5572">
          <cell r="A5572">
            <v>2019</v>
          </cell>
          <cell r="B5572" t="str">
            <v>Actual</v>
          </cell>
          <cell r="C5572" t="str">
            <v>Jun</v>
          </cell>
          <cell r="D5572" t="str">
            <v>Tables</v>
          </cell>
          <cell r="E5572">
            <v>2058226.4779999999</v>
          </cell>
          <cell r="F5572">
            <v>6</v>
          </cell>
        </row>
        <row r="5573">
          <cell r="A5573">
            <v>2019</v>
          </cell>
          <cell r="B5573" t="str">
            <v>Budget</v>
          </cell>
          <cell r="C5573" t="str">
            <v>Jun</v>
          </cell>
          <cell r="D5573" t="str">
            <v>Kitchen</v>
          </cell>
          <cell r="E5573">
            <v>312861.53499999997</v>
          </cell>
          <cell r="F5573">
            <v>6</v>
          </cell>
        </row>
        <row r="5574">
          <cell r="A5574">
            <v>2018</v>
          </cell>
          <cell r="B5574" t="str">
            <v>Actual</v>
          </cell>
          <cell r="C5574" t="str">
            <v>Jun</v>
          </cell>
          <cell r="D5574" t="str">
            <v>Accessories</v>
          </cell>
          <cell r="E5574">
            <v>479662.49099999998</v>
          </cell>
          <cell r="F5574">
            <v>6</v>
          </cell>
        </row>
        <row r="5575">
          <cell r="A5575">
            <v>2019</v>
          </cell>
          <cell r="B5575" t="str">
            <v>Budget</v>
          </cell>
          <cell r="C5575" t="str">
            <v>Jun</v>
          </cell>
          <cell r="D5575" t="str">
            <v>Chairs</v>
          </cell>
          <cell r="E5575">
            <v>237316.96799999996</v>
          </cell>
          <cell r="F5575">
            <v>6</v>
          </cell>
        </row>
        <row r="5576">
          <cell r="A5576">
            <v>2019</v>
          </cell>
          <cell r="B5576" t="str">
            <v>Actual</v>
          </cell>
          <cell r="C5576" t="str">
            <v>Jun</v>
          </cell>
          <cell r="D5576" t="str">
            <v>Tables</v>
          </cell>
          <cell r="E5576">
            <v>1104177.1579999998</v>
          </cell>
          <cell r="F5576">
            <v>6</v>
          </cell>
        </row>
        <row r="5577">
          <cell r="A5577">
            <v>2018</v>
          </cell>
          <cell r="B5577" t="str">
            <v>Budget</v>
          </cell>
          <cell r="C5577" t="str">
            <v>Jun</v>
          </cell>
          <cell r="D5577" t="str">
            <v>Kitchen</v>
          </cell>
          <cell r="E5577">
            <v>2762817.1059999997</v>
          </cell>
          <cell r="F5577">
            <v>6</v>
          </cell>
        </row>
        <row r="5578">
          <cell r="A5578">
            <v>2018</v>
          </cell>
          <cell r="B5578" t="str">
            <v>Actual</v>
          </cell>
          <cell r="C5578" t="str">
            <v>Jun</v>
          </cell>
          <cell r="D5578" t="str">
            <v>Accessories</v>
          </cell>
          <cell r="E5578">
            <v>92774.709999999992</v>
          </cell>
          <cell r="F5578">
            <v>6</v>
          </cell>
        </row>
        <row r="5579">
          <cell r="A5579">
            <v>2019</v>
          </cell>
          <cell r="B5579" t="str">
            <v>Budget</v>
          </cell>
          <cell r="C5579" t="str">
            <v>Jun</v>
          </cell>
          <cell r="D5579" t="str">
            <v>Chairs</v>
          </cell>
          <cell r="E5579">
            <v>1877547.6510000001</v>
          </cell>
          <cell r="F5579">
            <v>6</v>
          </cell>
        </row>
        <row r="5580">
          <cell r="A5580">
            <v>2019</v>
          </cell>
          <cell r="B5580" t="str">
            <v>Actual</v>
          </cell>
          <cell r="C5580" t="str">
            <v>Jun</v>
          </cell>
          <cell r="D5580" t="str">
            <v>Tables</v>
          </cell>
          <cell r="E5580">
            <v>1263592.5189999999</v>
          </cell>
          <cell r="F5580">
            <v>6</v>
          </cell>
        </row>
        <row r="5581">
          <cell r="A5581">
            <v>2018</v>
          </cell>
          <cell r="B5581" t="str">
            <v>Budget</v>
          </cell>
          <cell r="C5581" t="str">
            <v>Jun</v>
          </cell>
          <cell r="D5581" t="str">
            <v>Kitchen</v>
          </cell>
          <cell r="E5581">
            <v>262222.75799999997</v>
          </cell>
          <cell r="F5581">
            <v>6</v>
          </cell>
        </row>
        <row r="5582">
          <cell r="A5582">
            <v>2019</v>
          </cell>
          <cell r="B5582" t="str">
            <v>Actual</v>
          </cell>
          <cell r="C5582" t="str">
            <v>Jun</v>
          </cell>
          <cell r="D5582" t="str">
            <v>Accessories</v>
          </cell>
          <cell r="E5582">
            <v>374773.39199999999</v>
          </cell>
          <cell r="F5582">
            <v>6</v>
          </cell>
        </row>
        <row r="5583">
          <cell r="A5583">
            <v>2018</v>
          </cell>
          <cell r="B5583" t="str">
            <v>Budget</v>
          </cell>
          <cell r="C5583" t="str">
            <v>Jun</v>
          </cell>
          <cell r="D5583" t="str">
            <v>Chairs</v>
          </cell>
          <cell r="E5583">
            <v>590654.13399999996</v>
          </cell>
          <cell r="F5583">
            <v>6</v>
          </cell>
        </row>
        <row r="5584">
          <cell r="A5584">
            <v>2018</v>
          </cell>
          <cell r="B5584" t="str">
            <v>Actual</v>
          </cell>
          <cell r="C5584" t="str">
            <v>Jun</v>
          </cell>
          <cell r="D5584" t="str">
            <v>Tables</v>
          </cell>
          <cell r="E5584">
            <v>123937.065</v>
          </cell>
          <cell r="F5584">
            <v>6</v>
          </cell>
        </row>
        <row r="5585">
          <cell r="A5585">
            <v>2018</v>
          </cell>
          <cell r="B5585" t="str">
            <v>Budget</v>
          </cell>
          <cell r="C5585" t="str">
            <v>Jun</v>
          </cell>
          <cell r="D5585" t="str">
            <v>Kitchen</v>
          </cell>
          <cell r="E5585">
            <v>85731.197999999989</v>
          </cell>
          <cell r="F5585">
            <v>6</v>
          </cell>
        </row>
        <row r="5586">
          <cell r="A5586">
            <v>2019</v>
          </cell>
          <cell r="B5586" t="str">
            <v>Actual</v>
          </cell>
          <cell r="C5586" t="str">
            <v>Jun</v>
          </cell>
          <cell r="D5586" t="str">
            <v>Accessories</v>
          </cell>
          <cell r="E5586">
            <v>59366.474999999999</v>
          </cell>
          <cell r="F5586">
            <v>6</v>
          </cell>
        </row>
        <row r="5587">
          <cell r="A5587">
            <v>2019</v>
          </cell>
          <cell r="B5587" t="str">
            <v>Budget</v>
          </cell>
          <cell r="C5587" t="str">
            <v>Jun</v>
          </cell>
          <cell r="D5587" t="str">
            <v>Chairs</v>
          </cell>
          <cell r="E5587">
            <v>493479.67199999996</v>
          </cell>
          <cell r="F5587">
            <v>6</v>
          </cell>
        </row>
        <row r="5588">
          <cell r="A5588">
            <v>2019</v>
          </cell>
          <cell r="B5588" t="str">
            <v>Actual</v>
          </cell>
          <cell r="C5588" t="str">
            <v>Jun</v>
          </cell>
          <cell r="D5588" t="str">
            <v>Chairs</v>
          </cell>
          <cell r="E5588">
            <v>6066477.4939999999</v>
          </cell>
          <cell r="F5588">
            <v>6</v>
          </cell>
        </row>
        <row r="5589">
          <cell r="A5589">
            <v>2018</v>
          </cell>
          <cell r="B5589" t="str">
            <v>Budget</v>
          </cell>
          <cell r="C5589" t="str">
            <v>Jun</v>
          </cell>
          <cell r="D5589" t="str">
            <v>Tables</v>
          </cell>
          <cell r="E5589">
            <v>125034.39199999999</v>
          </cell>
          <cell r="F5589">
            <v>6</v>
          </cell>
        </row>
        <row r="5590">
          <cell r="A5590">
            <v>2018</v>
          </cell>
          <cell r="B5590" t="str">
            <v>Actual</v>
          </cell>
          <cell r="C5590" t="str">
            <v>Jun</v>
          </cell>
          <cell r="D5590" t="str">
            <v>Kitchen</v>
          </cell>
          <cell r="E5590">
            <v>1694200.7599999998</v>
          </cell>
          <cell r="F5590">
            <v>6</v>
          </cell>
        </row>
        <row r="5591">
          <cell r="A5591">
            <v>2018</v>
          </cell>
          <cell r="B5591" t="str">
            <v>Budget</v>
          </cell>
          <cell r="C5591" t="str">
            <v>Jun</v>
          </cell>
          <cell r="D5591" t="str">
            <v>Chairs</v>
          </cell>
          <cell r="E5591">
            <v>69189.791999999987</v>
          </cell>
          <cell r="F5591">
            <v>6</v>
          </cell>
        </row>
        <row r="5592">
          <cell r="A5592">
            <v>2019</v>
          </cell>
          <cell r="B5592" t="str">
            <v>Actual</v>
          </cell>
          <cell r="C5592" t="str">
            <v>Jun</v>
          </cell>
          <cell r="D5592" t="str">
            <v>Tables</v>
          </cell>
          <cell r="E5592">
            <v>368093.84499999997</v>
          </cell>
          <cell r="F5592">
            <v>6</v>
          </cell>
        </row>
        <row r="5593">
          <cell r="A5593">
            <v>2019</v>
          </cell>
          <cell r="B5593" t="str">
            <v>Budget</v>
          </cell>
          <cell r="C5593" t="str">
            <v>Jun</v>
          </cell>
          <cell r="D5593" t="str">
            <v>Kitchen</v>
          </cell>
          <cell r="E5593">
            <v>455434.02100000001</v>
          </cell>
          <cell r="F5593">
            <v>6</v>
          </cell>
        </row>
        <row r="5594">
          <cell r="A5594">
            <v>2019</v>
          </cell>
          <cell r="B5594" t="str">
            <v>Actual</v>
          </cell>
          <cell r="C5594" t="str">
            <v>Jun</v>
          </cell>
          <cell r="D5594" t="str">
            <v>Chairs</v>
          </cell>
          <cell r="E5594">
            <v>78587.529999999984</v>
          </cell>
          <cell r="F5594">
            <v>6</v>
          </cell>
        </row>
        <row r="5595">
          <cell r="A5595">
            <v>2018</v>
          </cell>
          <cell r="B5595" t="str">
            <v>Budget</v>
          </cell>
          <cell r="C5595" t="str">
            <v>Jun</v>
          </cell>
          <cell r="D5595" t="str">
            <v>Tables</v>
          </cell>
          <cell r="E5595">
            <v>41519.897999999994</v>
          </cell>
          <cell r="F5595">
            <v>6</v>
          </cell>
        </row>
        <row r="5596">
          <cell r="A5596">
            <v>2018</v>
          </cell>
          <cell r="B5596" t="str">
            <v>Actual</v>
          </cell>
          <cell r="C5596" t="str">
            <v>Jun</v>
          </cell>
          <cell r="D5596" t="str">
            <v>Kitchen</v>
          </cell>
          <cell r="E5596">
            <v>26602.638999999996</v>
          </cell>
          <cell r="F5596">
            <v>6</v>
          </cell>
        </row>
        <row r="5597">
          <cell r="A5597">
            <v>2018</v>
          </cell>
          <cell r="B5597" t="str">
            <v>Budget</v>
          </cell>
          <cell r="C5597" t="str">
            <v>Jun</v>
          </cell>
          <cell r="D5597" t="str">
            <v>Chairs</v>
          </cell>
          <cell r="E5597">
            <v>101264.50599999998</v>
          </cell>
          <cell r="F5597">
            <v>6</v>
          </cell>
        </row>
        <row r="5598">
          <cell r="A5598">
            <v>2019</v>
          </cell>
          <cell r="B5598" t="str">
            <v>Actual</v>
          </cell>
          <cell r="C5598" t="str">
            <v>Jun</v>
          </cell>
          <cell r="D5598" t="str">
            <v>Chairs</v>
          </cell>
          <cell r="E5598">
            <v>27350.855</v>
          </cell>
          <cell r="F5598">
            <v>6</v>
          </cell>
        </row>
        <row r="5599">
          <cell r="A5599">
            <v>2018</v>
          </cell>
          <cell r="B5599" t="str">
            <v>Budget</v>
          </cell>
          <cell r="C5599" t="str">
            <v>Jun</v>
          </cell>
          <cell r="D5599" t="str">
            <v>Chairs</v>
          </cell>
          <cell r="E5599">
            <v>29825.270999999997</v>
          </cell>
          <cell r="F5599">
            <v>6</v>
          </cell>
        </row>
        <row r="5600">
          <cell r="A5600">
            <v>2018</v>
          </cell>
          <cell r="B5600" t="str">
            <v>Actual</v>
          </cell>
          <cell r="C5600" t="str">
            <v>Jun</v>
          </cell>
          <cell r="D5600" t="str">
            <v>Chairs</v>
          </cell>
          <cell r="E5600">
            <v>591150.90299999993</v>
          </cell>
          <cell r="F5600">
            <v>6</v>
          </cell>
        </row>
        <row r="5601">
          <cell r="A5601">
            <v>2018</v>
          </cell>
          <cell r="B5601" t="str">
            <v>Budget</v>
          </cell>
          <cell r="C5601" t="str">
            <v>Jun</v>
          </cell>
          <cell r="D5601" t="str">
            <v>Chairs</v>
          </cell>
          <cell r="E5601">
            <v>310698.93399999995</v>
          </cell>
          <cell r="F5601">
            <v>6</v>
          </cell>
        </row>
        <row r="5602">
          <cell r="A5602">
            <v>2019</v>
          </cell>
          <cell r="B5602" t="str">
            <v>Actual</v>
          </cell>
          <cell r="C5602" t="str">
            <v>Jun</v>
          </cell>
          <cell r="D5602" t="str">
            <v>Chairs</v>
          </cell>
          <cell r="E5602">
            <v>89818.462999999989</v>
          </cell>
          <cell r="F5602">
            <v>6</v>
          </cell>
        </row>
        <row r="5603">
          <cell r="A5603">
            <v>2018</v>
          </cell>
          <cell r="B5603" t="str">
            <v>Budget</v>
          </cell>
          <cell r="C5603" t="str">
            <v>Jun</v>
          </cell>
          <cell r="D5603" t="str">
            <v>Chairs</v>
          </cell>
          <cell r="E5603">
            <v>946578.03799999994</v>
          </cell>
          <cell r="F5603">
            <v>6</v>
          </cell>
        </row>
        <row r="5604">
          <cell r="A5604">
            <v>2019</v>
          </cell>
          <cell r="B5604" t="str">
            <v>Actual</v>
          </cell>
          <cell r="C5604" t="str">
            <v>Jun</v>
          </cell>
          <cell r="D5604" t="str">
            <v>Chairs</v>
          </cell>
          <cell r="E5604">
            <v>223172.31999999998</v>
          </cell>
          <cell r="F5604">
            <v>6</v>
          </cell>
        </row>
        <row r="5605">
          <cell r="A5605">
            <v>2018</v>
          </cell>
          <cell r="B5605" t="str">
            <v>Budget</v>
          </cell>
          <cell r="C5605" t="str">
            <v>Jun</v>
          </cell>
          <cell r="D5605" t="str">
            <v>Chairs</v>
          </cell>
          <cell r="E5605">
            <v>319779.68399999995</v>
          </cell>
          <cell r="F5605">
            <v>6</v>
          </cell>
        </row>
        <row r="5606">
          <cell r="A5606">
            <v>2018</v>
          </cell>
          <cell r="B5606" t="str">
            <v>Actual</v>
          </cell>
          <cell r="C5606" t="str">
            <v>Jun</v>
          </cell>
          <cell r="D5606" t="str">
            <v>Chairs</v>
          </cell>
          <cell r="E5606">
            <v>122333.50499999999</v>
          </cell>
          <cell r="F5606">
            <v>6</v>
          </cell>
        </row>
        <row r="5607">
          <cell r="A5607">
            <v>2019</v>
          </cell>
          <cell r="B5607" t="str">
            <v>Budget</v>
          </cell>
          <cell r="C5607" t="str">
            <v>Jun</v>
          </cell>
          <cell r="D5607" t="str">
            <v>Chairs</v>
          </cell>
          <cell r="E5607">
            <v>127611.89699999998</v>
          </cell>
          <cell r="F5607">
            <v>6</v>
          </cell>
        </row>
        <row r="5608">
          <cell r="A5608">
            <v>2019</v>
          </cell>
          <cell r="B5608" t="str">
            <v>Actual</v>
          </cell>
          <cell r="C5608" t="str">
            <v>Jun</v>
          </cell>
          <cell r="D5608" t="str">
            <v>Chairs</v>
          </cell>
          <cell r="E5608">
            <v>572300.46299999999</v>
          </cell>
          <cell r="F5608">
            <v>6</v>
          </cell>
        </row>
        <row r="5609">
          <cell r="A5609">
            <v>2018</v>
          </cell>
          <cell r="B5609" t="str">
            <v>Budget</v>
          </cell>
          <cell r="C5609" t="str">
            <v>Jun</v>
          </cell>
          <cell r="D5609" t="str">
            <v>Chairs</v>
          </cell>
          <cell r="E5609">
            <v>2864.6169999999997</v>
          </cell>
          <cell r="F5609">
            <v>6</v>
          </cell>
        </row>
        <row r="5610">
          <cell r="A5610">
            <v>2018</v>
          </cell>
          <cell r="B5610" t="str">
            <v>Actual</v>
          </cell>
          <cell r="C5610" t="str">
            <v>Jun</v>
          </cell>
          <cell r="D5610" t="str">
            <v>Chairs</v>
          </cell>
          <cell r="E5610">
            <v>557758.99899999995</v>
          </cell>
          <cell r="F5610">
            <v>6</v>
          </cell>
        </row>
        <row r="5611">
          <cell r="A5611">
            <v>2018</v>
          </cell>
          <cell r="B5611" t="str">
            <v>Budget</v>
          </cell>
          <cell r="C5611" t="str">
            <v>Jun</v>
          </cell>
          <cell r="D5611" t="str">
            <v>Chairs</v>
          </cell>
          <cell r="E5611">
            <v>224357.82599999997</v>
          </cell>
          <cell r="F5611">
            <v>6</v>
          </cell>
        </row>
        <row r="5612">
          <cell r="A5612">
            <v>2018</v>
          </cell>
          <cell r="B5612" t="str">
            <v>Actual</v>
          </cell>
          <cell r="C5612" t="str">
            <v>Jun</v>
          </cell>
          <cell r="D5612" t="str">
            <v>Chairs</v>
          </cell>
          <cell r="E5612">
            <v>53811.582999999999</v>
          </cell>
          <cell r="F5612">
            <v>6</v>
          </cell>
        </row>
        <row r="5613">
          <cell r="A5613">
            <v>2018</v>
          </cell>
          <cell r="B5613" t="str">
            <v>Budget</v>
          </cell>
          <cell r="C5613" t="str">
            <v>Jun</v>
          </cell>
          <cell r="D5613" t="str">
            <v>Chairs</v>
          </cell>
          <cell r="E5613">
            <v>46295.024999999994</v>
          </cell>
          <cell r="F5613">
            <v>6</v>
          </cell>
        </row>
        <row r="5614">
          <cell r="A5614">
            <v>2018</v>
          </cell>
          <cell r="B5614" t="str">
            <v>Actual</v>
          </cell>
          <cell r="C5614" t="str">
            <v>Jun</v>
          </cell>
          <cell r="D5614" t="str">
            <v>Chairs</v>
          </cell>
          <cell r="E5614">
            <v>282297.435</v>
          </cell>
          <cell r="F5614">
            <v>6</v>
          </cell>
        </row>
        <row r="5615">
          <cell r="A5615">
            <v>2019</v>
          </cell>
          <cell r="B5615" t="str">
            <v>Budget</v>
          </cell>
          <cell r="C5615" t="str">
            <v>Jun</v>
          </cell>
          <cell r="D5615" t="str">
            <v>Chairs</v>
          </cell>
          <cell r="E5615">
            <v>326345.99199999997</v>
          </cell>
          <cell r="F5615">
            <v>6</v>
          </cell>
        </row>
        <row r="5616">
          <cell r="A5616">
            <v>2019</v>
          </cell>
          <cell r="B5616" t="str">
            <v>Actual</v>
          </cell>
          <cell r="C5616" t="str">
            <v>Jun</v>
          </cell>
          <cell r="D5616" t="str">
            <v>Chairs</v>
          </cell>
          <cell r="E5616">
            <v>351883.18900000001</v>
          </cell>
          <cell r="F5616">
            <v>6</v>
          </cell>
        </row>
        <row r="5617">
          <cell r="A5617">
            <v>2018</v>
          </cell>
          <cell r="B5617" t="str">
            <v>Budget</v>
          </cell>
          <cell r="C5617" t="str">
            <v>Jun</v>
          </cell>
          <cell r="D5617" t="str">
            <v>Chairs</v>
          </cell>
          <cell r="E5617">
            <v>286473.02599999995</v>
          </cell>
          <cell r="F5617">
            <v>6</v>
          </cell>
        </row>
        <row r="5618">
          <cell r="A5618">
            <v>2019</v>
          </cell>
          <cell r="B5618" t="str">
            <v>Actual</v>
          </cell>
          <cell r="C5618" t="str">
            <v>Jun</v>
          </cell>
          <cell r="D5618" t="str">
            <v>Chairs</v>
          </cell>
          <cell r="E5618">
            <v>1667747.4169999999</v>
          </cell>
          <cell r="F5618">
            <v>6</v>
          </cell>
        </row>
        <row r="5619">
          <cell r="A5619">
            <v>2019</v>
          </cell>
          <cell r="B5619" t="str">
            <v>Budget</v>
          </cell>
          <cell r="C5619" t="str">
            <v>Jun</v>
          </cell>
          <cell r="D5619" t="str">
            <v>Chairs</v>
          </cell>
          <cell r="E5619">
            <v>175264.859</v>
          </cell>
          <cell r="F5619">
            <v>6</v>
          </cell>
        </row>
        <row r="5620">
          <cell r="A5620">
            <v>2018</v>
          </cell>
          <cell r="B5620" t="str">
            <v>Actual</v>
          </cell>
          <cell r="C5620" t="str">
            <v>Jun</v>
          </cell>
          <cell r="D5620" t="str">
            <v>Chairs</v>
          </cell>
          <cell r="E5620">
            <v>1587939.0589999999</v>
          </cell>
          <cell r="F5620">
            <v>6</v>
          </cell>
        </row>
        <row r="5621">
          <cell r="A5621">
            <v>2018</v>
          </cell>
          <cell r="B5621" t="str">
            <v>Budget</v>
          </cell>
          <cell r="C5621" t="str">
            <v>Jun</v>
          </cell>
          <cell r="D5621" t="str">
            <v>Chairs</v>
          </cell>
          <cell r="E5621">
            <v>10882.669</v>
          </cell>
          <cell r="F5621">
            <v>6</v>
          </cell>
        </row>
        <row r="5622">
          <cell r="A5622">
            <v>2018</v>
          </cell>
          <cell r="B5622" t="str">
            <v>Actual</v>
          </cell>
          <cell r="C5622" t="str">
            <v>Jun</v>
          </cell>
          <cell r="D5622" t="str">
            <v>Chairs</v>
          </cell>
          <cell r="E5622">
            <v>103240.27699999999</v>
          </cell>
          <cell r="F5622">
            <v>6</v>
          </cell>
        </row>
        <row r="5623">
          <cell r="A5623">
            <v>2018</v>
          </cell>
          <cell r="B5623" t="str">
            <v>Budget</v>
          </cell>
          <cell r="C5623" t="str">
            <v>Jun</v>
          </cell>
          <cell r="D5623" t="str">
            <v>Tables</v>
          </cell>
          <cell r="E5623">
            <v>39210.633000000002</v>
          </cell>
          <cell r="F5623">
            <v>6</v>
          </cell>
        </row>
        <row r="5624">
          <cell r="A5624">
            <v>2018</v>
          </cell>
          <cell r="B5624" t="str">
            <v>Actual</v>
          </cell>
          <cell r="C5624" t="str">
            <v>Jun</v>
          </cell>
          <cell r="D5624" t="str">
            <v>Kitchen</v>
          </cell>
          <cell r="E5624">
            <v>658616.95199999993</v>
          </cell>
          <cell r="F5624">
            <v>6</v>
          </cell>
        </row>
        <row r="5625">
          <cell r="A5625">
            <v>2019</v>
          </cell>
          <cell r="B5625" t="str">
            <v>Budget</v>
          </cell>
          <cell r="C5625" t="str">
            <v>Jun</v>
          </cell>
          <cell r="D5625" t="str">
            <v>Chairs</v>
          </cell>
          <cell r="E5625">
            <v>14430.947999999999</v>
          </cell>
          <cell r="F5625">
            <v>6</v>
          </cell>
        </row>
        <row r="5626">
          <cell r="A5626">
            <v>2019</v>
          </cell>
          <cell r="B5626" t="str">
            <v>Actual</v>
          </cell>
          <cell r="C5626" t="str">
            <v>Jun</v>
          </cell>
          <cell r="D5626" t="str">
            <v>Chairs</v>
          </cell>
          <cell r="E5626">
            <v>606825.576</v>
          </cell>
          <cell r="F5626">
            <v>6</v>
          </cell>
        </row>
        <row r="5627">
          <cell r="A5627">
            <v>2018</v>
          </cell>
          <cell r="B5627" t="str">
            <v>Budget</v>
          </cell>
          <cell r="C5627" t="str">
            <v>Jun</v>
          </cell>
          <cell r="D5627" t="str">
            <v>Chairs</v>
          </cell>
          <cell r="E5627">
            <v>308525.96599999996</v>
          </cell>
          <cell r="F5627">
            <v>6</v>
          </cell>
        </row>
        <row r="5628">
          <cell r="A5628">
            <v>2019</v>
          </cell>
          <cell r="B5628" t="str">
            <v>Actual</v>
          </cell>
          <cell r="C5628" t="str">
            <v>Jun</v>
          </cell>
          <cell r="D5628" t="str">
            <v>Chairs</v>
          </cell>
          <cell r="E5628">
            <v>6910712.7249999996</v>
          </cell>
          <cell r="F5628">
            <v>6</v>
          </cell>
        </row>
        <row r="5629">
          <cell r="A5629">
            <v>2018</v>
          </cell>
          <cell r="B5629" t="str">
            <v>Budget</v>
          </cell>
          <cell r="C5629" t="str">
            <v>Jun</v>
          </cell>
          <cell r="D5629" t="str">
            <v>Chairs</v>
          </cell>
          <cell r="E5629">
            <v>137036.33299999998</v>
          </cell>
          <cell r="F5629">
            <v>6</v>
          </cell>
        </row>
        <row r="5630">
          <cell r="A5630">
            <v>2018</v>
          </cell>
          <cell r="B5630" t="str">
            <v>Actual</v>
          </cell>
          <cell r="C5630" t="str">
            <v>Jun</v>
          </cell>
          <cell r="D5630" t="str">
            <v>Tables</v>
          </cell>
          <cell r="E5630">
            <v>1096314.338</v>
          </cell>
          <cell r="F5630">
            <v>6</v>
          </cell>
        </row>
        <row r="5631">
          <cell r="A5631">
            <v>2019</v>
          </cell>
          <cell r="B5631" t="str">
            <v>Budget</v>
          </cell>
          <cell r="C5631" t="str">
            <v>Jun</v>
          </cell>
          <cell r="D5631" t="str">
            <v>Kitchen</v>
          </cell>
          <cell r="E5631">
            <v>1287586.3909999998</v>
          </cell>
          <cell r="F5631">
            <v>6</v>
          </cell>
        </row>
        <row r="5632">
          <cell r="A5632">
            <v>2019</v>
          </cell>
          <cell r="B5632" t="str">
            <v>Actual</v>
          </cell>
          <cell r="C5632" t="str">
            <v>Jun</v>
          </cell>
          <cell r="D5632" t="str">
            <v>Chairs</v>
          </cell>
          <cell r="E5632">
            <v>2657898.3760000002</v>
          </cell>
          <cell r="F5632">
            <v>6</v>
          </cell>
        </row>
        <row r="5633">
          <cell r="A5633">
            <v>2019</v>
          </cell>
          <cell r="B5633" t="str">
            <v>Budget</v>
          </cell>
          <cell r="C5633" t="str">
            <v>Jun</v>
          </cell>
          <cell r="D5633" t="str">
            <v>Chairs</v>
          </cell>
          <cell r="E5633">
            <v>1166439.5259999998</v>
          </cell>
          <cell r="F5633">
            <v>6</v>
          </cell>
        </row>
        <row r="5634">
          <cell r="A5634">
            <v>2018</v>
          </cell>
          <cell r="B5634" t="str">
            <v>Actual</v>
          </cell>
          <cell r="C5634" t="str">
            <v>Jun</v>
          </cell>
          <cell r="D5634" t="str">
            <v>Chairs</v>
          </cell>
          <cell r="E5634">
            <v>866166.05599999998</v>
          </cell>
          <cell r="F5634">
            <v>6</v>
          </cell>
        </row>
        <row r="5635">
          <cell r="A5635">
            <v>2019</v>
          </cell>
          <cell r="B5635" t="str">
            <v>Budget</v>
          </cell>
          <cell r="C5635" t="str">
            <v>Jun</v>
          </cell>
          <cell r="D5635" t="str">
            <v>Tables</v>
          </cell>
          <cell r="E5635">
            <v>1005549.0549999998</v>
          </cell>
          <cell r="F5635">
            <v>6</v>
          </cell>
        </row>
        <row r="5636">
          <cell r="A5636">
            <v>2018</v>
          </cell>
          <cell r="B5636" t="str">
            <v>Actual</v>
          </cell>
          <cell r="C5636" t="str">
            <v>Jun</v>
          </cell>
          <cell r="D5636" t="str">
            <v>Kitchen</v>
          </cell>
          <cell r="E5636">
            <v>19940.13</v>
          </cell>
          <cell r="F5636">
            <v>6</v>
          </cell>
        </row>
        <row r="5637">
          <cell r="A5637">
            <v>2019</v>
          </cell>
          <cell r="B5637" t="str">
            <v>Budget</v>
          </cell>
          <cell r="C5637" t="str">
            <v>Jun</v>
          </cell>
          <cell r="D5637" t="str">
            <v>Chairs</v>
          </cell>
          <cell r="E5637">
            <v>1646014.5659999999</v>
          </cell>
          <cell r="F5637">
            <v>6</v>
          </cell>
        </row>
        <row r="5638">
          <cell r="A5638">
            <v>2018</v>
          </cell>
          <cell r="B5638" t="str">
            <v>Actual</v>
          </cell>
          <cell r="C5638" t="str">
            <v>Jun</v>
          </cell>
          <cell r="D5638" t="str">
            <v>Chairs</v>
          </cell>
          <cell r="E5638">
            <v>18408319.978999998</v>
          </cell>
          <cell r="F5638">
            <v>6</v>
          </cell>
        </row>
        <row r="5639">
          <cell r="A5639">
            <v>2019</v>
          </cell>
          <cell r="B5639" t="str">
            <v>Budget</v>
          </cell>
          <cell r="C5639" t="str">
            <v>Jun</v>
          </cell>
          <cell r="D5639" t="str">
            <v>Tables</v>
          </cell>
          <cell r="E5639">
            <v>1986176.3879999998</v>
          </cell>
          <cell r="F5639">
            <v>6</v>
          </cell>
        </row>
        <row r="5640">
          <cell r="A5640">
            <v>2019</v>
          </cell>
          <cell r="B5640" t="str">
            <v>Actual</v>
          </cell>
          <cell r="C5640" t="str">
            <v>Jun</v>
          </cell>
          <cell r="D5640" t="str">
            <v>Kitchen</v>
          </cell>
          <cell r="E5640">
            <v>228855.641</v>
          </cell>
          <cell r="F5640">
            <v>6</v>
          </cell>
        </row>
        <row r="5641">
          <cell r="A5641">
            <v>2019</v>
          </cell>
          <cell r="B5641" t="str">
            <v>Budget</v>
          </cell>
          <cell r="C5641" t="str">
            <v>Jun</v>
          </cell>
          <cell r="D5641" t="str">
            <v>Chairs</v>
          </cell>
          <cell r="E5641">
            <v>651648.94200000004</v>
          </cell>
          <cell r="F5641">
            <v>6</v>
          </cell>
        </row>
        <row r="5642">
          <cell r="A5642">
            <v>2018</v>
          </cell>
          <cell r="B5642" t="str">
            <v>Actual</v>
          </cell>
          <cell r="C5642" t="str">
            <v>Jun</v>
          </cell>
          <cell r="D5642" t="str">
            <v>Chairs</v>
          </cell>
          <cell r="E5642">
            <v>896120.44200000004</v>
          </cell>
          <cell r="F5642">
            <v>6</v>
          </cell>
        </row>
        <row r="5643">
          <cell r="A5643">
            <v>2019</v>
          </cell>
          <cell r="B5643" t="str">
            <v>Budget</v>
          </cell>
          <cell r="C5643" t="str">
            <v>Jun</v>
          </cell>
          <cell r="D5643" t="str">
            <v>Chairs</v>
          </cell>
          <cell r="E5643">
            <v>1513847.0060000001</v>
          </cell>
          <cell r="F5643">
            <v>6</v>
          </cell>
        </row>
        <row r="5644">
          <cell r="A5644">
            <v>2019</v>
          </cell>
          <cell r="B5644" t="str">
            <v>Actual</v>
          </cell>
          <cell r="C5644" t="str">
            <v>Jun</v>
          </cell>
          <cell r="D5644" t="str">
            <v>Tables</v>
          </cell>
          <cell r="E5644">
            <v>2453067.568</v>
          </cell>
          <cell r="F5644">
            <v>6</v>
          </cell>
        </row>
        <row r="5645">
          <cell r="A5645">
            <v>2018</v>
          </cell>
          <cell r="B5645" t="str">
            <v>Budget</v>
          </cell>
          <cell r="C5645" t="str">
            <v>Jun</v>
          </cell>
          <cell r="D5645" t="str">
            <v>Kitchen</v>
          </cell>
          <cell r="E5645">
            <v>116923.99599999998</v>
          </cell>
          <cell r="F5645">
            <v>6</v>
          </cell>
        </row>
        <row r="5646">
          <cell r="A5646">
            <v>2018</v>
          </cell>
          <cell r="B5646" t="str">
            <v>Actual</v>
          </cell>
          <cell r="C5646" t="str">
            <v>Jun</v>
          </cell>
          <cell r="D5646" t="str">
            <v>Accessories</v>
          </cell>
          <cell r="E5646">
            <v>288334.83</v>
          </cell>
          <cell r="F5646">
            <v>6</v>
          </cell>
        </row>
        <row r="5647">
          <cell r="A5647">
            <v>2019</v>
          </cell>
          <cell r="B5647" t="str">
            <v>Budget</v>
          </cell>
          <cell r="C5647" t="str">
            <v>Jun</v>
          </cell>
          <cell r="D5647" t="str">
            <v>Chairs</v>
          </cell>
          <cell r="E5647">
            <v>388627.38599999994</v>
          </cell>
          <cell r="F5647">
            <v>6</v>
          </cell>
        </row>
        <row r="5648">
          <cell r="A5648">
            <v>2018</v>
          </cell>
          <cell r="B5648" t="str">
            <v>Actual</v>
          </cell>
          <cell r="C5648" t="str">
            <v>Jun</v>
          </cell>
          <cell r="D5648" t="str">
            <v>Tables</v>
          </cell>
          <cell r="E5648">
            <v>7245465.5489999996</v>
          </cell>
          <cell r="F5648">
            <v>6</v>
          </cell>
        </row>
        <row r="5649">
          <cell r="A5649">
            <v>2019</v>
          </cell>
          <cell r="B5649" t="str">
            <v>Budget</v>
          </cell>
          <cell r="C5649" t="str">
            <v>Jun</v>
          </cell>
          <cell r="D5649" t="str">
            <v>Kitchen</v>
          </cell>
          <cell r="E5649">
            <v>6250403.3619999997</v>
          </cell>
          <cell r="F5649">
            <v>6</v>
          </cell>
        </row>
        <row r="5650">
          <cell r="A5650">
            <v>2019</v>
          </cell>
          <cell r="B5650" t="str">
            <v>Actual</v>
          </cell>
          <cell r="C5650" t="str">
            <v>Jun</v>
          </cell>
          <cell r="D5650" t="str">
            <v>Accessories</v>
          </cell>
          <cell r="E5650">
            <v>2095359.8469999998</v>
          </cell>
          <cell r="F5650">
            <v>6</v>
          </cell>
        </row>
        <row r="5651">
          <cell r="A5651">
            <v>2018</v>
          </cell>
          <cell r="B5651" t="str">
            <v>Budget</v>
          </cell>
          <cell r="C5651" t="str">
            <v>Jun</v>
          </cell>
          <cell r="D5651" t="str">
            <v>Chairs</v>
          </cell>
          <cell r="E5651">
            <v>1381540.4889999998</v>
          </cell>
          <cell r="F5651">
            <v>6</v>
          </cell>
        </row>
        <row r="5652">
          <cell r="A5652">
            <v>2019</v>
          </cell>
          <cell r="B5652" t="str">
            <v>Actual</v>
          </cell>
          <cell r="C5652" t="str">
            <v>Jun</v>
          </cell>
          <cell r="D5652" t="str">
            <v>Tables</v>
          </cell>
          <cell r="E5652">
            <v>1705230.1629999997</v>
          </cell>
          <cell r="F5652">
            <v>6</v>
          </cell>
        </row>
        <row r="5653">
          <cell r="A5653">
            <v>2019</v>
          </cell>
          <cell r="B5653" t="str">
            <v>Budget</v>
          </cell>
          <cell r="C5653" t="str">
            <v>Jun</v>
          </cell>
          <cell r="D5653" t="str">
            <v>Kitchen</v>
          </cell>
          <cell r="E5653">
            <v>982632.81199999992</v>
          </cell>
          <cell r="F5653">
            <v>6</v>
          </cell>
        </row>
        <row r="5654">
          <cell r="A5654">
            <v>2019</v>
          </cell>
          <cell r="B5654" t="str">
            <v>Actual</v>
          </cell>
          <cell r="C5654" t="str">
            <v>Jun</v>
          </cell>
          <cell r="D5654" t="str">
            <v>Accessories</v>
          </cell>
          <cell r="E5654">
            <v>1516908.1269999999</v>
          </cell>
          <cell r="F5654">
            <v>6</v>
          </cell>
        </row>
        <row r="5655">
          <cell r="A5655">
            <v>2019</v>
          </cell>
          <cell r="B5655" t="str">
            <v>Budget</v>
          </cell>
          <cell r="C5655" t="str">
            <v>Jun</v>
          </cell>
          <cell r="D5655" t="str">
            <v>Chairs</v>
          </cell>
          <cell r="E5655">
            <v>906105.52199999988</v>
          </cell>
          <cell r="F5655">
            <v>6</v>
          </cell>
        </row>
        <row r="5656">
          <cell r="A5656">
            <v>2019</v>
          </cell>
          <cell r="B5656" t="str">
            <v>Actual</v>
          </cell>
          <cell r="C5656" t="str">
            <v>Jun</v>
          </cell>
          <cell r="D5656" t="str">
            <v>Tables</v>
          </cell>
          <cell r="E5656">
            <v>877024.83400000003</v>
          </cell>
          <cell r="F5656">
            <v>6</v>
          </cell>
        </row>
        <row r="5657">
          <cell r="A5657">
            <v>2019</v>
          </cell>
          <cell r="B5657" t="str">
            <v>Budget</v>
          </cell>
          <cell r="C5657" t="str">
            <v>Jun</v>
          </cell>
          <cell r="D5657" t="str">
            <v>Kitchen</v>
          </cell>
          <cell r="E5657">
            <v>14792484.097999999</v>
          </cell>
          <cell r="F5657">
            <v>6</v>
          </cell>
        </row>
        <row r="5658">
          <cell r="A5658">
            <v>2019</v>
          </cell>
          <cell r="B5658" t="str">
            <v>Actual</v>
          </cell>
          <cell r="C5658" t="str">
            <v>Jun</v>
          </cell>
          <cell r="D5658" t="str">
            <v>Accessories</v>
          </cell>
          <cell r="E5658">
            <v>1695419.7889999999</v>
          </cell>
          <cell r="F5658">
            <v>6</v>
          </cell>
        </row>
        <row r="5659">
          <cell r="A5659">
            <v>2018</v>
          </cell>
          <cell r="B5659" t="str">
            <v>Budget</v>
          </cell>
          <cell r="C5659" t="str">
            <v>Jun</v>
          </cell>
          <cell r="D5659" t="str">
            <v>Chairs</v>
          </cell>
          <cell r="E5659">
            <v>1804619.4879999999</v>
          </cell>
          <cell r="F5659">
            <v>6</v>
          </cell>
        </row>
        <row r="5660">
          <cell r="A5660">
            <v>2019</v>
          </cell>
          <cell r="B5660" t="str">
            <v>Actual</v>
          </cell>
          <cell r="C5660" t="str">
            <v>Jun</v>
          </cell>
          <cell r="D5660" t="str">
            <v>Chairs</v>
          </cell>
          <cell r="E5660">
            <v>459723.15899999999</v>
          </cell>
          <cell r="F5660">
            <v>6</v>
          </cell>
        </row>
        <row r="5661">
          <cell r="A5661">
            <v>2019</v>
          </cell>
          <cell r="B5661" t="str">
            <v>Budget</v>
          </cell>
          <cell r="C5661" t="str">
            <v>Jun</v>
          </cell>
          <cell r="D5661" t="str">
            <v>Tables</v>
          </cell>
          <cell r="E5661">
            <v>1491751.5969999998</v>
          </cell>
          <cell r="F5661">
            <v>6</v>
          </cell>
        </row>
        <row r="5662">
          <cell r="A5662">
            <v>2018</v>
          </cell>
          <cell r="B5662" t="str">
            <v>Actual</v>
          </cell>
          <cell r="C5662" t="str">
            <v>Jun</v>
          </cell>
          <cell r="D5662" t="str">
            <v>Kitchen</v>
          </cell>
          <cell r="E5662">
            <v>401254.51799999998</v>
          </cell>
          <cell r="F5662">
            <v>6</v>
          </cell>
        </row>
        <row r="5663">
          <cell r="A5663">
            <v>2019</v>
          </cell>
          <cell r="B5663" t="str">
            <v>Budget</v>
          </cell>
          <cell r="C5663" t="str">
            <v>Jun</v>
          </cell>
          <cell r="D5663" t="str">
            <v>Chairs</v>
          </cell>
          <cell r="E5663">
            <v>350020.44</v>
          </cell>
          <cell r="F5663">
            <v>6</v>
          </cell>
        </row>
        <row r="5664">
          <cell r="A5664">
            <v>2019</v>
          </cell>
          <cell r="B5664" t="str">
            <v>Actual</v>
          </cell>
          <cell r="C5664" t="str">
            <v>Jun</v>
          </cell>
          <cell r="D5664" t="str">
            <v>Tables</v>
          </cell>
          <cell r="E5664">
            <v>396199.76900000003</v>
          </cell>
          <cell r="F5664">
            <v>6</v>
          </cell>
        </row>
        <row r="5665">
          <cell r="A5665">
            <v>2018</v>
          </cell>
          <cell r="B5665" t="str">
            <v>Budget</v>
          </cell>
          <cell r="C5665" t="str">
            <v>Jun</v>
          </cell>
          <cell r="D5665" t="str">
            <v>Kitchen</v>
          </cell>
          <cell r="E5665">
            <v>90591.521999999997</v>
          </cell>
          <cell r="F5665">
            <v>6</v>
          </cell>
        </row>
        <row r="5666">
          <cell r="A5666">
            <v>2019</v>
          </cell>
          <cell r="B5666" t="str">
            <v>Actual</v>
          </cell>
          <cell r="C5666" t="str">
            <v>Jun</v>
          </cell>
          <cell r="D5666" t="str">
            <v>Chairs</v>
          </cell>
          <cell r="E5666">
            <v>144545.23299999998</v>
          </cell>
          <cell r="F5666">
            <v>6</v>
          </cell>
        </row>
        <row r="5667">
          <cell r="A5667">
            <v>2019</v>
          </cell>
          <cell r="B5667" t="str">
            <v>Budget</v>
          </cell>
          <cell r="C5667" t="str">
            <v>Jun</v>
          </cell>
          <cell r="D5667" t="str">
            <v>Tables</v>
          </cell>
          <cell r="E5667">
            <v>5375173.2229999993</v>
          </cell>
          <cell r="F5667">
            <v>6</v>
          </cell>
        </row>
        <row r="5668">
          <cell r="A5668">
            <v>2018</v>
          </cell>
          <cell r="B5668" t="str">
            <v>Actual</v>
          </cell>
          <cell r="C5668" t="str">
            <v>Jun</v>
          </cell>
          <cell r="D5668" t="str">
            <v>Kitchen</v>
          </cell>
          <cell r="E5668">
            <v>907379.83699999994</v>
          </cell>
          <cell r="F5668">
            <v>6</v>
          </cell>
        </row>
        <row r="5669">
          <cell r="A5669">
            <v>2018</v>
          </cell>
          <cell r="B5669" t="str">
            <v>Budget</v>
          </cell>
          <cell r="C5669" t="str">
            <v>Jun</v>
          </cell>
          <cell r="D5669" t="str">
            <v>Chairs</v>
          </cell>
          <cell r="E5669">
            <v>481895.88299999991</v>
          </cell>
          <cell r="F5669">
            <v>6</v>
          </cell>
        </row>
        <row r="5670">
          <cell r="A5670">
            <v>2019</v>
          </cell>
          <cell r="B5670" t="str">
            <v>Actual</v>
          </cell>
          <cell r="C5670" t="str">
            <v>Jun</v>
          </cell>
          <cell r="D5670" t="str">
            <v>Chairs</v>
          </cell>
          <cell r="E5670">
            <v>29376.206999999999</v>
          </cell>
          <cell r="F5670">
            <v>6</v>
          </cell>
        </row>
        <row r="5671">
          <cell r="A5671">
            <v>2019</v>
          </cell>
          <cell r="B5671" t="str">
            <v>Budget</v>
          </cell>
          <cell r="C5671" t="str">
            <v>Jun</v>
          </cell>
          <cell r="D5671" t="str">
            <v>Chairs</v>
          </cell>
          <cell r="E5671">
            <v>32359.130999999998</v>
          </cell>
          <cell r="F5671">
            <v>6</v>
          </cell>
        </row>
        <row r="5672">
          <cell r="A5672">
            <v>2019</v>
          </cell>
          <cell r="B5672" t="str">
            <v>Actual</v>
          </cell>
          <cell r="C5672" t="str">
            <v>Jun</v>
          </cell>
          <cell r="D5672" t="str">
            <v>Chairs</v>
          </cell>
          <cell r="E5672">
            <v>805038.19900000002</v>
          </cell>
          <cell r="F5672">
            <v>6</v>
          </cell>
        </row>
        <row r="5673">
          <cell r="A5673">
            <v>2019</v>
          </cell>
          <cell r="B5673" t="str">
            <v>Budget</v>
          </cell>
          <cell r="C5673" t="str">
            <v>Jun</v>
          </cell>
          <cell r="D5673" t="str">
            <v>Chairs</v>
          </cell>
          <cell r="E5673">
            <v>15656.934999999998</v>
          </cell>
          <cell r="F5673">
            <v>6</v>
          </cell>
        </row>
        <row r="5674">
          <cell r="A5674">
            <v>2019</v>
          </cell>
          <cell r="B5674" t="str">
            <v>Actual</v>
          </cell>
          <cell r="C5674" t="str">
            <v>Jun</v>
          </cell>
          <cell r="D5674" t="str">
            <v>Chairs</v>
          </cell>
          <cell r="E5674">
            <v>1766099.6639999999</v>
          </cell>
          <cell r="F5674">
            <v>6</v>
          </cell>
        </row>
        <row r="5675">
          <cell r="A5675">
            <v>2019</v>
          </cell>
          <cell r="B5675" t="str">
            <v>Budget</v>
          </cell>
          <cell r="C5675" t="str">
            <v>Jun</v>
          </cell>
          <cell r="D5675" t="str">
            <v>Chairs</v>
          </cell>
          <cell r="E5675">
            <v>125304.96299999999</v>
          </cell>
          <cell r="F5675">
            <v>6</v>
          </cell>
        </row>
        <row r="5676">
          <cell r="A5676">
            <v>2019</v>
          </cell>
          <cell r="B5676" t="str">
            <v>Actual</v>
          </cell>
          <cell r="C5676" t="str">
            <v>Jun</v>
          </cell>
          <cell r="D5676" t="str">
            <v>Chairs</v>
          </cell>
          <cell r="E5676">
            <v>26413.407999999999</v>
          </cell>
          <cell r="F5676">
            <v>6</v>
          </cell>
        </row>
        <row r="5677">
          <cell r="A5677">
            <v>2018</v>
          </cell>
          <cell r="B5677" t="str">
            <v>Budget</v>
          </cell>
          <cell r="C5677" t="str">
            <v>Jun</v>
          </cell>
          <cell r="D5677" t="str">
            <v>Chairs</v>
          </cell>
          <cell r="E5677">
            <v>3287906.909</v>
          </cell>
          <cell r="F5677">
            <v>6</v>
          </cell>
        </row>
        <row r="5678">
          <cell r="A5678">
            <v>2019</v>
          </cell>
          <cell r="B5678" t="str">
            <v>Actual</v>
          </cell>
          <cell r="C5678" t="str">
            <v>Jun</v>
          </cell>
          <cell r="D5678" t="str">
            <v>Chairs</v>
          </cell>
          <cell r="E5678">
            <v>4381756.0709999995</v>
          </cell>
          <cell r="F5678">
            <v>6</v>
          </cell>
        </row>
        <row r="5679">
          <cell r="A5679">
            <v>2018</v>
          </cell>
          <cell r="B5679" t="str">
            <v>Budget</v>
          </cell>
          <cell r="C5679" t="str">
            <v>Jun</v>
          </cell>
          <cell r="D5679" t="str">
            <v>Chairs</v>
          </cell>
          <cell r="E5679">
            <v>6580688.7999999998</v>
          </cell>
          <cell r="F5679">
            <v>6</v>
          </cell>
        </row>
        <row r="5680">
          <cell r="A5680">
            <v>2019</v>
          </cell>
          <cell r="B5680" t="str">
            <v>Actual</v>
          </cell>
          <cell r="C5680" t="str">
            <v>Jun</v>
          </cell>
          <cell r="D5680" t="str">
            <v>Chairs</v>
          </cell>
          <cell r="E5680">
            <v>5440948.9399999995</v>
          </cell>
          <cell r="F5680">
            <v>6</v>
          </cell>
        </row>
        <row r="5681">
          <cell r="A5681">
            <v>2019</v>
          </cell>
          <cell r="B5681" t="str">
            <v>Budget</v>
          </cell>
          <cell r="C5681" t="str">
            <v>Jun</v>
          </cell>
          <cell r="D5681" t="str">
            <v>Chairs</v>
          </cell>
          <cell r="E5681">
            <v>235504.80099999998</v>
          </cell>
          <cell r="F5681">
            <v>6</v>
          </cell>
        </row>
        <row r="5682">
          <cell r="A5682">
            <v>2019</v>
          </cell>
          <cell r="B5682" t="str">
            <v>Actual</v>
          </cell>
          <cell r="C5682" t="str">
            <v>Jun</v>
          </cell>
          <cell r="D5682" t="str">
            <v>Chairs</v>
          </cell>
          <cell r="E5682">
            <v>53715.423999999999</v>
          </cell>
          <cell r="F5682">
            <v>6</v>
          </cell>
        </row>
        <row r="5683">
          <cell r="A5683">
            <v>2019</v>
          </cell>
          <cell r="B5683" t="str">
            <v>Budget</v>
          </cell>
          <cell r="C5683" t="str">
            <v>Jun</v>
          </cell>
          <cell r="D5683" t="str">
            <v>Chairs</v>
          </cell>
          <cell r="E5683">
            <v>222533.549</v>
          </cell>
          <cell r="F5683">
            <v>6</v>
          </cell>
        </row>
        <row r="5684">
          <cell r="A5684">
            <v>2019</v>
          </cell>
          <cell r="B5684" t="str">
            <v>Actual</v>
          </cell>
          <cell r="C5684" t="str">
            <v>Jun</v>
          </cell>
          <cell r="D5684" t="str">
            <v>Chairs</v>
          </cell>
          <cell r="E5684">
            <v>358486.36599999998</v>
          </cell>
          <cell r="F5684">
            <v>6</v>
          </cell>
        </row>
        <row r="5685">
          <cell r="A5685">
            <v>2018</v>
          </cell>
          <cell r="B5685" t="str">
            <v>Budget</v>
          </cell>
          <cell r="C5685" t="str">
            <v>Jun</v>
          </cell>
          <cell r="D5685" t="str">
            <v>Chairs</v>
          </cell>
          <cell r="E5685">
            <v>6773756.2339999992</v>
          </cell>
          <cell r="F5685">
            <v>6</v>
          </cell>
        </row>
        <row r="5686">
          <cell r="A5686">
            <v>2019</v>
          </cell>
          <cell r="B5686" t="str">
            <v>Actual</v>
          </cell>
          <cell r="C5686" t="str">
            <v>Jun</v>
          </cell>
          <cell r="D5686" t="str">
            <v>Chairs</v>
          </cell>
          <cell r="E5686">
            <v>1395398.5429999998</v>
          </cell>
          <cell r="F5686">
            <v>6</v>
          </cell>
        </row>
        <row r="5687">
          <cell r="A5687">
            <v>2018</v>
          </cell>
          <cell r="B5687" t="str">
            <v>Budget</v>
          </cell>
          <cell r="C5687" t="str">
            <v>Jun</v>
          </cell>
          <cell r="D5687" t="str">
            <v>Chairs</v>
          </cell>
          <cell r="E5687">
            <v>11118447.375</v>
          </cell>
          <cell r="F5687">
            <v>6</v>
          </cell>
        </row>
        <row r="5688">
          <cell r="A5688">
            <v>2019</v>
          </cell>
          <cell r="B5688" t="str">
            <v>Actual</v>
          </cell>
          <cell r="C5688" t="str">
            <v>Jun</v>
          </cell>
          <cell r="D5688" t="str">
            <v>Chairs</v>
          </cell>
          <cell r="E5688">
            <v>138970.69199999998</v>
          </cell>
          <cell r="F5688">
            <v>6</v>
          </cell>
        </row>
        <row r="5689">
          <cell r="A5689">
            <v>2018</v>
          </cell>
          <cell r="B5689" t="str">
            <v>Budget</v>
          </cell>
          <cell r="C5689" t="str">
            <v>Jun</v>
          </cell>
          <cell r="D5689" t="str">
            <v>Chairs</v>
          </cell>
          <cell r="E5689">
            <v>50929.808999999994</v>
          </cell>
          <cell r="F5689">
            <v>6</v>
          </cell>
        </row>
        <row r="5690">
          <cell r="A5690">
            <v>2019</v>
          </cell>
          <cell r="B5690" t="str">
            <v>Actual</v>
          </cell>
          <cell r="C5690" t="str">
            <v>Jun</v>
          </cell>
          <cell r="D5690" t="str">
            <v>Chairs</v>
          </cell>
          <cell r="E5690">
            <v>75796.041999999987</v>
          </cell>
          <cell r="F5690">
            <v>6</v>
          </cell>
        </row>
        <row r="5691">
          <cell r="A5691">
            <v>2018</v>
          </cell>
          <cell r="B5691" t="str">
            <v>Budget</v>
          </cell>
          <cell r="C5691" t="str">
            <v>Jun</v>
          </cell>
          <cell r="D5691" t="str">
            <v>Chairs</v>
          </cell>
          <cell r="E5691">
            <v>1019627.6579999999</v>
          </cell>
          <cell r="F5691">
            <v>6</v>
          </cell>
        </row>
        <row r="5692">
          <cell r="A5692">
            <v>2019</v>
          </cell>
          <cell r="B5692" t="str">
            <v>Actual</v>
          </cell>
          <cell r="C5692" t="str">
            <v>Jun</v>
          </cell>
          <cell r="D5692" t="str">
            <v>Chairs</v>
          </cell>
          <cell r="E5692">
            <v>129074.757</v>
          </cell>
          <cell r="F5692">
            <v>6</v>
          </cell>
        </row>
        <row r="5693">
          <cell r="A5693">
            <v>2018</v>
          </cell>
          <cell r="B5693" t="str">
            <v>Budget</v>
          </cell>
          <cell r="C5693" t="str">
            <v>Jun</v>
          </cell>
          <cell r="D5693" t="str">
            <v>Chairs</v>
          </cell>
          <cell r="E5693">
            <v>246364.55199999997</v>
          </cell>
          <cell r="F5693">
            <v>6</v>
          </cell>
        </row>
        <row r="5694">
          <cell r="A5694">
            <v>2019</v>
          </cell>
          <cell r="B5694" t="str">
            <v>Actual</v>
          </cell>
          <cell r="C5694" t="str">
            <v>Jun</v>
          </cell>
          <cell r="D5694" t="str">
            <v>Chairs</v>
          </cell>
          <cell r="E5694">
            <v>848679.41899999988</v>
          </cell>
          <cell r="F5694">
            <v>6</v>
          </cell>
        </row>
        <row r="5695">
          <cell r="A5695">
            <v>2019</v>
          </cell>
          <cell r="B5695" t="str">
            <v>Budget</v>
          </cell>
          <cell r="C5695" t="str">
            <v>Jun</v>
          </cell>
          <cell r="D5695" t="str">
            <v>Tables</v>
          </cell>
          <cell r="E5695">
            <v>4278865.3459999999</v>
          </cell>
          <cell r="F5695">
            <v>6</v>
          </cell>
        </row>
        <row r="5696">
          <cell r="A5696">
            <v>2018</v>
          </cell>
          <cell r="B5696" t="str">
            <v>Actual</v>
          </cell>
          <cell r="C5696" t="str">
            <v>Jun</v>
          </cell>
          <cell r="D5696" t="str">
            <v>Kitchen</v>
          </cell>
          <cell r="E5696">
            <v>328525.79199999996</v>
          </cell>
          <cell r="F5696">
            <v>6</v>
          </cell>
        </row>
        <row r="5697">
          <cell r="A5697">
            <v>2018</v>
          </cell>
          <cell r="B5697" t="str">
            <v>Budget</v>
          </cell>
          <cell r="C5697" t="str">
            <v>Jun</v>
          </cell>
          <cell r="D5697" t="str">
            <v>Chairs</v>
          </cell>
          <cell r="E5697">
            <v>-211745.23299999998</v>
          </cell>
          <cell r="F5697">
            <v>6</v>
          </cell>
        </row>
        <row r="5698">
          <cell r="A5698">
            <v>2019</v>
          </cell>
          <cell r="B5698" t="str">
            <v>Actual</v>
          </cell>
          <cell r="C5698" t="str">
            <v>Jun</v>
          </cell>
          <cell r="D5698" t="str">
            <v>Chairs</v>
          </cell>
          <cell r="E5698">
            <v>1265647.152</v>
          </cell>
          <cell r="F5698">
            <v>6</v>
          </cell>
        </row>
        <row r="5699">
          <cell r="A5699">
            <v>2019</v>
          </cell>
          <cell r="B5699" t="str">
            <v>Budget</v>
          </cell>
          <cell r="C5699" t="str">
            <v>Jun</v>
          </cell>
          <cell r="D5699" t="str">
            <v>Chairs</v>
          </cell>
          <cell r="E5699">
            <v>40713.490999999995</v>
          </cell>
          <cell r="F5699">
            <v>6</v>
          </cell>
        </row>
        <row r="5700">
          <cell r="A5700">
            <v>2019</v>
          </cell>
          <cell r="B5700" t="str">
            <v>Actual</v>
          </cell>
          <cell r="C5700" t="str">
            <v>Jun</v>
          </cell>
          <cell r="D5700" t="str">
            <v>Chairs</v>
          </cell>
          <cell r="E5700">
            <v>97528.865000000005</v>
          </cell>
          <cell r="F5700">
            <v>6</v>
          </cell>
        </row>
        <row r="5701">
          <cell r="A5701">
            <v>2019</v>
          </cell>
          <cell r="B5701" t="str">
            <v>Budget</v>
          </cell>
          <cell r="C5701" t="str">
            <v>Jun</v>
          </cell>
          <cell r="D5701" t="str">
            <v>Chairs</v>
          </cell>
          <cell r="E5701">
            <v>35577.842999999993</v>
          </cell>
          <cell r="F5701">
            <v>6</v>
          </cell>
        </row>
        <row r="5702">
          <cell r="A5702">
            <v>2018</v>
          </cell>
          <cell r="B5702" t="str">
            <v>Actual</v>
          </cell>
          <cell r="C5702" t="str">
            <v>Jun</v>
          </cell>
          <cell r="D5702" t="str">
            <v>Tables</v>
          </cell>
          <cell r="E5702">
            <v>3536.1759999999999</v>
          </cell>
          <cell r="F5702">
            <v>6</v>
          </cell>
        </row>
        <row r="5703">
          <cell r="A5703">
            <v>2018</v>
          </cell>
          <cell r="B5703" t="str">
            <v>Budget</v>
          </cell>
          <cell r="C5703" t="str">
            <v>Jun</v>
          </cell>
          <cell r="D5703" t="str">
            <v>Kitchen</v>
          </cell>
          <cell r="E5703">
            <v>125488.44699999999</v>
          </cell>
          <cell r="F5703">
            <v>6</v>
          </cell>
        </row>
        <row r="5704">
          <cell r="A5704">
            <v>2018</v>
          </cell>
          <cell r="B5704" t="str">
            <v>Actual</v>
          </cell>
          <cell r="C5704" t="str">
            <v>Jun</v>
          </cell>
          <cell r="D5704" t="str">
            <v>Chairs</v>
          </cell>
          <cell r="E5704">
            <v>101319.848</v>
          </cell>
          <cell r="F5704">
            <v>6</v>
          </cell>
        </row>
        <row r="5705">
          <cell r="A5705">
            <v>2018</v>
          </cell>
          <cell r="B5705" t="str">
            <v>Budget</v>
          </cell>
          <cell r="C5705" t="str">
            <v>Jun</v>
          </cell>
          <cell r="D5705" t="str">
            <v>Chairs</v>
          </cell>
          <cell r="E5705">
            <v>43563.078999999998</v>
          </cell>
          <cell r="F5705">
            <v>6</v>
          </cell>
        </row>
        <row r="5706">
          <cell r="A5706">
            <v>2018</v>
          </cell>
          <cell r="B5706" t="str">
            <v>Actual</v>
          </cell>
          <cell r="C5706" t="str">
            <v>Jun</v>
          </cell>
          <cell r="D5706" t="str">
            <v>Chairs</v>
          </cell>
          <cell r="E5706">
            <v>38272.016999999993</v>
          </cell>
          <cell r="F5706">
            <v>6</v>
          </cell>
        </row>
        <row r="5707">
          <cell r="A5707">
            <v>2018</v>
          </cell>
          <cell r="B5707" t="str">
            <v>Budget</v>
          </cell>
          <cell r="C5707" t="str">
            <v>Jun</v>
          </cell>
          <cell r="D5707" t="str">
            <v>Tables</v>
          </cell>
          <cell r="E5707">
            <v>26169.108</v>
          </cell>
          <cell r="F5707">
            <v>6</v>
          </cell>
        </row>
        <row r="5708">
          <cell r="A5708">
            <v>2019</v>
          </cell>
          <cell r="B5708" t="str">
            <v>Actual</v>
          </cell>
          <cell r="C5708" t="str">
            <v>Jun</v>
          </cell>
          <cell r="D5708" t="str">
            <v>Kitchen</v>
          </cell>
          <cell r="E5708">
            <v>143828.74799999999</v>
          </cell>
          <cell r="F5708">
            <v>6</v>
          </cell>
        </row>
        <row r="5709">
          <cell r="A5709">
            <v>2018</v>
          </cell>
          <cell r="B5709" t="str">
            <v>Budget</v>
          </cell>
          <cell r="C5709" t="str">
            <v>Jun</v>
          </cell>
          <cell r="D5709" t="str">
            <v>Chairs</v>
          </cell>
          <cell r="E5709">
            <v>8503.9289999999983</v>
          </cell>
          <cell r="F5709">
            <v>6</v>
          </cell>
        </row>
        <row r="5710">
          <cell r="A5710">
            <v>2018</v>
          </cell>
          <cell r="B5710" t="str">
            <v>Actual</v>
          </cell>
          <cell r="C5710" t="str">
            <v>Jun</v>
          </cell>
          <cell r="D5710" t="str">
            <v>Chairs</v>
          </cell>
          <cell r="E5710">
            <v>153802.59299999999</v>
          </cell>
          <cell r="F5710">
            <v>6</v>
          </cell>
        </row>
        <row r="5711">
          <cell r="A5711">
            <v>2018</v>
          </cell>
          <cell r="B5711" t="str">
            <v>Budget</v>
          </cell>
          <cell r="C5711" t="str">
            <v>Jun</v>
          </cell>
          <cell r="D5711" t="str">
            <v>Tables</v>
          </cell>
          <cell r="E5711">
            <v>81697.489999999991</v>
          </cell>
          <cell r="F5711">
            <v>6</v>
          </cell>
        </row>
        <row r="5712">
          <cell r="A5712">
            <v>2019</v>
          </cell>
          <cell r="B5712" t="str">
            <v>Actual</v>
          </cell>
          <cell r="C5712" t="str">
            <v>Jun</v>
          </cell>
          <cell r="D5712" t="str">
            <v>Kitchen</v>
          </cell>
          <cell r="E5712">
            <v>33613.307000000001</v>
          </cell>
          <cell r="F5712">
            <v>6</v>
          </cell>
        </row>
        <row r="5713">
          <cell r="A5713">
            <v>2019</v>
          </cell>
          <cell r="B5713" t="str">
            <v>Budget</v>
          </cell>
          <cell r="C5713" t="str">
            <v>Jun</v>
          </cell>
          <cell r="D5713" t="str">
            <v>Chairs</v>
          </cell>
          <cell r="E5713">
            <v>60020.849000000002</v>
          </cell>
          <cell r="F5713">
            <v>6</v>
          </cell>
        </row>
        <row r="5714">
          <cell r="A5714">
            <v>2019</v>
          </cell>
          <cell r="B5714" t="str">
            <v>Actual</v>
          </cell>
          <cell r="C5714" t="str">
            <v>Jun</v>
          </cell>
          <cell r="D5714" t="str">
            <v>Chairs</v>
          </cell>
          <cell r="E5714">
            <v>27074.285</v>
          </cell>
          <cell r="F5714">
            <v>6</v>
          </cell>
        </row>
        <row r="5715">
          <cell r="A5715">
            <v>2018</v>
          </cell>
          <cell r="B5715" t="str">
            <v>Budget</v>
          </cell>
          <cell r="C5715" t="str">
            <v>Jun</v>
          </cell>
          <cell r="D5715" t="str">
            <v>Tables</v>
          </cell>
          <cell r="E5715">
            <v>9395.1129999999994</v>
          </cell>
          <cell r="F5715">
            <v>6</v>
          </cell>
        </row>
        <row r="5716">
          <cell r="A5716">
            <v>2018</v>
          </cell>
          <cell r="B5716" t="str">
            <v>Actual</v>
          </cell>
          <cell r="C5716" t="str">
            <v>Jun</v>
          </cell>
          <cell r="D5716" t="str">
            <v>Kitchen</v>
          </cell>
          <cell r="E5716">
            <v>38655.525999999998</v>
          </cell>
          <cell r="F5716">
            <v>6</v>
          </cell>
        </row>
        <row r="5717">
          <cell r="A5717">
            <v>2019</v>
          </cell>
          <cell r="B5717" t="str">
            <v>Budget</v>
          </cell>
          <cell r="C5717" t="str">
            <v>Jun</v>
          </cell>
          <cell r="D5717" t="str">
            <v>Accessories</v>
          </cell>
          <cell r="E5717">
            <v>69119.18299999999</v>
          </cell>
          <cell r="F5717">
            <v>6</v>
          </cell>
        </row>
        <row r="5718">
          <cell r="A5718">
            <v>2019</v>
          </cell>
          <cell r="B5718" t="str">
            <v>Actual</v>
          </cell>
          <cell r="C5718" t="str">
            <v>Jun</v>
          </cell>
          <cell r="D5718" t="str">
            <v>Chairs</v>
          </cell>
          <cell r="E5718">
            <v>78826.23</v>
          </cell>
          <cell r="F5718">
            <v>6</v>
          </cell>
        </row>
        <row r="5719">
          <cell r="A5719">
            <v>2018</v>
          </cell>
          <cell r="B5719" t="str">
            <v>Budget</v>
          </cell>
          <cell r="C5719" t="str">
            <v>Jun</v>
          </cell>
          <cell r="D5719" t="str">
            <v>Tables</v>
          </cell>
          <cell r="E5719">
            <v>243937.87599999999</v>
          </cell>
          <cell r="F5719">
            <v>6</v>
          </cell>
        </row>
        <row r="5720">
          <cell r="A5720">
            <v>2019</v>
          </cell>
          <cell r="B5720" t="str">
            <v>Actual</v>
          </cell>
          <cell r="C5720" t="str">
            <v>Jun</v>
          </cell>
          <cell r="D5720" t="str">
            <v>Kitchen</v>
          </cell>
          <cell r="E5720">
            <v>136992.81399999998</v>
          </cell>
          <cell r="F5720">
            <v>6</v>
          </cell>
        </row>
        <row r="5721">
          <cell r="A5721">
            <v>2019</v>
          </cell>
          <cell r="B5721" t="str">
            <v>Budget</v>
          </cell>
          <cell r="C5721" t="str">
            <v>Jun</v>
          </cell>
          <cell r="D5721" t="str">
            <v>Accessories</v>
          </cell>
          <cell r="E5721">
            <v>327215.38499999995</v>
          </cell>
          <cell r="F5721">
            <v>6</v>
          </cell>
        </row>
        <row r="5722">
          <cell r="A5722">
            <v>2018</v>
          </cell>
          <cell r="B5722" t="str">
            <v>Actual</v>
          </cell>
          <cell r="C5722" t="str">
            <v>Jun</v>
          </cell>
          <cell r="D5722" t="str">
            <v>Chairs</v>
          </cell>
          <cell r="E5722">
            <v>1241703.1689999998</v>
          </cell>
          <cell r="F5722">
            <v>6</v>
          </cell>
        </row>
        <row r="5723">
          <cell r="A5723">
            <v>2018</v>
          </cell>
          <cell r="B5723" t="str">
            <v>Budget</v>
          </cell>
          <cell r="C5723" t="str">
            <v>Jun</v>
          </cell>
          <cell r="D5723" t="str">
            <v>Tables</v>
          </cell>
          <cell r="E5723">
            <v>83893.09599999999</v>
          </cell>
          <cell r="F5723">
            <v>6</v>
          </cell>
        </row>
        <row r="5724">
          <cell r="A5724">
            <v>2018</v>
          </cell>
          <cell r="B5724" t="str">
            <v>Actual</v>
          </cell>
          <cell r="C5724" t="str">
            <v>Jun</v>
          </cell>
          <cell r="D5724" t="str">
            <v>Kitchen</v>
          </cell>
          <cell r="E5724">
            <v>303962.98800000001</v>
          </cell>
          <cell r="F5724">
            <v>6</v>
          </cell>
        </row>
        <row r="5725">
          <cell r="A5725">
            <v>2019</v>
          </cell>
          <cell r="B5725" t="str">
            <v>Budget</v>
          </cell>
          <cell r="C5725" t="str">
            <v>Jun</v>
          </cell>
          <cell r="D5725" t="str">
            <v>Accessories</v>
          </cell>
          <cell r="E5725">
            <v>321513.52799999999</v>
          </cell>
          <cell r="F5725">
            <v>6</v>
          </cell>
        </row>
        <row r="5726">
          <cell r="A5726">
            <v>2018</v>
          </cell>
          <cell r="B5726" t="str">
            <v>Actual</v>
          </cell>
          <cell r="C5726" t="str">
            <v>Jun</v>
          </cell>
          <cell r="D5726" t="str">
            <v>Chairs</v>
          </cell>
          <cell r="E5726">
            <v>256331.24299999999</v>
          </cell>
          <cell r="F5726">
            <v>6</v>
          </cell>
        </row>
        <row r="5727">
          <cell r="A5727">
            <v>2019</v>
          </cell>
          <cell r="B5727" t="str">
            <v>Budget</v>
          </cell>
          <cell r="C5727" t="str">
            <v>Jun</v>
          </cell>
          <cell r="D5727" t="str">
            <v>Tables</v>
          </cell>
          <cell r="E5727">
            <v>1484.9380000000001</v>
          </cell>
          <cell r="F5727">
            <v>6</v>
          </cell>
        </row>
        <row r="5728">
          <cell r="A5728">
            <v>2019</v>
          </cell>
          <cell r="B5728" t="str">
            <v>Actual</v>
          </cell>
          <cell r="C5728" t="str">
            <v>Jun</v>
          </cell>
          <cell r="D5728" t="str">
            <v>Kitchen</v>
          </cell>
          <cell r="E5728">
            <v>8077.0829999999996</v>
          </cell>
          <cell r="F5728">
            <v>6</v>
          </cell>
        </row>
        <row r="5729">
          <cell r="A5729">
            <v>2018</v>
          </cell>
          <cell r="B5729" t="str">
            <v>Budget</v>
          </cell>
          <cell r="C5729" t="str">
            <v>Jun</v>
          </cell>
          <cell r="D5729" t="str">
            <v>Accessories</v>
          </cell>
          <cell r="E5729">
            <v>-338.47800000000001</v>
          </cell>
          <cell r="F5729">
            <v>6</v>
          </cell>
        </row>
        <row r="5730">
          <cell r="A5730">
            <v>2019</v>
          </cell>
          <cell r="B5730" t="str">
            <v>Actual</v>
          </cell>
          <cell r="C5730" t="str">
            <v>Jun</v>
          </cell>
          <cell r="D5730" t="str">
            <v>Chairs</v>
          </cell>
          <cell r="E5730">
            <v>487071.15799999994</v>
          </cell>
          <cell r="F5730">
            <v>6</v>
          </cell>
        </row>
        <row r="5731">
          <cell r="A5731">
            <v>2018</v>
          </cell>
          <cell r="B5731" t="str">
            <v>Budget</v>
          </cell>
          <cell r="C5731" t="str">
            <v>Jun</v>
          </cell>
          <cell r="D5731" t="str">
            <v>Tables</v>
          </cell>
          <cell r="E5731">
            <v>109925.508</v>
          </cell>
          <cell r="F5731">
            <v>6</v>
          </cell>
        </row>
        <row r="5732">
          <cell r="A5732">
            <v>2018</v>
          </cell>
          <cell r="B5732" t="str">
            <v>Actual</v>
          </cell>
          <cell r="C5732" t="str">
            <v>Jun</v>
          </cell>
          <cell r="D5732" t="str">
            <v>Kitchen</v>
          </cell>
          <cell r="E5732">
            <v>328234.571</v>
          </cell>
          <cell r="F5732">
            <v>6</v>
          </cell>
        </row>
        <row r="5733">
          <cell r="A5733">
            <v>2019</v>
          </cell>
          <cell r="B5733" t="str">
            <v>Budget</v>
          </cell>
          <cell r="C5733" t="str">
            <v>Jun</v>
          </cell>
          <cell r="D5733" t="str">
            <v>Accessories</v>
          </cell>
          <cell r="E5733">
            <v>13295.218999999997</v>
          </cell>
          <cell r="F5733">
            <v>6</v>
          </cell>
        </row>
        <row r="5734">
          <cell r="A5734">
            <v>2018</v>
          </cell>
          <cell r="B5734" t="str">
            <v>Actual</v>
          </cell>
          <cell r="C5734" t="str">
            <v>Jun</v>
          </cell>
          <cell r="D5734" t="str">
            <v>Chairs</v>
          </cell>
          <cell r="E5734">
            <v>45682.188999999998</v>
          </cell>
          <cell r="F5734">
            <v>6</v>
          </cell>
        </row>
        <row r="5735">
          <cell r="A5735">
            <v>2019</v>
          </cell>
          <cell r="B5735" t="str">
            <v>Budget</v>
          </cell>
          <cell r="C5735" t="str">
            <v>Jun</v>
          </cell>
          <cell r="D5735" t="str">
            <v>Chairs</v>
          </cell>
          <cell r="E5735">
            <v>89555.697</v>
          </cell>
          <cell r="F5735">
            <v>6</v>
          </cell>
        </row>
        <row r="5736">
          <cell r="A5736">
            <v>2019</v>
          </cell>
          <cell r="B5736" t="str">
            <v>Actual</v>
          </cell>
          <cell r="C5736" t="str">
            <v>Jun</v>
          </cell>
          <cell r="D5736" t="str">
            <v>Tables</v>
          </cell>
          <cell r="E5736">
            <v>102254.31299999999</v>
          </cell>
          <cell r="F5736">
            <v>6</v>
          </cell>
        </row>
        <row r="5737">
          <cell r="A5737">
            <v>2019</v>
          </cell>
          <cell r="B5737" t="str">
            <v>Budget</v>
          </cell>
          <cell r="C5737" t="str">
            <v>Jun</v>
          </cell>
          <cell r="D5737" t="str">
            <v>Kitchen</v>
          </cell>
          <cell r="E5737">
            <v>497249.935</v>
          </cell>
          <cell r="F5737">
            <v>6</v>
          </cell>
        </row>
        <row r="5738">
          <cell r="A5738">
            <v>2019</v>
          </cell>
          <cell r="B5738" t="str">
            <v>Actual</v>
          </cell>
          <cell r="C5738" t="str">
            <v>Jun</v>
          </cell>
          <cell r="D5738" t="str">
            <v>Chairs</v>
          </cell>
          <cell r="E5738">
            <v>1661262.3089999999</v>
          </cell>
          <cell r="F5738">
            <v>6</v>
          </cell>
        </row>
        <row r="5739">
          <cell r="A5739">
            <v>2019</v>
          </cell>
          <cell r="B5739" t="str">
            <v>Budget</v>
          </cell>
          <cell r="C5739" t="str">
            <v>Jun</v>
          </cell>
          <cell r="D5739" t="str">
            <v>Tables</v>
          </cell>
          <cell r="E5739">
            <v>498563.80699999997</v>
          </cell>
          <cell r="F5739">
            <v>6</v>
          </cell>
        </row>
        <row r="5740">
          <cell r="A5740">
            <v>2018</v>
          </cell>
          <cell r="B5740" t="str">
            <v>Actual</v>
          </cell>
          <cell r="C5740" t="str">
            <v>Jun</v>
          </cell>
          <cell r="D5740" t="str">
            <v>Kitchen</v>
          </cell>
          <cell r="E5740">
            <v>-14157.268999999998</v>
          </cell>
          <cell r="F5740">
            <v>6</v>
          </cell>
        </row>
        <row r="5741">
          <cell r="A5741">
            <v>2019</v>
          </cell>
          <cell r="B5741" t="str">
            <v>Budget</v>
          </cell>
          <cell r="C5741" t="str">
            <v>Jun</v>
          </cell>
          <cell r="D5741" t="str">
            <v>Chairs</v>
          </cell>
          <cell r="E5741">
            <v>280049.94499999995</v>
          </cell>
          <cell r="F5741">
            <v>6</v>
          </cell>
        </row>
        <row r="5742">
          <cell r="A5742">
            <v>2018</v>
          </cell>
          <cell r="B5742" t="str">
            <v>Actual</v>
          </cell>
          <cell r="C5742" t="str">
            <v>Jun</v>
          </cell>
          <cell r="D5742" t="str">
            <v>Tables</v>
          </cell>
          <cell r="E5742">
            <v>57707.495999999992</v>
          </cell>
          <cell r="F5742">
            <v>6</v>
          </cell>
        </row>
        <row r="5743">
          <cell r="A5743">
            <v>2018</v>
          </cell>
          <cell r="B5743" t="str">
            <v>Budget</v>
          </cell>
          <cell r="C5743" t="str">
            <v>Jun</v>
          </cell>
          <cell r="D5743" t="str">
            <v>Kitchen</v>
          </cell>
          <cell r="E5743">
            <v>58799.894999999997</v>
          </cell>
          <cell r="F5743">
            <v>6</v>
          </cell>
        </row>
        <row r="5744">
          <cell r="A5744">
            <v>2018</v>
          </cell>
          <cell r="B5744" t="str">
            <v>Actual</v>
          </cell>
          <cell r="C5744" t="str">
            <v>Jun</v>
          </cell>
          <cell r="D5744" t="str">
            <v>Chairs</v>
          </cell>
          <cell r="E5744">
            <v>156396.69500000001</v>
          </cell>
          <cell r="F5744">
            <v>6</v>
          </cell>
        </row>
        <row r="5745">
          <cell r="A5745">
            <v>2019</v>
          </cell>
          <cell r="B5745" t="str">
            <v>Budget</v>
          </cell>
          <cell r="C5745" t="str">
            <v>Jun</v>
          </cell>
          <cell r="D5745" t="str">
            <v>Chairs</v>
          </cell>
          <cell r="E5745">
            <v>308458.21999999997</v>
          </cell>
          <cell r="F5745">
            <v>6</v>
          </cell>
        </row>
        <row r="5746">
          <cell r="A5746">
            <v>2019</v>
          </cell>
          <cell r="B5746" t="str">
            <v>Actual</v>
          </cell>
          <cell r="C5746" t="str">
            <v>Jun</v>
          </cell>
          <cell r="D5746" t="str">
            <v>Chairs</v>
          </cell>
          <cell r="E5746">
            <v>45496.723999999995</v>
          </cell>
          <cell r="F5746">
            <v>6</v>
          </cell>
        </row>
        <row r="5747">
          <cell r="A5747">
            <v>2019</v>
          </cell>
          <cell r="B5747" t="str">
            <v>Budget</v>
          </cell>
          <cell r="C5747" t="str">
            <v>Jun</v>
          </cell>
          <cell r="D5747" t="str">
            <v>Chairs</v>
          </cell>
          <cell r="E5747">
            <v>248941.84700000001</v>
          </cell>
          <cell r="F5747">
            <v>6</v>
          </cell>
        </row>
        <row r="5748">
          <cell r="A5748">
            <v>2019</v>
          </cell>
          <cell r="B5748" t="str">
            <v>Actual</v>
          </cell>
          <cell r="C5748" t="str">
            <v>Jun</v>
          </cell>
          <cell r="D5748" t="str">
            <v>Chairs</v>
          </cell>
          <cell r="E5748">
            <v>133061.845</v>
          </cell>
          <cell r="F5748">
            <v>6</v>
          </cell>
        </row>
        <row r="5749">
          <cell r="A5749">
            <v>2019</v>
          </cell>
          <cell r="B5749" t="str">
            <v>Budget</v>
          </cell>
          <cell r="C5749" t="str">
            <v>Jun</v>
          </cell>
          <cell r="D5749" t="str">
            <v>Chairs</v>
          </cell>
          <cell r="E5749">
            <v>35968.974999999999</v>
          </cell>
          <cell r="F5749">
            <v>6</v>
          </cell>
        </row>
        <row r="5750">
          <cell r="A5750">
            <v>2018</v>
          </cell>
          <cell r="B5750" t="str">
            <v>Actual</v>
          </cell>
          <cell r="C5750" t="str">
            <v>Jun</v>
          </cell>
          <cell r="D5750" t="str">
            <v>Chairs</v>
          </cell>
          <cell r="E5750">
            <v>335985.26500000001</v>
          </cell>
          <cell r="F5750">
            <v>6</v>
          </cell>
        </row>
        <row r="5751">
          <cell r="A5751">
            <v>2019</v>
          </cell>
          <cell r="B5751" t="str">
            <v>Budget</v>
          </cell>
          <cell r="C5751" t="str">
            <v>Jun</v>
          </cell>
          <cell r="D5751" t="str">
            <v>Chairs</v>
          </cell>
          <cell r="E5751">
            <v>301505.99499999994</v>
          </cell>
          <cell r="F5751">
            <v>6</v>
          </cell>
        </row>
        <row r="5752">
          <cell r="A5752">
            <v>2019</v>
          </cell>
          <cell r="B5752" t="str">
            <v>Actual</v>
          </cell>
          <cell r="C5752" t="str">
            <v>Jun</v>
          </cell>
          <cell r="D5752" t="str">
            <v>Chairs</v>
          </cell>
          <cell r="E5752">
            <v>179485.53699999998</v>
          </cell>
          <cell r="F5752">
            <v>6</v>
          </cell>
        </row>
        <row r="5753">
          <cell r="A5753">
            <v>2018</v>
          </cell>
          <cell r="B5753" t="str">
            <v>Budget</v>
          </cell>
          <cell r="C5753" t="str">
            <v>Jun</v>
          </cell>
          <cell r="D5753" t="str">
            <v>Chairs</v>
          </cell>
          <cell r="E5753">
            <v>228375.11199999996</v>
          </cell>
          <cell r="F5753">
            <v>6</v>
          </cell>
        </row>
        <row r="5754">
          <cell r="A5754">
            <v>2019</v>
          </cell>
          <cell r="B5754" t="str">
            <v>Actual</v>
          </cell>
          <cell r="C5754" t="str">
            <v>Jun</v>
          </cell>
          <cell r="D5754" t="str">
            <v>Chairs</v>
          </cell>
          <cell r="E5754">
            <v>74063.940999999992</v>
          </cell>
          <cell r="F5754">
            <v>6</v>
          </cell>
        </row>
        <row r="5755">
          <cell r="A5755">
            <v>2018</v>
          </cell>
          <cell r="B5755" t="str">
            <v>Budget</v>
          </cell>
          <cell r="C5755" t="str">
            <v>Jun</v>
          </cell>
          <cell r="D5755" t="str">
            <v>Chairs</v>
          </cell>
          <cell r="E5755">
            <v>5754143.2479999997</v>
          </cell>
          <cell r="F5755">
            <v>6</v>
          </cell>
        </row>
        <row r="5756">
          <cell r="A5756">
            <v>2018</v>
          </cell>
          <cell r="B5756" t="str">
            <v>Actual</v>
          </cell>
          <cell r="C5756" t="str">
            <v>Jun</v>
          </cell>
          <cell r="D5756" t="str">
            <v>Chairs</v>
          </cell>
          <cell r="E5756">
            <v>54992.258999999991</v>
          </cell>
          <cell r="F5756">
            <v>6</v>
          </cell>
        </row>
        <row r="5757">
          <cell r="A5757">
            <v>2019</v>
          </cell>
          <cell r="B5757" t="str">
            <v>Budget</v>
          </cell>
          <cell r="C5757" t="str">
            <v>Jun</v>
          </cell>
          <cell r="D5757" t="str">
            <v>Chairs</v>
          </cell>
          <cell r="E5757">
            <v>859484.17799999996</v>
          </cell>
          <cell r="F5757">
            <v>6</v>
          </cell>
        </row>
        <row r="5758">
          <cell r="A5758">
            <v>2019</v>
          </cell>
          <cell r="B5758" t="str">
            <v>Actual</v>
          </cell>
          <cell r="C5758" t="str">
            <v>Jun</v>
          </cell>
          <cell r="D5758" t="str">
            <v>Chairs</v>
          </cell>
          <cell r="E5758">
            <v>710572.67399999988</v>
          </cell>
          <cell r="F5758">
            <v>6</v>
          </cell>
        </row>
        <row r="5759">
          <cell r="A5759">
            <v>2019</v>
          </cell>
          <cell r="B5759" t="str">
            <v>Budget</v>
          </cell>
          <cell r="C5759" t="str">
            <v>Jun</v>
          </cell>
          <cell r="D5759" t="str">
            <v>Chairs</v>
          </cell>
          <cell r="E5759">
            <v>29538.242999999995</v>
          </cell>
          <cell r="F5759">
            <v>6</v>
          </cell>
        </row>
        <row r="5760">
          <cell r="A5760">
            <v>2019</v>
          </cell>
          <cell r="B5760" t="str">
            <v>Actual</v>
          </cell>
          <cell r="C5760" t="str">
            <v>Jun</v>
          </cell>
          <cell r="D5760" t="str">
            <v>Chairs</v>
          </cell>
          <cell r="E5760">
            <v>35330.217999999993</v>
          </cell>
          <cell r="F5760">
            <v>6</v>
          </cell>
        </row>
        <row r="5761">
          <cell r="A5761">
            <v>2019</v>
          </cell>
          <cell r="B5761" t="str">
            <v>Budget</v>
          </cell>
          <cell r="C5761" t="str">
            <v>Jun</v>
          </cell>
          <cell r="D5761" t="str">
            <v>Chairs</v>
          </cell>
          <cell r="E5761">
            <v>778328.62099999993</v>
          </cell>
          <cell r="F5761">
            <v>6</v>
          </cell>
        </row>
        <row r="5762">
          <cell r="A5762">
            <v>2018</v>
          </cell>
          <cell r="B5762" t="str">
            <v>Actual</v>
          </cell>
          <cell r="C5762" t="str">
            <v>Jun</v>
          </cell>
          <cell r="D5762" t="str">
            <v>Chairs</v>
          </cell>
          <cell r="E5762">
            <v>146255.87199999997</v>
          </cell>
          <cell r="F5762">
            <v>6</v>
          </cell>
        </row>
        <row r="5763">
          <cell r="A5763">
            <v>2019</v>
          </cell>
          <cell r="B5763" t="str">
            <v>Budget</v>
          </cell>
          <cell r="C5763" t="str">
            <v>Jun</v>
          </cell>
          <cell r="D5763" t="str">
            <v>Chairs</v>
          </cell>
          <cell r="E5763">
            <v>839031.55699999991</v>
          </cell>
          <cell r="F5763">
            <v>6</v>
          </cell>
        </row>
        <row r="5764">
          <cell r="A5764">
            <v>2019</v>
          </cell>
          <cell r="B5764" t="str">
            <v>Actual</v>
          </cell>
          <cell r="C5764" t="str">
            <v>Jun</v>
          </cell>
          <cell r="D5764" t="str">
            <v>Chairs</v>
          </cell>
          <cell r="E5764">
            <v>71391.55799999999</v>
          </cell>
          <cell r="F5764">
            <v>6</v>
          </cell>
        </row>
        <row r="5765">
          <cell r="A5765">
            <v>2018</v>
          </cell>
          <cell r="B5765" t="str">
            <v>Budget</v>
          </cell>
          <cell r="C5765" t="str">
            <v>Jun</v>
          </cell>
          <cell r="D5765" t="str">
            <v>Chairs</v>
          </cell>
          <cell r="E5765">
            <v>805671.81799999997</v>
          </cell>
          <cell r="F5765">
            <v>6</v>
          </cell>
        </row>
        <row r="5766">
          <cell r="A5766">
            <v>2019</v>
          </cell>
          <cell r="B5766" t="str">
            <v>Actual</v>
          </cell>
          <cell r="C5766" t="str">
            <v>Jun</v>
          </cell>
          <cell r="D5766" t="str">
            <v>Chairs</v>
          </cell>
          <cell r="E5766">
            <v>1284249.757</v>
          </cell>
          <cell r="F5766">
            <v>6</v>
          </cell>
        </row>
        <row r="5767">
          <cell r="A5767">
            <v>2018</v>
          </cell>
          <cell r="B5767" t="str">
            <v>Budget</v>
          </cell>
          <cell r="C5767" t="str">
            <v>Jun</v>
          </cell>
          <cell r="D5767" t="str">
            <v>Chairs</v>
          </cell>
          <cell r="E5767">
            <v>200825.97499999998</v>
          </cell>
          <cell r="F5767">
            <v>6</v>
          </cell>
        </row>
        <row r="5768">
          <cell r="A5768">
            <v>2019</v>
          </cell>
          <cell r="B5768" t="str">
            <v>Actual</v>
          </cell>
          <cell r="C5768" t="str">
            <v>Jun</v>
          </cell>
          <cell r="D5768" t="str">
            <v>Chairs</v>
          </cell>
          <cell r="E5768">
            <v>548536.10699999996</v>
          </cell>
          <cell r="F5768">
            <v>6</v>
          </cell>
        </row>
        <row r="5769">
          <cell r="A5769">
            <v>2018</v>
          </cell>
          <cell r="B5769" t="str">
            <v>Budget</v>
          </cell>
          <cell r="C5769" t="str">
            <v>Jun</v>
          </cell>
          <cell r="D5769" t="str">
            <v>Chairs</v>
          </cell>
          <cell r="E5769">
            <v>4822518.2460000003</v>
          </cell>
          <cell r="F5769">
            <v>6</v>
          </cell>
        </row>
        <row r="5770">
          <cell r="A5770">
            <v>2018</v>
          </cell>
          <cell r="B5770" t="str">
            <v>Actual</v>
          </cell>
          <cell r="C5770" t="str">
            <v>Jun</v>
          </cell>
          <cell r="D5770" t="str">
            <v>Tables</v>
          </cell>
          <cell r="E5770">
            <v>5343396.6879999992</v>
          </cell>
          <cell r="F5770">
            <v>6</v>
          </cell>
        </row>
        <row r="5771">
          <cell r="A5771">
            <v>2019</v>
          </cell>
          <cell r="B5771" t="str">
            <v>Budget</v>
          </cell>
          <cell r="C5771" t="str">
            <v>Jun</v>
          </cell>
          <cell r="D5771" t="str">
            <v>Kitchen</v>
          </cell>
          <cell r="E5771">
            <v>1345428.5529999998</v>
          </cell>
          <cell r="F5771">
            <v>6</v>
          </cell>
        </row>
        <row r="5772">
          <cell r="A5772">
            <v>2019</v>
          </cell>
          <cell r="B5772" t="str">
            <v>Actual</v>
          </cell>
          <cell r="C5772" t="str">
            <v>Jun</v>
          </cell>
          <cell r="D5772" t="str">
            <v>Chairs</v>
          </cell>
          <cell r="E5772">
            <v>499728.5579999999</v>
          </cell>
          <cell r="F5772">
            <v>6</v>
          </cell>
        </row>
        <row r="5773">
          <cell r="A5773">
            <v>2019</v>
          </cell>
          <cell r="B5773" t="str">
            <v>Budget</v>
          </cell>
          <cell r="C5773" t="str">
            <v>Jun</v>
          </cell>
          <cell r="D5773" t="str">
            <v>Chairs</v>
          </cell>
          <cell r="E5773">
            <v>2384985.0639999998</v>
          </cell>
          <cell r="F5773">
            <v>6</v>
          </cell>
        </row>
        <row r="5774">
          <cell r="A5774">
            <v>2019</v>
          </cell>
          <cell r="B5774" t="str">
            <v>Actual</v>
          </cell>
          <cell r="C5774" t="str">
            <v>Jun</v>
          </cell>
          <cell r="D5774" t="str">
            <v>Chairs</v>
          </cell>
          <cell r="E5774">
            <v>214021.514</v>
          </cell>
          <cell r="F5774">
            <v>6</v>
          </cell>
        </row>
        <row r="5775">
          <cell r="A5775">
            <v>2019</v>
          </cell>
          <cell r="B5775" t="str">
            <v>Budget</v>
          </cell>
          <cell r="C5775" t="str">
            <v>Jun</v>
          </cell>
          <cell r="D5775" t="str">
            <v>Chairs</v>
          </cell>
          <cell r="E5775">
            <v>219158.18399999998</v>
          </cell>
          <cell r="F5775">
            <v>6</v>
          </cell>
        </row>
        <row r="5776">
          <cell r="A5776">
            <v>2019</v>
          </cell>
          <cell r="B5776" t="str">
            <v>Actual</v>
          </cell>
          <cell r="C5776" t="str">
            <v>Jun</v>
          </cell>
          <cell r="D5776" t="str">
            <v>Chairs</v>
          </cell>
          <cell r="E5776">
            <v>1616116.3900000001</v>
          </cell>
          <cell r="F5776">
            <v>6</v>
          </cell>
        </row>
        <row r="5777">
          <cell r="A5777">
            <v>2018</v>
          </cell>
          <cell r="B5777" t="str">
            <v>Budget</v>
          </cell>
          <cell r="C5777" t="str">
            <v>Jun</v>
          </cell>
          <cell r="D5777" t="str">
            <v>Tables</v>
          </cell>
          <cell r="E5777">
            <v>63900.997999999992</v>
          </cell>
          <cell r="F5777">
            <v>6</v>
          </cell>
        </row>
        <row r="5778">
          <cell r="A5778">
            <v>2018</v>
          </cell>
          <cell r="B5778" t="str">
            <v>Actual</v>
          </cell>
          <cell r="C5778" t="str">
            <v>Jun</v>
          </cell>
          <cell r="D5778" t="str">
            <v>Kitchen</v>
          </cell>
          <cell r="E5778">
            <v>9192.378999999999</v>
          </cell>
          <cell r="F5778">
            <v>6</v>
          </cell>
        </row>
        <row r="5779">
          <cell r="A5779">
            <v>2019</v>
          </cell>
          <cell r="B5779" t="str">
            <v>Budget</v>
          </cell>
          <cell r="C5779" t="str">
            <v>Jun</v>
          </cell>
          <cell r="D5779" t="str">
            <v>Chairs</v>
          </cell>
          <cell r="E5779">
            <v>381197.31299999997</v>
          </cell>
          <cell r="F5779">
            <v>6</v>
          </cell>
        </row>
        <row r="5780">
          <cell r="A5780">
            <v>2019</v>
          </cell>
          <cell r="B5780" t="str">
            <v>Actual</v>
          </cell>
          <cell r="C5780" t="str">
            <v>Jun</v>
          </cell>
          <cell r="D5780" t="str">
            <v>Chairs</v>
          </cell>
          <cell r="E5780">
            <v>10116.539999999999</v>
          </cell>
          <cell r="F5780">
            <v>6</v>
          </cell>
        </row>
        <row r="5781">
          <cell r="A5781">
            <v>2018</v>
          </cell>
          <cell r="B5781" t="str">
            <v>Budget</v>
          </cell>
          <cell r="C5781" t="str">
            <v>Jun</v>
          </cell>
          <cell r="D5781" t="str">
            <v>Chairs</v>
          </cell>
          <cell r="E5781">
            <v>81792.983999999997</v>
          </cell>
          <cell r="F5781">
            <v>6</v>
          </cell>
        </row>
        <row r="5782">
          <cell r="A5782">
            <v>2019</v>
          </cell>
          <cell r="B5782" t="str">
            <v>Actual</v>
          </cell>
          <cell r="C5782" t="str">
            <v>Jun</v>
          </cell>
          <cell r="D5782" t="str">
            <v>Tables</v>
          </cell>
          <cell r="E5782">
            <v>514764.48799999995</v>
          </cell>
          <cell r="F5782">
            <v>6</v>
          </cell>
        </row>
        <row r="5783">
          <cell r="A5783">
            <v>2018</v>
          </cell>
          <cell r="B5783" t="str">
            <v>Budget</v>
          </cell>
          <cell r="C5783" t="str">
            <v>Jun</v>
          </cell>
          <cell r="D5783" t="str">
            <v>Kitchen</v>
          </cell>
          <cell r="E5783">
            <v>1276042.3549999997</v>
          </cell>
          <cell r="F5783">
            <v>6</v>
          </cell>
        </row>
        <row r="5784">
          <cell r="A5784">
            <v>2018</v>
          </cell>
          <cell r="B5784" t="str">
            <v>Actual</v>
          </cell>
          <cell r="C5784" t="str">
            <v>Jun</v>
          </cell>
          <cell r="D5784" t="str">
            <v>Chairs</v>
          </cell>
          <cell r="E5784">
            <v>106366.13399999999</v>
          </cell>
          <cell r="F5784">
            <v>6</v>
          </cell>
        </row>
        <row r="5785">
          <cell r="A5785">
            <v>2019</v>
          </cell>
          <cell r="B5785" t="str">
            <v>Budget</v>
          </cell>
          <cell r="C5785" t="str">
            <v>Jun</v>
          </cell>
          <cell r="D5785" t="str">
            <v>Chairs</v>
          </cell>
          <cell r="E5785">
            <v>92274.580999999991</v>
          </cell>
          <cell r="F5785">
            <v>6</v>
          </cell>
        </row>
        <row r="5786">
          <cell r="A5786">
            <v>2018</v>
          </cell>
          <cell r="B5786" t="str">
            <v>Actual</v>
          </cell>
          <cell r="C5786" t="str">
            <v>Jun</v>
          </cell>
          <cell r="D5786" t="str">
            <v>Tables</v>
          </cell>
          <cell r="E5786">
            <v>563856.76199999999</v>
          </cell>
          <cell r="F5786">
            <v>6</v>
          </cell>
        </row>
        <row r="5787">
          <cell r="A5787">
            <v>2019</v>
          </cell>
          <cell r="B5787" t="str">
            <v>Budget</v>
          </cell>
          <cell r="C5787" t="str">
            <v>Jun</v>
          </cell>
          <cell r="D5787" t="str">
            <v>Kitchen</v>
          </cell>
          <cell r="E5787">
            <v>1383436.2219999998</v>
          </cell>
          <cell r="F5787">
            <v>6</v>
          </cell>
        </row>
        <row r="5788">
          <cell r="A5788">
            <v>2019</v>
          </cell>
          <cell r="B5788" t="str">
            <v>Actual</v>
          </cell>
          <cell r="C5788" t="str">
            <v>Jun</v>
          </cell>
          <cell r="D5788" t="str">
            <v>Chairs</v>
          </cell>
          <cell r="E5788">
            <v>1459952.8229999999</v>
          </cell>
          <cell r="F5788">
            <v>6</v>
          </cell>
        </row>
        <row r="5789">
          <cell r="A5789">
            <v>2018</v>
          </cell>
          <cell r="B5789" t="str">
            <v>Budget</v>
          </cell>
          <cell r="C5789" t="str">
            <v>Jun</v>
          </cell>
          <cell r="D5789" t="str">
            <v>Chairs</v>
          </cell>
          <cell r="E5789">
            <v>67919.739999999991</v>
          </cell>
          <cell r="F5789">
            <v>6</v>
          </cell>
        </row>
        <row r="5790">
          <cell r="A5790">
            <v>2019</v>
          </cell>
          <cell r="B5790" t="str">
            <v>Actual</v>
          </cell>
          <cell r="C5790" t="str">
            <v>Jun</v>
          </cell>
          <cell r="D5790" t="str">
            <v>Tables</v>
          </cell>
          <cell r="E5790">
            <v>979562.78699999989</v>
          </cell>
          <cell r="F5790">
            <v>6</v>
          </cell>
        </row>
        <row r="5791">
          <cell r="A5791">
            <v>2019</v>
          </cell>
          <cell r="B5791" t="str">
            <v>Budget</v>
          </cell>
          <cell r="C5791" t="str">
            <v>Jun</v>
          </cell>
          <cell r="D5791" t="str">
            <v>Chairs</v>
          </cell>
          <cell r="E5791">
            <v>179814.446</v>
          </cell>
          <cell r="F5791">
            <v>6</v>
          </cell>
        </row>
        <row r="5792">
          <cell r="A5792">
            <v>2018</v>
          </cell>
          <cell r="B5792" t="str">
            <v>Actual</v>
          </cell>
          <cell r="C5792" t="str">
            <v>Jun</v>
          </cell>
          <cell r="D5792" t="str">
            <v>Tables</v>
          </cell>
          <cell r="E5792">
            <v>2496051.7540000002</v>
          </cell>
          <cell r="F5792">
            <v>6</v>
          </cell>
        </row>
        <row r="5793">
          <cell r="A5793">
            <v>2019</v>
          </cell>
          <cell r="B5793" t="str">
            <v>Budget</v>
          </cell>
          <cell r="C5793" t="str">
            <v>Jun</v>
          </cell>
          <cell r="D5793" t="str">
            <v>Kitchen</v>
          </cell>
          <cell r="E5793">
            <v>1539690.943</v>
          </cell>
          <cell r="F5793">
            <v>6</v>
          </cell>
        </row>
        <row r="5794">
          <cell r="A5794">
            <v>2019</v>
          </cell>
          <cell r="B5794" t="str">
            <v>Actual</v>
          </cell>
          <cell r="C5794" t="str">
            <v>Jun</v>
          </cell>
          <cell r="D5794" t="str">
            <v>Accessories</v>
          </cell>
          <cell r="E5794">
            <v>895681.14299999992</v>
          </cell>
          <cell r="F5794">
            <v>6</v>
          </cell>
        </row>
        <row r="5795">
          <cell r="A5795">
            <v>2018</v>
          </cell>
          <cell r="B5795" t="str">
            <v>Budget</v>
          </cell>
          <cell r="C5795" t="str">
            <v>Jun</v>
          </cell>
          <cell r="D5795" t="str">
            <v>Chairs</v>
          </cell>
          <cell r="E5795">
            <v>198680.83199999999</v>
          </cell>
          <cell r="F5795">
            <v>6</v>
          </cell>
        </row>
        <row r="5796">
          <cell r="A5796">
            <v>2019</v>
          </cell>
          <cell r="B5796" t="str">
            <v>Actual</v>
          </cell>
          <cell r="C5796" t="str">
            <v>Jun</v>
          </cell>
          <cell r="D5796" t="str">
            <v>Tables</v>
          </cell>
          <cell r="E5796">
            <v>400085.50399999996</v>
          </cell>
          <cell r="F5796">
            <v>6</v>
          </cell>
        </row>
        <row r="5797">
          <cell r="A5797">
            <v>2018</v>
          </cell>
          <cell r="B5797" t="str">
            <v>Budget</v>
          </cell>
          <cell r="C5797" t="str">
            <v>Jun</v>
          </cell>
          <cell r="D5797" t="str">
            <v>Kitchen</v>
          </cell>
          <cell r="E5797">
            <v>70997.177999999985</v>
          </cell>
          <cell r="F5797">
            <v>6</v>
          </cell>
        </row>
        <row r="5798">
          <cell r="A5798">
            <v>2019</v>
          </cell>
          <cell r="B5798" t="str">
            <v>Actual</v>
          </cell>
          <cell r="C5798" t="str">
            <v>Jun</v>
          </cell>
          <cell r="D5798" t="str">
            <v>Accessories</v>
          </cell>
          <cell r="E5798">
            <v>930.25099999999998</v>
          </cell>
          <cell r="F5798">
            <v>6</v>
          </cell>
        </row>
        <row r="5799">
          <cell r="A5799">
            <v>2018</v>
          </cell>
          <cell r="B5799" t="str">
            <v>Budget</v>
          </cell>
          <cell r="C5799" t="str">
            <v>Jun</v>
          </cell>
          <cell r="D5799" t="str">
            <v>Chairs</v>
          </cell>
          <cell r="E5799">
            <v>211652.29399999997</v>
          </cell>
          <cell r="F5799">
            <v>6</v>
          </cell>
        </row>
        <row r="5800">
          <cell r="A5800">
            <v>2019</v>
          </cell>
          <cell r="B5800" t="str">
            <v>Actual</v>
          </cell>
          <cell r="C5800" t="str">
            <v>Jun</v>
          </cell>
          <cell r="D5800" t="str">
            <v>Tables</v>
          </cell>
          <cell r="E5800">
            <v>301615.81099999999</v>
          </cell>
          <cell r="F5800">
            <v>6</v>
          </cell>
        </row>
        <row r="5801">
          <cell r="A5801">
            <v>2019</v>
          </cell>
          <cell r="B5801" t="str">
            <v>Budget</v>
          </cell>
          <cell r="C5801" t="str">
            <v>Jun</v>
          </cell>
          <cell r="D5801" t="str">
            <v>Kitchen</v>
          </cell>
          <cell r="E5801">
            <v>57365.601999999999</v>
          </cell>
          <cell r="F5801">
            <v>6</v>
          </cell>
        </row>
        <row r="5802">
          <cell r="A5802">
            <v>2019</v>
          </cell>
          <cell r="B5802" t="str">
            <v>Actual</v>
          </cell>
          <cell r="C5802" t="str">
            <v>Jun</v>
          </cell>
          <cell r="D5802" t="str">
            <v>Accessories</v>
          </cell>
          <cell r="E5802">
            <v>82553.176999999996</v>
          </cell>
          <cell r="F5802">
            <v>6</v>
          </cell>
        </row>
        <row r="5803">
          <cell r="A5803">
            <v>2019</v>
          </cell>
          <cell r="B5803" t="str">
            <v>Budget</v>
          </cell>
          <cell r="C5803" t="str">
            <v>Jun</v>
          </cell>
          <cell r="D5803" t="str">
            <v>Chairs</v>
          </cell>
          <cell r="E5803">
            <v>103174.87599999999</v>
          </cell>
          <cell r="F5803">
            <v>6</v>
          </cell>
        </row>
        <row r="5804">
          <cell r="A5804">
            <v>2018</v>
          </cell>
          <cell r="B5804" t="str">
            <v>Actual</v>
          </cell>
          <cell r="C5804" t="str">
            <v>Jun</v>
          </cell>
          <cell r="D5804" t="str">
            <v>Tables</v>
          </cell>
          <cell r="E5804">
            <v>87999.820999999996</v>
          </cell>
          <cell r="F5804">
            <v>6</v>
          </cell>
        </row>
        <row r="5805">
          <cell r="A5805">
            <v>2019</v>
          </cell>
          <cell r="B5805" t="str">
            <v>Budget</v>
          </cell>
          <cell r="C5805" t="str">
            <v>Jun</v>
          </cell>
          <cell r="D5805" t="str">
            <v>Kitchen</v>
          </cell>
          <cell r="E5805">
            <v>149222.60499999998</v>
          </cell>
          <cell r="F5805">
            <v>6</v>
          </cell>
        </row>
        <row r="5806">
          <cell r="A5806">
            <v>2019</v>
          </cell>
          <cell r="B5806" t="str">
            <v>Actual</v>
          </cell>
          <cell r="C5806" t="str">
            <v>Jun</v>
          </cell>
          <cell r="D5806" t="str">
            <v>Accessories</v>
          </cell>
          <cell r="E5806">
            <v>173139.42799999999</v>
          </cell>
          <cell r="F5806">
            <v>6</v>
          </cell>
        </row>
        <row r="5807">
          <cell r="A5807">
            <v>2019</v>
          </cell>
          <cell r="B5807" t="str">
            <v>Budget</v>
          </cell>
          <cell r="C5807" t="str">
            <v>Jun</v>
          </cell>
          <cell r="D5807" t="str">
            <v>Chairs</v>
          </cell>
          <cell r="E5807">
            <v>25160.681</v>
          </cell>
          <cell r="F5807">
            <v>6</v>
          </cell>
        </row>
        <row r="5808">
          <cell r="A5808">
            <v>2019</v>
          </cell>
          <cell r="B5808" t="str">
            <v>Actual</v>
          </cell>
          <cell r="C5808" t="str">
            <v>Jun</v>
          </cell>
          <cell r="D5808" t="str">
            <v>Chairs</v>
          </cell>
          <cell r="E5808">
            <v>80561.599999999991</v>
          </cell>
          <cell r="F5808">
            <v>6</v>
          </cell>
        </row>
        <row r="5809">
          <cell r="A5809">
            <v>2018</v>
          </cell>
          <cell r="B5809" t="str">
            <v>Budget</v>
          </cell>
          <cell r="C5809" t="str">
            <v>Jun</v>
          </cell>
          <cell r="D5809" t="str">
            <v>Tables</v>
          </cell>
          <cell r="E5809">
            <v>52896.409999999996</v>
          </cell>
          <cell r="F5809">
            <v>6</v>
          </cell>
        </row>
        <row r="5810">
          <cell r="A5810">
            <v>2019</v>
          </cell>
          <cell r="B5810" t="str">
            <v>Actual</v>
          </cell>
          <cell r="C5810" t="str">
            <v>Jun</v>
          </cell>
          <cell r="D5810" t="str">
            <v>Kitchen</v>
          </cell>
          <cell r="E5810">
            <v>8946.6440000000002</v>
          </cell>
          <cell r="F5810">
            <v>6</v>
          </cell>
        </row>
        <row r="5811">
          <cell r="A5811">
            <v>2019</v>
          </cell>
          <cell r="B5811" t="str">
            <v>Budget</v>
          </cell>
          <cell r="C5811" t="str">
            <v>Jun</v>
          </cell>
          <cell r="D5811" t="str">
            <v>Chairs</v>
          </cell>
          <cell r="E5811">
            <v>45603.733</v>
          </cell>
          <cell r="F5811">
            <v>6</v>
          </cell>
        </row>
        <row r="5812">
          <cell r="A5812">
            <v>2018</v>
          </cell>
          <cell r="B5812" t="str">
            <v>Actual</v>
          </cell>
          <cell r="C5812" t="str">
            <v>Jun</v>
          </cell>
          <cell r="D5812" t="str">
            <v>Tables</v>
          </cell>
          <cell r="E5812">
            <v>52312.854999999996</v>
          </cell>
          <cell r="F5812">
            <v>6</v>
          </cell>
        </row>
        <row r="5813">
          <cell r="A5813">
            <v>2018</v>
          </cell>
          <cell r="B5813" t="str">
            <v>Budget</v>
          </cell>
          <cell r="C5813" t="str">
            <v>Jun</v>
          </cell>
          <cell r="D5813" t="str">
            <v>Kitchen</v>
          </cell>
          <cell r="E5813">
            <v>62651.50499999999</v>
          </cell>
          <cell r="F5813">
            <v>6</v>
          </cell>
        </row>
        <row r="5814">
          <cell r="A5814">
            <v>2018</v>
          </cell>
          <cell r="B5814" t="str">
            <v>Actual</v>
          </cell>
          <cell r="C5814" t="str">
            <v>Jun</v>
          </cell>
          <cell r="D5814" t="str">
            <v>Chairs</v>
          </cell>
          <cell r="E5814">
            <v>111033.24400000001</v>
          </cell>
          <cell r="F5814">
            <v>6</v>
          </cell>
        </row>
        <row r="5815">
          <cell r="A5815">
            <v>2018</v>
          </cell>
          <cell r="B5815" t="str">
            <v>Budget</v>
          </cell>
          <cell r="C5815" t="str">
            <v>Jun</v>
          </cell>
          <cell r="D5815" t="str">
            <v>Tables</v>
          </cell>
          <cell r="E5815">
            <v>1113430.7659999998</v>
          </cell>
          <cell r="F5815">
            <v>6</v>
          </cell>
        </row>
        <row r="5816">
          <cell r="A5816">
            <v>2018</v>
          </cell>
          <cell r="B5816" t="str">
            <v>Actual</v>
          </cell>
          <cell r="C5816" t="str">
            <v>Jun</v>
          </cell>
          <cell r="D5816" t="str">
            <v>Kitchen</v>
          </cell>
          <cell r="E5816">
            <v>27788.277999999998</v>
          </cell>
          <cell r="F5816">
            <v>6</v>
          </cell>
        </row>
        <row r="5817">
          <cell r="A5817">
            <v>2018</v>
          </cell>
          <cell r="B5817" t="str">
            <v>Budget</v>
          </cell>
          <cell r="C5817" t="str">
            <v>Jun</v>
          </cell>
          <cell r="D5817" t="str">
            <v>Chairs</v>
          </cell>
          <cell r="E5817">
            <v>6485.0659999999989</v>
          </cell>
          <cell r="F5817">
            <v>6</v>
          </cell>
        </row>
        <row r="5818">
          <cell r="A5818">
            <v>2018</v>
          </cell>
          <cell r="B5818" t="str">
            <v>Actual</v>
          </cell>
          <cell r="C5818" t="str">
            <v>Jun</v>
          </cell>
          <cell r="D5818" t="str">
            <v>Chairs</v>
          </cell>
          <cell r="E5818">
            <v>16970.093000000001</v>
          </cell>
          <cell r="F5818">
            <v>6</v>
          </cell>
        </row>
        <row r="5819">
          <cell r="A5819">
            <v>2019</v>
          </cell>
          <cell r="B5819" t="str">
            <v>Budget</v>
          </cell>
          <cell r="C5819" t="str">
            <v>Jun</v>
          </cell>
          <cell r="D5819" t="str">
            <v>Chairs</v>
          </cell>
          <cell r="E5819">
            <v>63987.231</v>
          </cell>
          <cell r="F5819">
            <v>6</v>
          </cell>
        </row>
        <row r="5820">
          <cell r="A5820">
            <v>2019</v>
          </cell>
          <cell r="B5820" t="str">
            <v>Actual</v>
          </cell>
          <cell r="C5820" t="str">
            <v>Jun</v>
          </cell>
          <cell r="D5820" t="str">
            <v>Chairs</v>
          </cell>
          <cell r="E5820">
            <v>93654.175999999992</v>
          </cell>
          <cell r="F5820">
            <v>6</v>
          </cell>
        </row>
        <row r="5821">
          <cell r="A5821">
            <v>2018</v>
          </cell>
          <cell r="B5821" t="str">
            <v>Budget</v>
          </cell>
          <cell r="C5821" t="str">
            <v>Jun</v>
          </cell>
          <cell r="D5821" t="str">
            <v>Chairs</v>
          </cell>
          <cell r="E5821">
            <v>225882.65700000001</v>
          </cell>
          <cell r="F5821">
            <v>6</v>
          </cell>
        </row>
        <row r="5822">
          <cell r="A5822">
            <v>2018</v>
          </cell>
          <cell r="B5822" t="str">
            <v>Actual</v>
          </cell>
          <cell r="C5822" t="str">
            <v>Jun</v>
          </cell>
          <cell r="D5822" t="str">
            <v>Chairs</v>
          </cell>
          <cell r="E5822">
            <v>346088.28100000002</v>
          </cell>
          <cell r="F5822">
            <v>6</v>
          </cell>
        </row>
        <row r="5823">
          <cell r="A5823">
            <v>2019</v>
          </cell>
          <cell r="B5823" t="str">
            <v>Budget</v>
          </cell>
          <cell r="C5823" t="str">
            <v>Jun</v>
          </cell>
          <cell r="D5823" t="str">
            <v>Chairs</v>
          </cell>
          <cell r="E5823">
            <v>98992.333999999988</v>
          </cell>
          <cell r="F5823">
            <v>6</v>
          </cell>
        </row>
        <row r="5824">
          <cell r="A5824">
            <v>2018</v>
          </cell>
          <cell r="B5824" t="str">
            <v>Actual</v>
          </cell>
          <cell r="C5824" t="str">
            <v>Jun</v>
          </cell>
          <cell r="D5824" t="str">
            <v>Chairs</v>
          </cell>
          <cell r="E5824">
            <v>424488.42099999997</v>
          </cell>
          <cell r="F5824">
            <v>6</v>
          </cell>
        </row>
        <row r="5825">
          <cell r="A5825">
            <v>2018</v>
          </cell>
          <cell r="B5825" t="str">
            <v>Budget</v>
          </cell>
          <cell r="C5825" t="str">
            <v>Jun</v>
          </cell>
          <cell r="D5825" t="str">
            <v>Chairs</v>
          </cell>
          <cell r="E5825">
            <v>69351.716</v>
          </cell>
          <cell r="F5825">
            <v>6</v>
          </cell>
        </row>
        <row r="5826">
          <cell r="A5826">
            <v>2018</v>
          </cell>
          <cell r="B5826" t="str">
            <v>Actual</v>
          </cell>
          <cell r="C5826" t="str">
            <v>Jun</v>
          </cell>
          <cell r="D5826" t="str">
            <v>Chairs</v>
          </cell>
          <cell r="E5826">
            <v>57116.478999999999</v>
          </cell>
          <cell r="F5826">
            <v>6</v>
          </cell>
        </row>
        <row r="5827">
          <cell r="A5827">
            <v>2019</v>
          </cell>
          <cell r="B5827" t="str">
            <v>Budget</v>
          </cell>
          <cell r="C5827" t="str">
            <v>Jun</v>
          </cell>
          <cell r="D5827" t="str">
            <v>Chairs</v>
          </cell>
          <cell r="E5827">
            <v>116153.92599999999</v>
          </cell>
          <cell r="F5827">
            <v>6</v>
          </cell>
        </row>
        <row r="5828">
          <cell r="A5828">
            <v>2019</v>
          </cell>
          <cell r="B5828" t="str">
            <v>Actual</v>
          </cell>
          <cell r="C5828" t="str">
            <v>Jun</v>
          </cell>
          <cell r="D5828" t="str">
            <v>Chairs</v>
          </cell>
          <cell r="E5828">
            <v>89070.947</v>
          </cell>
          <cell r="F5828">
            <v>6</v>
          </cell>
        </row>
        <row r="5829">
          <cell r="A5829">
            <v>2018</v>
          </cell>
          <cell r="B5829" t="str">
            <v>Budget</v>
          </cell>
          <cell r="C5829" t="str">
            <v>Jun</v>
          </cell>
          <cell r="D5829" t="str">
            <v>Chairs</v>
          </cell>
          <cell r="E5829">
            <v>211549.65299999996</v>
          </cell>
          <cell r="F5829">
            <v>6</v>
          </cell>
        </row>
        <row r="5830">
          <cell r="A5830">
            <v>2019</v>
          </cell>
          <cell r="B5830" t="str">
            <v>Actual</v>
          </cell>
          <cell r="C5830" t="str">
            <v>Jun</v>
          </cell>
          <cell r="D5830" t="str">
            <v>Chairs</v>
          </cell>
          <cell r="E5830">
            <v>70054.145000000004</v>
          </cell>
          <cell r="F5830">
            <v>6</v>
          </cell>
        </row>
        <row r="5831">
          <cell r="A5831">
            <v>2018</v>
          </cell>
          <cell r="B5831" t="str">
            <v>Budget</v>
          </cell>
          <cell r="C5831" t="str">
            <v>Jun</v>
          </cell>
          <cell r="D5831" t="str">
            <v>Chairs</v>
          </cell>
          <cell r="E5831">
            <v>1426839.757</v>
          </cell>
          <cell r="F5831">
            <v>6</v>
          </cell>
        </row>
        <row r="5832">
          <cell r="A5832">
            <v>2019</v>
          </cell>
          <cell r="B5832" t="str">
            <v>Actual</v>
          </cell>
          <cell r="C5832" t="str">
            <v>Jun</v>
          </cell>
          <cell r="D5832" t="str">
            <v>Chairs</v>
          </cell>
          <cell r="E5832">
            <v>458506.50300000003</v>
          </cell>
          <cell r="F5832">
            <v>6</v>
          </cell>
        </row>
        <row r="5833">
          <cell r="A5833">
            <v>2018</v>
          </cell>
          <cell r="B5833" t="str">
            <v>Budget</v>
          </cell>
          <cell r="C5833" t="str">
            <v>Jun</v>
          </cell>
          <cell r="D5833" t="str">
            <v>Chairs</v>
          </cell>
          <cell r="E5833">
            <v>564052.19499999995</v>
          </cell>
          <cell r="F5833">
            <v>6</v>
          </cell>
        </row>
        <row r="5834">
          <cell r="A5834">
            <v>2018</v>
          </cell>
          <cell r="B5834" t="str">
            <v>Actual</v>
          </cell>
          <cell r="C5834" t="str">
            <v>Jun</v>
          </cell>
          <cell r="D5834" t="str">
            <v>Chairs</v>
          </cell>
          <cell r="E5834">
            <v>100774.26799999998</v>
          </cell>
          <cell r="F5834">
            <v>6</v>
          </cell>
        </row>
        <row r="5835">
          <cell r="A5835">
            <v>2019</v>
          </cell>
          <cell r="B5835" t="str">
            <v>Budget</v>
          </cell>
          <cell r="C5835" t="str">
            <v>Jun</v>
          </cell>
          <cell r="D5835" t="str">
            <v>Chairs</v>
          </cell>
          <cell r="E5835">
            <v>192547.37599999999</v>
          </cell>
          <cell r="F5835">
            <v>6</v>
          </cell>
        </row>
        <row r="5836">
          <cell r="A5836">
            <v>2019</v>
          </cell>
          <cell r="B5836" t="str">
            <v>Actual</v>
          </cell>
          <cell r="C5836" t="str">
            <v>Jun</v>
          </cell>
          <cell r="D5836" t="str">
            <v>Chairs</v>
          </cell>
          <cell r="E5836">
            <v>52658.150999999991</v>
          </cell>
          <cell r="F5836">
            <v>6</v>
          </cell>
        </row>
        <row r="5837">
          <cell r="A5837">
            <v>2019</v>
          </cell>
          <cell r="B5837" t="str">
            <v>Budget</v>
          </cell>
          <cell r="C5837" t="str">
            <v>Jun</v>
          </cell>
          <cell r="D5837" t="str">
            <v>Chairs</v>
          </cell>
          <cell r="E5837">
            <v>134518.06899999999</v>
          </cell>
          <cell r="F5837">
            <v>6</v>
          </cell>
        </row>
        <row r="5838">
          <cell r="A5838">
            <v>2019</v>
          </cell>
          <cell r="B5838" t="str">
            <v>Actual</v>
          </cell>
          <cell r="C5838" t="str">
            <v>Jun</v>
          </cell>
          <cell r="D5838" t="str">
            <v>Chairs</v>
          </cell>
          <cell r="E5838">
            <v>62686.966999999997</v>
          </cell>
          <cell r="F5838">
            <v>6</v>
          </cell>
        </row>
        <row r="5839">
          <cell r="A5839">
            <v>2018</v>
          </cell>
          <cell r="B5839" t="str">
            <v>Budget</v>
          </cell>
          <cell r="C5839" t="str">
            <v>Jun</v>
          </cell>
          <cell r="D5839" t="str">
            <v>Chairs</v>
          </cell>
          <cell r="E5839">
            <v>473215.66599999997</v>
          </cell>
          <cell r="F5839">
            <v>6</v>
          </cell>
        </row>
        <row r="5840">
          <cell r="A5840">
            <v>2018</v>
          </cell>
          <cell r="B5840" t="str">
            <v>Actual</v>
          </cell>
          <cell r="C5840" t="str">
            <v>Jun</v>
          </cell>
          <cell r="D5840" t="str">
            <v>Chairs</v>
          </cell>
          <cell r="E5840">
            <v>103537.36399999999</v>
          </cell>
          <cell r="F5840">
            <v>6</v>
          </cell>
        </row>
        <row r="5841">
          <cell r="A5841">
            <v>2018</v>
          </cell>
          <cell r="B5841" t="str">
            <v>Budget</v>
          </cell>
          <cell r="C5841" t="str">
            <v>Jun</v>
          </cell>
          <cell r="D5841" t="str">
            <v>Chairs</v>
          </cell>
          <cell r="E5841">
            <v>237603.64600000001</v>
          </cell>
          <cell r="F5841">
            <v>6</v>
          </cell>
        </row>
        <row r="5842">
          <cell r="A5842">
            <v>2018</v>
          </cell>
          <cell r="B5842" t="str">
            <v>Actual</v>
          </cell>
          <cell r="C5842" t="str">
            <v>Jun</v>
          </cell>
          <cell r="D5842" t="str">
            <v>Chairs</v>
          </cell>
          <cell r="E5842">
            <v>163166.5</v>
          </cell>
          <cell r="F5842">
            <v>6</v>
          </cell>
        </row>
        <row r="5843">
          <cell r="A5843">
            <v>2018</v>
          </cell>
          <cell r="B5843" t="str">
            <v>Budget</v>
          </cell>
          <cell r="C5843" t="str">
            <v>Jun</v>
          </cell>
          <cell r="D5843" t="str">
            <v>Tables</v>
          </cell>
          <cell r="E5843">
            <v>2428865.4529999997</v>
          </cell>
          <cell r="F5843">
            <v>6</v>
          </cell>
        </row>
        <row r="5844">
          <cell r="A5844">
            <v>2019</v>
          </cell>
          <cell r="B5844" t="str">
            <v>Actual</v>
          </cell>
          <cell r="C5844" t="str">
            <v>Jun</v>
          </cell>
          <cell r="D5844" t="str">
            <v>Kitchen</v>
          </cell>
          <cell r="E5844">
            <v>225002.68</v>
          </cell>
          <cell r="F5844">
            <v>6</v>
          </cell>
        </row>
        <row r="5845">
          <cell r="A5845">
            <v>2018</v>
          </cell>
          <cell r="B5845" t="str">
            <v>Budget</v>
          </cell>
          <cell r="C5845" t="str">
            <v>Jun</v>
          </cell>
          <cell r="D5845" t="str">
            <v>Chairs</v>
          </cell>
          <cell r="E5845">
            <v>32474.68</v>
          </cell>
          <cell r="F5845">
            <v>6</v>
          </cell>
        </row>
        <row r="5846">
          <cell r="A5846">
            <v>2019</v>
          </cell>
          <cell r="B5846" t="str">
            <v>Actual</v>
          </cell>
          <cell r="C5846" t="str">
            <v>Jun</v>
          </cell>
          <cell r="D5846" t="str">
            <v>Chairs</v>
          </cell>
          <cell r="E5846">
            <v>65089.037999999993</v>
          </cell>
          <cell r="F5846">
            <v>6</v>
          </cell>
        </row>
        <row r="5847">
          <cell r="A5847">
            <v>2018</v>
          </cell>
          <cell r="B5847" t="str">
            <v>Budget</v>
          </cell>
          <cell r="C5847" t="str">
            <v>Jun</v>
          </cell>
          <cell r="D5847" t="str">
            <v>Chairs</v>
          </cell>
          <cell r="E5847">
            <v>76215.684999999998</v>
          </cell>
          <cell r="F5847">
            <v>6</v>
          </cell>
        </row>
        <row r="5848">
          <cell r="A5848">
            <v>2018</v>
          </cell>
          <cell r="B5848" t="str">
            <v>Actual</v>
          </cell>
          <cell r="C5848" t="str">
            <v>Jun</v>
          </cell>
          <cell r="D5848" t="str">
            <v>Chairs</v>
          </cell>
          <cell r="E5848">
            <v>46352.733</v>
          </cell>
          <cell r="F5848">
            <v>6</v>
          </cell>
        </row>
        <row r="5849">
          <cell r="A5849">
            <v>2018</v>
          </cell>
          <cell r="B5849" t="str">
            <v>Budget</v>
          </cell>
          <cell r="C5849" t="str">
            <v>Jun</v>
          </cell>
          <cell r="D5849" t="str">
            <v>Chairs</v>
          </cell>
          <cell r="E5849">
            <v>212898.231</v>
          </cell>
          <cell r="F5849">
            <v>6</v>
          </cell>
        </row>
        <row r="5850">
          <cell r="A5850">
            <v>2018</v>
          </cell>
          <cell r="B5850" t="str">
            <v>Actual</v>
          </cell>
          <cell r="C5850" t="str">
            <v>Jun</v>
          </cell>
          <cell r="D5850" t="str">
            <v>Tables</v>
          </cell>
          <cell r="E5850">
            <v>493824.24699999992</v>
          </cell>
          <cell r="F5850">
            <v>6</v>
          </cell>
        </row>
        <row r="5851">
          <cell r="A5851">
            <v>2018</v>
          </cell>
          <cell r="B5851" t="str">
            <v>Budget</v>
          </cell>
          <cell r="C5851" t="str">
            <v>Jun</v>
          </cell>
          <cell r="D5851" t="str">
            <v>Kitchen</v>
          </cell>
          <cell r="E5851">
            <v>276357.36099999998</v>
          </cell>
          <cell r="F5851">
            <v>6</v>
          </cell>
        </row>
        <row r="5852">
          <cell r="A5852">
            <v>2019</v>
          </cell>
          <cell r="B5852" t="str">
            <v>Actual</v>
          </cell>
          <cell r="C5852" t="str">
            <v>Jun</v>
          </cell>
          <cell r="D5852" t="str">
            <v>Chairs</v>
          </cell>
          <cell r="E5852">
            <v>315492.74399999995</v>
          </cell>
          <cell r="F5852">
            <v>6</v>
          </cell>
        </row>
        <row r="5853">
          <cell r="A5853">
            <v>2019</v>
          </cell>
          <cell r="B5853" t="str">
            <v>Budget</v>
          </cell>
          <cell r="C5853" t="str">
            <v>Jun</v>
          </cell>
          <cell r="D5853" t="str">
            <v>Chairs</v>
          </cell>
          <cell r="E5853">
            <v>26314.68</v>
          </cell>
          <cell r="F5853">
            <v>6</v>
          </cell>
        </row>
        <row r="5854">
          <cell r="A5854">
            <v>2019</v>
          </cell>
          <cell r="B5854" t="str">
            <v>Actual</v>
          </cell>
          <cell r="C5854" t="str">
            <v>Jun</v>
          </cell>
          <cell r="D5854" t="str">
            <v>Chairs</v>
          </cell>
          <cell r="E5854">
            <v>25109.839999999997</v>
          </cell>
          <cell r="F5854">
            <v>6</v>
          </cell>
        </row>
        <row r="5855">
          <cell r="A5855">
            <v>2019</v>
          </cell>
          <cell r="B5855" t="str">
            <v>Budget</v>
          </cell>
          <cell r="C5855" t="str">
            <v>Jun</v>
          </cell>
          <cell r="D5855" t="str">
            <v>Tables</v>
          </cell>
          <cell r="E5855">
            <v>315077.49</v>
          </cell>
          <cell r="F5855">
            <v>6</v>
          </cell>
        </row>
        <row r="5856">
          <cell r="A5856">
            <v>2019</v>
          </cell>
          <cell r="B5856" t="str">
            <v>Actual</v>
          </cell>
          <cell r="C5856" t="str">
            <v>Jun</v>
          </cell>
          <cell r="D5856" t="str">
            <v>Kitchen</v>
          </cell>
          <cell r="E5856">
            <v>8365121.862999999</v>
          </cell>
          <cell r="F5856">
            <v>6</v>
          </cell>
        </row>
        <row r="5857">
          <cell r="A5857">
            <v>2018</v>
          </cell>
          <cell r="B5857" t="str">
            <v>Budget</v>
          </cell>
          <cell r="C5857" t="str">
            <v>Jun</v>
          </cell>
          <cell r="D5857" t="str">
            <v>Chairs</v>
          </cell>
          <cell r="E5857">
            <v>11273.766</v>
          </cell>
          <cell r="F5857">
            <v>6</v>
          </cell>
        </row>
        <row r="5858">
          <cell r="A5858">
            <v>2019</v>
          </cell>
          <cell r="B5858" t="str">
            <v>Actual</v>
          </cell>
          <cell r="C5858" t="str">
            <v>Jun</v>
          </cell>
          <cell r="D5858" t="str">
            <v>Chairs</v>
          </cell>
          <cell r="E5858">
            <v>37231.914999999994</v>
          </cell>
          <cell r="F5858">
            <v>6</v>
          </cell>
        </row>
        <row r="5859">
          <cell r="A5859">
            <v>2019</v>
          </cell>
          <cell r="B5859" t="str">
            <v>Budget</v>
          </cell>
          <cell r="C5859" t="str">
            <v>Jun</v>
          </cell>
          <cell r="D5859" t="str">
            <v>Tables</v>
          </cell>
          <cell r="E5859">
            <v>78462.313999999998</v>
          </cell>
          <cell r="F5859">
            <v>6</v>
          </cell>
        </row>
        <row r="5860">
          <cell r="A5860">
            <v>2019</v>
          </cell>
          <cell r="B5860" t="str">
            <v>Actual</v>
          </cell>
          <cell r="C5860" t="str">
            <v>Jun</v>
          </cell>
          <cell r="D5860" t="str">
            <v>Kitchen</v>
          </cell>
          <cell r="E5860">
            <v>61502.048999999999</v>
          </cell>
          <cell r="F5860">
            <v>6</v>
          </cell>
        </row>
        <row r="5861">
          <cell r="A5861">
            <v>2019</v>
          </cell>
          <cell r="B5861" t="str">
            <v>Budget</v>
          </cell>
          <cell r="C5861" t="str">
            <v>Jun</v>
          </cell>
          <cell r="D5861" t="str">
            <v>Chairs</v>
          </cell>
          <cell r="E5861">
            <v>1594920.0260000001</v>
          </cell>
          <cell r="F5861">
            <v>6</v>
          </cell>
        </row>
        <row r="5862">
          <cell r="A5862">
            <v>2019</v>
          </cell>
          <cell r="B5862" t="str">
            <v>Actual</v>
          </cell>
          <cell r="C5862" t="str">
            <v>Jun</v>
          </cell>
          <cell r="D5862" t="str">
            <v>Chairs</v>
          </cell>
          <cell r="E5862">
            <v>837109.42700000003</v>
          </cell>
          <cell r="F5862">
            <v>6</v>
          </cell>
        </row>
        <row r="5863">
          <cell r="A5863">
            <v>2018</v>
          </cell>
          <cell r="B5863" t="str">
            <v>Budget</v>
          </cell>
          <cell r="C5863" t="str">
            <v>Jun</v>
          </cell>
          <cell r="D5863" t="str">
            <v>Chairs</v>
          </cell>
          <cell r="E5863">
            <v>432996.57799999998</v>
          </cell>
          <cell r="F5863">
            <v>6</v>
          </cell>
        </row>
        <row r="5864">
          <cell r="A5864">
            <v>2019</v>
          </cell>
          <cell r="B5864" t="str">
            <v>Actual</v>
          </cell>
          <cell r="C5864" t="str">
            <v>Jun</v>
          </cell>
          <cell r="D5864" t="str">
            <v>Tables</v>
          </cell>
          <cell r="E5864">
            <v>1518072.3459999997</v>
          </cell>
          <cell r="F5864">
            <v>6</v>
          </cell>
        </row>
        <row r="5865">
          <cell r="A5865">
            <v>2018</v>
          </cell>
          <cell r="B5865" t="str">
            <v>Budget</v>
          </cell>
          <cell r="C5865" t="str">
            <v>Jun</v>
          </cell>
          <cell r="D5865" t="str">
            <v>Kitchen</v>
          </cell>
          <cell r="E5865">
            <v>12784.905000000001</v>
          </cell>
          <cell r="F5865">
            <v>6</v>
          </cell>
        </row>
        <row r="5866">
          <cell r="A5866">
            <v>2019</v>
          </cell>
          <cell r="B5866" t="str">
            <v>Actual</v>
          </cell>
          <cell r="C5866" t="str">
            <v>Jun</v>
          </cell>
          <cell r="D5866" t="str">
            <v>Accessories</v>
          </cell>
          <cell r="E5866">
            <v>3383236.4719999996</v>
          </cell>
          <cell r="F5866">
            <v>6</v>
          </cell>
        </row>
        <row r="5867">
          <cell r="A5867">
            <v>2018</v>
          </cell>
          <cell r="B5867" t="str">
            <v>Budget</v>
          </cell>
          <cell r="C5867" t="str">
            <v>Jun</v>
          </cell>
          <cell r="D5867" t="str">
            <v>Chairs</v>
          </cell>
          <cell r="E5867">
            <v>1074409.378</v>
          </cell>
          <cell r="F5867">
            <v>6</v>
          </cell>
        </row>
        <row r="5868">
          <cell r="A5868">
            <v>2019</v>
          </cell>
          <cell r="B5868" t="str">
            <v>Actual</v>
          </cell>
          <cell r="C5868" t="str">
            <v>Jun</v>
          </cell>
          <cell r="D5868" t="str">
            <v>Tables</v>
          </cell>
          <cell r="E5868">
            <v>438036.24200000003</v>
          </cell>
          <cell r="F5868">
            <v>6</v>
          </cell>
        </row>
        <row r="5869">
          <cell r="A5869">
            <v>2018</v>
          </cell>
          <cell r="B5869" t="str">
            <v>Budget</v>
          </cell>
          <cell r="C5869" t="str">
            <v>Jun</v>
          </cell>
          <cell r="D5869" t="str">
            <v>Kitchen</v>
          </cell>
          <cell r="E5869">
            <v>1101349.9909999999</v>
          </cell>
          <cell r="F5869">
            <v>6</v>
          </cell>
        </row>
        <row r="5870">
          <cell r="A5870">
            <v>2019</v>
          </cell>
          <cell r="B5870" t="str">
            <v>Actual</v>
          </cell>
          <cell r="C5870" t="str">
            <v>Jun</v>
          </cell>
          <cell r="D5870" t="str">
            <v>Accessories</v>
          </cell>
          <cell r="E5870">
            <v>444591.27299999999</v>
          </cell>
          <cell r="F5870">
            <v>6</v>
          </cell>
        </row>
        <row r="5871">
          <cell r="A5871">
            <v>2019</v>
          </cell>
          <cell r="B5871" t="str">
            <v>Budget</v>
          </cell>
          <cell r="C5871" t="str">
            <v>Jun</v>
          </cell>
          <cell r="D5871" t="str">
            <v>Chairs</v>
          </cell>
          <cell r="E5871">
            <v>296134.54499999998</v>
          </cell>
          <cell r="F5871">
            <v>6</v>
          </cell>
        </row>
        <row r="5872">
          <cell r="A5872">
            <v>2018</v>
          </cell>
          <cell r="B5872" t="str">
            <v>Actual</v>
          </cell>
          <cell r="C5872" t="str">
            <v>Jun</v>
          </cell>
          <cell r="D5872" t="str">
            <v>Tables</v>
          </cell>
          <cell r="E5872">
            <v>394942.22600000002</v>
          </cell>
          <cell r="F5872">
            <v>6</v>
          </cell>
        </row>
        <row r="5873">
          <cell r="A5873">
            <v>2019</v>
          </cell>
          <cell r="B5873" t="str">
            <v>Budget</v>
          </cell>
          <cell r="C5873" t="str">
            <v>Jun</v>
          </cell>
          <cell r="D5873" t="str">
            <v>Kitchen</v>
          </cell>
          <cell r="E5873">
            <v>43687.972999999998</v>
          </cell>
          <cell r="F5873">
            <v>6</v>
          </cell>
        </row>
        <row r="5874">
          <cell r="A5874">
            <v>2018</v>
          </cell>
          <cell r="B5874" t="str">
            <v>Actual</v>
          </cell>
          <cell r="C5874" t="str">
            <v>Jun</v>
          </cell>
          <cell r="D5874" t="str">
            <v>Accessories</v>
          </cell>
          <cell r="E5874">
            <v>277374.15999999997</v>
          </cell>
          <cell r="F5874">
            <v>6</v>
          </cell>
        </row>
        <row r="5875">
          <cell r="A5875">
            <v>2018</v>
          </cell>
          <cell r="B5875" t="str">
            <v>Budget</v>
          </cell>
          <cell r="C5875" t="str">
            <v>Jun</v>
          </cell>
          <cell r="D5875" t="str">
            <v>Chairs</v>
          </cell>
          <cell r="E5875">
            <v>76486.36099999999</v>
          </cell>
          <cell r="F5875">
            <v>6</v>
          </cell>
        </row>
        <row r="5876">
          <cell r="A5876">
            <v>2018</v>
          </cell>
          <cell r="B5876" t="str">
            <v>Actual</v>
          </cell>
          <cell r="C5876" t="str">
            <v>Jun</v>
          </cell>
          <cell r="D5876" t="str">
            <v>Tables</v>
          </cell>
          <cell r="E5876">
            <v>90177.387999999992</v>
          </cell>
          <cell r="F5876">
            <v>6</v>
          </cell>
        </row>
        <row r="5877">
          <cell r="A5877">
            <v>2019</v>
          </cell>
          <cell r="B5877" t="str">
            <v>Budget</v>
          </cell>
          <cell r="C5877" t="str">
            <v>Jun</v>
          </cell>
          <cell r="D5877" t="str">
            <v>Kitchen</v>
          </cell>
          <cell r="E5877">
            <v>1460416.4819999998</v>
          </cell>
          <cell r="F5877">
            <v>6</v>
          </cell>
        </row>
        <row r="5878">
          <cell r="A5878">
            <v>2019</v>
          </cell>
          <cell r="B5878" t="str">
            <v>Actual</v>
          </cell>
          <cell r="C5878" t="str">
            <v>Jun</v>
          </cell>
          <cell r="D5878" t="str">
            <v>Accessories</v>
          </cell>
          <cell r="E5878">
            <v>71463.608999999997</v>
          </cell>
          <cell r="F5878">
            <v>6</v>
          </cell>
        </row>
        <row r="5879">
          <cell r="A5879">
            <v>2019</v>
          </cell>
          <cell r="B5879" t="str">
            <v>Budget</v>
          </cell>
          <cell r="C5879" t="str">
            <v>Jun</v>
          </cell>
          <cell r="D5879" t="str">
            <v>Chairs</v>
          </cell>
          <cell r="E5879">
            <v>245001.21099999998</v>
          </cell>
          <cell r="F5879">
            <v>6</v>
          </cell>
        </row>
        <row r="5880">
          <cell r="A5880">
            <v>2018</v>
          </cell>
          <cell r="B5880" t="str">
            <v>Actual</v>
          </cell>
          <cell r="C5880" t="str">
            <v>Jun</v>
          </cell>
          <cell r="D5880" t="str">
            <v>Chairs</v>
          </cell>
          <cell r="E5880">
            <v>28904.637999999995</v>
          </cell>
          <cell r="F5880">
            <v>6</v>
          </cell>
        </row>
        <row r="5881">
          <cell r="A5881">
            <v>2018</v>
          </cell>
          <cell r="B5881" t="str">
            <v>Budget</v>
          </cell>
          <cell r="C5881" t="str">
            <v>Jun</v>
          </cell>
          <cell r="D5881" t="str">
            <v>Tables</v>
          </cell>
          <cell r="E5881">
            <v>68691.07699999999</v>
          </cell>
          <cell r="F5881">
            <v>6</v>
          </cell>
        </row>
        <row r="5882">
          <cell r="A5882">
            <v>2019</v>
          </cell>
          <cell r="B5882" t="str">
            <v>Actual</v>
          </cell>
          <cell r="C5882" t="str">
            <v>Jun</v>
          </cell>
          <cell r="D5882" t="str">
            <v>Kitchen</v>
          </cell>
          <cell r="E5882">
            <v>2283352.3369999998</v>
          </cell>
          <cell r="F5882">
            <v>6</v>
          </cell>
        </row>
        <row r="5883">
          <cell r="A5883">
            <v>2018</v>
          </cell>
          <cell r="B5883" t="str">
            <v>Budget</v>
          </cell>
          <cell r="C5883" t="str">
            <v>Jun</v>
          </cell>
          <cell r="D5883" t="str">
            <v>Chairs</v>
          </cell>
          <cell r="E5883">
            <v>177797.76699999999</v>
          </cell>
          <cell r="F5883">
            <v>6</v>
          </cell>
        </row>
        <row r="5884">
          <cell r="A5884">
            <v>2018</v>
          </cell>
          <cell r="B5884" t="str">
            <v>Actual</v>
          </cell>
          <cell r="C5884" t="str">
            <v>Jun</v>
          </cell>
          <cell r="D5884" t="str">
            <v>Tables</v>
          </cell>
          <cell r="E5884">
            <v>376293.30199999997</v>
          </cell>
          <cell r="F5884">
            <v>6</v>
          </cell>
        </row>
        <row r="5885">
          <cell r="A5885">
            <v>2019</v>
          </cell>
          <cell r="B5885" t="str">
            <v>Budget</v>
          </cell>
          <cell r="C5885" t="str">
            <v>Jun</v>
          </cell>
          <cell r="D5885" t="str">
            <v>Kitchen</v>
          </cell>
          <cell r="E5885">
            <v>1010485.3079999998</v>
          </cell>
          <cell r="F5885">
            <v>6</v>
          </cell>
        </row>
        <row r="5886">
          <cell r="A5886">
            <v>2019</v>
          </cell>
          <cell r="B5886" t="str">
            <v>Actual</v>
          </cell>
          <cell r="C5886" t="str">
            <v>Jun</v>
          </cell>
          <cell r="D5886" t="str">
            <v>Chairs</v>
          </cell>
          <cell r="E5886">
            <v>317173.17799999996</v>
          </cell>
          <cell r="F5886">
            <v>6</v>
          </cell>
        </row>
        <row r="5887">
          <cell r="A5887">
            <v>2019</v>
          </cell>
          <cell r="B5887" t="str">
            <v>Budget</v>
          </cell>
          <cell r="C5887" t="str">
            <v>Jun</v>
          </cell>
          <cell r="D5887" t="str">
            <v>Tables</v>
          </cell>
          <cell r="E5887">
            <v>1633279.97</v>
          </cell>
          <cell r="F5887">
            <v>6</v>
          </cell>
        </row>
        <row r="5888">
          <cell r="A5888">
            <v>2019</v>
          </cell>
          <cell r="B5888" t="str">
            <v>Actual</v>
          </cell>
          <cell r="C5888" t="str">
            <v>Jun</v>
          </cell>
          <cell r="D5888" t="str">
            <v>Kitchen</v>
          </cell>
          <cell r="E5888">
            <v>128292.75899999999</v>
          </cell>
          <cell r="F5888">
            <v>6</v>
          </cell>
        </row>
        <row r="5889">
          <cell r="A5889">
            <v>2018</v>
          </cell>
          <cell r="B5889" t="str">
            <v>Budget</v>
          </cell>
          <cell r="C5889" t="str">
            <v>Jun</v>
          </cell>
          <cell r="D5889" t="str">
            <v>Chairs</v>
          </cell>
          <cell r="E5889">
            <v>675175.63399999996</v>
          </cell>
          <cell r="F5889">
            <v>6</v>
          </cell>
        </row>
        <row r="5890">
          <cell r="A5890">
            <v>2019</v>
          </cell>
          <cell r="B5890" t="str">
            <v>Actual</v>
          </cell>
          <cell r="C5890" t="str">
            <v>Jun</v>
          </cell>
          <cell r="D5890" t="str">
            <v>Chairs</v>
          </cell>
          <cell r="E5890">
            <v>19574.099999999999</v>
          </cell>
          <cell r="F5890">
            <v>6</v>
          </cell>
        </row>
        <row r="5891">
          <cell r="A5891">
            <v>2018</v>
          </cell>
          <cell r="B5891" t="str">
            <v>Budget</v>
          </cell>
          <cell r="C5891" t="str">
            <v>Jun</v>
          </cell>
          <cell r="D5891" t="str">
            <v>Chairs</v>
          </cell>
          <cell r="E5891">
            <v>187725.20899999997</v>
          </cell>
          <cell r="F5891">
            <v>6</v>
          </cell>
        </row>
        <row r="5892">
          <cell r="A5892">
            <v>2019</v>
          </cell>
          <cell r="B5892" t="str">
            <v>Actual</v>
          </cell>
          <cell r="C5892" t="str">
            <v>Jun</v>
          </cell>
          <cell r="D5892" t="str">
            <v>Chairs</v>
          </cell>
          <cell r="E5892">
            <v>-438771.55</v>
          </cell>
          <cell r="F5892">
            <v>6</v>
          </cell>
        </row>
        <row r="5893">
          <cell r="A5893">
            <v>2019</v>
          </cell>
          <cell r="B5893" t="str">
            <v>Budget</v>
          </cell>
          <cell r="C5893" t="str">
            <v>Jun</v>
          </cell>
          <cell r="D5893" t="str">
            <v>Chairs</v>
          </cell>
          <cell r="E5893">
            <v>481721.40799999994</v>
          </cell>
          <cell r="F5893">
            <v>6</v>
          </cell>
        </row>
        <row r="5894">
          <cell r="A5894">
            <v>2019</v>
          </cell>
          <cell r="B5894" t="str">
            <v>Actual</v>
          </cell>
          <cell r="C5894" t="str">
            <v>Jun</v>
          </cell>
          <cell r="D5894" t="str">
            <v>Chairs</v>
          </cell>
          <cell r="E5894">
            <v>377051.55599999992</v>
          </cell>
          <cell r="F5894">
            <v>6</v>
          </cell>
        </row>
        <row r="5895">
          <cell r="A5895">
            <v>2018</v>
          </cell>
          <cell r="B5895" t="str">
            <v>Budget</v>
          </cell>
          <cell r="C5895" t="str">
            <v>Jun</v>
          </cell>
          <cell r="D5895" t="str">
            <v>Chairs</v>
          </cell>
          <cell r="E5895">
            <v>194518.8</v>
          </cell>
          <cell r="F5895">
            <v>6</v>
          </cell>
        </row>
        <row r="5896">
          <cell r="A5896">
            <v>2019</v>
          </cell>
          <cell r="B5896" t="str">
            <v>Actual</v>
          </cell>
          <cell r="C5896" t="str">
            <v>Jun</v>
          </cell>
          <cell r="D5896" t="str">
            <v>Chairs</v>
          </cell>
          <cell r="E5896">
            <v>577650.24800000002</v>
          </cell>
          <cell r="F5896">
            <v>6</v>
          </cell>
        </row>
        <row r="5897">
          <cell r="A5897">
            <v>2019</v>
          </cell>
          <cell r="B5897" t="str">
            <v>Budget</v>
          </cell>
          <cell r="C5897" t="str">
            <v>Jun</v>
          </cell>
          <cell r="D5897" t="str">
            <v>Chairs</v>
          </cell>
          <cell r="E5897">
            <v>-23602.165999999997</v>
          </cell>
          <cell r="F5897">
            <v>6</v>
          </cell>
        </row>
        <row r="5898">
          <cell r="A5898">
            <v>2018</v>
          </cell>
          <cell r="B5898" t="str">
            <v>Actual</v>
          </cell>
          <cell r="C5898" t="str">
            <v>Jun</v>
          </cell>
          <cell r="D5898" t="str">
            <v>Chairs</v>
          </cell>
          <cell r="E5898">
            <v>386544.97699999996</v>
          </cell>
          <cell r="F5898">
            <v>6</v>
          </cell>
        </row>
        <row r="5899">
          <cell r="A5899">
            <v>2018</v>
          </cell>
          <cell r="B5899" t="str">
            <v>Budget</v>
          </cell>
          <cell r="C5899" t="str">
            <v>Jun</v>
          </cell>
          <cell r="D5899" t="str">
            <v>Chairs</v>
          </cell>
          <cell r="E5899">
            <v>245897.95299999998</v>
          </cell>
          <cell r="F5899">
            <v>6</v>
          </cell>
        </row>
        <row r="5900">
          <cell r="A5900">
            <v>2019</v>
          </cell>
          <cell r="B5900" t="str">
            <v>Actual</v>
          </cell>
          <cell r="C5900" t="str">
            <v>Jun</v>
          </cell>
          <cell r="D5900" t="str">
            <v>Chairs</v>
          </cell>
          <cell r="E5900">
            <v>246244.13800000001</v>
          </cell>
          <cell r="F5900">
            <v>6</v>
          </cell>
        </row>
        <row r="5901">
          <cell r="A5901">
            <v>2019</v>
          </cell>
          <cell r="B5901" t="str">
            <v>Budget</v>
          </cell>
          <cell r="C5901" t="str">
            <v>Jun</v>
          </cell>
          <cell r="D5901" t="str">
            <v>Chairs</v>
          </cell>
          <cell r="E5901">
            <v>-123308.89899999999</v>
          </cell>
          <cell r="F5901">
            <v>6</v>
          </cell>
        </row>
        <row r="5902">
          <cell r="A5902">
            <v>2018</v>
          </cell>
          <cell r="B5902" t="str">
            <v>Actual</v>
          </cell>
          <cell r="C5902" t="str">
            <v>Jun</v>
          </cell>
          <cell r="D5902" t="str">
            <v>Chairs</v>
          </cell>
          <cell r="E5902">
            <v>122648.4</v>
          </cell>
          <cell r="F5902">
            <v>6</v>
          </cell>
        </row>
        <row r="5903">
          <cell r="A5903">
            <v>2018</v>
          </cell>
          <cell r="B5903" t="str">
            <v>Budget</v>
          </cell>
          <cell r="C5903" t="str">
            <v>Jun</v>
          </cell>
          <cell r="D5903" t="str">
            <v>Chairs</v>
          </cell>
          <cell r="E5903">
            <v>611803.40899999999</v>
          </cell>
          <cell r="F5903">
            <v>6</v>
          </cell>
        </row>
        <row r="5904">
          <cell r="A5904">
            <v>2019</v>
          </cell>
          <cell r="B5904" t="str">
            <v>Actual</v>
          </cell>
          <cell r="C5904" t="str">
            <v>Jun</v>
          </cell>
          <cell r="D5904" t="str">
            <v>Chairs</v>
          </cell>
          <cell r="E5904">
            <v>108587.25499999999</v>
          </cell>
          <cell r="F5904">
            <v>6</v>
          </cell>
        </row>
        <row r="5905">
          <cell r="A5905">
            <v>2018</v>
          </cell>
          <cell r="B5905" t="str">
            <v>Budget</v>
          </cell>
          <cell r="C5905" t="str">
            <v>Jun</v>
          </cell>
          <cell r="D5905" t="str">
            <v>Chairs</v>
          </cell>
          <cell r="E5905">
            <v>40837.608</v>
          </cell>
          <cell r="F5905">
            <v>6</v>
          </cell>
        </row>
        <row r="5906">
          <cell r="A5906">
            <v>2019</v>
          </cell>
          <cell r="B5906" t="str">
            <v>Actual</v>
          </cell>
          <cell r="C5906" t="str">
            <v>Jun</v>
          </cell>
          <cell r="D5906" t="str">
            <v>Chairs</v>
          </cell>
          <cell r="E5906">
            <v>280405.60800000001</v>
          </cell>
          <cell r="F5906">
            <v>6</v>
          </cell>
        </row>
        <row r="5907">
          <cell r="A5907">
            <v>2018</v>
          </cell>
          <cell r="B5907" t="str">
            <v>Budget</v>
          </cell>
          <cell r="C5907" t="str">
            <v>Jun</v>
          </cell>
          <cell r="D5907" t="str">
            <v>Chairs</v>
          </cell>
          <cell r="E5907">
            <v>128788.961</v>
          </cell>
          <cell r="F5907">
            <v>6</v>
          </cell>
        </row>
        <row r="5908">
          <cell r="A5908">
            <v>2018</v>
          </cell>
          <cell r="B5908" t="str">
            <v>Actual</v>
          </cell>
          <cell r="C5908" t="str">
            <v>Jun</v>
          </cell>
          <cell r="D5908" t="str">
            <v>Chairs</v>
          </cell>
          <cell r="E5908">
            <v>61065.353999999999</v>
          </cell>
          <cell r="F5908">
            <v>6</v>
          </cell>
        </row>
        <row r="5909">
          <cell r="A5909">
            <v>2019</v>
          </cell>
          <cell r="B5909" t="str">
            <v>Budget</v>
          </cell>
          <cell r="C5909" t="str">
            <v>Jun</v>
          </cell>
          <cell r="D5909" t="str">
            <v>Chairs</v>
          </cell>
          <cell r="E5909">
            <v>28704.837</v>
          </cell>
          <cell r="F5909">
            <v>6</v>
          </cell>
        </row>
        <row r="5910">
          <cell r="A5910">
            <v>2019</v>
          </cell>
          <cell r="B5910" t="str">
            <v>Actual</v>
          </cell>
          <cell r="C5910" t="str">
            <v>Jun</v>
          </cell>
          <cell r="D5910" t="str">
            <v>Chairs</v>
          </cell>
          <cell r="E5910">
            <v>31004.588999999996</v>
          </cell>
          <cell r="F5910">
            <v>6</v>
          </cell>
        </row>
        <row r="5911">
          <cell r="A5911">
            <v>2018</v>
          </cell>
          <cell r="B5911" t="str">
            <v>Budget</v>
          </cell>
          <cell r="C5911" t="str">
            <v>Jun</v>
          </cell>
          <cell r="D5911" t="str">
            <v>Chairs</v>
          </cell>
          <cell r="E5911">
            <v>29872.234</v>
          </cell>
          <cell r="F5911">
            <v>6</v>
          </cell>
        </row>
        <row r="5912">
          <cell r="A5912">
            <v>2018</v>
          </cell>
          <cell r="B5912" t="str">
            <v>Actual</v>
          </cell>
          <cell r="C5912" t="str">
            <v>Jun</v>
          </cell>
          <cell r="D5912" t="str">
            <v>Chairs</v>
          </cell>
          <cell r="E5912">
            <v>20971.425999999999</v>
          </cell>
          <cell r="F5912">
            <v>6</v>
          </cell>
        </row>
        <row r="5913">
          <cell r="A5913">
            <v>2019</v>
          </cell>
          <cell r="B5913" t="str">
            <v>Budget</v>
          </cell>
          <cell r="C5913" t="str">
            <v>Jun</v>
          </cell>
          <cell r="D5913" t="str">
            <v>Chairs</v>
          </cell>
          <cell r="E5913">
            <v>50938.712999999996</v>
          </cell>
          <cell r="F5913">
            <v>6</v>
          </cell>
        </row>
        <row r="5914">
          <cell r="A5914">
            <v>2018</v>
          </cell>
          <cell r="B5914" t="str">
            <v>Actual</v>
          </cell>
          <cell r="C5914" t="str">
            <v>Jun</v>
          </cell>
          <cell r="D5914" t="str">
            <v>Chairs</v>
          </cell>
          <cell r="E5914">
            <v>19644.037</v>
          </cell>
          <cell r="F5914">
            <v>6</v>
          </cell>
        </row>
        <row r="5915">
          <cell r="A5915">
            <v>2018</v>
          </cell>
          <cell r="B5915" t="str">
            <v>Budget</v>
          </cell>
          <cell r="C5915" t="str">
            <v>Jun</v>
          </cell>
          <cell r="D5915" t="str">
            <v>Tables</v>
          </cell>
          <cell r="E5915">
            <v>35302.532999999996</v>
          </cell>
          <cell r="F5915">
            <v>6</v>
          </cell>
        </row>
        <row r="5916">
          <cell r="A5916">
            <v>2018</v>
          </cell>
          <cell r="B5916" t="str">
            <v>Actual</v>
          </cell>
          <cell r="C5916" t="str">
            <v>Jun</v>
          </cell>
          <cell r="D5916" t="str">
            <v>Kitchen</v>
          </cell>
          <cell r="E5916">
            <v>61689.985000000001</v>
          </cell>
          <cell r="F5916">
            <v>6</v>
          </cell>
        </row>
        <row r="5917">
          <cell r="A5917">
            <v>2018</v>
          </cell>
          <cell r="B5917" t="str">
            <v>Budget</v>
          </cell>
          <cell r="C5917" t="str">
            <v>Jun</v>
          </cell>
          <cell r="D5917" t="str">
            <v>Chairs</v>
          </cell>
          <cell r="E5917">
            <v>422108.40700000001</v>
          </cell>
          <cell r="F5917">
            <v>6</v>
          </cell>
        </row>
        <row r="5918">
          <cell r="A5918">
            <v>2018</v>
          </cell>
          <cell r="B5918" t="str">
            <v>Actual</v>
          </cell>
          <cell r="C5918" t="str">
            <v>Jun</v>
          </cell>
          <cell r="D5918" t="str">
            <v>Chairs</v>
          </cell>
          <cell r="E5918">
            <v>130403.38499999998</v>
          </cell>
          <cell r="F5918">
            <v>6</v>
          </cell>
        </row>
        <row r="5919">
          <cell r="A5919">
            <v>2019</v>
          </cell>
          <cell r="B5919" t="str">
            <v>Budget</v>
          </cell>
          <cell r="C5919" t="str">
            <v>Jun</v>
          </cell>
          <cell r="D5919" t="str">
            <v>Chairs</v>
          </cell>
          <cell r="E5919">
            <v>730014.59299999999</v>
          </cell>
          <cell r="F5919">
            <v>6</v>
          </cell>
        </row>
        <row r="5920">
          <cell r="A5920">
            <v>2018</v>
          </cell>
          <cell r="B5920" t="str">
            <v>Actual</v>
          </cell>
          <cell r="C5920" t="str">
            <v>Jun</v>
          </cell>
          <cell r="D5920" t="str">
            <v>Chairs</v>
          </cell>
          <cell r="E5920">
            <v>25823.300999999999</v>
          </cell>
          <cell r="F5920">
            <v>6</v>
          </cell>
        </row>
        <row r="5921">
          <cell r="A5921">
            <v>2018</v>
          </cell>
          <cell r="B5921" t="str">
            <v>Budget</v>
          </cell>
          <cell r="C5921" t="str">
            <v>Jun</v>
          </cell>
          <cell r="D5921" t="str">
            <v>Chairs</v>
          </cell>
          <cell r="E5921">
            <v>10180.505999999999</v>
          </cell>
          <cell r="F5921">
            <v>6</v>
          </cell>
        </row>
        <row r="5922">
          <cell r="A5922">
            <v>2019</v>
          </cell>
          <cell r="B5922" t="str">
            <v>Actual</v>
          </cell>
          <cell r="C5922" t="str">
            <v>Jun</v>
          </cell>
          <cell r="D5922" t="str">
            <v>Tables</v>
          </cell>
          <cell r="E5922">
            <v>469169.21099999995</v>
          </cell>
          <cell r="F5922">
            <v>6</v>
          </cell>
        </row>
        <row r="5923">
          <cell r="A5923">
            <v>2018</v>
          </cell>
          <cell r="B5923" t="str">
            <v>Budget</v>
          </cell>
          <cell r="C5923" t="str">
            <v>Jun</v>
          </cell>
          <cell r="D5923" t="str">
            <v>Kitchen</v>
          </cell>
          <cell r="E5923">
            <v>7876.7499999999991</v>
          </cell>
          <cell r="F5923">
            <v>6</v>
          </cell>
        </row>
        <row r="5924">
          <cell r="A5924">
            <v>2018</v>
          </cell>
          <cell r="B5924" t="str">
            <v>Actual</v>
          </cell>
          <cell r="C5924" t="str">
            <v>Jun</v>
          </cell>
          <cell r="D5924" t="str">
            <v>Chairs</v>
          </cell>
          <cell r="E5924">
            <v>81954.354999999996</v>
          </cell>
          <cell r="F5924">
            <v>6</v>
          </cell>
        </row>
        <row r="5925">
          <cell r="A5925">
            <v>2019</v>
          </cell>
          <cell r="B5925" t="str">
            <v>Budget</v>
          </cell>
          <cell r="C5925" t="str">
            <v>Jun</v>
          </cell>
          <cell r="D5925" t="str">
            <v>Chairs</v>
          </cell>
          <cell r="E5925">
            <v>256187.83399999997</v>
          </cell>
          <cell r="F5925">
            <v>6</v>
          </cell>
        </row>
        <row r="5926">
          <cell r="A5926">
            <v>2019</v>
          </cell>
          <cell r="B5926" t="str">
            <v>Actual</v>
          </cell>
          <cell r="C5926" t="str">
            <v>Jun</v>
          </cell>
          <cell r="D5926" t="str">
            <v>Chairs</v>
          </cell>
          <cell r="E5926">
            <v>646215.77299999993</v>
          </cell>
          <cell r="F5926">
            <v>6</v>
          </cell>
        </row>
        <row r="5927">
          <cell r="A5927">
            <v>2019</v>
          </cell>
          <cell r="B5927" t="str">
            <v>Budget</v>
          </cell>
          <cell r="C5927" t="str">
            <v>Jun</v>
          </cell>
          <cell r="D5927" t="str">
            <v>Tables</v>
          </cell>
          <cell r="E5927">
            <v>684822.90799999994</v>
          </cell>
          <cell r="F5927">
            <v>6</v>
          </cell>
        </row>
        <row r="5928">
          <cell r="A5928">
            <v>2018</v>
          </cell>
          <cell r="B5928" t="str">
            <v>Actual</v>
          </cell>
          <cell r="C5928" t="str">
            <v>Jun</v>
          </cell>
          <cell r="D5928" t="str">
            <v>Kitchen</v>
          </cell>
          <cell r="E5928">
            <v>30085.86</v>
          </cell>
          <cell r="F5928">
            <v>6</v>
          </cell>
        </row>
        <row r="5929">
          <cell r="A5929">
            <v>2019</v>
          </cell>
          <cell r="B5929" t="str">
            <v>Budget</v>
          </cell>
          <cell r="C5929" t="str">
            <v>Jun</v>
          </cell>
          <cell r="D5929" t="str">
            <v>Chairs</v>
          </cell>
          <cell r="E5929">
            <v>528032.75699999998</v>
          </cell>
          <cell r="F5929">
            <v>6</v>
          </cell>
        </row>
        <row r="5930">
          <cell r="A5930">
            <v>2018</v>
          </cell>
          <cell r="B5930" t="str">
            <v>Actual</v>
          </cell>
          <cell r="C5930" t="str">
            <v>Jun</v>
          </cell>
          <cell r="D5930" t="str">
            <v>Chairs</v>
          </cell>
          <cell r="E5930">
            <v>587608.20299999998</v>
          </cell>
          <cell r="F5930">
            <v>6</v>
          </cell>
        </row>
        <row r="5931">
          <cell r="A5931">
            <v>2018</v>
          </cell>
          <cell r="B5931" t="str">
            <v>Budget</v>
          </cell>
          <cell r="C5931" t="str">
            <v>Jun</v>
          </cell>
          <cell r="D5931" t="str">
            <v>Tables</v>
          </cell>
          <cell r="E5931">
            <v>729345.98099999991</v>
          </cell>
          <cell r="F5931">
            <v>6</v>
          </cell>
        </row>
        <row r="5932">
          <cell r="A5932">
            <v>2018</v>
          </cell>
          <cell r="B5932" t="str">
            <v>Actual</v>
          </cell>
          <cell r="C5932" t="str">
            <v>Jun</v>
          </cell>
          <cell r="D5932" t="str">
            <v>Kitchen</v>
          </cell>
          <cell r="E5932">
            <v>34055.447999999997</v>
          </cell>
          <cell r="F5932">
            <v>6</v>
          </cell>
        </row>
        <row r="5933">
          <cell r="A5933">
            <v>2019</v>
          </cell>
          <cell r="B5933" t="str">
            <v>Budget</v>
          </cell>
          <cell r="C5933" t="str">
            <v>Jun</v>
          </cell>
          <cell r="D5933" t="str">
            <v>Chairs</v>
          </cell>
          <cell r="E5933">
            <v>1449479.682</v>
          </cell>
          <cell r="F5933">
            <v>6</v>
          </cell>
        </row>
        <row r="5934">
          <cell r="A5934">
            <v>2019</v>
          </cell>
          <cell r="B5934" t="str">
            <v>Actual</v>
          </cell>
          <cell r="C5934" t="str">
            <v>Jun</v>
          </cell>
          <cell r="D5934" t="str">
            <v>Chairs</v>
          </cell>
          <cell r="E5934">
            <v>669086.76799999992</v>
          </cell>
          <cell r="F5934">
            <v>6</v>
          </cell>
        </row>
        <row r="5935">
          <cell r="A5935">
            <v>2019</v>
          </cell>
          <cell r="B5935" t="str">
            <v>Budget</v>
          </cell>
          <cell r="C5935" t="str">
            <v>Jun</v>
          </cell>
          <cell r="D5935" t="str">
            <v>Chairs</v>
          </cell>
          <cell r="E5935">
            <v>274262.74399999995</v>
          </cell>
          <cell r="F5935">
            <v>6</v>
          </cell>
        </row>
        <row r="5936">
          <cell r="A5936">
            <v>2018</v>
          </cell>
          <cell r="B5936" t="str">
            <v>Actual</v>
          </cell>
          <cell r="C5936" t="str">
            <v>Jun</v>
          </cell>
          <cell r="D5936" t="str">
            <v>Tables</v>
          </cell>
          <cell r="E5936">
            <v>24482242.918000001</v>
          </cell>
          <cell r="F5936">
            <v>6</v>
          </cell>
        </row>
        <row r="5937">
          <cell r="A5937">
            <v>2018</v>
          </cell>
          <cell r="B5937" t="str">
            <v>Budget</v>
          </cell>
          <cell r="C5937" t="str">
            <v>Jun</v>
          </cell>
          <cell r="D5937" t="str">
            <v>Kitchen</v>
          </cell>
          <cell r="E5937">
            <v>12407758.852999998</v>
          </cell>
          <cell r="F5937">
            <v>6</v>
          </cell>
        </row>
        <row r="5938">
          <cell r="A5938">
            <v>2019</v>
          </cell>
          <cell r="B5938" t="str">
            <v>Actual</v>
          </cell>
          <cell r="C5938" t="str">
            <v>Jun</v>
          </cell>
          <cell r="D5938" t="str">
            <v>Accessories</v>
          </cell>
          <cell r="E5938">
            <v>21652.448999999997</v>
          </cell>
          <cell r="F5938">
            <v>6</v>
          </cell>
        </row>
        <row r="5939">
          <cell r="A5939">
            <v>2018</v>
          </cell>
          <cell r="B5939" t="str">
            <v>Budget</v>
          </cell>
          <cell r="C5939" t="str">
            <v>Jun</v>
          </cell>
          <cell r="D5939" t="str">
            <v>Chairs</v>
          </cell>
          <cell r="E5939">
            <v>36485.812999999995</v>
          </cell>
          <cell r="F5939">
            <v>6</v>
          </cell>
        </row>
        <row r="5940">
          <cell r="A5940">
            <v>2018</v>
          </cell>
          <cell r="B5940" t="str">
            <v>Actual</v>
          </cell>
          <cell r="C5940" t="str">
            <v>Jun</v>
          </cell>
          <cell r="D5940" t="str">
            <v>Tables</v>
          </cell>
          <cell r="E5940">
            <v>2413141.2480000001</v>
          </cell>
          <cell r="F5940">
            <v>6</v>
          </cell>
        </row>
        <row r="5941">
          <cell r="A5941">
            <v>2019</v>
          </cell>
          <cell r="B5941" t="str">
            <v>Budget</v>
          </cell>
          <cell r="C5941" t="str">
            <v>Jun</v>
          </cell>
          <cell r="D5941" t="str">
            <v>Kitchen</v>
          </cell>
          <cell r="E5941">
            <v>379006.15199999994</v>
          </cell>
          <cell r="F5941">
            <v>6</v>
          </cell>
        </row>
        <row r="5942">
          <cell r="A5942">
            <v>2018</v>
          </cell>
          <cell r="B5942" t="str">
            <v>Actual</v>
          </cell>
          <cell r="C5942" t="str">
            <v>Jun</v>
          </cell>
          <cell r="D5942" t="str">
            <v>Accessories</v>
          </cell>
          <cell r="E5942">
            <v>114737.43399999999</v>
          </cell>
          <cell r="F5942">
            <v>6</v>
          </cell>
        </row>
        <row r="5943">
          <cell r="A5943">
            <v>2018</v>
          </cell>
          <cell r="B5943" t="str">
            <v>Budget</v>
          </cell>
          <cell r="C5943" t="str">
            <v>Jun</v>
          </cell>
          <cell r="D5943" t="str">
            <v>Chairs</v>
          </cell>
          <cell r="E5943">
            <v>205515.38699999996</v>
          </cell>
          <cell r="F5943">
            <v>6</v>
          </cell>
        </row>
        <row r="5944">
          <cell r="A5944">
            <v>2018</v>
          </cell>
          <cell r="B5944" t="str">
            <v>Actual</v>
          </cell>
          <cell r="C5944" t="str">
            <v>Jun</v>
          </cell>
          <cell r="D5944" t="str">
            <v>Tables</v>
          </cell>
          <cell r="E5944">
            <v>2793305.5919999997</v>
          </cell>
          <cell r="F5944">
            <v>6</v>
          </cell>
        </row>
        <row r="5945">
          <cell r="A5945">
            <v>2018</v>
          </cell>
          <cell r="B5945" t="str">
            <v>Budget</v>
          </cell>
          <cell r="C5945" t="str">
            <v>Jun</v>
          </cell>
          <cell r="D5945" t="str">
            <v>Kitchen</v>
          </cell>
          <cell r="E5945">
            <v>76082.096999999994</v>
          </cell>
          <cell r="F5945">
            <v>6</v>
          </cell>
        </row>
        <row r="5946">
          <cell r="A5946">
            <v>2018</v>
          </cell>
          <cell r="B5946" t="str">
            <v>Actual</v>
          </cell>
          <cell r="C5946" t="str">
            <v>Jun</v>
          </cell>
          <cell r="D5946" t="str">
            <v>Accessories</v>
          </cell>
          <cell r="E5946">
            <v>16055.928</v>
          </cell>
          <cell r="F5946">
            <v>6</v>
          </cell>
        </row>
        <row r="5947">
          <cell r="A5947">
            <v>2019</v>
          </cell>
          <cell r="B5947" t="str">
            <v>Budget</v>
          </cell>
          <cell r="C5947" t="str">
            <v>Jun</v>
          </cell>
          <cell r="D5947" t="str">
            <v>Chairs</v>
          </cell>
          <cell r="E5947">
            <v>580407.97499999998</v>
          </cell>
          <cell r="F5947">
            <v>6</v>
          </cell>
        </row>
        <row r="5948">
          <cell r="A5948">
            <v>2019</v>
          </cell>
          <cell r="B5948" t="str">
            <v>Actual</v>
          </cell>
          <cell r="C5948" t="str">
            <v>Jun</v>
          </cell>
          <cell r="D5948" t="str">
            <v>Tables</v>
          </cell>
          <cell r="E5948">
            <v>255993.36</v>
          </cell>
          <cell r="F5948">
            <v>6</v>
          </cell>
        </row>
        <row r="5949">
          <cell r="A5949">
            <v>2018</v>
          </cell>
          <cell r="B5949" t="str">
            <v>Budget</v>
          </cell>
          <cell r="C5949" t="str">
            <v>Jun</v>
          </cell>
          <cell r="D5949" t="str">
            <v>Kitchen</v>
          </cell>
          <cell r="E5949">
            <v>6607.3629999999994</v>
          </cell>
          <cell r="F5949">
            <v>6</v>
          </cell>
        </row>
        <row r="5950">
          <cell r="A5950">
            <v>2018</v>
          </cell>
          <cell r="B5950" t="str">
            <v>Actual</v>
          </cell>
          <cell r="C5950" t="str">
            <v>Jun</v>
          </cell>
          <cell r="D5950" t="str">
            <v>Accessories</v>
          </cell>
          <cell r="E5950">
            <v>503079.96899999998</v>
          </cell>
          <cell r="F5950">
            <v>6</v>
          </cell>
        </row>
        <row r="5951">
          <cell r="A5951">
            <v>2019</v>
          </cell>
          <cell r="B5951" t="str">
            <v>Budget</v>
          </cell>
          <cell r="C5951" t="str">
            <v>Jun</v>
          </cell>
          <cell r="D5951" t="str">
            <v>Chairs</v>
          </cell>
          <cell r="E5951">
            <v>1623387.395</v>
          </cell>
          <cell r="F5951">
            <v>6</v>
          </cell>
        </row>
        <row r="5952">
          <cell r="A5952">
            <v>2018</v>
          </cell>
          <cell r="B5952" t="str">
            <v>Actual</v>
          </cell>
          <cell r="C5952" t="str">
            <v>Jun</v>
          </cell>
          <cell r="D5952" t="str">
            <v>Chairs</v>
          </cell>
          <cell r="E5952">
            <v>60327.854999999989</v>
          </cell>
          <cell r="F5952">
            <v>6</v>
          </cell>
        </row>
        <row r="5953">
          <cell r="A5953">
            <v>2018</v>
          </cell>
          <cell r="B5953" t="str">
            <v>Budget</v>
          </cell>
          <cell r="C5953" t="str">
            <v>Jun</v>
          </cell>
          <cell r="D5953" t="str">
            <v>Tables</v>
          </cell>
          <cell r="E5953">
            <v>8614575.3190000001</v>
          </cell>
          <cell r="F5953">
            <v>6</v>
          </cell>
        </row>
        <row r="5954">
          <cell r="A5954">
            <v>2018</v>
          </cell>
          <cell r="B5954" t="str">
            <v>Actual</v>
          </cell>
          <cell r="C5954" t="str">
            <v>Jun</v>
          </cell>
          <cell r="D5954" t="str">
            <v>Kitchen</v>
          </cell>
          <cell r="E5954">
            <v>776444.74599999993</v>
          </cell>
          <cell r="F5954">
            <v>6</v>
          </cell>
        </row>
        <row r="5955">
          <cell r="A5955">
            <v>2019</v>
          </cell>
          <cell r="B5955" t="str">
            <v>Budget</v>
          </cell>
          <cell r="C5955" t="str">
            <v>Jun</v>
          </cell>
          <cell r="D5955" t="str">
            <v>Chairs</v>
          </cell>
          <cell r="E5955">
            <v>3287507.7759999996</v>
          </cell>
          <cell r="F5955">
            <v>6</v>
          </cell>
        </row>
        <row r="5956">
          <cell r="A5956">
            <v>2018</v>
          </cell>
          <cell r="B5956" t="str">
            <v>Actual</v>
          </cell>
          <cell r="C5956" t="str">
            <v>Jun</v>
          </cell>
          <cell r="D5956" t="str">
            <v>Tables</v>
          </cell>
          <cell r="E5956">
            <v>1196194.6709999999</v>
          </cell>
          <cell r="F5956">
            <v>6</v>
          </cell>
        </row>
        <row r="5957">
          <cell r="A5957">
            <v>2018</v>
          </cell>
          <cell r="B5957" t="str">
            <v>Budget</v>
          </cell>
          <cell r="C5957" t="str">
            <v>Jun</v>
          </cell>
          <cell r="D5957" t="str">
            <v>Kitchen</v>
          </cell>
          <cell r="E5957">
            <v>1525746.439</v>
          </cell>
          <cell r="F5957">
            <v>6</v>
          </cell>
        </row>
        <row r="5958">
          <cell r="A5958">
            <v>2018</v>
          </cell>
          <cell r="B5958" t="str">
            <v>Actual</v>
          </cell>
          <cell r="C5958" t="str">
            <v>Jun</v>
          </cell>
          <cell r="D5958" t="str">
            <v>Chairs</v>
          </cell>
          <cell r="E5958">
            <v>378001.49099999998</v>
          </cell>
          <cell r="F5958">
            <v>6</v>
          </cell>
        </row>
        <row r="5959">
          <cell r="A5959">
            <v>2019</v>
          </cell>
          <cell r="B5959" t="str">
            <v>Budget</v>
          </cell>
          <cell r="C5959" t="str">
            <v>Jun</v>
          </cell>
          <cell r="D5959" t="str">
            <v>Tables</v>
          </cell>
          <cell r="E5959">
            <v>94598.133000000002</v>
          </cell>
          <cell r="F5959">
            <v>6</v>
          </cell>
        </row>
        <row r="5960">
          <cell r="A5960">
            <v>2018</v>
          </cell>
          <cell r="B5960" t="str">
            <v>Actual</v>
          </cell>
          <cell r="C5960" t="str">
            <v>Jun</v>
          </cell>
          <cell r="D5960" t="str">
            <v>Kitchen</v>
          </cell>
          <cell r="E5960">
            <v>360482.47200000001</v>
          </cell>
          <cell r="F5960">
            <v>6</v>
          </cell>
        </row>
        <row r="5961">
          <cell r="A5961">
            <v>2018</v>
          </cell>
          <cell r="B5961" t="str">
            <v>Budget</v>
          </cell>
          <cell r="C5961" t="str">
            <v>Jun</v>
          </cell>
          <cell r="D5961" t="str">
            <v>Chairs</v>
          </cell>
          <cell r="E5961">
            <v>1043130.382</v>
          </cell>
          <cell r="F5961">
            <v>6</v>
          </cell>
        </row>
        <row r="5962">
          <cell r="A5962">
            <v>2018</v>
          </cell>
          <cell r="B5962" t="str">
            <v>Actual</v>
          </cell>
          <cell r="C5962" t="str">
            <v>Jun</v>
          </cell>
          <cell r="D5962" t="str">
            <v>Chairs</v>
          </cell>
          <cell r="E5962">
            <v>2378348.8189999997</v>
          </cell>
          <cell r="F5962">
            <v>6</v>
          </cell>
        </row>
        <row r="5963">
          <cell r="A5963">
            <v>2018</v>
          </cell>
          <cell r="B5963" t="str">
            <v>Budget</v>
          </cell>
          <cell r="C5963" t="str">
            <v>Jun</v>
          </cell>
          <cell r="D5963" t="str">
            <v>Chairs</v>
          </cell>
          <cell r="E5963">
            <v>579393.57699999993</v>
          </cell>
          <cell r="F5963">
            <v>6</v>
          </cell>
        </row>
        <row r="5964">
          <cell r="A5964">
            <v>2018</v>
          </cell>
          <cell r="B5964" t="str">
            <v>Actual</v>
          </cell>
          <cell r="C5964" t="str">
            <v>Jun</v>
          </cell>
          <cell r="D5964" t="str">
            <v>Chairs</v>
          </cell>
          <cell r="E5964">
            <v>585116.61599999992</v>
          </cell>
          <cell r="F5964">
            <v>6</v>
          </cell>
        </row>
        <row r="5965">
          <cell r="A5965">
            <v>2018</v>
          </cell>
          <cell r="B5965" t="str">
            <v>Budget</v>
          </cell>
          <cell r="C5965" t="str">
            <v>Jun</v>
          </cell>
          <cell r="D5965" t="str">
            <v>Chairs</v>
          </cell>
          <cell r="E5965">
            <v>1059492.2659999998</v>
          </cell>
          <cell r="F5965">
            <v>6</v>
          </cell>
        </row>
        <row r="5966">
          <cell r="A5966">
            <v>2018</v>
          </cell>
          <cell r="B5966" t="str">
            <v>Actual</v>
          </cell>
          <cell r="C5966" t="str">
            <v>Jun</v>
          </cell>
          <cell r="D5966" t="str">
            <v>Chairs</v>
          </cell>
          <cell r="E5966">
            <v>178561.103</v>
          </cell>
          <cell r="F5966">
            <v>6</v>
          </cell>
        </row>
        <row r="5967">
          <cell r="A5967">
            <v>2019</v>
          </cell>
          <cell r="B5967" t="str">
            <v>Budget</v>
          </cell>
          <cell r="C5967" t="str">
            <v>Jun</v>
          </cell>
          <cell r="D5967" t="str">
            <v>Chairs</v>
          </cell>
          <cell r="E5967">
            <v>189340.69</v>
          </cell>
          <cell r="F5967">
            <v>6</v>
          </cell>
        </row>
        <row r="5968">
          <cell r="A5968">
            <v>2018</v>
          </cell>
          <cell r="B5968" t="str">
            <v>Actual</v>
          </cell>
          <cell r="C5968" t="str">
            <v>Jun</v>
          </cell>
          <cell r="D5968" t="str">
            <v>Chairs</v>
          </cell>
          <cell r="E5968">
            <v>205600.00999999998</v>
          </cell>
          <cell r="F5968">
            <v>6</v>
          </cell>
        </row>
        <row r="5969">
          <cell r="A5969">
            <v>2018</v>
          </cell>
          <cell r="B5969" t="str">
            <v>Budget</v>
          </cell>
          <cell r="C5969" t="str">
            <v>Jun</v>
          </cell>
          <cell r="D5969" t="str">
            <v>Chairs</v>
          </cell>
          <cell r="E5969">
            <v>29095.142999999996</v>
          </cell>
          <cell r="F5969">
            <v>6</v>
          </cell>
        </row>
        <row r="5970">
          <cell r="A5970">
            <v>2019</v>
          </cell>
          <cell r="B5970" t="str">
            <v>Actual</v>
          </cell>
          <cell r="C5970" t="str">
            <v>Jun</v>
          </cell>
          <cell r="D5970" t="str">
            <v>Chairs</v>
          </cell>
          <cell r="E5970">
            <v>24179.302</v>
          </cell>
          <cell r="F5970">
            <v>6</v>
          </cell>
        </row>
        <row r="5971">
          <cell r="A5971">
            <v>2019</v>
          </cell>
          <cell r="B5971" t="str">
            <v>Budget</v>
          </cell>
          <cell r="C5971" t="str">
            <v>Jun</v>
          </cell>
          <cell r="D5971" t="str">
            <v>Chairs</v>
          </cell>
          <cell r="E5971">
            <v>697565.55399999989</v>
          </cell>
          <cell r="F5971">
            <v>6</v>
          </cell>
        </row>
        <row r="5972">
          <cell r="A5972">
            <v>2019</v>
          </cell>
          <cell r="B5972" t="str">
            <v>Actual</v>
          </cell>
          <cell r="C5972" t="str">
            <v>Jun</v>
          </cell>
          <cell r="D5972" t="str">
            <v>Chairs</v>
          </cell>
          <cell r="E5972">
            <v>103774.10399999999</v>
          </cell>
          <cell r="F5972">
            <v>6</v>
          </cell>
        </row>
        <row r="5973">
          <cell r="A5973">
            <v>2018</v>
          </cell>
          <cell r="B5973" t="str">
            <v>Budget</v>
          </cell>
          <cell r="C5973" t="str">
            <v>Jun</v>
          </cell>
          <cell r="D5973" t="str">
            <v>Chairs</v>
          </cell>
          <cell r="E5973">
            <v>493811.63999999996</v>
          </cell>
          <cell r="F5973">
            <v>6</v>
          </cell>
        </row>
        <row r="5974">
          <cell r="A5974">
            <v>2019</v>
          </cell>
          <cell r="B5974" t="str">
            <v>Actual</v>
          </cell>
          <cell r="C5974" t="str">
            <v>Jun</v>
          </cell>
          <cell r="D5974" t="str">
            <v>Chairs</v>
          </cell>
          <cell r="E5974">
            <v>684918.78</v>
          </cell>
          <cell r="F5974">
            <v>6</v>
          </cell>
        </row>
        <row r="5975">
          <cell r="A5975">
            <v>2018</v>
          </cell>
          <cell r="B5975" t="str">
            <v>Budget</v>
          </cell>
          <cell r="C5975" t="str">
            <v>Jun</v>
          </cell>
          <cell r="D5975" t="str">
            <v>Chairs</v>
          </cell>
          <cell r="E5975">
            <v>1359548.5469999998</v>
          </cell>
          <cell r="F5975">
            <v>6</v>
          </cell>
        </row>
        <row r="5976">
          <cell r="A5976">
            <v>2018</v>
          </cell>
          <cell r="B5976" t="str">
            <v>Actual</v>
          </cell>
          <cell r="C5976" t="str">
            <v>Jun</v>
          </cell>
          <cell r="D5976" t="str">
            <v>Chairs</v>
          </cell>
          <cell r="E5976">
            <v>137441.56299999999</v>
          </cell>
          <cell r="F5976">
            <v>6</v>
          </cell>
        </row>
        <row r="5977">
          <cell r="A5977">
            <v>2019</v>
          </cell>
          <cell r="B5977" t="str">
            <v>Budget</v>
          </cell>
          <cell r="C5977" t="str">
            <v>Jun</v>
          </cell>
          <cell r="D5977" t="str">
            <v>Chairs</v>
          </cell>
          <cell r="E5977">
            <v>278534.40299999999</v>
          </cell>
          <cell r="F5977">
            <v>6</v>
          </cell>
        </row>
        <row r="5978">
          <cell r="A5978">
            <v>2019</v>
          </cell>
          <cell r="B5978" t="str">
            <v>Actual</v>
          </cell>
          <cell r="C5978" t="str">
            <v>Jun</v>
          </cell>
          <cell r="D5978" t="str">
            <v>Chairs</v>
          </cell>
          <cell r="E5978">
            <v>270522.16800000001</v>
          </cell>
          <cell r="F5978">
            <v>6</v>
          </cell>
        </row>
        <row r="5979">
          <cell r="A5979">
            <v>2018</v>
          </cell>
          <cell r="B5979" t="str">
            <v>Budget</v>
          </cell>
          <cell r="C5979" t="str">
            <v>Jun</v>
          </cell>
          <cell r="D5979" t="str">
            <v>Chairs</v>
          </cell>
          <cell r="E5979">
            <v>45126.892999999996</v>
          </cell>
          <cell r="F5979">
            <v>6</v>
          </cell>
        </row>
        <row r="5980">
          <cell r="A5980">
            <v>2018</v>
          </cell>
          <cell r="B5980" t="str">
            <v>Actual</v>
          </cell>
          <cell r="C5980" t="str">
            <v>Jun</v>
          </cell>
          <cell r="D5980" t="str">
            <v>Chairs</v>
          </cell>
          <cell r="E5980">
            <v>14361.598999999998</v>
          </cell>
          <cell r="F5980">
            <v>6</v>
          </cell>
        </row>
        <row r="5981">
          <cell r="A5981">
            <v>2018</v>
          </cell>
          <cell r="B5981" t="str">
            <v>Budget</v>
          </cell>
          <cell r="C5981" t="str">
            <v>Jun</v>
          </cell>
          <cell r="D5981" t="str">
            <v>Chairs</v>
          </cell>
          <cell r="E5981">
            <v>305.03899999999999</v>
          </cell>
          <cell r="F5981">
            <v>6</v>
          </cell>
        </row>
        <row r="5982">
          <cell r="A5982">
            <v>2019</v>
          </cell>
          <cell r="B5982" t="str">
            <v>Actual</v>
          </cell>
          <cell r="C5982" t="str">
            <v>Jun</v>
          </cell>
          <cell r="D5982" t="str">
            <v>Chairs</v>
          </cell>
          <cell r="E5982">
            <v>71598.029999999984</v>
          </cell>
          <cell r="F5982">
            <v>6</v>
          </cell>
        </row>
        <row r="5983">
          <cell r="A5983">
            <v>2019</v>
          </cell>
          <cell r="B5983" t="str">
            <v>Budget</v>
          </cell>
          <cell r="C5983" t="str">
            <v>Jun</v>
          </cell>
          <cell r="D5983" t="str">
            <v>Chairs</v>
          </cell>
          <cell r="E5983">
            <v>67506.599999999991</v>
          </cell>
          <cell r="F5983">
            <v>6</v>
          </cell>
        </row>
        <row r="5984">
          <cell r="A5984">
            <v>2019</v>
          </cell>
          <cell r="B5984" t="str">
            <v>Actual</v>
          </cell>
          <cell r="C5984" t="str">
            <v>Jun</v>
          </cell>
          <cell r="D5984" t="str">
            <v>Chairs</v>
          </cell>
          <cell r="E5984">
            <v>274765.05</v>
          </cell>
          <cell r="F5984">
            <v>6</v>
          </cell>
        </row>
        <row r="5985">
          <cell r="A5985">
            <v>2019</v>
          </cell>
          <cell r="B5985" t="str">
            <v>Budget</v>
          </cell>
          <cell r="C5985" t="str">
            <v>Jun</v>
          </cell>
          <cell r="D5985" t="str">
            <v>Chairs</v>
          </cell>
          <cell r="E5985">
            <v>214004.25899999999</v>
          </cell>
          <cell r="F5985">
            <v>6</v>
          </cell>
        </row>
        <row r="5986">
          <cell r="A5986">
            <v>2018</v>
          </cell>
          <cell r="B5986" t="str">
            <v>Actual</v>
          </cell>
          <cell r="C5986" t="str">
            <v>Jun</v>
          </cell>
          <cell r="D5986" t="str">
            <v>Chairs</v>
          </cell>
          <cell r="E5986">
            <v>184802.17699999997</v>
          </cell>
          <cell r="F5986">
            <v>6</v>
          </cell>
        </row>
        <row r="5987">
          <cell r="A5987">
            <v>2019</v>
          </cell>
          <cell r="B5987" t="str">
            <v>Budget</v>
          </cell>
          <cell r="C5987" t="str">
            <v>Jun</v>
          </cell>
          <cell r="D5987" t="str">
            <v>Tables</v>
          </cell>
          <cell r="E5987">
            <v>178377.83600000001</v>
          </cell>
          <cell r="F5987">
            <v>6</v>
          </cell>
        </row>
        <row r="5988">
          <cell r="A5988">
            <v>2018</v>
          </cell>
          <cell r="B5988" t="str">
            <v>Actual</v>
          </cell>
          <cell r="C5988" t="str">
            <v>Jun</v>
          </cell>
          <cell r="D5988" t="str">
            <v>Kitchen</v>
          </cell>
          <cell r="E5988">
            <v>36377.46</v>
          </cell>
          <cell r="F5988">
            <v>6</v>
          </cell>
        </row>
        <row r="5989">
          <cell r="A5989">
            <v>2019</v>
          </cell>
          <cell r="B5989" t="str">
            <v>Budget</v>
          </cell>
          <cell r="C5989" t="str">
            <v>Jun</v>
          </cell>
          <cell r="D5989" t="str">
            <v>Chairs</v>
          </cell>
          <cell r="E5989">
            <v>836507.73499999999</v>
          </cell>
          <cell r="F5989">
            <v>6</v>
          </cell>
        </row>
        <row r="5990">
          <cell r="A5990">
            <v>2018</v>
          </cell>
          <cell r="B5990" t="str">
            <v>Actual</v>
          </cell>
          <cell r="C5990" t="str">
            <v>Jun</v>
          </cell>
          <cell r="D5990" t="str">
            <v>Chairs</v>
          </cell>
          <cell r="E5990">
            <v>52806.298999999999</v>
          </cell>
          <cell r="F5990">
            <v>6</v>
          </cell>
        </row>
        <row r="5991">
          <cell r="A5991">
            <v>2019</v>
          </cell>
          <cell r="B5991" t="str">
            <v>Budget</v>
          </cell>
          <cell r="C5991" t="str">
            <v>Jun</v>
          </cell>
          <cell r="D5991" t="str">
            <v>Chairs</v>
          </cell>
          <cell r="E5991">
            <v>14918.539999999999</v>
          </cell>
          <cell r="F5991">
            <v>6</v>
          </cell>
        </row>
        <row r="5992">
          <cell r="A5992">
            <v>2018</v>
          </cell>
          <cell r="B5992" t="str">
            <v>Actual</v>
          </cell>
          <cell r="C5992" t="str">
            <v>Jun</v>
          </cell>
          <cell r="D5992" t="str">
            <v>Chairs</v>
          </cell>
          <cell r="E5992">
            <v>65846.031999999992</v>
          </cell>
          <cell r="F5992">
            <v>6</v>
          </cell>
        </row>
        <row r="5993">
          <cell r="A5993">
            <v>2018</v>
          </cell>
          <cell r="B5993" t="str">
            <v>Budget</v>
          </cell>
          <cell r="C5993" t="str">
            <v>Jun</v>
          </cell>
          <cell r="D5993" t="str">
            <v>Chairs</v>
          </cell>
          <cell r="E5993">
            <v>132953.50599999999</v>
          </cell>
          <cell r="F5993">
            <v>6</v>
          </cell>
        </row>
        <row r="5994">
          <cell r="A5994">
            <v>2019</v>
          </cell>
          <cell r="B5994" t="str">
            <v>Actual</v>
          </cell>
          <cell r="C5994" t="str">
            <v>Jun</v>
          </cell>
          <cell r="D5994" t="str">
            <v>Tables</v>
          </cell>
          <cell r="E5994">
            <v>8348958.4779999992</v>
          </cell>
          <cell r="F5994">
            <v>6</v>
          </cell>
        </row>
        <row r="5995">
          <cell r="A5995">
            <v>2018</v>
          </cell>
          <cell r="B5995" t="str">
            <v>Budget</v>
          </cell>
          <cell r="C5995" t="str">
            <v>Jun</v>
          </cell>
          <cell r="D5995" t="str">
            <v>Kitchen</v>
          </cell>
          <cell r="E5995">
            <v>114831.745</v>
          </cell>
          <cell r="F5995">
            <v>6</v>
          </cell>
        </row>
        <row r="5996">
          <cell r="A5996">
            <v>2019</v>
          </cell>
          <cell r="B5996" t="str">
            <v>Actual</v>
          </cell>
          <cell r="C5996" t="str">
            <v>Jun</v>
          </cell>
          <cell r="D5996" t="str">
            <v>Chairs</v>
          </cell>
          <cell r="E5996">
            <v>111277.887</v>
          </cell>
          <cell r="F5996">
            <v>6</v>
          </cell>
        </row>
        <row r="5997">
          <cell r="A5997">
            <v>2018</v>
          </cell>
          <cell r="B5997" t="str">
            <v>Budget</v>
          </cell>
          <cell r="C5997" t="str">
            <v>Jun</v>
          </cell>
          <cell r="D5997" t="str">
            <v>Chairs</v>
          </cell>
          <cell r="E5997">
            <v>79395.259999999995</v>
          </cell>
          <cell r="F5997">
            <v>6</v>
          </cell>
        </row>
        <row r="5998">
          <cell r="A5998">
            <v>2018</v>
          </cell>
          <cell r="B5998" t="str">
            <v>Actual</v>
          </cell>
          <cell r="C5998" t="str">
            <v>Jun</v>
          </cell>
          <cell r="D5998" t="str">
            <v>Chairs</v>
          </cell>
          <cell r="E5998">
            <v>112229.621</v>
          </cell>
          <cell r="F5998">
            <v>6</v>
          </cell>
        </row>
        <row r="5999">
          <cell r="A5999">
            <v>2019</v>
          </cell>
          <cell r="B5999" t="str">
            <v>Budget</v>
          </cell>
          <cell r="C5999" t="str">
            <v>Jun</v>
          </cell>
          <cell r="D5999" t="str">
            <v>Tables</v>
          </cell>
          <cell r="E5999">
            <v>65661.392999999996</v>
          </cell>
          <cell r="F5999">
            <v>6</v>
          </cell>
        </row>
        <row r="6000">
          <cell r="A6000">
            <v>2018</v>
          </cell>
          <cell r="B6000" t="str">
            <v>Actual</v>
          </cell>
          <cell r="C6000" t="str">
            <v>Jun</v>
          </cell>
          <cell r="D6000" t="str">
            <v>Kitchen</v>
          </cell>
          <cell r="E6000">
            <v>3377198.9719999996</v>
          </cell>
          <cell r="F6000">
            <v>6</v>
          </cell>
        </row>
        <row r="6001">
          <cell r="A6001">
            <v>2018</v>
          </cell>
          <cell r="B6001" t="str">
            <v>Budget</v>
          </cell>
          <cell r="C6001" t="str">
            <v>Jun</v>
          </cell>
          <cell r="D6001" t="str">
            <v>Chairs</v>
          </cell>
          <cell r="E6001">
            <v>1700225.94</v>
          </cell>
          <cell r="F6001">
            <v>6</v>
          </cell>
        </row>
        <row r="6002">
          <cell r="A6002">
            <v>2019</v>
          </cell>
          <cell r="B6002" t="str">
            <v>Actual</v>
          </cell>
          <cell r="C6002" t="str">
            <v>Jun</v>
          </cell>
          <cell r="D6002" t="str">
            <v>Chairs</v>
          </cell>
          <cell r="E6002">
            <v>669560.22699999996</v>
          </cell>
          <cell r="F6002">
            <v>6</v>
          </cell>
        </row>
        <row r="6003">
          <cell r="A6003">
            <v>2019</v>
          </cell>
          <cell r="B6003" t="str">
            <v>Budget</v>
          </cell>
          <cell r="C6003" t="str">
            <v>Jun</v>
          </cell>
          <cell r="D6003" t="str">
            <v>Tables</v>
          </cell>
          <cell r="E6003">
            <v>610105.853</v>
          </cell>
          <cell r="F6003">
            <v>6</v>
          </cell>
        </row>
        <row r="6004">
          <cell r="A6004">
            <v>2018</v>
          </cell>
          <cell r="B6004" t="str">
            <v>Actual</v>
          </cell>
          <cell r="C6004" t="str">
            <v>Jun</v>
          </cell>
          <cell r="D6004" t="str">
            <v>Kitchen</v>
          </cell>
          <cell r="E6004">
            <v>6014881.1239999998</v>
          </cell>
          <cell r="F6004">
            <v>6</v>
          </cell>
        </row>
        <row r="6005">
          <cell r="A6005">
            <v>2019</v>
          </cell>
          <cell r="B6005" t="str">
            <v>Budget</v>
          </cell>
          <cell r="C6005" t="str">
            <v>Jun</v>
          </cell>
          <cell r="D6005" t="str">
            <v>Chairs</v>
          </cell>
          <cell r="E6005">
            <v>492527.01399999997</v>
          </cell>
          <cell r="F6005">
            <v>6</v>
          </cell>
        </row>
        <row r="6006">
          <cell r="A6006">
            <v>2019</v>
          </cell>
          <cell r="B6006" t="str">
            <v>Actual</v>
          </cell>
          <cell r="C6006" t="str">
            <v>Jun</v>
          </cell>
          <cell r="D6006" t="str">
            <v>Chairs</v>
          </cell>
          <cell r="E6006">
            <v>969623.94199999992</v>
          </cell>
          <cell r="F6006">
            <v>6</v>
          </cell>
        </row>
        <row r="6007">
          <cell r="A6007">
            <v>2019</v>
          </cell>
          <cell r="B6007" t="str">
            <v>Budget</v>
          </cell>
          <cell r="C6007" t="str">
            <v>Jun</v>
          </cell>
          <cell r="D6007" t="str">
            <v>Chairs</v>
          </cell>
          <cell r="E6007">
            <v>245284.64799999999</v>
          </cell>
          <cell r="F6007">
            <v>6</v>
          </cell>
        </row>
        <row r="6008">
          <cell r="A6008">
            <v>2019</v>
          </cell>
          <cell r="B6008" t="str">
            <v>Actual</v>
          </cell>
          <cell r="C6008" t="str">
            <v>Jun</v>
          </cell>
          <cell r="D6008" t="str">
            <v>Tables</v>
          </cell>
          <cell r="E6008">
            <v>138555.851</v>
          </cell>
          <cell r="F6008">
            <v>6</v>
          </cell>
        </row>
        <row r="6009">
          <cell r="A6009">
            <v>2019</v>
          </cell>
          <cell r="B6009" t="str">
            <v>Budget</v>
          </cell>
          <cell r="C6009" t="str">
            <v>Jun</v>
          </cell>
          <cell r="D6009" t="str">
            <v>Kitchen</v>
          </cell>
          <cell r="E6009">
            <v>-776.01999999999987</v>
          </cell>
          <cell r="F6009">
            <v>6</v>
          </cell>
        </row>
        <row r="6010">
          <cell r="A6010">
            <v>2019</v>
          </cell>
          <cell r="B6010" t="str">
            <v>Actual</v>
          </cell>
          <cell r="C6010" t="str">
            <v>Jun</v>
          </cell>
          <cell r="D6010" t="str">
            <v>Accessories</v>
          </cell>
          <cell r="E6010">
            <v>551465.103</v>
          </cell>
          <cell r="F6010">
            <v>6</v>
          </cell>
        </row>
        <row r="6011">
          <cell r="A6011">
            <v>2018</v>
          </cell>
          <cell r="B6011" t="str">
            <v>Budget</v>
          </cell>
          <cell r="C6011" t="str">
            <v>Jun</v>
          </cell>
          <cell r="D6011" t="str">
            <v>Chairs</v>
          </cell>
          <cell r="E6011">
            <v>43408.161999999997</v>
          </cell>
          <cell r="F6011">
            <v>6</v>
          </cell>
        </row>
        <row r="6012">
          <cell r="A6012">
            <v>2019</v>
          </cell>
          <cell r="B6012" t="str">
            <v>Actual</v>
          </cell>
          <cell r="C6012" t="str">
            <v>Jun</v>
          </cell>
          <cell r="D6012" t="str">
            <v>Tables</v>
          </cell>
          <cell r="E6012">
            <v>24289.37</v>
          </cell>
          <cell r="F6012">
            <v>6</v>
          </cell>
        </row>
        <row r="6013">
          <cell r="A6013">
            <v>2018</v>
          </cell>
          <cell r="B6013" t="str">
            <v>Budget</v>
          </cell>
          <cell r="C6013" t="str">
            <v>Jun</v>
          </cell>
          <cell r="D6013" t="str">
            <v>Kitchen</v>
          </cell>
          <cell r="E6013">
            <v>179127.69699999999</v>
          </cell>
          <cell r="F6013">
            <v>6</v>
          </cell>
        </row>
        <row r="6014">
          <cell r="A6014">
            <v>2019</v>
          </cell>
          <cell r="B6014" t="str">
            <v>Actual</v>
          </cell>
          <cell r="C6014" t="str">
            <v>Jun</v>
          </cell>
          <cell r="D6014" t="str">
            <v>Accessories</v>
          </cell>
          <cell r="E6014">
            <v>462680.04299999995</v>
          </cell>
          <cell r="F6014">
            <v>6</v>
          </cell>
        </row>
        <row r="6015">
          <cell r="A6015">
            <v>2018</v>
          </cell>
          <cell r="B6015" t="str">
            <v>Budget</v>
          </cell>
          <cell r="C6015" t="str">
            <v>Jun</v>
          </cell>
          <cell r="D6015" t="str">
            <v>Chairs</v>
          </cell>
          <cell r="E6015">
            <v>272511.533</v>
          </cell>
          <cell r="F6015">
            <v>6</v>
          </cell>
        </row>
        <row r="6016">
          <cell r="A6016">
            <v>2019</v>
          </cell>
          <cell r="B6016" t="str">
            <v>Actual</v>
          </cell>
          <cell r="C6016" t="str">
            <v>Jun</v>
          </cell>
          <cell r="D6016" t="str">
            <v>Tables</v>
          </cell>
          <cell r="E6016">
            <v>15058.554</v>
          </cell>
          <cell r="F6016">
            <v>6</v>
          </cell>
        </row>
        <row r="6017">
          <cell r="A6017">
            <v>2018</v>
          </cell>
          <cell r="B6017" t="str">
            <v>Budget</v>
          </cell>
          <cell r="C6017" t="str">
            <v>Jun</v>
          </cell>
          <cell r="D6017" t="str">
            <v>Kitchen</v>
          </cell>
          <cell r="E6017">
            <v>27293.126</v>
          </cell>
          <cell r="F6017">
            <v>6</v>
          </cell>
        </row>
        <row r="6018">
          <cell r="A6018">
            <v>2018</v>
          </cell>
          <cell r="B6018" t="str">
            <v>Actual</v>
          </cell>
          <cell r="C6018" t="str">
            <v>Jun</v>
          </cell>
          <cell r="D6018" t="str">
            <v>Accessories</v>
          </cell>
          <cell r="E6018">
            <v>19980.73</v>
          </cell>
          <cell r="F6018">
            <v>6</v>
          </cell>
        </row>
        <row r="6019">
          <cell r="A6019">
            <v>2019</v>
          </cell>
          <cell r="B6019" t="str">
            <v>Budget</v>
          </cell>
          <cell r="C6019" t="str">
            <v>Jun</v>
          </cell>
          <cell r="D6019" t="str">
            <v>Chairs</v>
          </cell>
          <cell r="E6019">
            <v>602801.42299999995</v>
          </cell>
          <cell r="F6019">
            <v>6</v>
          </cell>
        </row>
        <row r="6020">
          <cell r="A6020">
            <v>2019</v>
          </cell>
          <cell r="B6020" t="str">
            <v>Actual</v>
          </cell>
          <cell r="C6020" t="str">
            <v>Jun</v>
          </cell>
          <cell r="D6020" t="str">
            <v>Tables</v>
          </cell>
          <cell r="E6020">
            <v>18605.565999999999</v>
          </cell>
          <cell r="F6020">
            <v>6</v>
          </cell>
        </row>
        <row r="6021">
          <cell r="A6021">
            <v>2018</v>
          </cell>
          <cell r="B6021" t="str">
            <v>Budget</v>
          </cell>
          <cell r="C6021" t="str">
            <v>Jun</v>
          </cell>
          <cell r="D6021" t="str">
            <v>Kitchen</v>
          </cell>
          <cell r="E6021">
            <v>17450.034</v>
          </cell>
          <cell r="F6021">
            <v>6</v>
          </cell>
        </row>
        <row r="6022">
          <cell r="A6022">
            <v>2018</v>
          </cell>
          <cell r="B6022" t="str">
            <v>Actual</v>
          </cell>
          <cell r="C6022" t="str">
            <v>Jun</v>
          </cell>
          <cell r="D6022" t="str">
            <v>Accessories</v>
          </cell>
          <cell r="E6022">
            <v>317254.20999999996</v>
          </cell>
          <cell r="F6022">
            <v>6</v>
          </cell>
        </row>
        <row r="6023">
          <cell r="A6023">
            <v>2018</v>
          </cell>
          <cell r="B6023" t="str">
            <v>Budget</v>
          </cell>
          <cell r="C6023" t="str">
            <v>Jun</v>
          </cell>
          <cell r="D6023" t="str">
            <v>Chairs</v>
          </cell>
          <cell r="E6023">
            <v>21116.802</v>
          </cell>
          <cell r="F6023">
            <v>6</v>
          </cell>
        </row>
        <row r="6024">
          <cell r="A6024">
            <v>2019</v>
          </cell>
          <cell r="B6024" t="str">
            <v>Actual</v>
          </cell>
          <cell r="C6024" t="str">
            <v>Jun</v>
          </cell>
          <cell r="D6024" t="str">
            <v>Chairs</v>
          </cell>
          <cell r="E6024">
            <v>92670.423999999999</v>
          </cell>
          <cell r="F6024">
            <v>6</v>
          </cell>
        </row>
        <row r="6025">
          <cell r="A6025">
            <v>2018</v>
          </cell>
          <cell r="B6025" t="str">
            <v>Budget</v>
          </cell>
          <cell r="C6025" t="str">
            <v>Jun</v>
          </cell>
          <cell r="D6025" t="str">
            <v>Tables</v>
          </cell>
          <cell r="E6025">
            <v>46082.833999999995</v>
          </cell>
          <cell r="F6025">
            <v>6</v>
          </cell>
        </row>
        <row r="6026">
          <cell r="A6026">
            <v>2018</v>
          </cell>
          <cell r="B6026" t="str">
            <v>Actual</v>
          </cell>
          <cell r="C6026" t="str">
            <v>Jun</v>
          </cell>
          <cell r="D6026" t="str">
            <v>Kitchen</v>
          </cell>
          <cell r="E6026">
            <v>112984.08799999999</v>
          </cell>
          <cell r="F6026">
            <v>6</v>
          </cell>
        </row>
        <row r="6027">
          <cell r="A6027">
            <v>2018</v>
          </cell>
          <cell r="B6027" t="str">
            <v>Budget</v>
          </cell>
          <cell r="C6027" t="str">
            <v>Jun</v>
          </cell>
          <cell r="D6027" t="str">
            <v>Chairs</v>
          </cell>
          <cell r="E6027">
            <v>30593.079999999998</v>
          </cell>
          <cell r="F6027">
            <v>6</v>
          </cell>
        </row>
        <row r="6028">
          <cell r="A6028">
            <v>2019</v>
          </cell>
          <cell r="B6028" t="str">
            <v>Actual</v>
          </cell>
          <cell r="C6028" t="str">
            <v>Jun</v>
          </cell>
          <cell r="D6028" t="str">
            <v>Tables</v>
          </cell>
          <cell r="E6028">
            <v>94700.228000000003</v>
          </cell>
          <cell r="F6028">
            <v>6</v>
          </cell>
        </row>
        <row r="6029">
          <cell r="A6029">
            <v>2018</v>
          </cell>
          <cell r="B6029" t="str">
            <v>Budget</v>
          </cell>
          <cell r="C6029" t="str">
            <v>Jun</v>
          </cell>
          <cell r="D6029" t="str">
            <v>Kitchen</v>
          </cell>
          <cell r="E6029">
            <v>30668.000999999997</v>
          </cell>
          <cell r="F6029">
            <v>6</v>
          </cell>
        </row>
        <row r="6030">
          <cell r="A6030">
            <v>2018</v>
          </cell>
          <cell r="B6030" t="str">
            <v>Actual</v>
          </cell>
          <cell r="C6030" t="str">
            <v>Jun</v>
          </cell>
          <cell r="D6030" t="str">
            <v>Chairs</v>
          </cell>
          <cell r="E6030">
            <v>123193.99400000001</v>
          </cell>
          <cell r="F6030">
            <v>6</v>
          </cell>
        </row>
        <row r="6031">
          <cell r="A6031">
            <v>2018</v>
          </cell>
          <cell r="B6031" t="str">
            <v>Budget</v>
          </cell>
          <cell r="C6031" t="str">
            <v>Jun</v>
          </cell>
          <cell r="D6031" t="str">
            <v>Tables</v>
          </cell>
          <cell r="E6031">
            <v>181311.24899999998</v>
          </cell>
          <cell r="F6031">
            <v>6</v>
          </cell>
        </row>
        <row r="6032">
          <cell r="A6032">
            <v>2018</v>
          </cell>
          <cell r="B6032" t="str">
            <v>Actual</v>
          </cell>
          <cell r="C6032" t="str">
            <v>Jun</v>
          </cell>
          <cell r="D6032" t="str">
            <v>Kitchen</v>
          </cell>
          <cell r="E6032">
            <v>50390.004000000001</v>
          </cell>
          <cell r="F6032">
            <v>6</v>
          </cell>
        </row>
        <row r="6033">
          <cell r="A6033">
            <v>2018</v>
          </cell>
          <cell r="B6033" t="str">
            <v>Budget</v>
          </cell>
          <cell r="C6033" t="str">
            <v>Jun</v>
          </cell>
          <cell r="D6033" t="str">
            <v>Chairs</v>
          </cell>
          <cell r="E6033">
            <v>530794.63500000001</v>
          </cell>
          <cell r="F6033">
            <v>6</v>
          </cell>
        </row>
        <row r="6034">
          <cell r="A6034">
            <v>2019</v>
          </cell>
          <cell r="B6034" t="str">
            <v>Actual</v>
          </cell>
          <cell r="C6034" t="str">
            <v>Jun</v>
          </cell>
          <cell r="D6034" t="str">
            <v>Chairs</v>
          </cell>
          <cell r="E6034">
            <v>100468.36799999999</v>
          </cell>
          <cell r="F6034">
            <v>6</v>
          </cell>
        </row>
        <row r="6035">
          <cell r="A6035">
            <v>2019</v>
          </cell>
          <cell r="B6035" t="str">
            <v>Budget</v>
          </cell>
          <cell r="C6035" t="str">
            <v>Jun</v>
          </cell>
          <cell r="D6035" t="str">
            <v>Chairs</v>
          </cell>
          <cell r="E6035">
            <v>90579.271999999997</v>
          </cell>
          <cell r="F6035">
            <v>6</v>
          </cell>
        </row>
        <row r="6036">
          <cell r="A6036">
            <v>2019</v>
          </cell>
          <cell r="B6036" t="str">
            <v>Actual</v>
          </cell>
          <cell r="C6036" t="str">
            <v>Jun</v>
          </cell>
          <cell r="D6036" t="str">
            <v>Chairs</v>
          </cell>
          <cell r="E6036">
            <v>17890.935999999998</v>
          </cell>
          <cell r="F6036">
            <v>6</v>
          </cell>
        </row>
        <row r="6037">
          <cell r="A6037">
            <v>2018</v>
          </cell>
          <cell r="B6037" t="str">
            <v>Budget</v>
          </cell>
          <cell r="C6037" t="str">
            <v>Jun</v>
          </cell>
          <cell r="D6037" t="str">
            <v>Chairs</v>
          </cell>
          <cell r="E6037">
            <v>57258.697999999997</v>
          </cell>
          <cell r="F6037">
            <v>6</v>
          </cell>
        </row>
        <row r="6038">
          <cell r="A6038">
            <v>2018</v>
          </cell>
          <cell r="B6038" t="str">
            <v>Actual</v>
          </cell>
          <cell r="C6038" t="str">
            <v>Jun</v>
          </cell>
          <cell r="D6038" t="str">
            <v>Chairs</v>
          </cell>
          <cell r="E6038">
            <v>45951.591</v>
          </cell>
          <cell r="F6038">
            <v>6</v>
          </cell>
        </row>
        <row r="6039">
          <cell r="A6039">
            <v>2018</v>
          </cell>
          <cell r="B6039" t="str">
            <v>Budget</v>
          </cell>
          <cell r="C6039" t="str">
            <v>Jun</v>
          </cell>
          <cell r="D6039" t="str">
            <v>Chairs</v>
          </cell>
          <cell r="E6039">
            <v>32702.803</v>
          </cell>
          <cell r="F6039">
            <v>6</v>
          </cell>
        </row>
        <row r="6040">
          <cell r="A6040">
            <v>2019</v>
          </cell>
          <cell r="B6040" t="str">
            <v>Actual</v>
          </cell>
          <cell r="C6040" t="str">
            <v>Jun</v>
          </cell>
          <cell r="D6040" t="str">
            <v>Chairs</v>
          </cell>
          <cell r="E6040">
            <v>79951.353999999992</v>
          </cell>
          <cell r="F6040">
            <v>6</v>
          </cell>
        </row>
        <row r="6041">
          <cell r="A6041">
            <v>2018</v>
          </cell>
          <cell r="B6041" t="str">
            <v>Budget</v>
          </cell>
          <cell r="C6041" t="str">
            <v>Jun</v>
          </cell>
          <cell r="D6041" t="str">
            <v>Chairs</v>
          </cell>
          <cell r="E6041">
            <v>25935.839999999997</v>
          </cell>
          <cell r="F6041">
            <v>6</v>
          </cell>
        </row>
        <row r="6042">
          <cell r="A6042">
            <v>2018</v>
          </cell>
          <cell r="B6042" t="str">
            <v>Actual</v>
          </cell>
          <cell r="C6042" t="str">
            <v>Jun</v>
          </cell>
          <cell r="D6042" t="str">
            <v>Chairs</v>
          </cell>
          <cell r="E6042">
            <v>54655.887999999992</v>
          </cell>
          <cell r="F6042">
            <v>6</v>
          </cell>
        </row>
        <row r="6043">
          <cell r="A6043">
            <v>2018</v>
          </cell>
          <cell r="B6043" t="str">
            <v>Budget</v>
          </cell>
          <cell r="C6043" t="str">
            <v>Jun</v>
          </cell>
          <cell r="D6043" t="str">
            <v>Chairs</v>
          </cell>
          <cell r="E6043">
            <v>133939.21799999999</v>
          </cell>
          <cell r="F6043">
            <v>6</v>
          </cell>
        </row>
        <row r="6044">
          <cell r="A6044">
            <v>2019</v>
          </cell>
          <cell r="B6044" t="str">
            <v>Actual</v>
          </cell>
          <cell r="C6044" t="str">
            <v>Jun</v>
          </cell>
          <cell r="D6044" t="str">
            <v>Chairs</v>
          </cell>
          <cell r="E6044">
            <v>90633.697</v>
          </cell>
          <cell r="F6044">
            <v>6</v>
          </cell>
        </row>
        <row r="6045">
          <cell r="A6045">
            <v>2018</v>
          </cell>
          <cell r="B6045" t="str">
            <v>Budget</v>
          </cell>
          <cell r="C6045" t="str">
            <v>Jun</v>
          </cell>
          <cell r="D6045" t="str">
            <v>Chairs</v>
          </cell>
          <cell r="E6045">
            <v>250440.36499999999</v>
          </cell>
          <cell r="F6045">
            <v>6</v>
          </cell>
        </row>
        <row r="6046">
          <cell r="A6046">
            <v>2019</v>
          </cell>
          <cell r="B6046" t="str">
            <v>Actual</v>
          </cell>
          <cell r="C6046" t="str">
            <v>Jun</v>
          </cell>
          <cell r="D6046" t="str">
            <v>Chairs</v>
          </cell>
          <cell r="E6046">
            <v>249442.64099999997</v>
          </cell>
          <cell r="F6046">
            <v>6</v>
          </cell>
        </row>
        <row r="6047">
          <cell r="A6047">
            <v>2018</v>
          </cell>
          <cell r="B6047" t="str">
            <v>Budget</v>
          </cell>
          <cell r="C6047" t="str">
            <v>Jun</v>
          </cell>
          <cell r="D6047" t="str">
            <v>Chairs</v>
          </cell>
          <cell r="E6047">
            <v>143251.24799999999</v>
          </cell>
          <cell r="F6047">
            <v>6</v>
          </cell>
        </row>
        <row r="6048">
          <cell r="A6048">
            <v>2019</v>
          </cell>
          <cell r="B6048" t="str">
            <v>Actual</v>
          </cell>
          <cell r="C6048" t="str">
            <v>Jun</v>
          </cell>
          <cell r="D6048" t="str">
            <v>Chairs</v>
          </cell>
          <cell r="E6048">
            <v>61055.945999999996</v>
          </cell>
          <cell r="F6048">
            <v>6</v>
          </cell>
        </row>
        <row r="6049">
          <cell r="A6049">
            <v>2019</v>
          </cell>
          <cell r="B6049" t="str">
            <v>Budget</v>
          </cell>
          <cell r="C6049" t="str">
            <v>Jun</v>
          </cell>
          <cell r="D6049" t="str">
            <v>Chairs</v>
          </cell>
          <cell r="E6049">
            <v>390280.51299999998</v>
          </cell>
          <cell r="F6049">
            <v>6</v>
          </cell>
        </row>
        <row r="6050">
          <cell r="A6050">
            <v>2019</v>
          </cell>
          <cell r="B6050" t="str">
            <v>Actual</v>
          </cell>
          <cell r="C6050" t="str">
            <v>Jun</v>
          </cell>
          <cell r="D6050" t="str">
            <v>Chairs</v>
          </cell>
          <cell r="E6050">
            <v>816239.88599999994</v>
          </cell>
          <cell r="F6050">
            <v>6</v>
          </cell>
        </row>
        <row r="6051">
          <cell r="A6051">
            <v>2018</v>
          </cell>
          <cell r="B6051" t="str">
            <v>Budget</v>
          </cell>
          <cell r="C6051" t="str">
            <v>Jun</v>
          </cell>
          <cell r="D6051" t="str">
            <v>Chairs</v>
          </cell>
          <cell r="E6051">
            <v>230845.44</v>
          </cell>
          <cell r="F6051">
            <v>6</v>
          </cell>
        </row>
        <row r="6052">
          <cell r="A6052">
            <v>2018</v>
          </cell>
          <cell r="B6052" t="str">
            <v>Actual</v>
          </cell>
          <cell r="C6052" t="str">
            <v>Jun</v>
          </cell>
          <cell r="D6052" t="str">
            <v>Chairs</v>
          </cell>
          <cell r="E6052">
            <v>220707.158</v>
          </cell>
          <cell r="F6052">
            <v>6</v>
          </cell>
        </row>
        <row r="6053">
          <cell r="A6053">
            <v>2018</v>
          </cell>
          <cell r="B6053" t="str">
            <v>Budget</v>
          </cell>
          <cell r="C6053" t="str">
            <v>Jun</v>
          </cell>
          <cell r="D6053" t="str">
            <v>Chairs</v>
          </cell>
          <cell r="E6053">
            <v>212409.18299999999</v>
          </cell>
          <cell r="F6053">
            <v>6</v>
          </cell>
        </row>
        <row r="6054">
          <cell r="A6054">
            <v>2019</v>
          </cell>
          <cell r="B6054" t="str">
            <v>Actual</v>
          </cell>
          <cell r="C6054" t="str">
            <v>Jun</v>
          </cell>
          <cell r="D6054" t="str">
            <v>Chairs</v>
          </cell>
          <cell r="E6054">
            <v>48311.864999999998</v>
          </cell>
          <cell r="F6054">
            <v>6</v>
          </cell>
        </row>
        <row r="6055">
          <cell r="A6055">
            <v>2019</v>
          </cell>
          <cell r="B6055" t="str">
            <v>Budget</v>
          </cell>
          <cell r="C6055" t="str">
            <v>Jun</v>
          </cell>
          <cell r="D6055" t="str">
            <v>Chairs</v>
          </cell>
          <cell r="E6055">
            <v>145099.66799999998</v>
          </cell>
          <cell r="F6055">
            <v>6</v>
          </cell>
        </row>
        <row r="6056">
          <cell r="A6056">
            <v>2018</v>
          </cell>
          <cell r="B6056" t="str">
            <v>Actual</v>
          </cell>
          <cell r="C6056" t="str">
            <v>Jun</v>
          </cell>
          <cell r="D6056" t="str">
            <v>Chairs</v>
          </cell>
          <cell r="E6056">
            <v>88845.532999999996</v>
          </cell>
          <cell r="F6056">
            <v>6</v>
          </cell>
        </row>
        <row r="6057">
          <cell r="A6057">
            <v>2018</v>
          </cell>
          <cell r="B6057" t="str">
            <v>Budget</v>
          </cell>
          <cell r="C6057" t="str">
            <v>Jun</v>
          </cell>
          <cell r="D6057" t="str">
            <v>Chairs</v>
          </cell>
          <cell r="E6057">
            <v>225156.057</v>
          </cell>
          <cell r="F6057">
            <v>6</v>
          </cell>
        </row>
        <row r="6058">
          <cell r="A6058">
            <v>2018</v>
          </cell>
          <cell r="B6058" t="str">
            <v>Actual</v>
          </cell>
          <cell r="C6058" t="str">
            <v>Jun</v>
          </cell>
          <cell r="D6058" t="str">
            <v>Chairs</v>
          </cell>
          <cell r="E6058">
            <v>59750.634999999995</v>
          </cell>
          <cell r="F6058">
            <v>6</v>
          </cell>
        </row>
        <row r="6059">
          <cell r="A6059">
            <v>2019</v>
          </cell>
          <cell r="B6059" t="str">
            <v>Budget</v>
          </cell>
          <cell r="C6059" t="str">
            <v>Jun</v>
          </cell>
          <cell r="D6059" t="str">
            <v>Tables</v>
          </cell>
          <cell r="E6059">
            <v>222428.08699999997</v>
          </cell>
          <cell r="F6059">
            <v>6</v>
          </cell>
        </row>
        <row r="6060">
          <cell r="A6060">
            <v>2019</v>
          </cell>
          <cell r="B6060" t="str">
            <v>Actual</v>
          </cell>
          <cell r="C6060" t="str">
            <v>Jun</v>
          </cell>
          <cell r="D6060" t="str">
            <v>Kitchen</v>
          </cell>
          <cell r="E6060">
            <v>40457.998</v>
          </cell>
          <cell r="F6060">
            <v>6</v>
          </cell>
        </row>
        <row r="6061">
          <cell r="A6061">
            <v>2019</v>
          </cell>
          <cell r="B6061" t="str">
            <v>Budget</v>
          </cell>
          <cell r="C6061" t="str">
            <v>Jun</v>
          </cell>
          <cell r="D6061" t="str">
            <v>Chairs</v>
          </cell>
          <cell r="E6061">
            <v>52584.643999999993</v>
          </cell>
          <cell r="F6061">
            <v>6</v>
          </cell>
        </row>
        <row r="6062">
          <cell r="A6062">
            <v>2018</v>
          </cell>
          <cell r="B6062" t="str">
            <v>Actual</v>
          </cell>
          <cell r="C6062" t="str">
            <v>Jun</v>
          </cell>
          <cell r="D6062" t="str">
            <v>Chairs</v>
          </cell>
          <cell r="E6062">
            <v>172023.00499999998</v>
          </cell>
          <cell r="F6062">
            <v>6</v>
          </cell>
        </row>
        <row r="6063">
          <cell r="A6063">
            <v>2019</v>
          </cell>
          <cell r="B6063" t="str">
            <v>Budget</v>
          </cell>
          <cell r="C6063" t="str">
            <v>Jun</v>
          </cell>
          <cell r="D6063" t="str">
            <v>Chairs</v>
          </cell>
          <cell r="E6063">
            <v>193391.87699999998</v>
          </cell>
          <cell r="F6063">
            <v>6</v>
          </cell>
        </row>
        <row r="6064">
          <cell r="A6064">
            <v>2018</v>
          </cell>
          <cell r="B6064" t="str">
            <v>Actual</v>
          </cell>
          <cell r="C6064" t="str">
            <v>Jun</v>
          </cell>
          <cell r="D6064" t="str">
            <v>Chairs</v>
          </cell>
          <cell r="E6064">
            <v>409070.97</v>
          </cell>
          <cell r="F6064">
            <v>6</v>
          </cell>
        </row>
        <row r="6065">
          <cell r="A6065">
            <v>2018</v>
          </cell>
          <cell r="B6065" t="str">
            <v>Budget</v>
          </cell>
          <cell r="C6065" t="str">
            <v>Jun</v>
          </cell>
          <cell r="D6065" t="str">
            <v>Chairs</v>
          </cell>
          <cell r="E6065">
            <v>89899.312999999995</v>
          </cell>
          <cell r="F6065">
            <v>6</v>
          </cell>
        </row>
        <row r="6066">
          <cell r="A6066">
            <v>2018</v>
          </cell>
          <cell r="B6066" t="str">
            <v>Actual</v>
          </cell>
          <cell r="C6066" t="str">
            <v>Jun</v>
          </cell>
          <cell r="D6066" t="str">
            <v>Tables</v>
          </cell>
          <cell r="E6066">
            <v>16625.784</v>
          </cell>
          <cell r="F6066">
            <v>6</v>
          </cell>
        </row>
        <row r="6067">
          <cell r="A6067">
            <v>2018</v>
          </cell>
          <cell r="B6067" t="str">
            <v>Budget</v>
          </cell>
          <cell r="C6067" t="str">
            <v>Jun</v>
          </cell>
          <cell r="D6067" t="str">
            <v>Kitchen</v>
          </cell>
          <cell r="E6067">
            <v>170194.696</v>
          </cell>
          <cell r="F6067">
            <v>6</v>
          </cell>
        </row>
        <row r="6068">
          <cell r="A6068">
            <v>2019</v>
          </cell>
          <cell r="B6068" t="str">
            <v>Actual</v>
          </cell>
          <cell r="C6068" t="str">
            <v>Jun</v>
          </cell>
          <cell r="D6068" t="str">
            <v>Chairs</v>
          </cell>
          <cell r="E6068">
            <v>15949.072999999999</v>
          </cell>
          <cell r="F6068">
            <v>6</v>
          </cell>
        </row>
        <row r="6069">
          <cell r="A6069">
            <v>2018</v>
          </cell>
          <cell r="B6069" t="str">
            <v>Budget</v>
          </cell>
          <cell r="C6069" t="str">
            <v>Jun</v>
          </cell>
          <cell r="D6069" t="str">
            <v>Chairs</v>
          </cell>
          <cell r="E6069">
            <v>991.96999999999991</v>
          </cell>
          <cell r="F6069">
            <v>6</v>
          </cell>
        </row>
        <row r="6070">
          <cell r="A6070">
            <v>2018</v>
          </cell>
          <cell r="B6070" t="str">
            <v>Actual</v>
          </cell>
          <cell r="C6070" t="str">
            <v>Jun</v>
          </cell>
          <cell r="D6070" t="str">
            <v>Chairs</v>
          </cell>
          <cell r="E6070">
            <v>49220.422999999995</v>
          </cell>
          <cell r="F6070">
            <v>6</v>
          </cell>
        </row>
        <row r="6071">
          <cell r="A6071">
            <v>2018</v>
          </cell>
          <cell r="B6071" t="str">
            <v>Budget</v>
          </cell>
          <cell r="C6071" t="str">
            <v>Jun</v>
          </cell>
          <cell r="D6071" t="str">
            <v>Tables</v>
          </cell>
          <cell r="E6071">
            <v>73034.800999999992</v>
          </cell>
          <cell r="F6071">
            <v>6</v>
          </cell>
        </row>
        <row r="6072">
          <cell r="A6072">
            <v>2018</v>
          </cell>
          <cell r="B6072" t="str">
            <v>Actual</v>
          </cell>
          <cell r="C6072" t="str">
            <v>Jun</v>
          </cell>
          <cell r="D6072" t="str">
            <v>Kitchen</v>
          </cell>
          <cell r="E6072">
            <v>9179.6530000000002</v>
          </cell>
          <cell r="F6072">
            <v>6</v>
          </cell>
        </row>
        <row r="6073">
          <cell r="A6073">
            <v>2018</v>
          </cell>
          <cell r="B6073" t="str">
            <v>Budget</v>
          </cell>
          <cell r="C6073" t="str">
            <v>Jun</v>
          </cell>
          <cell r="D6073" t="str">
            <v>Chairs</v>
          </cell>
          <cell r="E6073">
            <v>36493.491999999998</v>
          </cell>
          <cell r="F6073">
            <v>6</v>
          </cell>
        </row>
        <row r="6074">
          <cell r="A6074">
            <v>2019</v>
          </cell>
          <cell r="B6074" t="str">
            <v>Actual</v>
          </cell>
          <cell r="C6074" t="str">
            <v>Jun</v>
          </cell>
          <cell r="D6074" t="str">
            <v>Chairs</v>
          </cell>
          <cell r="E6074">
            <v>72271.164000000004</v>
          </cell>
          <cell r="F6074">
            <v>6</v>
          </cell>
        </row>
        <row r="6075">
          <cell r="A6075">
            <v>2019</v>
          </cell>
          <cell r="B6075" t="str">
            <v>Budget</v>
          </cell>
          <cell r="C6075" t="str">
            <v>Jun</v>
          </cell>
          <cell r="D6075" t="str">
            <v>Tables</v>
          </cell>
          <cell r="E6075">
            <v>44544.324999999997</v>
          </cell>
          <cell r="F6075">
            <v>6</v>
          </cell>
        </row>
        <row r="6076">
          <cell r="A6076">
            <v>2018</v>
          </cell>
          <cell r="B6076" t="str">
            <v>Actual</v>
          </cell>
          <cell r="C6076" t="str">
            <v>Jun</v>
          </cell>
          <cell r="D6076" t="str">
            <v>Kitchen</v>
          </cell>
          <cell r="E6076">
            <v>33246.170999999995</v>
          </cell>
          <cell r="F6076">
            <v>6</v>
          </cell>
        </row>
        <row r="6077">
          <cell r="A6077">
            <v>2018</v>
          </cell>
          <cell r="B6077" t="str">
            <v>Budget</v>
          </cell>
          <cell r="C6077" t="str">
            <v>Jun</v>
          </cell>
          <cell r="D6077" t="str">
            <v>Chairs</v>
          </cell>
          <cell r="E6077">
            <v>2081169.7689999999</v>
          </cell>
          <cell r="F6077">
            <v>6</v>
          </cell>
        </row>
        <row r="6078">
          <cell r="A6078">
            <v>2019</v>
          </cell>
          <cell r="B6078" t="str">
            <v>Actual</v>
          </cell>
          <cell r="C6078" t="str">
            <v>Jun</v>
          </cell>
          <cell r="D6078" t="str">
            <v>Chairs</v>
          </cell>
          <cell r="E6078">
            <v>41269.955999999998</v>
          </cell>
          <cell r="F6078">
            <v>6</v>
          </cell>
        </row>
        <row r="6079">
          <cell r="A6079">
            <v>2019</v>
          </cell>
          <cell r="B6079" t="str">
            <v>Budget</v>
          </cell>
          <cell r="C6079" t="str">
            <v>Jun</v>
          </cell>
          <cell r="D6079" t="str">
            <v>Chairs</v>
          </cell>
          <cell r="E6079">
            <v>120553.34199999999</v>
          </cell>
          <cell r="F6079">
            <v>6</v>
          </cell>
        </row>
        <row r="6080">
          <cell r="A6080">
            <v>2019</v>
          </cell>
          <cell r="B6080" t="str">
            <v>Actual</v>
          </cell>
          <cell r="C6080" t="str">
            <v>Jun</v>
          </cell>
          <cell r="D6080" t="str">
            <v>Tables</v>
          </cell>
          <cell r="E6080">
            <v>210820.01499999998</v>
          </cell>
          <cell r="F6080">
            <v>6</v>
          </cell>
        </row>
        <row r="6081">
          <cell r="A6081">
            <v>2019</v>
          </cell>
          <cell r="B6081" t="str">
            <v>Budget</v>
          </cell>
          <cell r="C6081" t="str">
            <v>Jun</v>
          </cell>
          <cell r="D6081" t="str">
            <v>Kitchen</v>
          </cell>
          <cell r="E6081">
            <v>11422.579</v>
          </cell>
          <cell r="F6081">
            <v>6</v>
          </cell>
        </row>
        <row r="6082">
          <cell r="A6082">
            <v>2018</v>
          </cell>
          <cell r="B6082" t="str">
            <v>Actual</v>
          </cell>
          <cell r="C6082" t="str">
            <v>Jun</v>
          </cell>
          <cell r="D6082" t="str">
            <v>Accessories</v>
          </cell>
          <cell r="E6082">
            <v>792228.98299999989</v>
          </cell>
          <cell r="F6082">
            <v>6</v>
          </cell>
        </row>
        <row r="6083">
          <cell r="A6083">
            <v>2018</v>
          </cell>
          <cell r="B6083" t="str">
            <v>Budget</v>
          </cell>
          <cell r="C6083" t="str">
            <v>Jun</v>
          </cell>
          <cell r="D6083" t="str">
            <v>Chairs</v>
          </cell>
          <cell r="E6083">
            <v>110350.478</v>
          </cell>
          <cell r="F6083">
            <v>6</v>
          </cell>
        </row>
        <row r="6084">
          <cell r="A6084">
            <v>2019</v>
          </cell>
          <cell r="B6084" t="str">
            <v>Actual</v>
          </cell>
          <cell r="C6084" t="str">
            <v>Jun</v>
          </cell>
          <cell r="D6084" t="str">
            <v>Tables</v>
          </cell>
          <cell r="E6084">
            <v>154753.984</v>
          </cell>
          <cell r="F6084">
            <v>6</v>
          </cell>
        </row>
        <row r="6085">
          <cell r="A6085">
            <v>2019</v>
          </cell>
          <cell r="B6085" t="str">
            <v>Budget</v>
          </cell>
          <cell r="C6085" t="str">
            <v>Jun</v>
          </cell>
          <cell r="D6085" t="str">
            <v>Kitchen</v>
          </cell>
          <cell r="E6085">
            <v>939672.02</v>
          </cell>
          <cell r="F6085">
            <v>6</v>
          </cell>
        </row>
        <row r="6086">
          <cell r="A6086">
            <v>2019</v>
          </cell>
          <cell r="B6086" t="str">
            <v>Actual</v>
          </cell>
          <cell r="C6086" t="str">
            <v>Jun</v>
          </cell>
          <cell r="D6086" t="str">
            <v>Accessories</v>
          </cell>
          <cell r="E6086">
            <v>302753.40199999994</v>
          </cell>
          <cell r="F6086">
            <v>6</v>
          </cell>
        </row>
        <row r="6087">
          <cell r="A6087">
            <v>2019</v>
          </cell>
          <cell r="B6087" t="str">
            <v>Budget</v>
          </cell>
          <cell r="C6087" t="str">
            <v>Jun</v>
          </cell>
          <cell r="D6087" t="str">
            <v>Chairs</v>
          </cell>
          <cell r="E6087">
            <v>3738732.6339999996</v>
          </cell>
          <cell r="F6087">
            <v>6</v>
          </cell>
        </row>
        <row r="6088">
          <cell r="A6088">
            <v>2018</v>
          </cell>
          <cell r="B6088" t="str">
            <v>Actual</v>
          </cell>
          <cell r="C6088" t="str">
            <v>Jun</v>
          </cell>
          <cell r="D6088" t="str">
            <v>Tables</v>
          </cell>
          <cell r="E6088">
            <v>308188.40499999997</v>
          </cell>
          <cell r="F6088">
            <v>6</v>
          </cell>
        </row>
        <row r="6089">
          <cell r="A6089">
            <v>2019</v>
          </cell>
          <cell r="B6089" t="str">
            <v>Budget</v>
          </cell>
          <cell r="C6089" t="str">
            <v>Jun</v>
          </cell>
          <cell r="D6089" t="str">
            <v>Kitchen</v>
          </cell>
          <cell r="E6089">
            <v>206261.98599999998</v>
          </cell>
          <cell r="F6089">
            <v>6</v>
          </cell>
        </row>
        <row r="6090">
          <cell r="A6090">
            <v>2019</v>
          </cell>
          <cell r="B6090" t="str">
            <v>Actual</v>
          </cell>
          <cell r="C6090" t="str">
            <v>Jun</v>
          </cell>
          <cell r="D6090" t="str">
            <v>Accessories</v>
          </cell>
          <cell r="E6090">
            <v>1763175.2249999999</v>
          </cell>
          <cell r="F6090">
            <v>6</v>
          </cell>
        </row>
        <row r="6091">
          <cell r="A6091">
            <v>2018</v>
          </cell>
          <cell r="B6091" t="str">
            <v>Budget</v>
          </cell>
          <cell r="C6091" t="str">
            <v>Jun</v>
          </cell>
          <cell r="D6091" t="str">
            <v>Chairs</v>
          </cell>
          <cell r="E6091">
            <v>1757948.2269999997</v>
          </cell>
          <cell r="F6091">
            <v>6</v>
          </cell>
        </row>
        <row r="6092">
          <cell r="A6092">
            <v>2018</v>
          </cell>
          <cell r="B6092" t="str">
            <v>Actual</v>
          </cell>
          <cell r="C6092" t="str">
            <v>Jun</v>
          </cell>
          <cell r="D6092" t="str">
            <v>Tables</v>
          </cell>
          <cell r="E6092">
            <v>1356769.0289999999</v>
          </cell>
          <cell r="F6092">
            <v>6</v>
          </cell>
        </row>
        <row r="6093">
          <cell r="A6093">
            <v>2018</v>
          </cell>
          <cell r="B6093" t="str">
            <v>Budget</v>
          </cell>
          <cell r="C6093" t="str">
            <v>Jun</v>
          </cell>
          <cell r="D6093" t="str">
            <v>Kitchen</v>
          </cell>
          <cell r="E6093">
            <v>1184408.246</v>
          </cell>
          <cell r="F6093">
            <v>6</v>
          </cell>
        </row>
        <row r="6094">
          <cell r="A6094">
            <v>2018</v>
          </cell>
          <cell r="B6094" t="str">
            <v>Actual</v>
          </cell>
          <cell r="C6094" t="str">
            <v>Jun</v>
          </cell>
          <cell r="D6094" t="str">
            <v>Accessories</v>
          </cell>
          <cell r="E6094">
            <v>45244.366999999998</v>
          </cell>
          <cell r="F6094">
            <v>6</v>
          </cell>
        </row>
        <row r="6095">
          <cell r="A6095">
            <v>2019</v>
          </cell>
          <cell r="B6095" t="str">
            <v>Budget</v>
          </cell>
          <cell r="C6095" t="str">
            <v>Jun</v>
          </cell>
          <cell r="D6095" t="str">
            <v>Chairs</v>
          </cell>
          <cell r="E6095">
            <v>59663.106999999989</v>
          </cell>
          <cell r="F6095">
            <v>6</v>
          </cell>
        </row>
        <row r="6096">
          <cell r="A6096">
            <v>2019</v>
          </cell>
          <cell r="B6096" t="str">
            <v>Actual</v>
          </cell>
          <cell r="C6096" t="str">
            <v>Jun</v>
          </cell>
          <cell r="D6096" t="str">
            <v>Chairs</v>
          </cell>
          <cell r="E6096">
            <v>852683.39099999983</v>
          </cell>
          <cell r="F6096">
            <v>6</v>
          </cell>
        </row>
        <row r="6097">
          <cell r="A6097">
            <v>2018</v>
          </cell>
          <cell r="B6097" t="str">
            <v>Budget</v>
          </cell>
          <cell r="C6097" t="str">
            <v>Jun</v>
          </cell>
          <cell r="D6097" t="str">
            <v>Tables</v>
          </cell>
          <cell r="E6097">
            <v>189408.60399999996</v>
          </cell>
          <cell r="F6097">
            <v>6</v>
          </cell>
        </row>
        <row r="6098">
          <cell r="A6098">
            <v>2018</v>
          </cell>
          <cell r="B6098" t="str">
            <v>Actual</v>
          </cell>
          <cell r="C6098" t="str">
            <v>Jun</v>
          </cell>
          <cell r="D6098" t="str">
            <v>Kitchen</v>
          </cell>
          <cell r="E6098">
            <v>498491.76999999996</v>
          </cell>
          <cell r="F6098">
            <v>6</v>
          </cell>
        </row>
        <row r="6099">
          <cell r="A6099">
            <v>2019</v>
          </cell>
          <cell r="B6099" t="str">
            <v>Budget</v>
          </cell>
          <cell r="C6099" t="str">
            <v>Jun</v>
          </cell>
          <cell r="D6099" t="str">
            <v>Chairs</v>
          </cell>
          <cell r="E6099">
            <v>1175906.1649999998</v>
          </cell>
          <cell r="F6099">
            <v>6</v>
          </cell>
        </row>
        <row r="6100">
          <cell r="A6100">
            <v>2018</v>
          </cell>
          <cell r="B6100" t="str">
            <v>Actual</v>
          </cell>
          <cell r="C6100" t="str">
            <v>Jun</v>
          </cell>
          <cell r="D6100" t="str">
            <v>Tables</v>
          </cell>
          <cell r="E6100">
            <v>127186.15699999999</v>
          </cell>
          <cell r="F6100">
            <v>6</v>
          </cell>
        </row>
        <row r="6101">
          <cell r="A6101">
            <v>2019</v>
          </cell>
          <cell r="B6101" t="str">
            <v>Budget</v>
          </cell>
          <cell r="C6101" t="str">
            <v>Jun</v>
          </cell>
          <cell r="D6101" t="str">
            <v>Kitchen</v>
          </cell>
          <cell r="E6101">
            <v>369824.89600000001</v>
          </cell>
          <cell r="F6101">
            <v>6</v>
          </cell>
        </row>
        <row r="6102">
          <cell r="A6102">
            <v>2018</v>
          </cell>
          <cell r="B6102" t="str">
            <v>Actual</v>
          </cell>
          <cell r="C6102" t="str">
            <v>Jun</v>
          </cell>
          <cell r="D6102" t="str">
            <v>Chairs</v>
          </cell>
          <cell r="E6102">
            <v>6888046.585</v>
          </cell>
          <cell r="F6102">
            <v>6</v>
          </cell>
        </row>
        <row r="6103">
          <cell r="A6103">
            <v>2018</v>
          </cell>
          <cell r="B6103" t="str">
            <v>Budget</v>
          </cell>
          <cell r="C6103" t="str">
            <v>Jun</v>
          </cell>
          <cell r="D6103" t="str">
            <v>Tables</v>
          </cell>
          <cell r="E6103">
            <v>598744.29999999993</v>
          </cell>
          <cell r="F6103">
            <v>6</v>
          </cell>
        </row>
        <row r="6104">
          <cell r="A6104">
            <v>2018</v>
          </cell>
          <cell r="B6104" t="str">
            <v>Actual</v>
          </cell>
          <cell r="C6104" t="str">
            <v>Jun</v>
          </cell>
          <cell r="D6104" t="str">
            <v>Kitchen</v>
          </cell>
          <cell r="E6104">
            <v>54940.437999999995</v>
          </cell>
          <cell r="F6104">
            <v>6</v>
          </cell>
        </row>
        <row r="6105">
          <cell r="A6105">
            <v>2019</v>
          </cell>
          <cell r="B6105" t="str">
            <v>Budget</v>
          </cell>
          <cell r="C6105" t="str">
            <v>Jun</v>
          </cell>
          <cell r="D6105" t="str">
            <v>Chairs</v>
          </cell>
          <cell r="E6105">
            <v>246311.21899999998</v>
          </cell>
          <cell r="F6105">
            <v>6</v>
          </cell>
        </row>
        <row r="6106">
          <cell r="A6106">
            <v>2018</v>
          </cell>
          <cell r="B6106" t="str">
            <v>Actual</v>
          </cell>
          <cell r="C6106" t="str">
            <v>Jun</v>
          </cell>
          <cell r="D6106" t="str">
            <v>Chairs</v>
          </cell>
          <cell r="E6106">
            <v>686513.54799999995</v>
          </cell>
          <cell r="F6106">
            <v>6</v>
          </cell>
        </row>
        <row r="6107">
          <cell r="A6107">
            <v>2019</v>
          </cell>
          <cell r="B6107" t="str">
            <v>Budget</v>
          </cell>
          <cell r="C6107" t="str">
            <v>Jun</v>
          </cell>
          <cell r="D6107" t="str">
            <v>Chairs</v>
          </cell>
          <cell r="E6107">
            <v>90150.997999999992</v>
          </cell>
          <cell r="F6107">
            <v>6</v>
          </cell>
        </row>
        <row r="6108">
          <cell r="A6108">
            <v>2019</v>
          </cell>
          <cell r="B6108" t="str">
            <v>Actual</v>
          </cell>
          <cell r="C6108" t="str">
            <v>Jun</v>
          </cell>
          <cell r="D6108" t="str">
            <v>Chairs</v>
          </cell>
          <cell r="E6108">
            <v>593120.59100000001</v>
          </cell>
          <cell r="F6108">
            <v>6</v>
          </cell>
        </row>
        <row r="6109">
          <cell r="A6109">
            <v>2018</v>
          </cell>
          <cell r="B6109" t="str">
            <v>Budget</v>
          </cell>
          <cell r="C6109" t="str">
            <v>Jun</v>
          </cell>
          <cell r="D6109" t="str">
            <v>Chairs</v>
          </cell>
          <cell r="E6109">
            <v>407583.91099999996</v>
          </cell>
          <cell r="F6109">
            <v>6</v>
          </cell>
        </row>
        <row r="6110">
          <cell r="A6110">
            <v>2019</v>
          </cell>
          <cell r="B6110" t="str">
            <v>Actual</v>
          </cell>
          <cell r="C6110" t="str">
            <v>Jun</v>
          </cell>
          <cell r="D6110" t="str">
            <v>Chairs</v>
          </cell>
          <cell r="E6110">
            <v>101304.17499999999</v>
          </cell>
          <cell r="F6110">
            <v>6</v>
          </cell>
        </row>
        <row r="6111">
          <cell r="A6111">
            <v>2019</v>
          </cell>
          <cell r="B6111" t="str">
            <v>Budget</v>
          </cell>
          <cell r="C6111" t="str">
            <v>Jun</v>
          </cell>
          <cell r="D6111" t="str">
            <v>Chairs</v>
          </cell>
          <cell r="E6111">
            <v>330168.391</v>
          </cell>
          <cell r="F6111">
            <v>6</v>
          </cell>
        </row>
        <row r="6112">
          <cell r="A6112">
            <v>2019</v>
          </cell>
          <cell r="B6112" t="str">
            <v>Actual</v>
          </cell>
          <cell r="C6112" t="str">
            <v>Jun</v>
          </cell>
          <cell r="D6112" t="str">
            <v>Chairs</v>
          </cell>
          <cell r="E6112">
            <v>152591.42499999999</v>
          </cell>
          <cell r="F6112">
            <v>6</v>
          </cell>
        </row>
        <row r="6113">
          <cell r="A6113">
            <v>2018</v>
          </cell>
          <cell r="B6113" t="str">
            <v>Budget</v>
          </cell>
          <cell r="C6113" t="str">
            <v>Jun</v>
          </cell>
          <cell r="D6113" t="str">
            <v>Chairs</v>
          </cell>
          <cell r="E6113">
            <v>187572.497</v>
          </cell>
          <cell r="F6113">
            <v>6</v>
          </cell>
        </row>
        <row r="6114">
          <cell r="A6114">
            <v>2019</v>
          </cell>
          <cell r="B6114" t="str">
            <v>Actual</v>
          </cell>
          <cell r="C6114" t="str">
            <v>Jun</v>
          </cell>
          <cell r="D6114" t="str">
            <v>Chairs</v>
          </cell>
          <cell r="E6114">
            <v>690515.94499999995</v>
          </cell>
          <cell r="F6114">
            <v>6</v>
          </cell>
        </row>
        <row r="6115">
          <cell r="A6115">
            <v>2018</v>
          </cell>
          <cell r="B6115" t="str">
            <v>Budget</v>
          </cell>
          <cell r="C6115" t="str">
            <v>Jun</v>
          </cell>
          <cell r="D6115" t="str">
            <v>Chairs</v>
          </cell>
          <cell r="E6115">
            <v>153877.976</v>
          </cell>
          <cell r="F6115">
            <v>6</v>
          </cell>
        </row>
        <row r="6116">
          <cell r="A6116">
            <v>2018</v>
          </cell>
          <cell r="B6116" t="str">
            <v>Actual</v>
          </cell>
          <cell r="C6116" t="str">
            <v>Jun</v>
          </cell>
          <cell r="D6116" t="str">
            <v>Chairs</v>
          </cell>
          <cell r="E6116">
            <v>790.84599999999989</v>
          </cell>
          <cell r="F6116">
            <v>6</v>
          </cell>
        </row>
        <row r="6117">
          <cell r="A6117">
            <v>2019</v>
          </cell>
          <cell r="B6117" t="str">
            <v>Budget</v>
          </cell>
          <cell r="C6117" t="str">
            <v>Jun</v>
          </cell>
          <cell r="D6117" t="str">
            <v>Chairs</v>
          </cell>
          <cell r="E6117">
            <v>40518.589999999997</v>
          </cell>
          <cell r="F6117">
            <v>6</v>
          </cell>
        </row>
        <row r="6118">
          <cell r="A6118">
            <v>2018</v>
          </cell>
          <cell r="B6118" t="str">
            <v>Actual</v>
          </cell>
          <cell r="C6118" t="str">
            <v>Jun</v>
          </cell>
          <cell r="D6118" t="str">
            <v>Chairs</v>
          </cell>
          <cell r="E6118">
            <v>73306.849000000002</v>
          </cell>
          <cell r="F6118">
            <v>6</v>
          </cell>
        </row>
        <row r="6119">
          <cell r="A6119">
            <v>2018</v>
          </cell>
          <cell r="B6119" t="str">
            <v>Budget</v>
          </cell>
          <cell r="C6119" t="str">
            <v>Jun</v>
          </cell>
          <cell r="D6119" t="str">
            <v>Chairs</v>
          </cell>
          <cell r="E6119">
            <v>96033.174999999988</v>
          </cell>
          <cell r="F6119">
            <v>6</v>
          </cell>
        </row>
        <row r="6120">
          <cell r="A6120">
            <v>2019</v>
          </cell>
          <cell r="B6120" t="str">
            <v>Actual</v>
          </cell>
          <cell r="C6120" t="str">
            <v>Jun</v>
          </cell>
          <cell r="D6120" t="str">
            <v>Chairs</v>
          </cell>
          <cell r="E6120">
            <v>202914.63499999998</v>
          </cell>
          <cell r="F6120">
            <v>6</v>
          </cell>
        </row>
        <row r="6121">
          <cell r="A6121">
            <v>2018</v>
          </cell>
          <cell r="B6121" t="str">
            <v>Budget</v>
          </cell>
          <cell r="C6121" t="str">
            <v>Jun</v>
          </cell>
          <cell r="D6121" t="str">
            <v>Chairs</v>
          </cell>
          <cell r="E6121">
            <v>166658.261</v>
          </cell>
          <cell r="F6121">
            <v>6</v>
          </cell>
        </row>
        <row r="6122">
          <cell r="A6122">
            <v>2018</v>
          </cell>
          <cell r="B6122" t="str">
            <v>Actual</v>
          </cell>
          <cell r="C6122" t="str">
            <v>Jun</v>
          </cell>
          <cell r="D6122" t="str">
            <v>Chairs</v>
          </cell>
          <cell r="E6122">
            <v>61946.926999999996</v>
          </cell>
          <cell r="F6122">
            <v>6</v>
          </cell>
        </row>
        <row r="6123">
          <cell r="A6123">
            <v>2018</v>
          </cell>
          <cell r="B6123" t="str">
            <v>Budget</v>
          </cell>
          <cell r="C6123" t="str">
            <v>Jun</v>
          </cell>
          <cell r="D6123" t="str">
            <v>Chairs</v>
          </cell>
          <cell r="E6123">
            <v>134441.43299999999</v>
          </cell>
          <cell r="F6123">
            <v>6</v>
          </cell>
        </row>
        <row r="6124">
          <cell r="A6124">
            <v>2018</v>
          </cell>
          <cell r="B6124" t="str">
            <v>Actual</v>
          </cell>
          <cell r="C6124" t="str">
            <v>Jun</v>
          </cell>
          <cell r="D6124" t="str">
            <v>Chairs</v>
          </cell>
          <cell r="E6124">
            <v>337724.41499999998</v>
          </cell>
          <cell r="F6124">
            <v>6</v>
          </cell>
        </row>
        <row r="6125">
          <cell r="A6125">
            <v>2019</v>
          </cell>
          <cell r="B6125" t="str">
            <v>Budget</v>
          </cell>
          <cell r="C6125" t="str">
            <v>Jun</v>
          </cell>
          <cell r="D6125" t="str">
            <v>Chairs</v>
          </cell>
          <cell r="E6125">
            <v>78138.752999999997</v>
          </cell>
          <cell r="F6125">
            <v>6</v>
          </cell>
        </row>
        <row r="6126">
          <cell r="A6126">
            <v>2018</v>
          </cell>
          <cell r="B6126" t="str">
            <v>Actual</v>
          </cell>
          <cell r="C6126" t="str">
            <v>Jun</v>
          </cell>
          <cell r="D6126" t="str">
            <v>Chairs</v>
          </cell>
          <cell r="E6126">
            <v>68696.508999999991</v>
          </cell>
          <cell r="F6126">
            <v>6</v>
          </cell>
        </row>
        <row r="6127">
          <cell r="A6127">
            <v>2018</v>
          </cell>
          <cell r="B6127" t="str">
            <v>Budget</v>
          </cell>
          <cell r="C6127" t="str">
            <v>Jun</v>
          </cell>
          <cell r="D6127" t="str">
            <v>Chairs</v>
          </cell>
          <cell r="E6127">
            <v>94655.308999999994</v>
          </cell>
          <cell r="F6127">
            <v>6</v>
          </cell>
        </row>
        <row r="6128">
          <cell r="A6128">
            <v>2018</v>
          </cell>
          <cell r="B6128" t="str">
            <v>Actual</v>
          </cell>
          <cell r="C6128" t="str">
            <v>Jun</v>
          </cell>
          <cell r="D6128" t="str">
            <v>Chairs</v>
          </cell>
          <cell r="E6128">
            <v>180536.11799999999</v>
          </cell>
          <cell r="F6128">
            <v>6</v>
          </cell>
        </row>
        <row r="6129">
          <cell r="A6129">
            <v>2018</v>
          </cell>
          <cell r="B6129" t="str">
            <v>Budget</v>
          </cell>
          <cell r="C6129" t="str">
            <v>Jun</v>
          </cell>
          <cell r="D6129" t="str">
            <v>Chairs</v>
          </cell>
          <cell r="E6129">
            <v>9743.3629999999994</v>
          </cell>
          <cell r="F6129">
            <v>6</v>
          </cell>
        </row>
        <row r="6130">
          <cell r="A6130">
            <v>2019</v>
          </cell>
          <cell r="B6130" t="str">
            <v>Actual</v>
          </cell>
          <cell r="C6130" t="str">
            <v>Jun</v>
          </cell>
          <cell r="D6130" t="str">
            <v>Chairs</v>
          </cell>
          <cell r="E6130">
            <v>102810.58199999999</v>
          </cell>
          <cell r="F6130">
            <v>6</v>
          </cell>
        </row>
        <row r="6131">
          <cell r="A6131">
            <v>2018</v>
          </cell>
          <cell r="B6131" t="str">
            <v>Budget</v>
          </cell>
          <cell r="C6131" t="str">
            <v>Jun</v>
          </cell>
          <cell r="D6131" t="str">
            <v>Tables</v>
          </cell>
          <cell r="E6131">
            <v>113564.738</v>
          </cell>
          <cell r="F6131">
            <v>6</v>
          </cell>
        </row>
        <row r="6132">
          <cell r="A6132">
            <v>2018</v>
          </cell>
          <cell r="B6132" t="str">
            <v>Actual</v>
          </cell>
          <cell r="C6132" t="str">
            <v>Jun</v>
          </cell>
          <cell r="D6132" t="str">
            <v>Kitchen</v>
          </cell>
          <cell r="E6132">
            <v>417472.04099999997</v>
          </cell>
          <cell r="F6132">
            <v>6</v>
          </cell>
        </row>
        <row r="6133">
          <cell r="A6133">
            <v>2019</v>
          </cell>
          <cell r="B6133" t="str">
            <v>Budget</v>
          </cell>
          <cell r="C6133" t="str">
            <v>Jun</v>
          </cell>
          <cell r="D6133" t="str">
            <v>Chairs</v>
          </cell>
          <cell r="E6133">
            <v>126376.79599999999</v>
          </cell>
          <cell r="F6133">
            <v>6</v>
          </cell>
        </row>
        <row r="6134">
          <cell r="A6134">
            <v>2018</v>
          </cell>
          <cell r="B6134" t="str">
            <v>Actual</v>
          </cell>
          <cell r="C6134" t="str">
            <v>Jun</v>
          </cell>
          <cell r="D6134" t="str">
            <v>Chairs</v>
          </cell>
          <cell r="E6134">
            <v>46225.718000000001</v>
          </cell>
          <cell r="F6134">
            <v>6</v>
          </cell>
        </row>
        <row r="6135">
          <cell r="A6135">
            <v>2018</v>
          </cell>
          <cell r="B6135" t="str">
            <v>Budget</v>
          </cell>
          <cell r="C6135" t="str">
            <v>Jun</v>
          </cell>
          <cell r="D6135" t="str">
            <v>Chairs</v>
          </cell>
          <cell r="E6135">
            <v>61496.11299999999</v>
          </cell>
          <cell r="F6135">
            <v>6</v>
          </cell>
        </row>
        <row r="6136">
          <cell r="A6136">
            <v>2019</v>
          </cell>
          <cell r="B6136" t="str">
            <v>Actual</v>
          </cell>
          <cell r="C6136" t="str">
            <v>Jun</v>
          </cell>
          <cell r="D6136" t="str">
            <v>Chairs</v>
          </cell>
          <cell r="E6136">
            <v>89409.802999999985</v>
          </cell>
          <cell r="F6136">
            <v>6</v>
          </cell>
        </row>
        <row r="6137">
          <cell r="A6137">
            <v>2019</v>
          </cell>
          <cell r="B6137" t="str">
            <v>Budget</v>
          </cell>
          <cell r="C6137" t="str">
            <v>Jun</v>
          </cell>
          <cell r="D6137" t="str">
            <v>Chairs</v>
          </cell>
          <cell r="E6137">
            <v>86395.896999999997</v>
          </cell>
          <cell r="F6137">
            <v>6</v>
          </cell>
        </row>
        <row r="6138">
          <cell r="A6138">
            <v>2019</v>
          </cell>
          <cell r="B6138" t="str">
            <v>Actual</v>
          </cell>
          <cell r="C6138" t="str">
            <v>Jun</v>
          </cell>
          <cell r="D6138" t="str">
            <v>Tables</v>
          </cell>
          <cell r="E6138">
            <v>307743.27499999997</v>
          </cell>
          <cell r="F6138">
            <v>6</v>
          </cell>
        </row>
        <row r="6139">
          <cell r="A6139">
            <v>2018</v>
          </cell>
          <cell r="B6139" t="str">
            <v>Budget</v>
          </cell>
          <cell r="C6139" t="str">
            <v>Jun</v>
          </cell>
          <cell r="D6139" t="str">
            <v>Kitchen</v>
          </cell>
          <cell r="E6139">
            <v>257942.58</v>
          </cell>
          <cell r="F6139">
            <v>6</v>
          </cell>
        </row>
        <row r="6140">
          <cell r="A6140">
            <v>2018</v>
          </cell>
          <cell r="B6140" t="str">
            <v>Actual</v>
          </cell>
          <cell r="C6140" t="str">
            <v>Jun</v>
          </cell>
          <cell r="D6140" t="str">
            <v>Chairs</v>
          </cell>
          <cell r="E6140">
            <v>126431.86500000001</v>
          </cell>
          <cell r="F6140">
            <v>6</v>
          </cell>
        </row>
        <row r="6141">
          <cell r="A6141">
            <v>2018</v>
          </cell>
          <cell r="B6141" t="str">
            <v>Budget</v>
          </cell>
          <cell r="C6141" t="str">
            <v>Jun</v>
          </cell>
          <cell r="D6141" t="str">
            <v>Chairs</v>
          </cell>
          <cell r="E6141">
            <v>312410.48300000001</v>
          </cell>
          <cell r="F6141">
            <v>6</v>
          </cell>
        </row>
        <row r="6142">
          <cell r="A6142">
            <v>2019</v>
          </cell>
          <cell r="B6142" t="str">
            <v>Actual</v>
          </cell>
          <cell r="C6142" t="str">
            <v>Jun</v>
          </cell>
          <cell r="D6142" t="str">
            <v>Chairs</v>
          </cell>
          <cell r="E6142">
            <v>868750.13400000008</v>
          </cell>
          <cell r="F6142">
            <v>6</v>
          </cell>
        </row>
        <row r="6143">
          <cell r="A6143">
            <v>2018</v>
          </cell>
          <cell r="B6143" t="str">
            <v>Budget</v>
          </cell>
          <cell r="C6143" t="str">
            <v>Jun</v>
          </cell>
          <cell r="D6143" t="str">
            <v>Tables</v>
          </cell>
          <cell r="E6143">
            <v>390426.08500000002</v>
          </cell>
          <cell r="F6143">
            <v>6</v>
          </cell>
        </row>
        <row r="6144">
          <cell r="A6144">
            <v>2018</v>
          </cell>
          <cell r="B6144" t="str">
            <v>Actual</v>
          </cell>
          <cell r="C6144" t="str">
            <v>Jun</v>
          </cell>
          <cell r="D6144" t="str">
            <v>Kitchen</v>
          </cell>
          <cell r="E6144">
            <v>375931.20599999995</v>
          </cell>
          <cell r="F6144">
            <v>6</v>
          </cell>
        </row>
        <row r="6145">
          <cell r="A6145">
            <v>2019</v>
          </cell>
          <cell r="B6145" t="str">
            <v>Budget</v>
          </cell>
          <cell r="C6145" t="str">
            <v>Jun</v>
          </cell>
          <cell r="D6145" t="str">
            <v>Chairs</v>
          </cell>
          <cell r="E6145">
            <v>184514.72899999996</v>
          </cell>
          <cell r="F6145">
            <v>6</v>
          </cell>
        </row>
        <row r="6146">
          <cell r="A6146">
            <v>2018</v>
          </cell>
          <cell r="B6146" t="str">
            <v>Actual</v>
          </cell>
          <cell r="C6146" t="str">
            <v>Jun</v>
          </cell>
          <cell r="D6146" t="str">
            <v>Chairs</v>
          </cell>
          <cell r="E6146">
            <v>36786.659</v>
          </cell>
          <cell r="F6146">
            <v>6</v>
          </cell>
        </row>
        <row r="6147">
          <cell r="A6147">
            <v>2018</v>
          </cell>
          <cell r="B6147" t="str">
            <v>Budget</v>
          </cell>
          <cell r="C6147" t="str">
            <v>Jun</v>
          </cell>
          <cell r="D6147" t="str">
            <v>Tables</v>
          </cell>
          <cell r="E6147">
            <v>525598.87100000004</v>
          </cell>
          <cell r="F6147">
            <v>6</v>
          </cell>
        </row>
        <row r="6148">
          <cell r="A6148">
            <v>2018</v>
          </cell>
          <cell r="B6148" t="str">
            <v>Actual</v>
          </cell>
          <cell r="C6148" t="str">
            <v>Jun</v>
          </cell>
          <cell r="D6148" t="str">
            <v>Kitchen</v>
          </cell>
          <cell r="E6148">
            <v>307546.77100000001</v>
          </cell>
          <cell r="F6148">
            <v>6</v>
          </cell>
        </row>
        <row r="6149">
          <cell r="A6149">
            <v>2018</v>
          </cell>
          <cell r="B6149" t="str">
            <v>Budget</v>
          </cell>
          <cell r="C6149" t="str">
            <v>Jun</v>
          </cell>
          <cell r="D6149" t="str">
            <v>Chairs</v>
          </cell>
          <cell r="E6149">
            <v>139525.12699999998</v>
          </cell>
          <cell r="F6149">
            <v>6</v>
          </cell>
        </row>
        <row r="6150">
          <cell r="A6150">
            <v>2019</v>
          </cell>
          <cell r="B6150" t="str">
            <v>Actual</v>
          </cell>
          <cell r="C6150" t="str">
            <v>Jun</v>
          </cell>
          <cell r="D6150" t="str">
            <v>Chairs</v>
          </cell>
          <cell r="E6150">
            <v>3101815.64</v>
          </cell>
          <cell r="F6150">
            <v>6</v>
          </cell>
        </row>
        <row r="6151">
          <cell r="A6151">
            <v>2018</v>
          </cell>
          <cell r="B6151" t="str">
            <v>Budget</v>
          </cell>
          <cell r="C6151" t="str">
            <v>Jun</v>
          </cell>
          <cell r="D6151" t="str">
            <v>Chairs</v>
          </cell>
          <cell r="E6151">
            <v>165902.03</v>
          </cell>
          <cell r="F6151">
            <v>6</v>
          </cell>
        </row>
        <row r="6152">
          <cell r="A6152">
            <v>2018</v>
          </cell>
          <cell r="B6152" t="str">
            <v>Actual</v>
          </cell>
          <cell r="C6152" t="str">
            <v>Jun</v>
          </cell>
          <cell r="D6152" t="str">
            <v>Tables</v>
          </cell>
          <cell r="E6152">
            <v>290978.76500000001</v>
          </cell>
          <cell r="F6152">
            <v>6</v>
          </cell>
        </row>
        <row r="6153">
          <cell r="A6153">
            <v>2019</v>
          </cell>
          <cell r="B6153" t="str">
            <v>Budget</v>
          </cell>
          <cell r="C6153" t="str">
            <v>Jun</v>
          </cell>
          <cell r="D6153" t="str">
            <v>Kitchen</v>
          </cell>
          <cell r="E6153">
            <v>907244.00199999998</v>
          </cell>
          <cell r="F6153">
            <v>6</v>
          </cell>
        </row>
        <row r="6154">
          <cell r="A6154">
            <v>2018</v>
          </cell>
          <cell r="B6154" t="str">
            <v>Actual</v>
          </cell>
          <cell r="C6154" t="str">
            <v>Jun</v>
          </cell>
          <cell r="D6154" t="str">
            <v>Accessories</v>
          </cell>
          <cell r="E6154">
            <v>491155.78399999999</v>
          </cell>
          <cell r="F6154">
            <v>6</v>
          </cell>
        </row>
        <row r="6155">
          <cell r="A6155">
            <v>2019</v>
          </cell>
          <cell r="B6155" t="str">
            <v>Budget</v>
          </cell>
          <cell r="C6155" t="str">
            <v>Jun</v>
          </cell>
          <cell r="D6155" t="str">
            <v>Chairs</v>
          </cell>
          <cell r="E6155">
            <v>151315.18499999997</v>
          </cell>
          <cell r="F6155">
            <v>6</v>
          </cell>
        </row>
        <row r="6156">
          <cell r="A6156">
            <v>2018</v>
          </cell>
          <cell r="B6156" t="str">
            <v>Actual</v>
          </cell>
          <cell r="C6156" t="str">
            <v>Jun</v>
          </cell>
          <cell r="D6156" t="str">
            <v>Tables</v>
          </cell>
          <cell r="E6156">
            <v>37314.445</v>
          </cell>
          <cell r="F6156">
            <v>6</v>
          </cell>
        </row>
        <row r="6157">
          <cell r="A6157">
            <v>2018</v>
          </cell>
          <cell r="B6157" t="str">
            <v>Budget</v>
          </cell>
          <cell r="C6157" t="str">
            <v>Jun</v>
          </cell>
          <cell r="D6157" t="str">
            <v>Kitchen</v>
          </cell>
          <cell r="E6157">
            <v>34693.245999999999</v>
          </cell>
          <cell r="F6157">
            <v>6</v>
          </cell>
        </row>
        <row r="6158">
          <cell r="A6158">
            <v>2019</v>
          </cell>
          <cell r="B6158" t="str">
            <v>Actual</v>
          </cell>
          <cell r="C6158" t="str">
            <v>Jun</v>
          </cell>
          <cell r="D6158" t="str">
            <v>Accessories</v>
          </cell>
          <cell r="E6158">
            <v>94228.161999999997</v>
          </cell>
          <cell r="F6158">
            <v>6</v>
          </cell>
        </row>
        <row r="6159">
          <cell r="A6159">
            <v>2018</v>
          </cell>
          <cell r="B6159" t="str">
            <v>Budget</v>
          </cell>
          <cell r="C6159" t="str">
            <v>Jun</v>
          </cell>
          <cell r="D6159" t="str">
            <v>Chairs</v>
          </cell>
          <cell r="E6159">
            <v>80230.92</v>
          </cell>
          <cell r="F6159">
            <v>6</v>
          </cell>
        </row>
        <row r="6160">
          <cell r="A6160">
            <v>2019</v>
          </cell>
          <cell r="B6160" t="str">
            <v>Actual</v>
          </cell>
          <cell r="C6160" t="str">
            <v>Jun</v>
          </cell>
          <cell r="D6160" t="str">
            <v>Tables</v>
          </cell>
          <cell r="E6160">
            <v>35588.594999999994</v>
          </cell>
          <cell r="F6160">
            <v>6</v>
          </cell>
        </row>
        <row r="6161">
          <cell r="A6161">
            <v>2019</v>
          </cell>
          <cell r="B6161" t="str">
            <v>Budget</v>
          </cell>
          <cell r="C6161" t="str">
            <v>Jun</v>
          </cell>
          <cell r="D6161" t="str">
            <v>Kitchen</v>
          </cell>
          <cell r="E6161">
            <v>383430.92899999995</v>
          </cell>
          <cell r="F6161">
            <v>6</v>
          </cell>
        </row>
        <row r="6162">
          <cell r="A6162">
            <v>2019</v>
          </cell>
          <cell r="B6162" t="str">
            <v>Actual</v>
          </cell>
          <cell r="C6162" t="str">
            <v>Jun</v>
          </cell>
          <cell r="D6162" t="str">
            <v>Accessories</v>
          </cell>
          <cell r="E6162">
            <v>575925.43400000001</v>
          </cell>
          <cell r="F6162">
            <v>6</v>
          </cell>
        </row>
        <row r="6163">
          <cell r="A6163">
            <v>2018</v>
          </cell>
          <cell r="B6163" t="str">
            <v>Budget</v>
          </cell>
          <cell r="C6163" t="str">
            <v>Jun</v>
          </cell>
          <cell r="D6163" t="str">
            <v>Chairs</v>
          </cell>
          <cell r="E6163">
            <v>2084938.8839999998</v>
          </cell>
          <cell r="F6163">
            <v>6</v>
          </cell>
        </row>
        <row r="6164">
          <cell r="A6164">
            <v>2018</v>
          </cell>
          <cell r="B6164" t="str">
            <v>Actual</v>
          </cell>
          <cell r="C6164" t="str">
            <v>Jun</v>
          </cell>
          <cell r="D6164" t="str">
            <v>Tables</v>
          </cell>
          <cell r="E6164">
            <v>1579684.372</v>
          </cell>
          <cell r="F6164">
            <v>6</v>
          </cell>
        </row>
        <row r="6165">
          <cell r="A6165">
            <v>2018</v>
          </cell>
          <cell r="B6165" t="str">
            <v>Budget</v>
          </cell>
          <cell r="C6165" t="str">
            <v>Jun</v>
          </cell>
          <cell r="D6165" t="str">
            <v>Kitchen</v>
          </cell>
          <cell r="E6165">
            <v>3736684.1609999998</v>
          </cell>
          <cell r="F6165">
            <v>6</v>
          </cell>
        </row>
        <row r="6166">
          <cell r="A6166">
            <v>2019</v>
          </cell>
          <cell r="B6166" t="str">
            <v>Actual</v>
          </cell>
          <cell r="C6166" t="str">
            <v>Jun</v>
          </cell>
          <cell r="D6166" t="str">
            <v>Accessories</v>
          </cell>
          <cell r="E6166">
            <v>320128.74599999998</v>
          </cell>
          <cell r="F6166">
            <v>6</v>
          </cell>
        </row>
        <row r="6167">
          <cell r="A6167">
            <v>2018</v>
          </cell>
          <cell r="B6167" t="str">
            <v>Budget</v>
          </cell>
          <cell r="C6167" t="str">
            <v>Jun</v>
          </cell>
          <cell r="D6167" t="str">
            <v>Chairs</v>
          </cell>
          <cell r="E6167">
            <v>1363675.754</v>
          </cell>
          <cell r="F6167">
            <v>6</v>
          </cell>
        </row>
        <row r="6168">
          <cell r="A6168">
            <v>2019</v>
          </cell>
          <cell r="B6168" t="str">
            <v>Actual</v>
          </cell>
          <cell r="C6168" t="str">
            <v>Jun</v>
          </cell>
          <cell r="D6168" t="str">
            <v>Chairs</v>
          </cell>
          <cell r="E6168">
            <v>850775.38699999987</v>
          </cell>
          <cell r="F6168">
            <v>6</v>
          </cell>
        </row>
        <row r="6169">
          <cell r="A6169">
            <v>2019</v>
          </cell>
          <cell r="B6169" t="str">
            <v>Budget</v>
          </cell>
          <cell r="C6169" t="str">
            <v>Jun</v>
          </cell>
          <cell r="D6169" t="str">
            <v>Tables</v>
          </cell>
          <cell r="E6169">
            <v>13689556.705999998</v>
          </cell>
          <cell r="F6169">
            <v>6</v>
          </cell>
        </row>
        <row r="6170">
          <cell r="A6170">
            <v>2019</v>
          </cell>
          <cell r="B6170" t="str">
            <v>Actual</v>
          </cell>
          <cell r="C6170" t="str">
            <v>Jun</v>
          </cell>
          <cell r="D6170" t="str">
            <v>Kitchen</v>
          </cell>
          <cell r="E6170">
            <v>49676.885999999991</v>
          </cell>
          <cell r="F6170">
            <v>6</v>
          </cell>
        </row>
        <row r="6171">
          <cell r="A6171">
            <v>2018</v>
          </cell>
          <cell r="B6171" t="str">
            <v>Budget</v>
          </cell>
          <cell r="C6171" t="str">
            <v>Jun</v>
          </cell>
          <cell r="D6171" t="str">
            <v>Chairs</v>
          </cell>
          <cell r="E6171">
            <v>6499854.2699999996</v>
          </cell>
          <cell r="F6171">
            <v>6</v>
          </cell>
        </row>
        <row r="6172">
          <cell r="A6172">
            <v>2018</v>
          </cell>
          <cell r="B6172" t="str">
            <v>Actual</v>
          </cell>
          <cell r="C6172" t="str">
            <v>Jun</v>
          </cell>
          <cell r="D6172" t="str">
            <v>Tables</v>
          </cell>
          <cell r="E6172">
            <v>165998.29399999999</v>
          </cell>
          <cell r="F6172">
            <v>6</v>
          </cell>
        </row>
        <row r="6173">
          <cell r="A6173">
            <v>2019</v>
          </cell>
          <cell r="B6173" t="str">
            <v>Budget</v>
          </cell>
          <cell r="C6173" t="str">
            <v>Jun</v>
          </cell>
          <cell r="D6173" t="str">
            <v>Kitchen</v>
          </cell>
          <cell r="E6173">
            <v>7402111.7309999997</v>
          </cell>
          <cell r="F6173">
            <v>6</v>
          </cell>
        </row>
        <row r="6174">
          <cell r="A6174">
            <v>2018</v>
          </cell>
          <cell r="B6174" t="str">
            <v>Actual</v>
          </cell>
          <cell r="C6174" t="str">
            <v>Jun</v>
          </cell>
          <cell r="D6174" t="str">
            <v>Chairs</v>
          </cell>
          <cell r="E6174">
            <v>441309.08500000002</v>
          </cell>
          <cell r="F6174">
            <v>6</v>
          </cell>
        </row>
        <row r="6175">
          <cell r="A6175">
            <v>2018</v>
          </cell>
          <cell r="B6175" t="str">
            <v>Budget</v>
          </cell>
          <cell r="C6175" t="str">
            <v>Jun</v>
          </cell>
          <cell r="D6175" t="str">
            <v>Tables</v>
          </cell>
          <cell r="E6175">
            <v>1634220.2799999998</v>
          </cell>
          <cell r="F6175">
            <v>6</v>
          </cell>
        </row>
        <row r="6176">
          <cell r="A6176">
            <v>2019</v>
          </cell>
          <cell r="B6176" t="str">
            <v>Actual</v>
          </cell>
          <cell r="C6176" t="str">
            <v>Jun</v>
          </cell>
          <cell r="D6176" t="str">
            <v>Kitchen</v>
          </cell>
          <cell r="E6176">
            <v>325066.49699999997</v>
          </cell>
          <cell r="F6176">
            <v>6</v>
          </cell>
        </row>
        <row r="6177">
          <cell r="A6177">
            <v>2018</v>
          </cell>
          <cell r="B6177" t="str">
            <v>Budget</v>
          </cell>
          <cell r="C6177" t="str">
            <v>Jun</v>
          </cell>
          <cell r="D6177" t="str">
            <v>Chairs</v>
          </cell>
          <cell r="E6177">
            <v>4985478.477</v>
          </cell>
          <cell r="F6177">
            <v>6</v>
          </cell>
        </row>
        <row r="6178">
          <cell r="A6178">
            <v>2018</v>
          </cell>
          <cell r="B6178" t="str">
            <v>Actual</v>
          </cell>
          <cell r="C6178" t="str">
            <v>Jun</v>
          </cell>
          <cell r="D6178" t="str">
            <v>Chairs</v>
          </cell>
          <cell r="E6178">
            <v>6888324.9749999996</v>
          </cell>
          <cell r="F6178">
            <v>6</v>
          </cell>
        </row>
        <row r="6179">
          <cell r="A6179">
            <v>2019</v>
          </cell>
          <cell r="B6179" t="str">
            <v>Budget</v>
          </cell>
          <cell r="C6179" t="str">
            <v>Jun</v>
          </cell>
          <cell r="D6179" t="str">
            <v>Chairs</v>
          </cell>
          <cell r="E6179">
            <v>395425.8</v>
          </cell>
          <cell r="F6179">
            <v>6</v>
          </cell>
        </row>
        <row r="6180">
          <cell r="A6180">
            <v>2019</v>
          </cell>
          <cell r="B6180" t="str">
            <v>Actual</v>
          </cell>
          <cell r="C6180" t="str">
            <v>Jun</v>
          </cell>
          <cell r="D6180" t="str">
            <v>Chairs</v>
          </cell>
          <cell r="E6180">
            <v>61348.916999999994</v>
          </cell>
          <cell r="F6180">
            <v>6</v>
          </cell>
        </row>
        <row r="6181">
          <cell r="A6181">
            <v>2019</v>
          </cell>
          <cell r="B6181" t="str">
            <v>Budget</v>
          </cell>
          <cell r="C6181" t="str">
            <v>Jun</v>
          </cell>
          <cell r="D6181" t="str">
            <v>Chairs</v>
          </cell>
          <cell r="E6181">
            <v>715646.46299999999</v>
          </cell>
          <cell r="F6181">
            <v>6</v>
          </cell>
        </row>
        <row r="6182">
          <cell r="A6182">
            <v>2018</v>
          </cell>
          <cell r="B6182" t="str">
            <v>Actual</v>
          </cell>
          <cell r="C6182" t="str">
            <v>Jun</v>
          </cell>
          <cell r="D6182" t="str">
            <v>Chairs</v>
          </cell>
          <cell r="E6182">
            <v>144773.41899999999</v>
          </cell>
          <cell r="F6182">
            <v>6</v>
          </cell>
        </row>
        <row r="6183">
          <cell r="A6183">
            <v>2018</v>
          </cell>
          <cell r="B6183" t="str">
            <v>Budget</v>
          </cell>
          <cell r="C6183" t="str">
            <v>Jun</v>
          </cell>
          <cell r="D6183" t="str">
            <v>Chairs</v>
          </cell>
          <cell r="E6183">
            <v>1492613.0379999997</v>
          </cell>
          <cell r="F6183">
            <v>6</v>
          </cell>
        </row>
        <row r="6184">
          <cell r="A6184">
            <v>2019</v>
          </cell>
          <cell r="B6184" t="str">
            <v>Actual</v>
          </cell>
          <cell r="C6184" t="str">
            <v>Jun</v>
          </cell>
          <cell r="D6184" t="str">
            <v>Chairs</v>
          </cell>
          <cell r="E6184">
            <v>16542.224999999999</v>
          </cell>
          <cell r="F6184">
            <v>6</v>
          </cell>
        </row>
        <row r="6185">
          <cell r="A6185">
            <v>2019</v>
          </cell>
          <cell r="B6185" t="str">
            <v>Budget</v>
          </cell>
          <cell r="C6185" t="str">
            <v>Jun</v>
          </cell>
          <cell r="D6185" t="str">
            <v>Chairs</v>
          </cell>
          <cell r="E6185">
            <v>1697103.5549999999</v>
          </cell>
          <cell r="F6185">
            <v>6</v>
          </cell>
        </row>
        <row r="6186">
          <cell r="A6186">
            <v>2018</v>
          </cell>
          <cell r="B6186" t="str">
            <v>Actual</v>
          </cell>
          <cell r="C6186" t="str">
            <v>Jun</v>
          </cell>
          <cell r="D6186" t="str">
            <v>Chairs</v>
          </cell>
          <cell r="E6186">
            <v>3960295.5909999995</v>
          </cell>
          <cell r="F6186">
            <v>6</v>
          </cell>
        </row>
        <row r="6187">
          <cell r="A6187">
            <v>2019</v>
          </cell>
          <cell r="B6187" t="str">
            <v>Budget</v>
          </cell>
          <cell r="C6187" t="str">
            <v>Jun</v>
          </cell>
          <cell r="D6187" t="str">
            <v>Chairs</v>
          </cell>
          <cell r="E6187">
            <v>617776.57899999991</v>
          </cell>
          <cell r="F6187">
            <v>6</v>
          </cell>
        </row>
        <row r="6188">
          <cell r="A6188">
            <v>2018</v>
          </cell>
          <cell r="B6188" t="str">
            <v>Actual</v>
          </cell>
          <cell r="C6188" t="str">
            <v>Jun</v>
          </cell>
          <cell r="D6188" t="str">
            <v>Chairs</v>
          </cell>
          <cell r="E6188">
            <v>558454.67999999993</v>
          </cell>
          <cell r="F6188">
            <v>6</v>
          </cell>
        </row>
        <row r="6189">
          <cell r="A6189">
            <v>2019</v>
          </cell>
          <cell r="B6189" t="str">
            <v>Budget</v>
          </cell>
          <cell r="C6189" t="str">
            <v>Jun</v>
          </cell>
          <cell r="D6189" t="str">
            <v>Chairs</v>
          </cell>
          <cell r="E6189">
            <v>236467.20999999996</v>
          </cell>
          <cell r="F6189">
            <v>6</v>
          </cell>
        </row>
        <row r="6190">
          <cell r="A6190">
            <v>2019</v>
          </cell>
          <cell r="B6190" t="str">
            <v>Actual</v>
          </cell>
          <cell r="C6190" t="str">
            <v>Jun</v>
          </cell>
          <cell r="D6190" t="str">
            <v>Chairs</v>
          </cell>
          <cell r="E6190">
            <v>1579069.3519999997</v>
          </cell>
          <cell r="F6190">
            <v>6</v>
          </cell>
        </row>
        <row r="6191">
          <cell r="A6191">
            <v>2018</v>
          </cell>
          <cell r="B6191" t="str">
            <v>Budget</v>
          </cell>
          <cell r="C6191" t="str">
            <v>Jun</v>
          </cell>
          <cell r="D6191" t="str">
            <v>Chairs</v>
          </cell>
          <cell r="E6191">
            <v>363486.01799999998</v>
          </cell>
          <cell r="F6191">
            <v>6</v>
          </cell>
        </row>
        <row r="6192">
          <cell r="A6192">
            <v>2019</v>
          </cell>
          <cell r="B6192" t="str">
            <v>Actual</v>
          </cell>
          <cell r="C6192" t="str">
            <v>Jun</v>
          </cell>
          <cell r="D6192" t="str">
            <v>Chairs</v>
          </cell>
          <cell r="E6192">
            <v>530369.66499999992</v>
          </cell>
          <cell r="F6192">
            <v>6</v>
          </cell>
        </row>
        <row r="6193">
          <cell r="A6193">
            <v>2019</v>
          </cell>
          <cell r="B6193" t="str">
            <v>Budget</v>
          </cell>
          <cell r="C6193" t="str">
            <v>Jun</v>
          </cell>
          <cell r="D6193" t="str">
            <v>Chairs</v>
          </cell>
          <cell r="E6193">
            <v>226496.05999999997</v>
          </cell>
          <cell r="F6193">
            <v>6</v>
          </cell>
        </row>
        <row r="6194">
          <cell r="A6194">
            <v>2019</v>
          </cell>
          <cell r="B6194" t="str">
            <v>Actual</v>
          </cell>
          <cell r="C6194" t="str">
            <v>Jun</v>
          </cell>
          <cell r="D6194" t="str">
            <v>Chairs</v>
          </cell>
          <cell r="E6194">
            <v>890364.35600000003</v>
          </cell>
          <cell r="F6194">
            <v>6</v>
          </cell>
        </row>
        <row r="6195">
          <cell r="A6195">
            <v>2019</v>
          </cell>
          <cell r="B6195" t="str">
            <v>Budget</v>
          </cell>
          <cell r="C6195" t="str">
            <v>Jun</v>
          </cell>
          <cell r="D6195" t="str">
            <v>Chairs</v>
          </cell>
          <cell r="E6195">
            <v>6511289.5120000001</v>
          </cell>
          <cell r="F6195">
            <v>6</v>
          </cell>
        </row>
        <row r="6196">
          <cell r="A6196">
            <v>2018</v>
          </cell>
          <cell r="B6196" t="str">
            <v>Actual</v>
          </cell>
          <cell r="C6196" t="str">
            <v>Jun</v>
          </cell>
          <cell r="D6196" t="str">
            <v>Chairs</v>
          </cell>
          <cell r="E6196">
            <v>874015.90499999991</v>
          </cell>
          <cell r="F6196">
            <v>6</v>
          </cell>
        </row>
        <row r="6197">
          <cell r="A6197">
            <v>2018</v>
          </cell>
          <cell r="B6197" t="str">
            <v>Budget</v>
          </cell>
          <cell r="C6197" t="str">
            <v>Jun</v>
          </cell>
          <cell r="D6197" t="str">
            <v>Chairs</v>
          </cell>
          <cell r="E6197">
            <v>2668892.1140000001</v>
          </cell>
          <cell r="F6197">
            <v>6</v>
          </cell>
        </row>
        <row r="6198">
          <cell r="A6198">
            <v>2018</v>
          </cell>
          <cell r="B6198" t="str">
            <v>Actual</v>
          </cell>
          <cell r="C6198" t="str">
            <v>Jun</v>
          </cell>
          <cell r="D6198" t="str">
            <v>Chairs</v>
          </cell>
          <cell r="E6198">
            <v>298611.71199999994</v>
          </cell>
          <cell r="F6198">
            <v>6</v>
          </cell>
        </row>
        <row r="6199">
          <cell r="A6199">
            <v>2018</v>
          </cell>
          <cell r="B6199" t="str">
            <v>Budget</v>
          </cell>
          <cell r="C6199" t="str">
            <v>Jun</v>
          </cell>
          <cell r="D6199" t="str">
            <v>Chairs</v>
          </cell>
          <cell r="E6199">
            <v>4474183.1399999997</v>
          </cell>
          <cell r="F6199">
            <v>6</v>
          </cell>
        </row>
        <row r="6200">
          <cell r="A6200">
            <v>2019</v>
          </cell>
          <cell r="B6200" t="str">
            <v>Actual</v>
          </cell>
          <cell r="C6200" t="str">
            <v>Jun</v>
          </cell>
          <cell r="D6200" t="str">
            <v>Chairs</v>
          </cell>
          <cell r="E6200">
            <v>560903.50399999996</v>
          </cell>
          <cell r="F6200">
            <v>6</v>
          </cell>
        </row>
        <row r="6201">
          <cell r="A6201">
            <v>2019</v>
          </cell>
          <cell r="B6201" t="str">
            <v>Budget</v>
          </cell>
          <cell r="C6201" t="str">
            <v>Jun</v>
          </cell>
          <cell r="D6201" t="str">
            <v>Chairs</v>
          </cell>
          <cell r="E6201">
            <v>1253396.4169999999</v>
          </cell>
          <cell r="F6201">
            <v>6</v>
          </cell>
        </row>
        <row r="6202">
          <cell r="A6202">
            <v>2018</v>
          </cell>
          <cell r="B6202" t="str">
            <v>Actual</v>
          </cell>
          <cell r="C6202" t="str">
            <v>Jun</v>
          </cell>
          <cell r="D6202" t="str">
            <v>Chairs</v>
          </cell>
          <cell r="E6202">
            <v>680784.223</v>
          </cell>
          <cell r="F6202">
            <v>6</v>
          </cell>
        </row>
        <row r="6203">
          <cell r="A6203">
            <v>2018</v>
          </cell>
          <cell r="B6203" t="str">
            <v>Budget</v>
          </cell>
          <cell r="C6203" t="str">
            <v>Jun</v>
          </cell>
          <cell r="D6203" t="str">
            <v>Tables</v>
          </cell>
          <cell r="E6203">
            <v>162762.94299999997</v>
          </cell>
          <cell r="F6203">
            <v>6</v>
          </cell>
        </row>
        <row r="6204">
          <cell r="A6204">
            <v>2018</v>
          </cell>
          <cell r="B6204" t="str">
            <v>Actual</v>
          </cell>
          <cell r="C6204" t="str">
            <v>Jun</v>
          </cell>
          <cell r="D6204" t="str">
            <v>Kitchen</v>
          </cell>
          <cell r="E6204">
            <v>733273.625</v>
          </cell>
          <cell r="F6204">
            <v>6</v>
          </cell>
        </row>
        <row r="6205">
          <cell r="A6205">
            <v>2018</v>
          </cell>
          <cell r="B6205" t="str">
            <v>Budget</v>
          </cell>
          <cell r="C6205" t="str">
            <v>Jun</v>
          </cell>
          <cell r="D6205" t="str">
            <v>Chairs</v>
          </cell>
          <cell r="E6205">
            <v>240045.505</v>
          </cell>
          <cell r="F6205">
            <v>6</v>
          </cell>
        </row>
        <row r="6206">
          <cell r="A6206">
            <v>2018</v>
          </cell>
          <cell r="B6206" t="str">
            <v>Actual</v>
          </cell>
          <cell r="C6206" t="str">
            <v>Jun</v>
          </cell>
          <cell r="D6206" t="str">
            <v>Chairs</v>
          </cell>
          <cell r="E6206">
            <v>1398624.878</v>
          </cell>
          <cell r="F6206">
            <v>6</v>
          </cell>
        </row>
        <row r="6207">
          <cell r="A6207">
            <v>2018</v>
          </cell>
          <cell r="B6207" t="str">
            <v>Budget</v>
          </cell>
          <cell r="C6207" t="str">
            <v>Jun</v>
          </cell>
          <cell r="D6207" t="str">
            <v>Chairs</v>
          </cell>
          <cell r="E6207">
            <v>-3641.1689999999999</v>
          </cell>
          <cell r="F6207">
            <v>6</v>
          </cell>
        </row>
        <row r="6208">
          <cell r="A6208">
            <v>2018</v>
          </cell>
          <cell r="B6208" t="str">
            <v>Actual</v>
          </cell>
          <cell r="C6208" t="str">
            <v>Jun</v>
          </cell>
          <cell r="D6208" t="str">
            <v>Chairs</v>
          </cell>
          <cell r="E6208">
            <v>3150023.5199999996</v>
          </cell>
          <cell r="F6208">
            <v>6</v>
          </cell>
        </row>
        <row r="6209">
          <cell r="A6209">
            <v>2018</v>
          </cell>
          <cell r="B6209" t="str">
            <v>Budget</v>
          </cell>
          <cell r="C6209" t="str">
            <v>Jun</v>
          </cell>
          <cell r="D6209" t="str">
            <v>Chairs</v>
          </cell>
          <cell r="E6209">
            <v>1114680.5179999999</v>
          </cell>
          <cell r="F6209">
            <v>6</v>
          </cell>
        </row>
        <row r="6210">
          <cell r="A6210">
            <v>2019</v>
          </cell>
          <cell r="B6210" t="str">
            <v>Actual</v>
          </cell>
          <cell r="C6210" t="str">
            <v>Jun</v>
          </cell>
          <cell r="D6210" t="str">
            <v>Tables</v>
          </cell>
          <cell r="E6210">
            <v>490242.22099999996</v>
          </cell>
          <cell r="F6210">
            <v>6</v>
          </cell>
        </row>
        <row r="6211">
          <cell r="A6211">
            <v>2019</v>
          </cell>
          <cell r="B6211" t="str">
            <v>Budget</v>
          </cell>
          <cell r="C6211" t="str">
            <v>Jun</v>
          </cell>
          <cell r="D6211" t="str">
            <v>Kitchen</v>
          </cell>
          <cell r="E6211">
            <v>-3389.7219999999998</v>
          </cell>
          <cell r="F6211">
            <v>6</v>
          </cell>
        </row>
        <row r="6212">
          <cell r="A6212">
            <v>2019</v>
          </cell>
          <cell r="B6212" t="str">
            <v>Actual</v>
          </cell>
          <cell r="C6212" t="str">
            <v>Jun</v>
          </cell>
          <cell r="D6212" t="str">
            <v>Chairs</v>
          </cell>
          <cell r="E6212">
            <v>302688.71499999997</v>
          </cell>
          <cell r="F6212">
            <v>6</v>
          </cell>
        </row>
        <row r="6213">
          <cell r="A6213">
            <v>2018</v>
          </cell>
          <cell r="B6213" t="str">
            <v>Budget</v>
          </cell>
          <cell r="C6213" t="str">
            <v>Jun</v>
          </cell>
          <cell r="D6213" t="str">
            <v>Chairs</v>
          </cell>
          <cell r="E6213">
            <v>73907.868999999992</v>
          </cell>
          <cell r="F6213">
            <v>6</v>
          </cell>
        </row>
        <row r="6214">
          <cell r="A6214">
            <v>2019</v>
          </cell>
          <cell r="B6214" t="str">
            <v>Actual</v>
          </cell>
          <cell r="C6214" t="str">
            <v>Jun</v>
          </cell>
          <cell r="D6214" t="str">
            <v>Chairs</v>
          </cell>
          <cell r="E6214">
            <v>335676.88</v>
          </cell>
          <cell r="F6214">
            <v>6</v>
          </cell>
        </row>
        <row r="6215">
          <cell r="A6215">
            <v>2019</v>
          </cell>
          <cell r="B6215" t="str">
            <v>Budget</v>
          </cell>
          <cell r="C6215" t="str">
            <v>Jun</v>
          </cell>
          <cell r="D6215" t="str">
            <v>Tables</v>
          </cell>
          <cell r="E6215">
            <v>1389694.2009999999</v>
          </cell>
          <cell r="F6215">
            <v>6</v>
          </cell>
        </row>
        <row r="6216">
          <cell r="A6216">
            <v>2019</v>
          </cell>
          <cell r="B6216" t="str">
            <v>Actual</v>
          </cell>
          <cell r="C6216" t="str">
            <v>Jun</v>
          </cell>
          <cell r="D6216" t="str">
            <v>Kitchen</v>
          </cell>
          <cell r="E6216">
            <v>478518.71899999998</v>
          </cell>
          <cell r="F6216">
            <v>6</v>
          </cell>
        </row>
        <row r="6217">
          <cell r="A6217">
            <v>2018</v>
          </cell>
          <cell r="B6217" t="str">
            <v>Budget</v>
          </cell>
          <cell r="C6217" t="str">
            <v>Jun</v>
          </cell>
          <cell r="D6217" t="str">
            <v>Chairs</v>
          </cell>
          <cell r="E6217">
            <v>368645.33999999997</v>
          </cell>
          <cell r="F6217">
            <v>6</v>
          </cell>
        </row>
        <row r="6218">
          <cell r="A6218">
            <v>2019</v>
          </cell>
          <cell r="B6218" t="str">
            <v>Actual</v>
          </cell>
          <cell r="C6218" t="str">
            <v>Jun</v>
          </cell>
          <cell r="D6218" t="str">
            <v>Chairs</v>
          </cell>
          <cell r="E6218">
            <v>55853.055999999997</v>
          </cell>
          <cell r="F6218">
            <v>6</v>
          </cell>
        </row>
        <row r="6219">
          <cell r="A6219">
            <v>2018</v>
          </cell>
          <cell r="B6219" t="str">
            <v>Budget</v>
          </cell>
          <cell r="C6219" t="str">
            <v>Jun</v>
          </cell>
          <cell r="D6219" t="str">
            <v>Tables</v>
          </cell>
          <cell r="E6219">
            <v>55976.75299999999</v>
          </cell>
          <cell r="F6219">
            <v>6</v>
          </cell>
        </row>
        <row r="6220">
          <cell r="A6220">
            <v>2018</v>
          </cell>
          <cell r="B6220" t="str">
            <v>Actual</v>
          </cell>
          <cell r="C6220" t="str">
            <v>Jun</v>
          </cell>
          <cell r="D6220" t="str">
            <v>Kitchen</v>
          </cell>
          <cell r="E6220">
            <v>321520.75199999998</v>
          </cell>
          <cell r="F6220">
            <v>6</v>
          </cell>
        </row>
        <row r="6221">
          <cell r="A6221">
            <v>2018</v>
          </cell>
          <cell r="B6221" t="str">
            <v>Budget</v>
          </cell>
          <cell r="C6221" t="str">
            <v>Jun</v>
          </cell>
          <cell r="D6221" t="str">
            <v>Chairs</v>
          </cell>
          <cell r="E6221">
            <v>305235.94499999995</v>
          </cell>
          <cell r="F6221">
            <v>6</v>
          </cell>
        </row>
        <row r="6222">
          <cell r="A6222">
            <v>2018</v>
          </cell>
          <cell r="B6222" t="str">
            <v>Actual</v>
          </cell>
          <cell r="C6222" t="str">
            <v>Jun</v>
          </cell>
          <cell r="D6222" t="str">
            <v>Chairs</v>
          </cell>
          <cell r="E6222">
            <v>92860.95</v>
          </cell>
          <cell r="F6222">
            <v>6</v>
          </cell>
        </row>
        <row r="6223">
          <cell r="A6223">
            <v>2018</v>
          </cell>
          <cell r="B6223" t="str">
            <v>Budget</v>
          </cell>
          <cell r="C6223" t="str">
            <v>Jun</v>
          </cell>
          <cell r="D6223" t="str">
            <v>Chairs</v>
          </cell>
          <cell r="E6223">
            <v>128336.24299999999</v>
          </cell>
          <cell r="F6223">
            <v>6</v>
          </cell>
        </row>
        <row r="6224">
          <cell r="A6224">
            <v>2019</v>
          </cell>
          <cell r="B6224" t="str">
            <v>Actual</v>
          </cell>
          <cell r="C6224" t="str">
            <v>Jun</v>
          </cell>
          <cell r="D6224" t="str">
            <v>Tables</v>
          </cell>
          <cell r="E6224">
            <v>600139.91799999995</v>
          </cell>
          <cell r="F6224">
            <v>6</v>
          </cell>
        </row>
        <row r="6225">
          <cell r="A6225">
            <v>2018</v>
          </cell>
          <cell r="B6225" t="str">
            <v>Budget</v>
          </cell>
          <cell r="C6225" t="str">
            <v>Jun</v>
          </cell>
          <cell r="D6225" t="str">
            <v>Kitchen</v>
          </cell>
          <cell r="E6225">
            <v>27473.319999999996</v>
          </cell>
          <cell r="F6225">
            <v>6</v>
          </cell>
        </row>
        <row r="6226">
          <cell r="A6226">
            <v>2019</v>
          </cell>
          <cell r="B6226" t="str">
            <v>Actual</v>
          </cell>
          <cell r="C6226" t="str">
            <v>Jun</v>
          </cell>
          <cell r="D6226" t="str">
            <v>Accessories</v>
          </cell>
          <cell r="E6226">
            <v>1203210.4279999998</v>
          </cell>
          <cell r="F6226">
            <v>6</v>
          </cell>
        </row>
        <row r="6227">
          <cell r="A6227">
            <v>2019</v>
          </cell>
          <cell r="B6227" t="str">
            <v>Budget</v>
          </cell>
          <cell r="C6227" t="str">
            <v>Jun</v>
          </cell>
          <cell r="D6227" t="str">
            <v>Chairs</v>
          </cell>
          <cell r="E6227">
            <v>707126.33599999989</v>
          </cell>
          <cell r="F6227">
            <v>6</v>
          </cell>
        </row>
        <row r="6228">
          <cell r="A6228">
            <v>2019</v>
          </cell>
          <cell r="B6228" t="str">
            <v>Actual</v>
          </cell>
          <cell r="C6228" t="str">
            <v>Jun</v>
          </cell>
          <cell r="D6228" t="str">
            <v>Tables</v>
          </cell>
          <cell r="E6228">
            <v>783288.83499999996</v>
          </cell>
          <cell r="F6228">
            <v>6</v>
          </cell>
        </row>
        <row r="6229">
          <cell r="A6229">
            <v>2019</v>
          </cell>
          <cell r="B6229" t="str">
            <v>Budget</v>
          </cell>
          <cell r="C6229" t="str">
            <v>Jun</v>
          </cell>
          <cell r="D6229" t="str">
            <v>Kitchen</v>
          </cell>
          <cell r="E6229">
            <v>383916.75</v>
          </cell>
          <cell r="F6229">
            <v>6</v>
          </cell>
        </row>
        <row r="6230">
          <cell r="A6230">
            <v>2018</v>
          </cell>
          <cell r="B6230" t="str">
            <v>Actual</v>
          </cell>
          <cell r="C6230" t="str">
            <v>Jun</v>
          </cell>
          <cell r="D6230" t="str">
            <v>Accessories</v>
          </cell>
          <cell r="E6230">
            <v>95238.16399999999</v>
          </cell>
          <cell r="F6230">
            <v>6</v>
          </cell>
        </row>
        <row r="6231">
          <cell r="A6231">
            <v>2018</v>
          </cell>
          <cell r="B6231" t="str">
            <v>Budget</v>
          </cell>
          <cell r="C6231" t="str">
            <v>Jun</v>
          </cell>
          <cell r="D6231" t="str">
            <v>Chairs</v>
          </cell>
          <cell r="E6231">
            <v>165216.807</v>
          </cell>
          <cell r="F6231">
            <v>6</v>
          </cell>
        </row>
        <row r="6232">
          <cell r="A6232">
            <v>2019</v>
          </cell>
          <cell r="B6232" t="str">
            <v>Actual</v>
          </cell>
          <cell r="C6232" t="str">
            <v>Jun</v>
          </cell>
          <cell r="D6232" t="str">
            <v>Tables</v>
          </cell>
          <cell r="E6232">
            <v>77458.436999999991</v>
          </cell>
          <cell r="F6232">
            <v>6</v>
          </cell>
        </row>
        <row r="6233">
          <cell r="A6233">
            <v>2018</v>
          </cell>
          <cell r="B6233" t="str">
            <v>Budget</v>
          </cell>
          <cell r="C6233" t="str">
            <v>Jun</v>
          </cell>
          <cell r="D6233" t="str">
            <v>Kitchen</v>
          </cell>
          <cell r="E6233">
            <v>502434.03700000001</v>
          </cell>
          <cell r="F6233">
            <v>6</v>
          </cell>
        </row>
        <row r="6234">
          <cell r="A6234">
            <v>2018</v>
          </cell>
          <cell r="B6234" t="str">
            <v>Actual</v>
          </cell>
          <cell r="C6234" t="str">
            <v>Jun</v>
          </cell>
          <cell r="D6234" t="str">
            <v>Accessories</v>
          </cell>
          <cell r="E6234">
            <v>203226.86300000001</v>
          </cell>
          <cell r="F6234">
            <v>6</v>
          </cell>
        </row>
        <row r="6235">
          <cell r="A6235">
            <v>2019</v>
          </cell>
          <cell r="B6235" t="str">
            <v>Budget</v>
          </cell>
          <cell r="C6235" t="str">
            <v>Jun</v>
          </cell>
          <cell r="D6235" t="str">
            <v>Chairs</v>
          </cell>
          <cell r="E6235">
            <v>1150826.551</v>
          </cell>
          <cell r="F6235">
            <v>6</v>
          </cell>
        </row>
        <row r="6236">
          <cell r="A6236">
            <v>2018</v>
          </cell>
          <cell r="B6236" t="str">
            <v>Actual</v>
          </cell>
          <cell r="C6236" t="str">
            <v>Jun</v>
          </cell>
          <cell r="D6236" t="str">
            <v>Tables</v>
          </cell>
          <cell r="E6236">
            <v>3500510.4050000003</v>
          </cell>
          <cell r="F6236">
            <v>6</v>
          </cell>
        </row>
        <row r="6237">
          <cell r="A6237">
            <v>2018</v>
          </cell>
          <cell r="B6237" t="str">
            <v>Budget</v>
          </cell>
          <cell r="C6237" t="str">
            <v>Jun</v>
          </cell>
          <cell r="D6237" t="str">
            <v>Kitchen</v>
          </cell>
          <cell r="E6237">
            <v>-370344.73</v>
          </cell>
          <cell r="F6237">
            <v>6</v>
          </cell>
        </row>
        <row r="6238">
          <cell r="A6238">
            <v>2019</v>
          </cell>
          <cell r="B6238" t="str">
            <v>Actual</v>
          </cell>
          <cell r="C6238" t="str">
            <v>Jun</v>
          </cell>
          <cell r="D6238" t="str">
            <v>Accessories</v>
          </cell>
          <cell r="E6238">
            <v>29862.125999999997</v>
          </cell>
          <cell r="F6238">
            <v>6</v>
          </cell>
        </row>
        <row r="6239">
          <cell r="A6239">
            <v>2019</v>
          </cell>
          <cell r="B6239" t="str">
            <v>Budget</v>
          </cell>
          <cell r="C6239" t="str">
            <v>Jun</v>
          </cell>
          <cell r="D6239" t="str">
            <v>Chairs</v>
          </cell>
          <cell r="E6239">
            <v>438248.87399999995</v>
          </cell>
          <cell r="F6239">
            <v>6</v>
          </cell>
        </row>
        <row r="6240">
          <cell r="A6240">
            <v>2019</v>
          </cell>
          <cell r="B6240" t="str">
            <v>Actual</v>
          </cell>
          <cell r="C6240" t="str">
            <v>Jun</v>
          </cell>
          <cell r="D6240" t="str">
            <v>Chairs</v>
          </cell>
          <cell r="E6240">
            <v>20182.077999999998</v>
          </cell>
          <cell r="F6240">
            <v>6</v>
          </cell>
        </row>
        <row r="6241">
          <cell r="A6241">
            <v>2018</v>
          </cell>
          <cell r="B6241" t="str">
            <v>Budget</v>
          </cell>
          <cell r="C6241" t="str">
            <v>Jun</v>
          </cell>
          <cell r="D6241" t="str">
            <v>Tables</v>
          </cell>
          <cell r="E6241">
            <v>44751.615999999995</v>
          </cell>
          <cell r="F6241">
            <v>6</v>
          </cell>
        </row>
        <row r="6242">
          <cell r="A6242">
            <v>2019</v>
          </cell>
          <cell r="B6242" t="str">
            <v>Actual</v>
          </cell>
          <cell r="C6242" t="str">
            <v>Jun</v>
          </cell>
          <cell r="D6242" t="str">
            <v>Kitchen</v>
          </cell>
          <cell r="E6242">
            <v>419059.68299999996</v>
          </cell>
          <cell r="F6242">
            <v>6</v>
          </cell>
        </row>
        <row r="6243">
          <cell r="A6243">
            <v>2019</v>
          </cell>
          <cell r="B6243" t="str">
            <v>Budget</v>
          </cell>
          <cell r="C6243" t="str">
            <v>Jun</v>
          </cell>
          <cell r="D6243" t="str">
            <v>Chairs</v>
          </cell>
          <cell r="E6243">
            <v>240372.24399999998</v>
          </cell>
          <cell r="F6243">
            <v>6</v>
          </cell>
        </row>
        <row r="6244">
          <cell r="A6244">
            <v>2019</v>
          </cell>
          <cell r="B6244" t="str">
            <v>Actual</v>
          </cell>
          <cell r="C6244" t="str">
            <v>Jun</v>
          </cell>
          <cell r="D6244" t="str">
            <v>Tables</v>
          </cell>
          <cell r="E6244">
            <v>4949.07</v>
          </cell>
          <cell r="F6244">
            <v>6</v>
          </cell>
        </row>
        <row r="6245">
          <cell r="A6245">
            <v>2018</v>
          </cell>
          <cell r="B6245" t="str">
            <v>Budget</v>
          </cell>
          <cell r="C6245" t="str">
            <v>Jun</v>
          </cell>
          <cell r="D6245" t="str">
            <v>Kitchen</v>
          </cell>
          <cell r="E6245">
            <v>73769.982999999993</v>
          </cell>
          <cell r="F6245">
            <v>6</v>
          </cell>
        </row>
        <row r="6246">
          <cell r="A6246">
            <v>2018</v>
          </cell>
          <cell r="B6246" t="str">
            <v>Actual</v>
          </cell>
          <cell r="C6246" t="str">
            <v>Jun</v>
          </cell>
          <cell r="D6246" t="str">
            <v>Chairs</v>
          </cell>
          <cell r="E6246">
            <v>111454.462</v>
          </cell>
          <cell r="F6246">
            <v>6</v>
          </cell>
        </row>
        <row r="6247">
          <cell r="A6247">
            <v>2018</v>
          </cell>
          <cell r="B6247" t="str">
            <v>Budget</v>
          </cell>
          <cell r="C6247" t="str">
            <v>Jun</v>
          </cell>
          <cell r="D6247" t="str">
            <v>Tables</v>
          </cell>
          <cell r="E6247">
            <v>220378.80199999997</v>
          </cell>
          <cell r="F6247">
            <v>6</v>
          </cell>
        </row>
        <row r="6248">
          <cell r="A6248">
            <v>2018</v>
          </cell>
          <cell r="B6248" t="str">
            <v>Actual</v>
          </cell>
          <cell r="C6248" t="str">
            <v>Jun</v>
          </cell>
          <cell r="D6248" t="str">
            <v>Kitchen</v>
          </cell>
          <cell r="E6248">
            <v>49659.567999999999</v>
          </cell>
          <cell r="F6248">
            <v>6</v>
          </cell>
        </row>
        <row r="6249">
          <cell r="A6249">
            <v>2019</v>
          </cell>
          <cell r="B6249" t="str">
            <v>Budget</v>
          </cell>
          <cell r="C6249" t="str">
            <v>Jun</v>
          </cell>
          <cell r="D6249" t="str">
            <v>Chairs</v>
          </cell>
          <cell r="E6249">
            <v>68152.713999999993</v>
          </cell>
          <cell r="F6249">
            <v>6</v>
          </cell>
        </row>
        <row r="6250">
          <cell r="A6250">
            <v>2019</v>
          </cell>
          <cell r="B6250" t="str">
            <v>Actual</v>
          </cell>
          <cell r="C6250" t="str">
            <v>Jun</v>
          </cell>
          <cell r="D6250" t="str">
            <v>Chairs</v>
          </cell>
          <cell r="E6250">
            <v>7067.1019999999999</v>
          </cell>
          <cell r="F6250">
            <v>6</v>
          </cell>
        </row>
        <row r="6251">
          <cell r="A6251">
            <v>2019</v>
          </cell>
          <cell r="B6251" t="str">
            <v>Budget</v>
          </cell>
          <cell r="C6251" t="str">
            <v>Jun</v>
          </cell>
          <cell r="D6251" t="str">
            <v>Chairs</v>
          </cell>
          <cell r="E6251">
            <v>583827.78999999992</v>
          </cell>
          <cell r="F6251">
            <v>6</v>
          </cell>
        </row>
        <row r="6252">
          <cell r="A6252">
            <v>2019</v>
          </cell>
          <cell r="B6252" t="str">
            <v>Actual</v>
          </cell>
          <cell r="C6252" t="str">
            <v>Jun</v>
          </cell>
          <cell r="D6252" t="str">
            <v>Chairs</v>
          </cell>
          <cell r="E6252">
            <v>431476.26199999999</v>
          </cell>
          <cell r="F6252">
            <v>6</v>
          </cell>
        </row>
        <row r="6253">
          <cell r="A6253">
            <v>2018</v>
          </cell>
          <cell r="B6253" t="str">
            <v>Budget</v>
          </cell>
          <cell r="C6253" t="str">
            <v>Jun</v>
          </cell>
          <cell r="D6253" t="str">
            <v>Chairs</v>
          </cell>
          <cell r="E6253">
            <v>458302.19400000002</v>
          </cell>
          <cell r="F6253">
            <v>6</v>
          </cell>
        </row>
        <row r="6254">
          <cell r="A6254">
            <v>2018</v>
          </cell>
          <cell r="B6254" t="str">
            <v>Actual</v>
          </cell>
          <cell r="C6254" t="str">
            <v>Jun</v>
          </cell>
          <cell r="D6254" t="str">
            <v>Chairs</v>
          </cell>
          <cell r="E6254">
            <v>496387.75199999998</v>
          </cell>
          <cell r="F6254">
            <v>6</v>
          </cell>
        </row>
        <row r="6255">
          <cell r="A6255">
            <v>2019</v>
          </cell>
          <cell r="B6255" t="str">
            <v>Budget</v>
          </cell>
          <cell r="C6255" t="str">
            <v>Jun</v>
          </cell>
          <cell r="D6255" t="str">
            <v>Chairs</v>
          </cell>
          <cell r="E6255">
            <v>1781107.4680000001</v>
          </cell>
          <cell r="F6255">
            <v>6</v>
          </cell>
        </row>
        <row r="6256">
          <cell r="A6256">
            <v>2018</v>
          </cell>
          <cell r="B6256" t="str">
            <v>Actual</v>
          </cell>
          <cell r="C6256" t="str">
            <v>Jun</v>
          </cell>
          <cell r="D6256" t="str">
            <v>Chairs</v>
          </cell>
          <cell r="E6256">
            <v>95789.490999999995</v>
          </cell>
          <cell r="F6256">
            <v>6</v>
          </cell>
        </row>
        <row r="6257">
          <cell r="A6257">
            <v>2018</v>
          </cell>
          <cell r="B6257" t="str">
            <v>Budget</v>
          </cell>
          <cell r="C6257" t="str">
            <v>Jun</v>
          </cell>
          <cell r="D6257" t="str">
            <v>Chairs</v>
          </cell>
          <cell r="E6257">
            <v>90528.235000000001</v>
          </cell>
          <cell r="F6257">
            <v>6</v>
          </cell>
        </row>
        <row r="6258">
          <cell r="A6258">
            <v>2019</v>
          </cell>
          <cell r="B6258" t="str">
            <v>Actual</v>
          </cell>
          <cell r="C6258" t="str">
            <v>Jun</v>
          </cell>
          <cell r="D6258" t="str">
            <v>Chairs</v>
          </cell>
          <cell r="E6258">
            <v>103624.84999999999</v>
          </cell>
          <cell r="F6258">
            <v>6</v>
          </cell>
        </row>
        <row r="6259">
          <cell r="A6259">
            <v>2018</v>
          </cell>
          <cell r="B6259" t="str">
            <v>Budget</v>
          </cell>
          <cell r="C6259" t="str">
            <v>Jun</v>
          </cell>
          <cell r="D6259" t="str">
            <v>Chairs</v>
          </cell>
          <cell r="E6259">
            <v>588151.50799999991</v>
          </cell>
          <cell r="F6259">
            <v>6</v>
          </cell>
        </row>
        <row r="6260">
          <cell r="A6260">
            <v>2019</v>
          </cell>
          <cell r="B6260" t="str">
            <v>Actual</v>
          </cell>
          <cell r="C6260" t="str">
            <v>Jun</v>
          </cell>
          <cell r="D6260" t="str">
            <v>Chairs</v>
          </cell>
          <cell r="E6260">
            <v>117833.84199999999</v>
          </cell>
          <cell r="F6260">
            <v>6</v>
          </cell>
        </row>
        <row r="6261">
          <cell r="A6261">
            <v>2019</v>
          </cell>
          <cell r="B6261" t="str">
            <v>Budget</v>
          </cell>
          <cell r="C6261" t="str">
            <v>Jun</v>
          </cell>
          <cell r="D6261" t="str">
            <v>Chairs</v>
          </cell>
          <cell r="E6261">
            <v>332464.54499999998</v>
          </cell>
          <cell r="F6261">
            <v>6</v>
          </cell>
        </row>
        <row r="6262">
          <cell r="A6262">
            <v>2019</v>
          </cell>
          <cell r="B6262" t="str">
            <v>Actual</v>
          </cell>
          <cell r="C6262" t="str">
            <v>Jun</v>
          </cell>
          <cell r="D6262" t="str">
            <v>Chairs</v>
          </cell>
          <cell r="E6262">
            <v>2483041.0290000001</v>
          </cell>
          <cell r="F6262">
            <v>6</v>
          </cell>
        </row>
        <row r="6263">
          <cell r="A6263">
            <v>2018</v>
          </cell>
          <cell r="B6263" t="str">
            <v>Budget</v>
          </cell>
          <cell r="C6263" t="str">
            <v>Jun</v>
          </cell>
          <cell r="D6263" t="str">
            <v>Chairs</v>
          </cell>
          <cell r="E6263">
            <v>187592.15999999997</v>
          </cell>
          <cell r="F6263">
            <v>6</v>
          </cell>
        </row>
        <row r="6264">
          <cell r="A6264">
            <v>2019</v>
          </cell>
          <cell r="B6264" t="str">
            <v>Actual</v>
          </cell>
          <cell r="C6264" t="str">
            <v>Jun</v>
          </cell>
          <cell r="D6264" t="str">
            <v>Chairs</v>
          </cell>
          <cell r="E6264">
            <v>20767.074999999997</v>
          </cell>
          <cell r="F6264">
            <v>6</v>
          </cell>
        </row>
        <row r="6265">
          <cell r="A6265">
            <v>2018</v>
          </cell>
          <cell r="B6265" t="str">
            <v>Budget</v>
          </cell>
          <cell r="C6265" t="str">
            <v>Jun</v>
          </cell>
          <cell r="D6265" t="str">
            <v>Chairs</v>
          </cell>
          <cell r="E6265">
            <v>165816.462</v>
          </cell>
          <cell r="F6265">
            <v>6</v>
          </cell>
        </row>
        <row r="6266">
          <cell r="A6266">
            <v>2019</v>
          </cell>
          <cell r="B6266" t="str">
            <v>Actual</v>
          </cell>
          <cell r="C6266" t="str">
            <v>Jun</v>
          </cell>
          <cell r="D6266" t="str">
            <v>Chairs</v>
          </cell>
          <cell r="E6266">
            <v>13917.910999999998</v>
          </cell>
          <cell r="F6266">
            <v>6</v>
          </cell>
        </row>
        <row r="6267">
          <cell r="A6267">
            <v>2019</v>
          </cell>
          <cell r="B6267" t="str">
            <v>Budget</v>
          </cell>
          <cell r="C6267" t="str">
            <v>Jun</v>
          </cell>
          <cell r="D6267" t="str">
            <v>Chairs</v>
          </cell>
          <cell r="E6267">
            <v>20422.478999999999</v>
          </cell>
          <cell r="F6267">
            <v>6</v>
          </cell>
        </row>
        <row r="6268">
          <cell r="A6268">
            <v>2018</v>
          </cell>
          <cell r="B6268" t="str">
            <v>Actual</v>
          </cell>
          <cell r="C6268" t="str">
            <v>Jun</v>
          </cell>
          <cell r="D6268" t="str">
            <v>Chairs</v>
          </cell>
          <cell r="E6268">
            <v>174691.18799999999</v>
          </cell>
          <cell r="F6268">
            <v>6</v>
          </cell>
        </row>
        <row r="6269">
          <cell r="A6269">
            <v>2018</v>
          </cell>
          <cell r="B6269" t="str">
            <v>Budget</v>
          </cell>
          <cell r="C6269" t="str">
            <v>Jun</v>
          </cell>
          <cell r="D6269" t="str">
            <v>Chairs</v>
          </cell>
          <cell r="E6269">
            <v>135109.478</v>
          </cell>
          <cell r="F6269">
            <v>6</v>
          </cell>
        </row>
        <row r="6270">
          <cell r="A6270">
            <v>2019</v>
          </cell>
          <cell r="B6270" t="str">
            <v>Actual</v>
          </cell>
          <cell r="C6270" t="str">
            <v>Jun</v>
          </cell>
          <cell r="D6270" t="str">
            <v>Chairs</v>
          </cell>
          <cell r="E6270">
            <v>11906.432999999999</v>
          </cell>
          <cell r="F6270">
            <v>6</v>
          </cell>
        </row>
        <row r="6271">
          <cell r="A6271">
            <v>2019</v>
          </cell>
          <cell r="B6271" t="str">
            <v>Budget</v>
          </cell>
          <cell r="C6271" t="str">
            <v>Jun</v>
          </cell>
          <cell r="D6271" t="str">
            <v>Chairs</v>
          </cell>
          <cell r="E6271">
            <v>49010.667999999998</v>
          </cell>
          <cell r="F6271">
            <v>6</v>
          </cell>
        </row>
        <row r="6272">
          <cell r="A6272">
            <v>2018</v>
          </cell>
          <cell r="B6272" t="str">
            <v>Actual</v>
          </cell>
          <cell r="C6272" t="str">
            <v>Jun</v>
          </cell>
          <cell r="D6272" t="str">
            <v>Chairs</v>
          </cell>
          <cell r="E6272">
            <v>77925.841</v>
          </cell>
          <cell r="F6272">
            <v>6</v>
          </cell>
        </row>
        <row r="6273">
          <cell r="A6273">
            <v>2019</v>
          </cell>
          <cell r="B6273" t="str">
            <v>Budget</v>
          </cell>
          <cell r="C6273" t="str">
            <v>Jun</v>
          </cell>
          <cell r="D6273" t="str">
            <v>Chairs</v>
          </cell>
          <cell r="E6273">
            <v>10821.397999999999</v>
          </cell>
          <cell r="F6273">
            <v>6</v>
          </cell>
        </row>
        <row r="6274">
          <cell r="A6274">
            <v>2019</v>
          </cell>
          <cell r="B6274" t="str">
            <v>Actual</v>
          </cell>
          <cell r="C6274" t="str">
            <v>Jun</v>
          </cell>
          <cell r="D6274" t="str">
            <v>Chairs</v>
          </cell>
          <cell r="E6274">
            <v>89527.626999999993</v>
          </cell>
          <cell r="F6274">
            <v>6</v>
          </cell>
        </row>
        <row r="6275">
          <cell r="A6275">
            <v>2018</v>
          </cell>
          <cell r="B6275" t="str">
            <v>Budget</v>
          </cell>
          <cell r="C6275" t="str">
            <v>Jun</v>
          </cell>
          <cell r="D6275" t="str">
            <v>Tables</v>
          </cell>
          <cell r="E6275">
            <v>64879.275999999991</v>
          </cell>
          <cell r="F6275">
            <v>6</v>
          </cell>
        </row>
        <row r="6276">
          <cell r="A6276">
            <v>2018</v>
          </cell>
          <cell r="B6276" t="str">
            <v>Actual</v>
          </cell>
          <cell r="C6276" t="str">
            <v>Jun</v>
          </cell>
          <cell r="D6276" t="str">
            <v>Kitchen</v>
          </cell>
          <cell r="E6276">
            <v>112887.495</v>
          </cell>
          <cell r="F6276">
            <v>6</v>
          </cell>
        </row>
        <row r="6277">
          <cell r="A6277">
            <v>2019</v>
          </cell>
          <cell r="B6277" t="str">
            <v>Budget</v>
          </cell>
          <cell r="C6277" t="str">
            <v>Jun</v>
          </cell>
          <cell r="D6277" t="str">
            <v>Chairs</v>
          </cell>
          <cell r="E6277">
            <v>71453.466</v>
          </cell>
          <cell r="F6277">
            <v>6</v>
          </cell>
        </row>
        <row r="6278">
          <cell r="A6278">
            <v>2019</v>
          </cell>
          <cell r="B6278" t="str">
            <v>Actual</v>
          </cell>
          <cell r="C6278" t="str">
            <v>Jun</v>
          </cell>
          <cell r="D6278" t="str">
            <v>Chairs</v>
          </cell>
          <cell r="E6278">
            <v>44931.648999999998</v>
          </cell>
          <cell r="F6278">
            <v>6</v>
          </cell>
        </row>
        <row r="6279">
          <cell r="A6279">
            <v>2019</v>
          </cell>
          <cell r="B6279" t="str">
            <v>Budget</v>
          </cell>
          <cell r="C6279" t="str">
            <v>Jun</v>
          </cell>
          <cell r="D6279" t="str">
            <v>Chairs</v>
          </cell>
          <cell r="E6279">
            <v>274962.79300000001</v>
          </cell>
          <cell r="F6279">
            <v>6</v>
          </cell>
        </row>
        <row r="6280">
          <cell r="A6280">
            <v>2018</v>
          </cell>
          <cell r="B6280" t="str">
            <v>Actual</v>
          </cell>
          <cell r="C6280" t="str">
            <v>Jun</v>
          </cell>
          <cell r="D6280" t="str">
            <v>Chairs</v>
          </cell>
          <cell r="E6280">
            <v>53385.639999999992</v>
          </cell>
          <cell r="F6280">
            <v>6</v>
          </cell>
        </row>
        <row r="6281">
          <cell r="A6281">
            <v>2019</v>
          </cell>
          <cell r="B6281" t="str">
            <v>Budget</v>
          </cell>
          <cell r="C6281" t="str">
            <v>Jun</v>
          </cell>
          <cell r="D6281" t="str">
            <v>Chairs</v>
          </cell>
          <cell r="E6281">
            <v>26766.914999999997</v>
          </cell>
          <cell r="F6281">
            <v>6</v>
          </cell>
        </row>
        <row r="6282">
          <cell r="A6282">
            <v>2018</v>
          </cell>
          <cell r="B6282" t="str">
            <v>Actual</v>
          </cell>
          <cell r="C6282" t="str">
            <v>Jun</v>
          </cell>
          <cell r="D6282" t="str">
            <v>Tables</v>
          </cell>
          <cell r="E6282">
            <v>308022.82699999999</v>
          </cell>
          <cell r="F6282">
            <v>6</v>
          </cell>
        </row>
        <row r="6283">
          <cell r="A6283">
            <v>2019</v>
          </cell>
          <cell r="B6283" t="str">
            <v>Budget</v>
          </cell>
          <cell r="C6283" t="str">
            <v>Jun</v>
          </cell>
          <cell r="D6283" t="str">
            <v>Kitchen</v>
          </cell>
          <cell r="E6283">
            <v>261307.26999999996</v>
          </cell>
          <cell r="F6283">
            <v>6</v>
          </cell>
        </row>
        <row r="6284">
          <cell r="A6284">
            <v>2019</v>
          </cell>
          <cell r="B6284" t="str">
            <v>Actual</v>
          </cell>
          <cell r="C6284" t="str">
            <v>Jun</v>
          </cell>
          <cell r="D6284" t="str">
            <v>Chairs</v>
          </cell>
          <cell r="E6284">
            <v>195140.65899999999</v>
          </cell>
          <cell r="F6284">
            <v>6</v>
          </cell>
        </row>
        <row r="6285">
          <cell r="A6285">
            <v>2019</v>
          </cell>
          <cell r="B6285" t="str">
            <v>Budget</v>
          </cell>
          <cell r="C6285" t="str">
            <v>Jun</v>
          </cell>
          <cell r="D6285" t="str">
            <v>Chairs</v>
          </cell>
          <cell r="E6285">
            <v>121520.245</v>
          </cell>
          <cell r="F6285">
            <v>6</v>
          </cell>
        </row>
        <row r="6286">
          <cell r="A6286">
            <v>2018</v>
          </cell>
          <cell r="B6286" t="str">
            <v>Actual</v>
          </cell>
          <cell r="C6286" t="str">
            <v>Jun</v>
          </cell>
          <cell r="D6286" t="str">
            <v>Chairs</v>
          </cell>
          <cell r="E6286">
            <v>30795.267999999996</v>
          </cell>
          <cell r="F6286">
            <v>6</v>
          </cell>
        </row>
        <row r="6287">
          <cell r="A6287">
            <v>2019</v>
          </cell>
          <cell r="B6287" t="str">
            <v>Budget</v>
          </cell>
          <cell r="C6287" t="str">
            <v>Jun</v>
          </cell>
          <cell r="D6287" t="str">
            <v>Tables</v>
          </cell>
          <cell r="E6287">
            <v>4245.4229999999998</v>
          </cell>
          <cell r="F6287">
            <v>6</v>
          </cell>
        </row>
        <row r="6288">
          <cell r="A6288">
            <v>2019</v>
          </cell>
          <cell r="B6288" t="str">
            <v>Actual</v>
          </cell>
          <cell r="C6288" t="str">
            <v>Jun</v>
          </cell>
          <cell r="D6288" t="str">
            <v>Kitchen</v>
          </cell>
          <cell r="E6288">
            <v>1925817.068</v>
          </cell>
          <cell r="F6288">
            <v>6</v>
          </cell>
        </row>
        <row r="6289">
          <cell r="A6289">
            <v>2018</v>
          </cell>
          <cell r="B6289" t="str">
            <v>Budget</v>
          </cell>
          <cell r="C6289" t="str">
            <v>Jun</v>
          </cell>
          <cell r="D6289" t="str">
            <v>Chairs</v>
          </cell>
          <cell r="E6289">
            <v>135043.47500000001</v>
          </cell>
          <cell r="F6289">
            <v>6</v>
          </cell>
        </row>
        <row r="6290">
          <cell r="A6290">
            <v>2018</v>
          </cell>
          <cell r="B6290" t="str">
            <v>Actual</v>
          </cell>
          <cell r="C6290" t="str">
            <v>Jun</v>
          </cell>
          <cell r="D6290" t="str">
            <v>Chairs</v>
          </cell>
          <cell r="E6290">
            <v>24041.450999999997</v>
          </cell>
          <cell r="F6290">
            <v>6</v>
          </cell>
        </row>
        <row r="6291">
          <cell r="A6291">
            <v>2018</v>
          </cell>
          <cell r="B6291" t="str">
            <v>Budget</v>
          </cell>
          <cell r="C6291" t="str">
            <v>Jun</v>
          </cell>
          <cell r="D6291" t="str">
            <v>Tables</v>
          </cell>
          <cell r="E6291">
            <v>250187.84700000001</v>
          </cell>
          <cell r="F6291">
            <v>6</v>
          </cell>
        </row>
        <row r="6292">
          <cell r="A6292">
            <v>2019</v>
          </cell>
          <cell r="B6292" t="str">
            <v>Actual</v>
          </cell>
          <cell r="C6292" t="str">
            <v>Jun</v>
          </cell>
          <cell r="D6292" t="str">
            <v>Kitchen</v>
          </cell>
          <cell r="E6292">
            <v>-352839.30499999999</v>
          </cell>
          <cell r="F6292">
            <v>6</v>
          </cell>
        </row>
        <row r="6293">
          <cell r="A6293">
            <v>2018</v>
          </cell>
          <cell r="B6293" t="str">
            <v>Budget</v>
          </cell>
          <cell r="C6293" t="str">
            <v>Jun</v>
          </cell>
          <cell r="D6293" t="str">
            <v>Chairs</v>
          </cell>
          <cell r="E6293">
            <v>131787.264</v>
          </cell>
          <cell r="F6293">
            <v>6</v>
          </cell>
        </row>
        <row r="6294">
          <cell r="A6294">
            <v>2018</v>
          </cell>
          <cell r="B6294" t="str">
            <v>Actual</v>
          </cell>
          <cell r="C6294" t="str">
            <v>Jun</v>
          </cell>
          <cell r="D6294" t="str">
            <v>Chairs</v>
          </cell>
          <cell r="E6294">
            <v>1202761.9799999997</v>
          </cell>
          <cell r="F6294">
            <v>6</v>
          </cell>
        </row>
        <row r="6295">
          <cell r="A6295">
            <v>2019</v>
          </cell>
          <cell r="B6295" t="str">
            <v>Budget</v>
          </cell>
          <cell r="C6295" t="str">
            <v>Jun</v>
          </cell>
          <cell r="D6295" t="str">
            <v>Chairs</v>
          </cell>
          <cell r="E6295">
            <v>202138.36300000001</v>
          </cell>
          <cell r="F6295">
            <v>6</v>
          </cell>
        </row>
        <row r="6296">
          <cell r="A6296">
            <v>2018</v>
          </cell>
          <cell r="B6296" t="str">
            <v>Actual</v>
          </cell>
          <cell r="C6296" t="str">
            <v>Jun</v>
          </cell>
          <cell r="D6296" t="str">
            <v>Tables</v>
          </cell>
          <cell r="E6296">
            <v>494583.77499999997</v>
          </cell>
          <cell r="F6296">
            <v>6</v>
          </cell>
        </row>
        <row r="6297">
          <cell r="A6297">
            <v>2019</v>
          </cell>
          <cell r="B6297" t="str">
            <v>Budget</v>
          </cell>
          <cell r="C6297" t="str">
            <v>Jun</v>
          </cell>
          <cell r="D6297" t="str">
            <v>Kitchen</v>
          </cell>
          <cell r="E6297">
            <v>1633668.281</v>
          </cell>
          <cell r="F6297">
            <v>6</v>
          </cell>
        </row>
        <row r="6298">
          <cell r="A6298">
            <v>2018</v>
          </cell>
          <cell r="B6298" t="str">
            <v>Actual</v>
          </cell>
          <cell r="C6298" t="str">
            <v>Jun</v>
          </cell>
          <cell r="D6298" t="str">
            <v>Accessories</v>
          </cell>
          <cell r="E6298">
            <v>415478.01399999997</v>
          </cell>
          <cell r="F6298">
            <v>6</v>
          </cell>
        </row>
        <row r="6299">
          <cell r="A6299">
            <v>2018</v>
          </cell>
          <cell r="B6299" t="str">
            <v>Budget</v>
          </cell>
          <cell r="C6299" t="str">
            <v>Jun</v>
          </cell>
          <cell r="D6299" t="str">
            <v>Chairs</v>
          </cell>
          <cell r="E6299">
            <v>779568.56599999988</v>
          </cell>
          <cell r="F6299">
            <v>6</v>
          </cell>
        </row>
        <row r="6300">
          <cell r="A6300">
            <v>2019</v>
          </cell>
          <cell r="B6300" t="str">
            <v>Actual</v>
          </cell>
          <cell r="C6300" t="str">
            <v>Jun</v>
          </cell>
          <cell r="D6300" t="str">
            <v>Tables</v>
          </cell>
          <cell r="E6300">
            <v>148755.06099999999</v>
          </cell>
          <cell r="F6300">
            <v>6</v>
          </cell>
        </row>
        <row r="6301">
          <cell r="A6301">
            <v>2019</v>
          </cell>
          <cell r="B6301" t="str">
            <v>Budget</v>
          </cell>
          <cell r="C6301" t="str">
            <v>Jun</v>
          </cell>
          <cell r="D6301" t="str">
            <v>Kitchen</v>
          </cell>
          <cell r="E6301">
            <v>102594.758</v>
          </cell>
          <cell r="F6301">
            <v>6</v>
          </cell>
        </row>
        <row r="6302">
          <cell r="A6302">
            <v>2018</v>
          </cell>
          <cell r="B6302" t="str">
            <v>Actual</v>
          </cell>
          <cell r="C6302" t="str">
            <v>Jun</v>
          </cell>
          <cell r="D6302" t="str">
            <v>Accessories</v>
          </cell>
          <cell r="E6302">
            <v>2068476.1579999998</v>
          </cell>
          <cell r="F6302">
            <v>6</v>
          </cell>
        </row>
        <row r="6303">
          <cell r="A6303">
            <v>2018</v>
          </cell>
          <cell r="B6303" t="str">
            <v>Budget</v>
          </cell>
          <cell r="C6303" t="str">
            <v>Jun</v>
          </cell>
          <cell r="D6303" t="str">
            <v>Chairs</v>
          </cell>
          <cell r="E6303">
            <v>230888.08399999997</v>
          </cell>
          <cell r="F6303">
            <v>6</v>
          </cell>
        </row>
        <row r="6304">
          <cell r="A6304">
            <v>2018</v>
          </cell>
          <cell r="B6304" t="str">
            <v>Actual</v>
          </cell>
          <cell r="C6304" t="str">
            <v>Jun</v>
          </cell>
          <cell r="D6304" t="str">
            <v>Tables</v>
          </cell>
          <cell r="E6304">
            <v>212243.88499999998</v>
          </cell>
          <cell r="F6304">
            <v>6</v>
          </cell>
        </row>
        <row r="6305">
          <cell r="A6305">
            <v>2018</v>
          </cell>
          <cell r="B6305" t="str">
            <v>Budget</v>
          </cell>
          <cell r="C6305" t="str">
            <v>Jun</v>
          </cell>
          <cell r="D6305" t="str">
            <v>Kitchen</v>
          </cell>
          <cell r="E6305">
            <v>315765.86999999994</v>
          </cell>
          <cell r="F6305">
            <v>6</v>
          </cell>
        </row>
        <row r="6306">
          <cell r="A6306">
            <v>2018</v>
          </cell>
          <cell r="B6306" t="str">
            <v>Actual</v>
          </cell>
          <cell r="C6306" t="str">
            <v>Jun</v>
          </cell>
          <cell r="D6306" t="str">
            <v>Accessories</v>
          </cell>
          <cell r="E6306">
            <v>143640.196</v>
          </cell>
          <cell r="F6306">
            <v>6</v>
          </cell>
        </row>
        <row r="6307">
          <cell r="A6307">
            <v>2019</v>
          </cell>
          <cell r="B6307" t="str">
            <v>Budget</v>
          </cell>
          <cell r="C6307" t="str">
            <v>Jun</v>
          </cell>
          <cell r="D6307" t="str">
            <v>Chairs</v>
          </cell>
          <cell r="E6307">
            <v>196779.63199999998</v>
          </cell>
          <cell r="F6307">
            <v>6</v>
          </cell>
        </row>
        <row r="6308">
          <cell r="A6308">
            <v>2019</v>
          </cell>
          <cell r="B6308" t="str">
            <v>Actual</v>
          </cell>
          <cell r="C6308" t="str">
            <v>Jun</v>
          </cell>
          <cell r="D6308" t="str">
            <v>Tables</v>
          </cell>
          <cell r="E6308">
            <v>79136.455999999991</v>
          </cell>
          <cell r="F6308">
            <v>6</v>
          </cell>
        </row>
        <row r="6309">
          <cell r="A6309">
            <v>2019</v>
          </cell>
          <cell r="B6309" t="str">
            <v>Budget</v>
          </cell>
          <cell r="C6309" t="str">
            <v>Jun</v>
          </cell>
          <cell r="D6309" t="str">
            <v>Kitchen</v>
          </cell>
          <cell r="E6309">
            <v>74420.269</v>
          </cell>
          <cell r="F6309">
            <v>6</v>
          </cell>
        </row>
        <row r="6310">
          <cell r="A6310">
            <v>2019</v>
          </cell>
          <cell r="B6310" t="str">
            <v>Actual</v>
          </cell>
          <cell r="C6310" t="str">
            <v>Jun</v>
          </cell>
          <cell r="D6310" t="str">
            <v>Accessories</v>
          </cell>
          <cell r="E6310">
            <v>28263.017999999996</v>
          </cell>
          <cell r="F6310">
            <v>6</v>
          </cell>
        </row>
        <row r="6311">
          <cell r="A6311">
            <v>2019</v>
          </cell>
          <cell r="B6311" t="str">
            <v>Budget</v>
          </cell>
          <cell r="C6311" t="str">
            <v>Jun</v>
          </cell>
          <cell r="D6311" t="str">
            <v>Chairs</v>
          </cell>
          <cell r="E6311">
            <v>195769.72100000002</v>
          </cell>
          <cell r="F6311">
            <v>6</v>
          </cell>
        </row>
        <row r="6312">
          <cell r="A6312">
            <v>2018</v>
          </cell>
          <cell r="B6312" t="str">
            <v>Actual</v>
          </cell>
          <cell r="C6312" t="str">
            <v>Jun</v>
          </cell>
          <cell r="D6312" t="str">
            <v>Chairs</v>
          </cell>
          <cell r="E6312">
            <v>74959.80799999999</v>
          </cell>
          <cell r="F6312">
            <v>6</v>
          </cell>
        </row>
        <row r="6313">
          <cell r="A6313">
            <v>2018</v>
          </cell>
          <cell r="B6313" t="str">
            <v>Budget</v>
          </cell>
          <cell r="C6313" t="str">
            <v>Jun</v>
          </cell>
          <cell r="D6313" t="str">
            <v>Tables</v>
          </cell>
          <cell r="E6313">
            <v>241885.93099999998</v>
          </cell>
          <cell r="F6313">
            <v>6</v>
          </cell>
        </row>
        <row r="6314">
          <cell r="A6314">
            <v>2018</v>
          </cell>
          <cell r="B6314" t="str">
            <v>Actual</v>
          </cell>
          <cell r="C6314" t="str">
            <v>Jun</v>
          </cell>
          <cell r="D6314" t="str">
            <v>Kitchen</v>
          </cell>
          <cell r="E6314">
            <v>82130.895000000004</v>
          </cell>
          <cell r="F6314">
            <v>6</v>
          </cell>
        </row>
        <row r="6315">
          <cell r="A6315">
            <v>2018</v>
          </cell>
          <cell r="B6315" t="str">
            <v>Budget</v>
          </cell>
          <cell r="C6315" t="str">
            <v>Jun</v>
          </cell>
          <cell r="D6315" t="str">
            <v>Chairs</v>
          </cell>
          <cell r="E6315">
            <v>16702.650999999998</v>
          </cell>
          <cell r="F6315">
            <v>6</v>
          </cell>
        </row>
        <row r="6316">
          <cell r="A6316">
            <v>2019</v>
          </cell>
          <cell r="B6316" t="str">
            <v>Actual</v>
          </cell>
          <cell r="C6316" t="str">
            <v>Jun</v>
          </cell>
          <cell r="D6316" t="str">
            <v>Tables</v>
          </cell>
          <cell r="E6316">
            <v>2121.7280000000001</v>
          </cell>
          <cell r="F6316">
            <v>6</v>
          </cell>
        </row>
        <row r="6317">
          <cell r="A6317">
            <v>2018</v>
          </cell>
          <cell r="B6317" t="str">
            <v>Budget</v>
          </cell>
          <cell r="C6317" t="str">
            <v>Jun</v>
          </cell>
          <cell r="D6317" t="str">
            <v>Kitchen</v>
          </cell>
          <cell r="E6317">
            <v>116075.68699999999</v>
          </cell>
          <cell r="F6317">
            <v>6</v>
          </cell>
        </row>
        <row r="6318">
          <cell r="A6318">
            <v>2018</v>
          </cell>
          <cell r="B6318" t="str">
            <v>Actual</v>
          </cell>
          <cell r="C6318" t="str">
            <v>Jun</v>
          </cell>
          <cell r="D6318" t="str">
            <v>Chairs</v>
          </cell>
          <cell r="E6318">
            <v>60132.750999999989</v>
          </cell>
          <cell r="F6318">
            <v>6</v>
          </cell>
        </row>
        <row r="6319">
          <cell r="A6319">
            <v>2019</v>
          </cell>
          <cell r="B6319" t="str">
            <v>Budget</v>
          </cell>
          <cell r="C6319" t="str">
            <v>Jun</v>
          </cell>
          <cell r="D6319" t="str">
            <v>Tables</v>
          </cell>
          <cell r="E6319">
            <v>85949.633000000002</v>
          </cell>
          <cell r="F6319">
            <v>6</v>
          </cell>
        </row>
        <row r="6320">
          <cell r="A6320">
            <v>2019</v>
          </cell>
          <cell r="B6320" t="str">
            <v>Actual</v>
          </cell>
          <cell r="C6320" t="str">
            <v>Jun</v>
          </cell>
          <cell r="D6320" t="str">
            <v>Kitchen</v>
          </cell>
          <cell r="E6320">
            <v>27746.6</v>
          </cell>
          <cell r="F6320">
            <v>6</v>
          </cell>
        </row>
        <row r="6321">
          <cell r="A6321">
            <v>2018</v>
          </cell>
          <cell r="B6321" t="str">
            <v>Budget</v>
          </cell>
          <cell r="C6321" t="str">
            <v>Jun</v>
          </cell>
          <cell r="D6321" t="str">
            <v>Chairs</v>
          </cell>
          <cell r="E6321">
            <v>67172.244999999995</v>
          </cell>
          <cell r="F6321">
            <v>6</v>
          </cell>
        </row>
        <row r="6322">
          <cell r="A6322">
            <v>2018</v>
          </cell>
          <cell r="B6322" t="str">
            <v>Actual</v>
          </cell>
          <cell r="C6322" t="str">
            <v>Jun</v>
          </cell>
          <cell r="D6322" t="str">
            <v>Chairs</v>
          </cell>
          <cell r="E6322">
            <v>72943.360000000001</v>
          </cell>
          <cell r="F6322">
            <v>6</v>
          </cell>
        </row>
        <row r="6323">
          <cell r="A6323">
            <v>2019</v>
          </cell>
          <cell r="B6323" t="str">
            <v>Budget</v>
          </cell>
          <cell r="C6323" t="str">
            <v>Jun</v>
          </cell>
          <cell r="D6323" t="str">
            <v>Chairs</v>
          </cell>
          <cell r="E6323">
            <v>2357680.1149999998</v>
          </cell>
          <cell r="F6323">
            <v>6</v>
          </cell>
        </row>
        <row r="6324">
          <cell r="A6324">
            <v>2018</v>
          </cell>
          <cell r="B6324" t="str">
            <v>Actual</v>
          </cell>
          <cell r="C6324" t="str">
            <v>Jun</v>
          </cell>
          <cell r="D6324" t="str">
            <v>Chairs</v>
          </cell>
          <cell r="E6324">
            <v>79344.607999999993</v>
          </cell>
          <cell r="F6324">
            <v>6</v>
          </cell>
        </row>
        <row r="6325">
          <cell r="A6325">
            <v>2018</v>
          </cell>
          <cell r="B6325" t="str">
            <v>Budget</v>
          </cell>
          <cell r="C6325" t="str">
            <v>Jun</v>
          </cell>
          <cell r="D6325" t="str">
            <v>Chairs</v>
          </cell>
          <cell r="E6325">
            <v>116694.69</v>
          </cell>
          <cell r="F6325">
            <v>6</v>
          </cell>
        </row>
        <row r="6326">
          <cell r="A6326">
            <v>2018</v>
          </cell>
          <cell r="B6326" t="str">
            <v>Actual</v>
          </cell>
          <cell r="C6326" t="str">
            <v>Jun</v>
          </cell>
          <cell r="D6326" t="str">
            <v>Chairs</v>
          </cell>
          <cell r="E6326">
            <v>50673.895999999993</v>
          </cell>
          <cell r="F6326">
            <v>6</v>
          </cell>
        </row>
        <row r="6327">
          <cell r="A6327">
            <v>2018</v>
          </cell>
          <cell r="B6327" t="str">
            <v>Budget</v>
          </cell>
          <cell r="C6327" t="str">
            <v>Jun</v>
          </cell>
          <cell r="D6327" t="str">
            <v>Chairs</v>
          </cell>
          <cell r="E6327">
            <v>121216.85799999999</v>
          </cell>
          <cell r="F6327">
            <v>6</v>
          </cell>
        </row>
        <row r="6328">
          <cell r="A6328">
            <v>2019</v>
          </cell>
          <cell r="B6328" t="str">
            <v>Actual</v>
          </cell>
          <cell r="C6328" t="str">
            <v>Jun</v>
          </cell>
          <cell r="D6328" t="str">
            <v>Chairs</v>
          </cell>
          <cell r="E6328">
            <v>27877.464999999997</v>
          </cell>
          <cell r="F6328">
            <v>6</v>
          </cell>
        </row>
        <row r="6329">
          <cell r="A6329">
            <v>2018</v>
          </cell>
          <cell r="B6329" t="str">
            <v>Budget</v>
          </cell>
          <cell r="C6329" t="str">
            <v>Jun</v>
          </cell>
          <cell r="D6329" t="str">
            <v>Chairs</v>
          </cell>
          <cell r="E6329">
            <v>44201.828999999998</v>
          </cell>
          <cell r="F6329">
            <v>6</v>
          </cell>
        </row>
        <row r="6330">
          <cell r="A6330">
            <v>2018</v>
          </cell>
          <cell r="B6330" t="str">
            <v>Actual</v>
          </cell>
          <cell r="C6330" t="str">
            <v>Jun</v>
          </cell>
          <cell r="D6330" t="str">
            <v>Chairs</v>
          </cell>
          <cell r="E6330">
            <v>280716.25399999996</v>
          </cell>
          <cell r="F6330">
            <v>6</v>
          </cell>
        </row>
        <row r="6331">
          <cell r="A6331">
            <v>2019</v>
          </cell>
          <cell r="B6331" t="str">
            <v>Budget</v>
          </cell>
          <cell r="C6331" t="str">
            <v>Jun</v>
          </cell>
          <cell r="D6331" t="str">
            <v>Chairs</v>
          </cell>
          <cell r="E6331">
            <v>87455.437999999995</v>
          </cell>
          <cell r="F6331">
            <v>6</v>
          </cell>
        </row>
        <row r="6332">
          <cell r="A6332">
            <v>2018</v>
          </cell>
          <cell r="B6332" t="str">
            <v>Actual</v>
          </cell>
          <cell r="C6332" t="str">
            <v>Jun</v>
          </cell>
          <cell r="D6332" t="str">
            <v>Chairs</v>
          </cell>
          <cell r="E6332">
            <v>11392.898999999999</v>
          </cell>
          <cell r="F6332">
            <v>6</v>
          </cell>
        </row>
        <row r="6333">
          <cell r="A6333">
            <v>2018</v>
          </cell>
          <cell r="B6333" t="str">
            <v>Budget</v>
          </cell>
          <cell r="C6333" t="str">
            <v>Jun</v>
          </cell>
          <cell r="D6333" t="str">
            <v>Chairs</v>
          </cell>
          <cell r="E6333">
            <v>247819.97799999997</v>
          </cell>
          <cell r="F6333">
            <v>6</v>
          </cell>
        </row>
        <row r="6334">
          <cell r="A6334">
            <v>2018</v>
          </cell>
          <cell r="B6334" t="str">
            <v>Actual</v>
          </cell>
          <cell r="C6334" t="str">
            <v>Jun</v>
          </cell>
          <cell r="D6334" t="str">
            <v>Chairs</v>
          </cell>
          <cell r="E6334">
            <v>32461.001999999997</v>
          </cell>
          <cell r="F6334">
            <v>6</v>
          </cell>
        </row>
        <row r="6335">
          <cell r="A6335">
            <v>2018</v>
          </cell>
          <cell r="B6335" t="str">
            <v>Budget</v>
          </cell>
          <cell r="C6335" t="str">
            <v>Jun</v>
          </cell>
          <cell r="D6335" t="str">
            <v>Chairs</v>
          </cell>
          <cell r="E6335">
            <v>28557.738999999998</v>
          </cell>
          <cell r="F6335">
            <v>6</v>
          </cell>
        </row>
        <row r="6336">
          <cell r="A6336">
            <v>2018</v>
          </cell>
          <cell r="B6336" t="str">
            <v>Actual</v>
          </cell>
          <cell r="C6336" t="str">
            <v>Jun</v>
          </cell>
          <cell r="D6336" t="str">
            <v>Chairs</v>
          </cell>
          <cell r="E6336">
            <v>156962.84099999999</v>
          </cell>
          <cell r="F6336">
            <v>6</v>
          </cell>
        </row>
        <row r="6337">
          <cell r="A6337">
            <v>2019</v>
          </cell>
          <cell r="B6337" t="str">
            <v>Budget</v>
          </cell>
          <cell r="C6337" t="str">
            <v>Jun</v>
          </cell>
          <cell r="D6337" t="str">
            <v>Chairs</v>
          </cell>
          <cell r="E6337">
            <v>2463523.426</v>
          </cell>
          <cell r="F6337">
            <v>6</v>
          </cell>
        </row>
        <row r="6338">
          <cell r="A6338">
            <v>2018</v>
          </cell>
          <cell r="B6338" t="str">
            <v>Actual</v>
          </cell>
          <cell r="C6338" t="str">
            <v>Jun</v>
          </cell>
          <cell r="D6338" t="str">
            <v>Chairs</v>
          </cell>
          <cell r="E6338">
            <v>24753.987999999998</v>
          </cell>
          <cell r="F6338">
            <v>6</v>
          </cell>
        </row>
        <row r="6339">
          <cell r="A6339">
            <v>2019</v>
          </cell>
          <cell r="B6339" t="str">
            <v>Budget</v>
          </cell>
          <cell r="C6339" t="str">
            <v>Jun</v>
          </cell>
          <cell r="D6339" t="str">
            <v>Chairs</v>
          </cell>
          <cell r="E6339">
            <v>99121.365000000005</v>
          </cell>
          <cell r="F6339">
            <v>6</v>
          </cell>
        </row>
        <row r="6340">
          <cell r="A6340">
            <v>2019</v>
          </cell>
          <cell r="B6340" t="str">
            <v>Actual</v>
          </cell>
          <cell r="C6340" t="str">
            <v>Jun</v>
          </cell>
          <cell r="D6340" t="str">
            <v>Chairs</v>
          </cell>
          <cell r="E6340">
            <v>48039.747000000003</v>
          </cell>
          <cell r="F6340">
            <v>6</v>
          </cell>
        </row>
        <row r="6341">
          <cell r="A6341">
            <v>2019</v>
          </cell>
          <cell r="B6341" t="str">
            <v>Budget</v>
          </cell>
          <cell r="C6341" t="str">
            <v>Jun</v>
          </cell>
          <cell r="D6341" t="str">
            <v>Chairs</v>
          </cell>
          <cell r="E6341">
            <v>96277.587</v>
          </cell>
          <cell r="F6341">
            <v>6</v>
          </cell>
        </row>
        <row r="6342">
          <cell r="A6342">
            <v>2018</v>
          </cell>
          <cell r="B6342" t="str">
            <v>Actual</v>
          </cell>
          <cell r="C6342" t="str">
            <v>Jun</v>
          </cell>
          <cell r="D6342" t="str">
            <v>Chairs</v>
          </cell>
          <cell r="E6342">
            <v>137945.99699999997</v>
          </cell>
          <cell r="F6342">
            <v>6</v>
          </cell>
        </row>
        <row r="6343">
          <cell r="A6343">
            <v>2019</v>
          </cell>
          <cell r="B6343" t="str">
            <v>Budget</v>
          </cell>
          <cell r="C6343" t="str">
            <v>Jun</v>
          </cell>
          <cell r="D6343" t="str">
            <v>Chairs</v>
          </cell>
          <cell r="E6343">
            <v>165492.929</v>
          </cell>
          <cell r="F6343">
            <v>6</v>
          </cell>
        </row>
        <row r="6344">
          <cell r="A6344">
            <v>2019</v>
          </cell>
          <cell r="B6344" t="str">
            <v>Actual</v>
          </cell>
          <cell r="C6344" t="str">
            <v>Jun</v>
          </cell>
          <cell r="D6344" t="str">
            <v>Chairs</v>
          </cell>
          <cell r="E6344">
            <v>39213.516999999993</v>
          </cell>
          <cell r="F6344">
            <v>6</v>
          </cell>
        </row>
        <row r="6345">
          <cell r="A6345">
            <v>2019</v>
          </cell>
          <cell r="B6345" t="str">
            <v>Budget</v>
          </cell>
          <cell r="C6345" t="str">
            <v>Jun</v>
          </cell>
          <cell r="D6345" t="str">
            <v>Chairs</v>
          </cell>
          <cell r="E6345">
            <v>616962.10799999989</v>
          </cell>
          <cell r="F6345">
            <v>6</v>
          </cell>
        </row>
        <row r="6346">
          <cell r="A6346">
            <v>2018</v>
          </cell>
          <cell r="B6346" t="str">
            <v>Actual</v>
          </cell>
          <cell r="C6346" t="str">
            <v>Jun</v>
          </cell>
          <cell r="D6346" t="str">
            <v>Chairs</v>
          </cell>
          <cell r="E6346">
            <v>1973161.0290000001</v>
          </cell>
          <cell r="F6346">
            <v>6</v>
          </cell>
        </row>
        <row r="6347">
          <cell r="A6347">
            <v>2018</v>
          </cell>
          <cell r="B6347" t="str">
            <v>Budget</v>
          </cell>
          <cell r="C6347" t="str">
            <v>Jun</v>
          </cell>
          <cell r="D6347" t="str">
            <v>Tables</v>
          </cell>
          <cell r="E6347">
            <v>566833.1129999999</v>
          </cell>
          <cell r="F6347">
            <v>6</v>
          </cell>
        </row>
        <row r="6348">
          <cell r="A6348">
            <v>2019</v>
          </cell>
          <cell r="B6348" t="str">
            <v>Actual</v>
          </cell>
          <cell r="C6348" t="str">
            <v>Jun</v>
          </cell>
          <cell r="D6348" t="str">
            <v>Kitchen</v>
          </cell>
          <cell r="E6348">
            <v>84988.959999999992</v>
          </cell>
          <cell r="F6348">
            <v>6</v>
          </cell>
        </row>
        <row r="6349">
          <cell r="A6349">
            <v>2019</v>
          </cell>
          <cell r="B6349" t="str">
            <v>Budget</v>
          </cell>
          <cell r="C6349" t="str">
            <v>Jun</v>
          </cell>
          <cell r="D6349" t="str">
            <v>Chairs</v>
          </cell>
          <cell r="E6349">
            <v>154337.883</v>
          </cell>
          <cell r="F6349">
            <v>6</v>
          </cell>
        </row>
        <row r="6350">
          <cell r="A6350">
            <v>2019</v>
          </cell>
          <cell r="B6350" t="str">
            <v>Actual</v>
          </cell>
          <cell r="C6350" t="str">
            <v>Jun</v>
          </cell>
          <cell r="D6350" t="str">
            <v>Chairs</v>
          </cell>
          <cell r="E6350">
            <v>432675.13099999994</v>
          </cell>
          <cell r="F6350">
            <v>6</v>
          </cell>
        </row>
        <row r="6351">
          <cell r="A6351">
            <v>2018</v>
          </cell>
          <cell r="B6351" t="str">
            <v>Budget</v>
          </cell>
          <cell r="C6351" t="str">
            <v>Jun</v>
          </cell>
          <cell r="D6351" t="str">
            <v>Chairs</v>
          </cell>
          <cell r="E6351">
            <v>2698826.1370000001</v>
          </cell>
          <cell r="F6351">
            <v>6</v>
          </cell>
        </row>
        <row r="6352">
          <cell r="A6352">
            <v>2018</v>
          </cell>
          <cell r="B6352" t="str">
            <v>Actual</v>
          </cell>
          <cell r="C6352" t="str">
            <v>Jun</v>
          </cell>
          <cell r="D6352" t="str">
            <v>Chairs</v>
          </cell>
          <cell r="E6352">
            <v>1491765.8349999997</v>
          </cell>
          <cell r="F6352">
            <v>6</v>
          </cell>
        </row>
        <row r="6353">
          <cell r="A6353">
            <v>2018</v>
          </cell>
          <cell r="B6353" t="str">
            <v>Budget</v>
          </cell>
          <cell r="C6353" t="str">
            <v>Jun</v>
          </cell>
          <cell r="D6353" t="str">
            <v>Chairs</v>
          </cell>
          <cell r="E6353">
            <v>130439.90399999999</v>
          </cell>
          <cell r="F6353">
            <v>6</v>
          </cell>
        </row>
        <row r="6354">
          <cell r="A6354">
            <v>2019</v>
          </cell>
          <cell r="B6354" t="str">
            <v>Actual</v>
          </cell>
          <cell r="C6354" t="str">
            <v>Jun</v>
          </cell>
          <cell r="D6354" t="str">
            <v>Tables</v>
          </cell>
          <cell r="E6354">
            <v>80766.966</v>
          </cell>
          <cell r="F6354">
            <v>6</v>
          </cell>
        </row>
        <row r="6355">
          <cell r="A6355">
            <v>2018</v>
          </cell>
          <cell r="B6355" t="str">
            <v>Budget</v>
          </cell>
          <cell r="C6355" t="str">
            <v>Jun</v>
          </cell>
          <cell r="D6355" t="str">
            <v>Kitchen</v>
          </cell>
          <cell r="E6355">
            <v>35245.959000000003</v>
          </cell>
          <cell r="F6355">
            <v>6</v>
          </cell>
        </row>
        <row r="6356">
          <cell r="A6356">
            <v>2019</v>
          </cell>
          <cell r="B6356" t="str">
            <v>Actual</v>
          </cell>
          <cell r="C6356" t="str">
            <v>Jun</v>
          </cell>
          <cell r="D6356" t="str">
            <v>Chairs</v>
          </cell>
          <cell r="E6356">
            <v>78192.414999999994</v>
          </cell>
          <cell r="F6356">
            <v>6</v>
          </cell>
        </row>
        <row r="6357">
          <cell r="A6357">
            <v>2018</v>
          </cell>
          <cell r="B6357" t="str">
            <v>Budget</v>
          </cell>
          <cell r="C6357" t="str">
            <v>Jun</v>
          </cell>
          <cell r="D6357" t="str">
            <v>Chairs</v>
          </cell>
          <cell r="E6357">
            <v>90063.434999999998</v>
          </cell>
          <cell r="F6357">
            <v>6</v>
          </cell>
        </row>
        <row r="6358">
          <cell r="A6358">
            <v>2018</v>
          </cell>
          <cell r="B6358" t="str">
            <v>Actual</v>
          </cell>
          <cell r="C6358" t="str">
            <v>Jun</v>
          </cell>
          <cell r="D6358" t="str">
            <v>Chairs</v>
          </cell>
          <cell r="E6358">
            <v>404293.05699999997</v>
          </cell>
          <cell r="F6358">
            <v>6</v>
          </cell>
        </row>
        <row r="6359">
          <cell r="A6359">
            <v>2018</v>
          </cell>
          <cell r="B6359" t="str">
            <v>Budget</v>
          </cell>
          <cell r="C6359" t="str">
            <v>Jun</v>
          </cell>
          <cell r="D6359" t="str">
            <v>Tables</v>
          </cell>
          <cell r="E6359">
            <v>33732.705999999998</v>
          </cell>
          <cell r="F6359">
            <v>6</v>
          </cell>
        </row>
        <row r="6360">
          <cell r="A6360">
            <v>2019</v>
          </cell>
          <cell r="B6360" t="str">
            <v>Actual</v>
          </cell>
          <cell r="C6360" t="str">
            <v>Jun</v>
          </cell>
          <cell r="D6360" t="str">
            <v>Kitchen</v>
          </cell>
          <cell r="E6360">
            <v>13406.945999999998</v>
          </cell>
          <cell r="F6360">
            <v>6</v>
          </cell>
        </row>
        <row r="6361">
          <cell r="A6361">
            <v>2018</v>
          </cell>
          <cell r="B6361" t="str">
            <v>Budget</v>
          </cell>
          <cell r="C6361" t="str">
            <v>Jun</v>
          </cell>
          <cell r="D6361" t="str">
            <v>Chairs</v>
          </cell>
          <cell r="E6361">
            <v>44320.548999999999</v>
          </cell>
          <cell r="F6361">
            <v>6</v>
          </cell>
        </row>
        <row r="6362">
          <cell r="A6362">
            <v>2019</v>
          </cell>
          <cell r="B6362" t="str">
            <v>Actual</v>
          </cell>
          <cell r="C6362" t="str">
            <v>Jun</v>
          </cell>
          <cell r="D6362" t="str">
            <v>Chairs</v>
          </cell>
          <cell r="E6362">
            <v>82968.34</v>
          </cell>
          <cell r="F6362">
            <v>6</v>
          </cell>
        </row>
        <row r="6363">
          <cell r="A6363">
            <v>2018</v>
          </cell>
          <cell r="B6363" t="str">
            <v>Budget</v>
          </cell>
          <cell r="C6363" t="str">
            <v>Jun</v>
          </cell>
          <cell r="D6363" t="str">
            <v>Tables</v>
          </cell>
          <cell r="E6363">
            <v>192004.09199999998</v>
          </cell>
          <cell r="F6363">
            <v>6</v>
          </cell>
        </row>
        <row r="6364">
          <cell r="A6364">
            <v>2018</v>
          </cell>
          <cell r="B6364" t="str">
            <v>Actual</v>
          </cell>
          <cell r="C6364" t="str">
            <v>Jun</v>
          </cell>
          <cell r="D6364" t="str">
            <v>Kitchen</v>
          </cell>
          <cell r="E6364">
            <v>403865.09099999996</v>
          </cell>
          <cell r="F6364">
            <v>6</v>
          </cell>
        </row>
        <row r="6365">
          <cell r="A6365">
            <v>2018</v>
          </cell>
          <cell r="B6365" t="str">
            <v>Budget</v>
          </cell>
          <cell r="C6365" t="str">
            <v>Jun</v>
          </cell>
          <cell r="D6365" t="str">
            <v>Chairs</v>
          </cell>
          <cell r="E6365">
            <v>105489.70599999999</v>
          </cell>
          <cell r="F6365">
            <v>6</v>
          </cell>
        </row>
        <row r="6366">
          <cell r="A6366">
            <v>2019</v>
          </cell>
          <cell r="B6366" t="str">
            <v>Actual</v>
          </cell>
          <cell r="C6366" t="str">
            <v>Jun</v>
          </cell>
          <cell r="D6366" t="str">
            <v>Chairs</v>
          </cell>
          <cell r="E6366">
            <v>141099.76299999998</v>
          </cell>
          <cell r="F6366">
            <v>6</v>
          </cell>
        </row>
        <row r="6367">
          <cell r="A6367">
            <v>2018</v>
          </cell>
          <cell r="B6367" t="str">
            <v>Budget</v>
          </cell>
          <cell r="C6367" t="str">
            <v>Jun</v>
          </cell>
          <cell r="D6367" t="str">
            <v>Chairs</v>
          </cell>
          <cell r="E6367">
            <v>276702.86</v>
          </cell>
          <cell r="F6367">
            <v>6</v>
          </cell>
        </row>
        <row r="6368">
          <cell r="A6368">
            <v>2019</v>
          </cell>
          <cell r="B6368" t="str">
            <v>Actual</v>
          </cell>
          <cell r="C6368" t="str">
            <v>Jun</v>
          </cell>
          <cell r="D6368" t="str">
            <v>Tables</v>
          </cell>
          <cell r="E6368">
            <v>222880</v>
          </cell>
          <cell r="F6368">
            <v>6</v>
          </cell>
        </row>
        <row r="6369">
          <cell r="A6369">
            <v>2018</v>
          </cell>
          <cell r="B6369" t="str">
            <v>Budget</v>
          </cell>
          <cell r="C6369" t="str">
            <v>Jun</v>
          </cell>
          <cell r="D6369" t="str">
            <v>Kitchen</v>
          </cell>
          <cell r="E6369">
            <v>380394.34299999999</v>
          </cell>
          <cell r="F6369">
            <v>6</v>
          </cell>
        </row>
        <row r="6370">
          <cell r="A6370">
            <v>2018</v>
          </cell>
          <cell r="B6370" t="str">
            <v>Actual</v>
          </cell>
          <cell r="C6370" t="str">
            <v>Jun</v>
          </cell>
          <cell r="D6370" t="str">
            <v>Accessories</v>
          </cell>
          <cell r="E6370">
            <v>304853.99699999997</v>
          </cell>
          <cell r="F6370">
            <v>6</v>
          </cell>
        </row>
        <row r="6371">
          <cell r="A6371">
            <v>2018</v>
          </cell>
          <cell r="B6371" t="str">
            <v>Budget</v>
          </cell>
          <cell r="C6371" t="str">
            <v>Jun</v>
          </cell>
          <cell r="D6371" t="str">
            <v>Chairs</v>
          </cell>
          <cell r="E6371">
            <v>45589.061000000002</v>
          </cell>
          <cell r="F6371">
            <v>6</v>
          </cell>
        </row>
        <row r="6372">
          <cell r="A6372">
            <v>2019</v>
          </cell>
          <cell r="B6372" t="str">
            <v>Actual</v>
          </cell>
          <cell r="C6372" t="str">
            <v>Jun</v>
          </cell>
          <cell r="D6372" t="str">
            <v>Tables</v>
          </cell>
          <cell r="E6372">
            <v>31624.473999999998</v>
          </cell>
          <cell r="F6372">
            <v>6</v>
          </cell>
        </row>
        <row r="6373">
          <cell r="A6373">
            <v>2018</v>
          </cell>
          <cell r="B6373" t="str">
            <v>Budget</v>
          </cell>
          <cell r="C6373" t="str">
            <v>Jun</v>
          </cell>
          <cell r="D6373" t="str">
            <v>Kitchen</v>
          </cell>
          <cell r="E6373">
            <v>193545.21899999998</v>
          </cell>
          <cell r="F6373">
            <v>6</v>
          </cell>
        </row>
        <row r="6374">
          <cell r="A6374">
            <v>2018</v>
          </cell>
          <cell r="B6374" t="str">
            <v>Actual</v>
          </cell>
          <cell r="C6374" t="str">
            <v>Jun</v>
          </cell>
          <cell r="D6374" t="str">
            <v>Accessories</v>
          </cell>
          <cell r="E6374">
            <v>140028.62299999999</v>
          </cell>
          <cell r="F6374">
            <v>6</v>
          </cell>
        </row>
        <row r="6375">
          <cell r="A6375">
            <v>2019</v>
          </cell>
          <cell r="B6375" t="str">
            <v>Budget</v>
          </cell>
          <cell r="C6375" t="str">
            <v>Jun</v>
          </cell>
          <cell r="D6375" t="str">
            <v>Chairs</v>
          </cell>
          <cell r="E6375">
            <v>298663.967</v>
          </cell>
          <cell r="F6375">
            <v>6</v>
          </cell>
        </row>
        <row r="6376">
          <cell r="A6376">
            <v>2018</v>
          </cell>
          <cell r="B6376" t="str">
            <v>Actual</v>
          </cell>
          <cell r="C6376" t="str">
            <v>Jun</v>
          </cell>
          <cell r="D6376" t="str">
            <v>Tables</v>
          </cell>
          <cell r="E6376">
            <v>4412801.4909999995</v>
          </cell>
          <cell r="F6376">
            <v>6</v>
          </cell>
        </row>
        <row r="6377">
          <cell r="A6377">
            <v>2019</v>
          </cell>
          <cell r="B6377" t="str">
            <v>Budget</v>
          </cell>
          <cell r="C6377" t="str">
            <v>Jun</v>
          </cell>
          <cell r="D6377" t="str">
            <v>Kitchen</v>
          </cell>
          <cell r="E6377">
            <v>121228.219</v>
          </cell>
          <cell r="F6377">
            <v>6</v>
          </cell>
        </row>
        <row r="6378">
          <cell r="A6378">
            <v>2018</v>
          </cell>
          <cell r="B6378" t="str">
            <v>Actual</v>
          </cell>
          <cell r="C6378" t="str">
            <v>Jun</v>
          </cell>
          <cell r="D6378" t="str">
            <v>Accessories</v>
          </cell>
          <cell r="E6378">
            <v>85837.633000000002</v>
          </cell>
          <cell r="F6378">
            <v>6</v>
          </cell>
        </row>
        <row r="6379">
          <cell r="A6379">
            <v>2018</v>
          </cell>
          <cell r="B6379" t="str">
            <v>Budget</v>
          </cell>
          <cell r="C6379" t="str">
            <v>Jun</v>
          </cell>
          <cell r="D6379" t="str">
            <v>Chairs</v>
          </cell>
          <cell r="E6379">
            <v>59414.466999999997</v>
          </cell>
          <cell r="F6379">
            <v>6</v>
          </cell>
        </row>
        <row r="6380">
          <cell r="A6380">
            <v>2018</v>
          </cell>
          <cell r="B6380" t="str">
            <v>Actual</v>
          </cell>
          <cell r="C6380" t="str">
            <v>Jun</v>
          </cell>
          <cell r="D6380" t="str">
            <v>Tables</v>
          </cell>
          <cell r="E6380">
            <v>45472.139999999992</v>
          </cell>
          <cell r="F6380">
            <v>6</v>
          </cell>
        </row>
        <row r="6381">
          <cell r="A6381">
            <v>2019</v>
          </cell>
          <cell r="B6381" t="str">
            <v>Budget</v>
          </cell>
          <cell r="C6381" t="str">
            <v>Jun</v>
          </cell>
          <cell r="D6381" t="str">
            <v>Kitchen</v>
          </cell>
          <cell r="E6381">
            <v>112083304.17899999</v>
          </cell>
          <cell r="F6381">
            <v>6</v>
          </cell>
        </row>
        <row r="6382">
          <cell r="A6382">
            <v>2019</v>
          </cell>
          <cell r="B6382" t="str">
            <v>Actual</v>
          </cell>
          <cell r="C6382" t="str">
            <v>Jun</v>
          </cell>
          <cell r="D6382" t="str">
            <v>Accessories</v>
          </cell>
          <cell r="E6382">
            <v>43557.037999999993</v>
          </cell>
          <cell r="F6382">
            <v>6</v>
          </cell>
        </row>
        <row r="6383">
          <cell r="A6383">
            <v>2018</v>
          </cell>
          <cell r="B6383" t="str">
            <v>Budget</v>
          </cell>
          <cell r="C6383" t="str">
            <v>Jun</v>
          </cell>
          <cell r="D6383" t="str">
            <v>Chairs</v>
          </cell>
          <cell r="E6383">
            <v>12685.029</v>
          </cell>
          <cell r="F6383">
            <v>6</v>
          </cell>
        </row>
        <row r="6384">
          <cell r="A6384">
            <v>2018</v>
          </cell>
          <cell r="B6384" t="str">
            <v>Actual</v>
          </cell>
          <cell r="C6384" t="str">
            <v>Jun</v>
          </cell>
          <cell r="D6384" t="str">
            <v>Chairs</v>
          </cell>
          <cell r="E6384">
            <v>92760.766000000003</v>
          </cell>
          <cell r="F6384">
            <v>6</v>
          </cell>
        </row>
        <row r="6385">
          <cell r="A6385">
            <v>2019</v>
          </cell>
          <cell r="B6385" t="str">
            <v>Budget</v>
          </cell>
          <cell r="C6385" t="str">
            <v>Jun</v>
          </cell>
          <cell r="D6385" t="str">
            <v>Tables</v>
          </cell>
          <cell r="E6385">
            <v>69369.622000000003</v>
          </cell>
          <cell r="F6385">
            <v>6</v>
          </cell>
        </row>
        <row r="6386">
          <cell r="A6386">
            <v>2019</v>
          </cell>
          <cell r="B6386" t="str">
            <v>Actual</v>
          </cell>
          <cell r="C6386" t="str">
            <v>Jun</v>
          </cell>
          <cell r="D6386" t="str">
            <v>Kitchen</v>
          </cell>
          <cell r="E6386">
            <v>365.89699999999999</v>
          </cell>
          <cell r="F6386">
            <v>6</v>
          </cell>
        </row>
        <row r="6387">
          <cell r="A6387">
            <v>2019</v>
          </cell>
          <cell r="B6387" t="str">
            <v>Budget</v>
          </cell>
          <cell r="C6387" t="str">
            <v>Jun</v>
          </cell>
          <cell r="D6387" t="str">
            <v>Chairs</v>
          </cell>
          <cell r="E6387">
            <v>9848.8950000000004</v>
          </cell>
          <cell r="F6387">
            <v>6</v>
          </cell>
        </row>
        <row r="6388">
          <cell r="A6388">
            <v>2018</v>
          </cell>
          <cell r="B6388" t="str">
            <v>Actual</v>
          </cell>
          <cell r="C6388" t="str">
            <v>Jun</v>
          </cell>
          <cell r="D6388" t="str">
            <v>Tables</v>
          </cell>
          <cell r="E6388">
            <v>13938892.330999998</v>
          </cell>
          <cell r="F6388">
            <v>6</v>
          </cell>
        </row>
        <row r="6389">
          <cell r="A6389">
            <v>2018</v>
          </cell>
          <cell r="B6389" t="str">
            <v>Budget</v>
          </cell>
          <cell r="C6389" t="str">
            <v>Jun</v>
          </cell>
          <cell r="D6389" t="str">
            <v>Kitchen</v>
          </cell>
          <cell r="E6389">
            <v>4097.9189999999999</v>
          </cell>
          <cell r="F6389">
            <v>6</v>
          </cell>
        </row>
        <row r="6390">
          <cell r="A6390">
            <v>2018</v>
          </cell>
          <cell r="B6390" t="str">
            <v>Actual</v>
          </cell>
          <cell r="C6390" t="str">
            <v>Jun</v>
          </cell>
          <cell r="D6390" t="str">
            <v>Chairs</v>
          </cell>
          <cell r="E6390">
            <v>128888.067</v>
          </cell>
          <cell r="F6390">
            <v>6</v>
          </cell>
        </row>
        <row r="6391">
          <cell r="A6391">
            <v>2018</v>
          </cell>
          <cell r="B6391" t="str">
            <v>Budget</v>
          </cell>
          <cell r="C6391" t="str">
            <v>Jun</v>
          </cell>
          <cell r="D6391" t="str">
            <v>Tables</v>
          </cell>
          <cell r="E6391">
            <v>13384.594999999998</v>
          </cell>
          <cell r="F6391">
            <v>6</v>
          </cell>
        </row>
        <row r="6392">
          <cell r="A6392">
            <v>2019</v>
          </cell>
          <cell r="B6392" t="str">
            <v>Actual</v>
          </cell>
          <cell r="C6392" t="str">
            <v>Jun</v>
          </cell>
          <cell r="D6392" t="str">
            <v>Kitchen</v>
          </cell>
          <cell r="E6392">
            <v>82297.270999999993</v>
          </cell>
          <cell r="F6392">
            <v>6</v>
          </cell>
        </row>
        <row r="6393">
          <cell r="A6393">
            <v>2019</v>
          </cell>
          <cell r="B6393" t="str">
            <v>Budget</v>
          </cell>
          <cell r="C6393" t="str">
            <v>Jun</v>
          </cell>
          <cell r="D6393" t="str">
            <v>Chairs</v>
          </cell>
          <cell r="E6393">
            <v>21614146.756999999</v>
          </cell>
          <cell r="F6393">
            <v>6</v>
          </cell>
        </row>
        <row r="6394">
          <cell r="A6394">
            <v>2019</v>
          </cell>
          <cell r="B6394" t="str">
            <v>Actual</v>
          </cell>
          <cell r="C6394" t="str">
            <v>Jun</v>
          </cell>
          <cell r="D6394" t="str">
            <v>Chairs</v>
          </cell>
          <cell r="E6394">
            <v>10759612.744999999</v>
          </cell>
          <cell r="F6394">
            <v>6</v>
          </cell>
        </row>
        <row r="6395">
          <cell r="A6395">
            <v>2019</v>
          </cell>
          <cell r="B6395" t="str">
            <v>Budget</v>
          </cell>
          <cell r="C6395" t="str">
            <v>Jun</v>
          </cell>
          <cell r="D6395" t="str">
            <v>Chairs</v>
          </cell>
          <cell r="E6395">
            <v>3890.3969999999999</v>
          </cell>
          <cell r="F6395">
            <v>6</v>
          </cell>
        </row>
        <row r="6396">
          <cell r="A6396">
            <v>2019</v>
          </cell>
          <cell r="B6396" t="str">
            <v>Actual</v>
          </cell>
          <cell r="C6396" t="str">
            <v>Jun</v>
          </cell>
          <cell r="D6396" t="str">
            <v>Chairs</v>
          </cell>
          <cell r="E6396">
            <v>30456.23</v>
          </cell>
          <cell r="F6396">
            <v>6</v>
          </cell>
        </row>
        <row r="6397">
          <cell r="A6397">
            <v>2018</v>
          </cell>
          <cell r="B6397" t="str">
            <v>Budget</v>
          </cell>
          <cell r="C6397" t="str">
            <v>Jun</v>
          </cell>
          <cell r="D6397" t="str">
            <v>Chairs</v>
          </cell>
          <cell r="E6397">
            <v>240256.38699999996</v>
          </cell>
          <cell r="F6397">
            <v>6</v>
          </cell>
        </row>
        <row r="6398">
          <cell r="A6398">
            <v>2019</v>
          </cell>
          <cell r="B6398" t="str">
            <v>Actual</v>
          </cell>
          <cell r="C6398" t="str">
            <v>Jun</v>
          </cell>
          <cell r="D6398" t="str">
            <v>Chairs</v>
          </cell>
          <cell r="E6398">
            <v>1046370.388</v>
          </cell>
          <cell r="F6398">
            <v>6</v>
          </cell>
        </row>
        <row r="6399">
          <cell r="A6399">
            <v>2018</v>
          </cell>
          <cell r="B6399" t="str">
            <v>Budget</v>
          </cell>
          <cell r="C6399" t="str">
            <v>Jun</v>
          </cell>
          <cell r="D6399" t="str">
            <v>Chairs</v>
          </cell>
          <cell r="E6399">
            <v>6230.6299999999992</v>
          </cell>
          <cell r="F6399">
            <v>6</v>
          </cell>
        </row>
        <row r="6400">
          <cell r="A6400">
            <v>2019</v>
          </cell>
          <cell r="B6400" t="str">
            <v>Actual</v>
          </cell>
          <cell r="C6400" t="str">
            <v>Jun</v>
          </cell>
          <cell r="D6400" t="str">
            <v>Chairs</v>
          </cell>
          <cell r="E6400">
            <v>6292.6849999999995</v>
          </cell>
          <cell r="F6400">
            <v>6</v>
          </cell>
        </row>
        <row r="6401">
          <cell r="A6401">
            <v>2019</v>
          </cell>
          <cell r="B6401" t="str">
            <v>Budget</v>
          </cell>
          <cell r="C6401" t="str">
            <v>Jun</v>
          </cell>
          <cell r="D6401" t="str">
            <v>Chairs</v>
          </cell>
          <cell r="E6401">
            <v>101267.348</v>
          </cell>
          <cell r="F6401">
            <v>6</v>
          </cell>
        </row>
        <row r="6402">
          <cell r="A6402">
            <v>2019</v>
          </cell>
          <cell r="B6402" t="str">
            <v>Actual</v>
          </cell>
          <cell r="C6402" t="str">
            <v>Jun</v>
          </cell>
          <cell r="D6402" t="str">
            <v>Chairs</v>
          </cell>
          <cell r="E6402">
            <v>265116.92200000002</v>
          </cell>
          <cell r="F6402">
            <v>6</v>
          </cell>
        </row>
        <row r="6403">
          <cell r="A6403">
            <v>2019</v>
          </cell>
          <cell r="B6403" t="str">
            <v>Budget</v>
          </cell>
          <cell r="C6403" t="str">
            <v>Jun</v>
          </cell>
          <cell r="D6403" t="str">
            <v>Chairs</v>
          </cell>
          <cell r="E6403">
            <v>45300.807999999997</v>
          </cell>
          <cell r="F6403">
            <v>6</v>
          </cell>
        </row>
        <row r="6404">
          <cell r="A6404">
            <v>2019</v>
          </cell>
          <cell r="B6404" t="str">
            <v>Actual</v>
          </cell>
          <cell r="C6404" t="str">
            <v>Jun</v>
          </cell>
          <cell r="D6404" t="str">
            <v>Chairs</v>
          </cell>
          <cell r="E6404">
            <v>7691.2780000000002</v>
          </cell>
          <cell r="F6404">
            <v>6</v>
          </cell>
        </row>
        <row r="6405">
          <cell r="A6405">
            <v>2019</v>
          </cell>
          <cell r="B6405" t="str">
            <v>Budget</v>
          </cell>
          <cell r="C6405" t="str">
            <v>Jun</v>
          </cell>
          <cell r="D6405" t="str">
            <v>Chairs</v>
          </cell>
          <cell r="E6405">
            <v>5158.076</v>
          </cell>
          <cell r="F6405">
            <v>6</v>
          </cell>
        </row>
        <row r="6406">
          <cell r="A6406">
            <v>2018</v>
          </cell>
          <cell r="B6406" t="str">
            <v>Actual</v>
          </cell>
          <cell r="C6406" t="str">
            <v>Jun</v>
          </cell>
          <cell r="D6406" t="str">
            <v>Chairs</v>
          </cell>
          <cell r="E6406">
            <v>1899.7439999999999</v>
          </cell>
          <cell r="F6406">
            <v>6</v>
          </cell>
        </row>
        <row r="6407">
          <cell r="A6407">
            <v>2019</v>
          </cell>
          <cell r="B6407" t="str">
            <v>Budget</v>
          </cell>
          <cell r="C6407" t="str">
            <v>Jun</v>
          </cell>
          <cell r="D6407" t="str">
            <v>Chairs</v>
          </cell>
          <cell r="E6407">
            <v>9455.0259999999998</v>
          </cell>
          <cell r="F6407">
            <v>6</v>
          </cell>
        </row>
        <row r="6408">
          <cell r="A6408">
            <v>2019</v>
          </cell>
          <cell r="B6408" t="str">
            <v>Actual</v>
          </cell>
          <cell r="C6408" t="str">
            <v>Jun</v>
          </cell>
          <cell r="D6408" t="str">
            <v>Chairs</v>
          </cell>
          <cell r="E6408">
            <v>9594.1509999999998</v>
          </cell>
          <cell r="F6408">
            <v>6</v>
          </cell>
        </row>
        <row r="6409">
          <cell r="A6409">
            <v>2018</v>
          </cell>
          <cell r="B6409" t="str">
            <v>Budget</v>
          </cell>
          <cell r="C6409" t="str">
            <v>Jun</v>
          </cell>
          <cell r="D6409" t="str">
            <v>Chairs</v>
          </cell>
          <cell r="E6409">
            <v>13911.484999999999</v>
          </cell>
          <cell r="F6409">
            <v>6</v>
          </cell>
        </row>
        <row r="6410">
          <cell r="A6410">
            <v>2018</v>
          </cell>
          <cell r="B6410" t="str">
            <v>Actual</v>
          </cell>
          <cell r="C6410" t="str">
            <v>Jun</v>
          </cell>
          <cell r="D6410" t="str">
            <v>Chairs</v>
          </cell>
          <cell r="E6410">
            <v>8942.226999999999</v>
          </cell>
          <cell r="F6410">
            <v>6</v>
          </cell>
        </row>
        <row r="6411">
          <cell r="A6411">
            <v>2018</v>
          </cell>
          <cell r="B6411" t="str">
            <v>Budget</v>
          </cell>
          <cell r="C6411" t="str">
            <v>Jun</v>
          </cell>
          <cell r="D6411" t="str">
            <v>Chairs</v>
          </cell>
          <cell r="E6411">
            <v>97755.867999999988</v>
          </cell>
          <cell r="F6411">
            <v>6</v>
          </cell>
        </row>
        <row r="6412">
          <cell r="A6412">
            <v>2018</v>
          </cell>
          <cell r="B6412" t="str">
            <v>Actual</v>
          </cell>
          <cell r="C6412" t="str">
            <v>Jun</v>
          </cell>
          <cell r="D6412" t="str">
            <v>Chairs</v>
          </cell>
          <cell r="E6412">
            <v>8176136.9479999999</v>
          </cell>
          <cell r="F6412">
            <v>6</v>
          </cell>
        </row>
        <row r="6413">
          <cell r="A6413">
            <v>2018</v>
          </cell>
          <cell r="B6413" t="str">
            <v>Budget</v>
          </cell>
          <cell r="C6413" t="str">
            <v>Jun</v>
          </cell>
          <cell r="D6413" t="str">
            <v>Chairs</v>
          </cell>
          <cell r="E6413">
            <v>38103.582999999999</v>
          </cell>
          <cell r="F6413">
            <v>6</v>
          </cell>
        </row>
        <row r="6414">
          <cell r="A6414">
            <v>2018</v>
          </cell>
          <cell r="B6414" t="str">
            <v>Actual</v>
          </cell>
          <cell r="C6414" t="str">
            <v>Jun</v>
          </cell>
          <cell r="D6414" t="str">
            <v>Chairs</v>
          </cell>
          <cell r="E6414">
            <v>303015.18800000002</v>
          </cell>
          <cell r="F6414">
            <v>6</v>
          </cell>
        </row>
        <row r="6415">
          <cell r="A6415">
            <v>2018</v>
          </cell>
          <cell r="B6415" t="str">
            <v>Budget</v>
          </cell>
          <cell r="C6415" t="str">
            <v>Jun</v>
          </cell>
          <cell r="D6415" t="str">
            <v>Chairs</v>
          </cell>
          <cell r="E6415">
            <v>383730.12299999996</v>
          </cell>
          <cell r="F6415">
            <v>6</v>
          </cell>
        </row>
        <row r="6416">
          <cell r="A6416">
            <v>2019</v>
          </cell>
          <cell r="B6416" t="str">
            <v>Actual</v>
          </cell>
          <cell r="C6416" t="str">
            <v>Jun</v>
          </cell>
          <cell r="D6416" t="str">
            <v>Chairs</v>
          </cell>
          <cell r="E6416">
            <v>519336.34899999993</v>
          </cell>
          <cell r="F6416">
            <v>6</v>
          </cell>
        </row>
        <row r="6417">
          <cell r="A6417">
            <v>2018</v>
          </cell>
          <cell r="B6417" t="str">
            <v>Budget</v>
          </cell>
          <cell r="C6417" t="str">
            <v>Jun</v>
          </cell>
          <cell r="D6417" t="str">
            <v>Chairs</v>
          </cell>
          <cell r="E6417">
            <v>28188.642999999996</v>
          </cell>
          <cell r="F6417">
            <v>6</v>
          </cell>
        </row>
        <row r="6418">
          <cell r="A6418">
            <v>2019</v>
          </cell>
          <cell r="B6418" t="str">
            <v>Actual</v>
          </cell>
          <cell r="C6418" t="str">
            <v>Jun</v>
          </cell>
          <cell r="D6418" t="str">
            <v>Chairs</v>
          </cell>
          <cell r="E6418">
            <v>71732.997000000003</v>
          </cell>
          <cell r="F6418">
            <v>6</v>
          </cell>
        </row>
        <row r="6419">
          <cell r="A6419">
            <v>2018</v>
          </cell>
          <cell r="B6419" t="str">
            <v>Budget</v>
          </cell>
          <cell r="C6419" t="str">
            <v>Jun</v>
          </cell>
          <cell r="D6419" t="str">
            <v>Tables</v>
          </cell>
          <cell r="E6419">
            <v>33605.936000000002</v>
          </cell>
          <cell r="F6419">
            <v>6</v>
          </cell>
        </row>
        <row r="6420">
          <cell r="A6420">
            <v>2018</v>
          </cell>
          <cell r="B6420" t="str">
            <v>Actual</v>
          </cell>
          <cell r="C6420" t="str">
            <v>Jun</v>
          </cell>
          <cell r="D6420" t="str">
            <v>Kitchen</v>
          </cell>
          <cell r="E6420">
            <v>41385.834000000003</v>
          </cell>
          <cell r="F6420">
            <v>6</v>
          </cell>
        </row>
        <row r="6421">
          <cell r="A6421">
            <v>2019</v>
          </cell>
          <cell r="B6421" t="str">
            <v>Budget</v>
          </cell>
          <cell r="C6421" t="str">
            <v>Jun</v>
          </cell>
          <cell r="D6421" t="str">
            <v>Chairs</v>
          </cell>
          <cell r="E6421">
            <v>3645.0259999999998</v>
          </cell>
          <cell r="F6421">
            <v>6</v>
          </cell>
        </row>
        <row r="6422">
          <cell r="A6422">
            <v>2018</v>
          </cell>
          <cell r="B6422" t="str">
            <v>Actual</v>
          </cell>
          <cell r="C6422" t="str">
            <v>Jun</v>
          </cell>
          <cell r="D6422" t="str">
            <v>Chairs</v>
          </cell>
          <cell r="E6422">
            <v>342775.00599999999</v>
          </cell>
          <cell r="F6422">
            <v>6</v>
          </cell>
        </row>
        <row r="6423">
          <cell r="A6423">
            <v>2018</v>
          </cell>
          <cell r="B6423" t="str">
            <v>Budget</v>
          </cell>
          <cell r="C6423" t="str">
            <v>Jun</v>
          </cell>
          <cell r="D6423" t="str">
            <v>Chairs</v>
          </cell>
          <cell r="E6423">
            <v>250176.682</v>
          </cell>
          <cell r="F6423">
            <v>6</v>
          </cell>
        </row>
        <row r="6424">
          <cell r="A6424">
            <v>2019</v>
          </cell>
          <cell r="B6424" t="str">
            <v>Actual</v>
          </cell>
          <cell r="C6424" t="str">
            <v>Jun</v>
          </cell>
          <cell r="D6424" t="str">
            <v>Chairs</v>
          </cell>
          <cell r="E6424">
            <v>295915.46599999996</v>
          </cell>
          <cell r="F6424">
            <v>6</v>
          </cell>
        </row>
        <row r="6425">
          <cell r="A6425">
            <v>2018</v>
          </cell>
          <cell r="B6425" t="str">
            <v>Budget</v>
          </cell>
          <cell r="C6425" t="str">
            <v>Jun</v>
          </cell>
          <cell r="D6425" t="str">
            <v>Chairs</v>
          </cell>
          <cell r="E6425">
            <v>104400.65999999999</v>
          </cell>
          <cell r="F6425">
            <v>6</v>
          </cell>
        </row>
        <row r="6426">
          <cell r="A6426">
            <v>2019</v>
          </cell>
          <cell r="B6426" t="str">
            <v>Actual</v>
          </cell>
          <cell r="C6426" t="str">
            <v>Jun</v>
          </cell>
          <cell r="D6426" t="str">
            <v>Tables</v>
          </cell>
          <cell r="E6426">
            <v>28764.315999999995</v>
          </cell>
          <cell r="F6426">
            <v>6</v>
          </cell>
        </row>
        <row r="6427">
          <cell r="A6427">
            <v>2019</v>
          </cell>
          <cell r="B6427" t="str">
            <v>Budget</v>
          </cell>
          <cell r="C6427" t="str">
            <v>Jun</v>
          </cell>
          <cell r="D6427" t="str">
            <v>Kitchen</v>
          </cell>
          <cell r="E6427">
            <v>48565.762000000002</v>
          </cell>
          <cell r="F6427">
            <v>6</v>
          </cell>
        </row>
        <row r="6428">
          <cell r="A6428">
            <v>2019</v>
          </cell>
          <cell r="B6428" t="str">
            <v>Actual</v>
          </cell>
          <cell r="C6428" t="str">
            <v>Jun</v>
          </cell>
          <cell r="D6428" t="str">
            <v>Chairs</v>
          </cell>
          <cell r="E6428">
            <v>1078963.2560000001</v>
          </cell>
          <cell r="F6428">
            <v>6</v>
          </cell>
        </row>
        <row r="6429">
          <cell r="A6429">
            <v>2018</v>
          </cell>
          <cell r="B6429" t="str">
            <v>Budget</v>
          </cell>
          <cell r="C6429" t="str">
            <v>Jun</v>
          </cell>
          <cell r="D6429" t="str">
            <v>Chairs</v>
          </cell>
          <cell r="E6429">
            <v>356102.73300000001</v>
          </cell>
          <cell r="F6429">
            <v>6</v>
          </cell>
        </row>
        <row r="6430">
          <cell r="A6430">
            <v>2018</v>
          </cell>
          <cell r="B6430" t="str">
            <v>Actual</v>
          </cell>
          <cell r="C6430" t="str">
            <v>Jun</v>
          </cell>
          <cell r="D6430" t="str">
            <v>Chairs</v>
          </cell>
          <cell r="E6430">
            <v>612602.10199999996</v>
          </cell>
          <cell r="F6430">
            <v>6</v>
          </cell>
        </row>
        <row r="6431">
          <cell r="A6431">
            <v>2018</v>
          </cell>
          <cell r="B6431" t="str">
            <v>Budget</v>
          </cell>
          <cell r="C6431" t="str">
            <v>Jun</v>
          </cell>
          <cell r="D6431" t="str">
            <v>Tables</v>
          </cell>
          <cell r="E6431">
            <v>5417.2859999999991</v>
          </cell>
          <cell r="F6431">
            <v>6</v>
          </cell>
        </row>
        <row r="6432">
          <cell r="A6432">
            <v>2019</v>
          </cell>
          <cell r="B6432" t="str">
            <v>Actual</v>
          </cell>
          <cell r="C6432" t="str">
            <v>Jun</v>
          </cell>
          <cell r="D6432" t="str">
            <v>Kitchen</v>
          </cell>
          <cell r="E6432">
            <v>21759.737999999998</v>
          </cell>
          <cell r="F6432">
            <v>6</v>
          </cell>
        </row>
        <row r="6433">
          <cell r="A6433">
            <v>2019</v>
          </cell>
          <cell r="B6433" t="str">
            <v>Budget</v>
          </cell>
          <cell r="C6433" t="str">
            <v>Jun</v>
          </cell>
          <cell r="D6433" t="str">
            <v>Chairs</v>
          </cell>
          <cell r="E6433">
            <v>740654.90099999995</v>
          </cell>
          <cell r="F6433">
            <v>6</v>
          </cell>
        </row>
        <row r="6434">
          <cell r="A6434">
            <v>2019</v>
          </cell>
          <cell r="B6434" t="str">
            <v>Actual</v>
          </cell>
          <cell r="C6434" t="str">
            <v>Jun</v>
          </cell>
          <cell r="D6434" t="str">
            <v>Chairs</v>
          </cell>
          <cell r="E6434">
            <v>8042.9299999999994</v>
          </cell>
          <cell r="F6434">
            <v>6</v>
          </cell>
        </row>
        <row r="6435">
          <cell r="A6435">
            <v>2019</v>
          </cell>
          <cell r="B6435" t="str">
            <v>Budget</v>
          </cell>
          <cell r="C6435" t="str">
            <v>Jun</v>
          </cell>
          <cell r="D6435" t="str">
            <v>Tables</v>
          </cell>
          <cell r="E6435">
            <v>29472.491999999995</v>
          </cell>
          <cell r="F6435">
            <v>6</v>
          </cell>
        </row>
        <row r="6436">
          <cell r="A6436">
            <v>2019</v>
          </cell>
          <cell r="B6436" t="str">
            <v>Actual</v>
          </cell>
          <cell r="C6436" t="str">
            <v>Jun</v>
          </cell>
          <cell r="D6436" t="str">
            <v>Kitchen</v>
          </cell>
          <cell r="E6436">
            <v>158362.18299999999</v>
          </cell>
          <cell r="F6436">
            <v>6</v>
          </cell>
        </row>
        <row r="6437">
          <cell r="A6437">
            <v>2018</v>
          </cell>
          <cell r="B6437" t="str">
            <v>Budget</v>
          </cell>
          <cell r="C6437" t="str">
            <v>Jun</v>
          </cell>
          <cell r="D6437" t="str">
            <v>Chairs</v>
          </cell>
          <cell r="E6437">
            <v>23429.489999999998</v>
          </cell>
          <cell r="F6437">
            <v>6</v>
          </cell>
        </row>
        <row r="6438">
          <cell r="A6438">
            <v>2018</v>
          </cell>
          <cell r="B6438" t="str">
            <v>Actual</v>
          </cell>
          <cell r="C6438" t="str">
            <v>Jun</v>
          </cell>
          <cell r="D6438" t="str">
            <v>Chairs</v>
          </cell>
          <cell r="E6438">
            <v>2543538.9279999998</v>
          </cell>
          <cell r="F6438">
            <v>6</v>
          </cell>
        </row>
        <row r="6439">
          <cell r="A6439">
            <v>2019</v>
          </cell>
          <cell r="B6439" t="str">
            <v>Budget</v>
          </cell>
          <cell r="C6439" t="str">
            <v>Jun</v>
          </cell>
          <cell r="D6439" t="str">
            <v>Chairs</v>
          </cell>
          <cell r="E6439">
            <v>307118.23800000001</v>
          </cell>
          <cell r="F6439">
            <v>6</v>
          </cell>
        </row>
        <row r="6440">
          <cell r="A6440">
            <v>2018</v>
          </cell>
          <cell r="B6440" t="str">
            <v>Actual</v>
          </cell>
          <cell r="C6440" t="str">
            <v>Jun</v>
          </cell>
          <cell r="D6440" t="str">
            <v>Tables</v>
          </cell>
          <cell r="E6440">
            <v>244961.21999999997</v>
          </cell>
          <cell r="F6440">
            <v>6</v>
          </cell>
        </row>
        <row r="6441">
          <cell r="A6441">
            <v>2018</v>
          </cell>
          <cell r="B6441" t="str">
            <v>Budget</v>
          </cell>
          <cell r="C6441" t="str">
            <v>Jun</v>
          </cell>
          <cell r="D6441" t="str">
            <v>Kitchen</v>
          </cell>
          <cell r="E6441">
            <v>124970.216</v>
          </cell>
          <cell r="F6441">
            <v>6</v>
          </cell>
        </row>
        <row r="6442">
          <cell r="A6442">
            <v>2018</v>
          </cell>
          <cell r="B6442" t="str">
            <v>Actual</v>
          </cell>
          <cell r="C6442" t="str">
            <v>Jun</v>
          </cell>
          <cell r="D6442" t="str">
            <v>Accessories</v>
          </cell>
          <cell r="E6442">
            <v>59887.687999999995</v>
          </cell>
          <cell r="F6442">
            <v>6</v>
          </cell>
        </row>
        <row r="6443">
          <cell r="A6443">
            <v>2018</v>
          </cell>
          <cell r="B6443" t="str">
            <v>Budget</v>
          </cell>
          <cell r="C6443" t="str">
            <v>Jun</v>
          </cell>
          <cell r="D6443" t="str">
            <v>Chairs</v>
          </cell>
          <cell r="E6443">
            <v>17032.896999999997</v>
          </cell>
          <cell r="F6443">
            <v>6</v>
          </cell>
        </row>
        <row r="6444">
          <cell r="A6444">
            <v>2018</v>
          </cell>
          <cell r="B6444" t="str">
            <v>Actual</v>
          </cell>
          <cell r="C6444" t="str">
            <v>Jun</v>
          </cell>
          <cell r="D6444" t="str">
            <v>Tables</v>
          </cell>
          <cell r="E6444">
            <v>64358.034999999996</v>
          </cell>
          <cell r="F6444">
            <v>6</v>
          </cell>
        </row>
        <row r="6445">
          <cell r="A6445">
            <v>2019</v>
          </cell>
          <cell r="B6445" t="str">
            <v>Budget</v>
          </cell>
          <cell r="C6445" t="str">
            <v>Jun</v>
          </cell>
          <cell r="D6445" t="str">
            <v>Kitchen</v>
          </cell>
          <cell r="E6445">
            <v>298815.56599999999</v>
          </cell>
          <cell r="F6445">
            <v>6</v>
          </cell>
        </row>
        <row r="6446">
          <cell r="A6446">
            <v>2018</v>
          </cell>
          <cell r="B6446" t="str">
            <v>Actual</v>
          </cell>
          <cell r="C6446" t="str">
            <v>Jun</v>
          </cell>
          <cell r="D6446" t="str">
            <v>Accessories</v>
          </cell>
          <cell r="E6446">
            <v>44798.417999999998</v>
          </cell>
          <cell r="F6446">
            <v>6</v>
          </cell>
        </row>
        <row r="6447">
          <cell r="A6447">
            <v>2018</v>
          </cell>
          <cell r="B6447" t="str">
            <v>Budget</v>
          </cell>
          <cell r="C6447" t="str">
            <v>Jun</v>
          </cell>
          <cell r="D6447" t="str">
            <v>Chairs</v>
          </cell>
          <cell r="E6447">
            <v>62294.077999999994</v>
          </cell>
          <cell r="F6447">
            <v>6</v>
          </cell>
        </row>
        <row r="6448">
          <cell r="A6448">
            <v>2018</v>
          </cell>
          <cell r="B6448" t="str">
            <v>Actual</v>
          </cell>
          <cell r="C6448" t="str">
            <v>Jun</v>
          </cell>
          <cell r="D6448" t="str">
            <v>Tables</v>
          </cell>
          <cell r="E6448">
            <v>176606.90599999999</v>
          </cell>
          <cell r="F6448">
            <v>6</v>
          </cell>
        </row>
        <row r="6449">
          <cell r="A6449">
            <v>2019</v>
          </cell>
          <cell r="B6449" t="str">
            <v>Budget</v>
          </cell>
          <cell r="C6449" t="str">
            <v>Jun</v>
          </cell>
          <cell r="D6449" t="str">
            <v>Kitchen</v>
          </cell>
          <cell r="E6449">
            <v>260765.88299999997</v>
          </cell>
          <cell r="F6449">
            <v>6</v>
          </cell>
        </row>
        <row r="6450">
          <cell r="A6450">
            <v>2019</v>
          </cell>
          <cell r="B6450" t="str">
            <v>Actual</v>
          </cell>
          <cell r="C6450" t="str">
            <v>Jun</v>
          </cell>
          <cell r="D6450" t="str">
            <v>Accessories</v>
          </cell>
          <cell r="E6450">
            <v>260700.307</v>
          </cell>
          <cell r="F6450">
            <v>6</v>
          </cell>
        </row>
        <row r="6451">
          <cell r="A6451">
            <v>2019</v>
          </cell>
          <cell r="B6451" t="str">
            <v>Budget</v>
          </cell>
          <cell r="C6451" t="str">
            <v>Jun</v>
          </cell>
          <cell r="D6451" t="str">
            <v>Chairs</v>
          </cell>
          <cell r="E6451">
            <v>330134.95199999999</v>
          </cell>
          <cell r="F6451">
            <v>6</v>
          </cell>
        </row>
        <row r="6452">
          <cell r="A6452">
            <v>2018</v>
          </cell>
          <cell r="B6452" t="str">
            <v>Actual</v>
          </cell>
          <cell r="C6452" t="str">
            <v>Jun</v>
          </cell>
          <cell r="D6452" t="str">
            <v>Tables</v>
          </cell>
          <cell r="E6452">
            <v>124734.58899999998</v>
          </cell>
          <cell r="F6452">
            <v>6</v>
          </cell>
        </row>
        <row r="6453">
          <cell r="A6453">
            <v>2019</v>
          </cell>
          <cell r="B6453" t="str">
            <v>Budget</v>
          </cell>
          <cell r="C6453" t="str">
            <v>Jun</v>
          </cell>
          <cell r="D6453" t="str">
            <v>Kitchen</v>
          </cell>
          <cell r="E6453">
            <v>2283694.7139999997</v>
          </cell>
          <cell r="F6453">
            <v>6</v>
          </cell>
        </row>
        <row r="6454">
          <cell r="A6454">
            <v>2018</v>
          </cell>
          <cell r="B6454" t="str">
            <v>Actual</v>
          </cell>
          <cell r="C6454" t="str">
            <v>Jun</v>
          </cell>
          <cell r="D6454" t="str">
            <v>Accessories</v>
          </cell>
          <cell r="E6454">
            <v>90762.279999999984</v>
          </cell>
          <cell r="F6454">
            <v>6</v>
          </cell>
        </row>
        <row r="6455">
          <cell r="A6455">
            <v>2018</v>
          </cell>
          <cell r="B6455" t="str">
            <v>Budget</v>
          </cell>
          <cell r="C6455" t="str">
            <v>Jun</v>
          </cell>
          <cell r="D6455" t="str">
            <v>Chairs</v>
          </cell>
          <cell r="E6455">
            <v>1030250.0599999999</v>
          </cell>
          <cell r="F6455">
            <v>6</v>
          </cell>
        </row>
        <row r="6456">
          <cell r="A6456">
            <v>2019</v>
          </cell>
          <cell r="B6456" t="str">
            <v>Actual</v>
          </cell>
          <cell r="C6456" t="str">
            <v>Jun</v>
          </cell>
          <cell r="D6456" t="str">
            <v>Chairs</v>
          </cell>
          <cell r="E6456">
            <v>260504.223</v>
          </cell>
          <cell r="F6456">
            <v>6</v>
          </cell>
        </row>
        <row r="6457">
          <cell r="A6457">
            <v>2019</v>
          </cell>
          <cell r="B6457" t="str">
            <v>Budget</v>
          </cell>
          <cell r="C6457" t="str">
            <v>Jun</v>
          </cell>
          <cell r="D6457" t="str">
            <v>Tables</v>
          </cell>
          <cell r="E6457">
            <v>53128.733</v>
          </cell>
          <cell r="F6457">
            <v>6</v>
          </cell>
        </row>
        <row r="6458">
          <cell r="A6458">
            <v>2019</v>
          </cell>
          <cell r="B6458" t="str">
            <v>Actual</v>
          </cell>
          <cell r="C6458" t="str">
            <v>Jun</v>
          </cell>
          <cell r="D6458" t="str">
            <v>Kitchen</v>
          </cell>
          <cell r="E6458">
            <v>21638044.673</v>
          </cell>
          <cell r="F6458">
            <v>6</v>
          </cell>
        </row>
        <row r="6459">
          <cell r="A6459">
            <v>2019</v>
          </cell>
          <cell r="B6459" t="str">
            <v>Budget</v>
          </cell>
          <cell r="C6459" t="str">
            <v>Jun</v>
          </cell>
          <cell r="D6459" t="str">
            <v>Chairs</v>
          </cell>
          <cell r="E6459">
            <v>24892621.375999998</v>
          </cell>
          <cell r="F6459">
            <v>6</v>
          </cell>
        </row>
        <row r="6460">
          <cell r="A6460">
            <v>2018</v>
          </cell>
          <cell r="B6460" t="str">
            <v>Actual</v>
          </cell>
          <cell r="C6460" t="str">
            <v>Jun</v>
          </cell>
          <cell r="D6460" t="str">
            <v>Tables</v>
          </cell>
          <cell r="E6460">
            <v>6213401.2220000001</v>
          </cell>
          <cell r="F6460">
            <v>6</v>
          </cell>
        </row>
        <row r="6461">
          <cell r="A6461">
            <v>2019</v>
          </cell>
          <cell r="B6461" t="str">
            <v>Budget</v>
          </cell>
          <cell r="C6461" t="str">
            <v>Jun</v>
          </cell>
          <cell r="D6461" t="str">
            <v>Kitchen</v>
          </cell>
          <cell r="E6461">
            <v>12456900.897</v>
          </cell>
          <cell r="F6461">
            <v>6</v>
          </cell>
        </row>
        <row r="6462">
          <cell r="A6462">
            <v>2018</v>
          </cell>
          <cell r="B6462" t="str">
            <v>Actual</v>
          </cell>
          <cell r="C6462" t="str">
            <v>Jun</v>
          </cell>
          <cell r="D6462" t="str">
            <v>Chairs</v>
          </cell>
          <cell r="E6462">
            <v>28526062.977999996</v>
          </cell>
          <cell r="F6462">
            <v>6</v>
          </cell>
        </row>
        <row r="6463">
          <cell r="A6463">
            <v>2018</v>
          </cell>
          <cell r="B6463" t="str">
            <v>Budget</v>
          </cell>
          <cell r="C6463" t="str">
            <v>Jun</v>
          </cell>
          <cell r="D6463" t="str">
            <v>Tables</v>
          </cell>
          <cell r="E6463">
            <v>9595520.7879999988</v>
          </cell>
          <cell r="F6463">
            <v>6</v>
          </cell>
        </row>
        <row r="6464">
          <cell r="A6464">
            <v>2019</v>
          </cell>
          <cell r="B6464" t="str">
            <v>Actual</v>
          </cell>
          <cell r="C6464" t="str">
            <v>Jun</v>
          </cell>
          <cell r="D6464" t="str">
            <v>Kitchen</v>
          </cell>
          <cell r="E6464">
            <v>977363.14199999999</v>
          </cell>
          <cell r="F6464">
            <v>6</v>
          </cell>
        </row>
        <row r="6465">
          <cell r="A6465">
            <v>2019</v>
          </cell>
          <cell r="B6465" t="str">
            <v>Budget</v>
          </cell>
          <cell r="C6465" t="str">
            <v>Jun</v>
          </cell>
          <cell r="D6465" t="str">
            <v>Chairs</v>
          </cell>
          <cell r="E6465">
            <v>313818.06400000001</v>
          </cell>
          <cell r="F6465">
            <v>6</v>
          </cell>
        </row>
        <row r="6466">
          <cell r="A6466">
            <v>2018</v>
          </cell>
          <cell r="B6466" t="str">
            <v>Actual</v>
          </cell>
          <cell r="C6466" t="str">
            <v>Jun</v>
          </cell>
          <cell r="D6466" t="str">
            <v>Chairs</v>
          </cell>
          <cell r="E6466">
            <v>6604503.800999999</v>
          </cell>
          <cell r="F6466">
            <v>6</v>
          </cell>
        </row>
        <row r="6467">
          <cell r="A6467">
            <v>2018</v>
          </cell>
          <cell r="B6467" t="str">
            <v>Budget</v>
          </cell>
          <cell r="C6467" t="str">
            <v>Jun</v>
          </cell>
          <cell r="D6467" t="str">
            <v>Chairs</v>
          </cell>
          <cell r="E6467">
            <v>4881554.5659999996</v>
          </cell>
          <cell r="F6467">
            <v>6</v>
          </cell>
        </row>
        <row r="6468">
          <cell r="A6468">
            <v>2018</v>
          </cell>
          <cell r="B6468" t="str">
            <v>Actual</v>
          </cell>
          <cell r="C6468" t="str">
            <v>Jun</v>
          </cell>
          <cell r="D6468" t="str">
            <v>Chairs</v>
          </cell>
          <cell r="E6468">
            <v>3814062.5879999995</v>
          </cell>
          <cell r="F6468">
            <v>6</v>
          </cell>
        </row>
        <row r="6469">
          <cell r="A6469">
            <v>2019</v>
          </cell>
          <cell r="B6469" t="str">
            <v>Budget</v>
          </cell>
          <cell r="C6469" t="str">
            <v>Jun</v>
          </cell>
          <cell r="D6469" t="str">
            <v>Chairs</v>
          </cell>
          <cell r="E6469">
            <v>6581883.9309999999</v>
          </cell>
          <cell r="F6469">
            <v>6</v>
          </cell>
        </row>
        <row r="6470">
          <cell r="A6470">
            <v>2018</v>
          </cell>
          <cell r="B6470" t="str">
            <v>Actual</v>
          </cell>
          <cell r="C6470" t="str">
            <v>Jun</v>
          </cell>
          <cell r="D6470" t="str">
            <v>Chairs</v>
          </cell>
          <cell r="E6470">
            <v>20724428.535999998</v>
          </cell>
          <cell r="F6470">
            <v>6</v>
          </cell>
        </row>
        <row r="6471">
          <cell r="A6471">
            <v>2018</v>
          </cell>
          <cell r="B6471" t="str">
            <v>Budget</v>
          </cell>
          <cell r="C6471" t="str">
            <v>Jun</v>
          </cell>
          <cell r="D6471" t="str">
            <v>Chairs</v>
          </cell>
          <cell r="E6471">
            <v>13176948.134</v>
          </cell>
          <cell r="F6471">
            <v>6</v>
          </cell>
        </row>
        <row r="6472">
          <cell r="A6472">
            <v>2019</v>
          </cell>
          <cell r="B6472" t="str">
            <v>Actual</v>
          </cell>
          <cell r="C6472" t="str">
            <v>Jun</v>
          </cell>
          <cell r="D6472" t="str">
            <v>Chairs</v>
          </cell>
          <cell r="E6472">
            <v>13168593.522</v>
          </cell>
          <cell r="F6472">
            <v>6</v>
          </cell>
        </row>
        <row r="6473">
          <cell r="A6473">
            <v>2018</v>
          </cell>
          <cell r="B6473" t="str">
            <v>Budget</v>
          </cell>
          <cell r="C6473" t="str">
            <v>Jun</v>
          </cell>
          <cell r="D6473" t="str">
            <v>Chairs</v>
          </cell>
          <cell r="E6473">
            <v>17264369.765999999</v>
          </cell>
          <cell r="F6473">
            <v>6</v>
          </cell>
        </row>
        <row r="6474">
          <cell r="A6474">
            <v>2019</v>
          </cell>
          <cell r="B6474" t="str">
            <v>Actual</v>
          </cell>
          <cell r="C6474" t="str">
            <v>Jun</v>
          </cell>
          <cell r="D6474" t="str">
            <v>Chairs</v>
          </cell>
          <cell r="E6474">
            <v>5969142.6829999993</v>
          </cell>
          <cell r="F6474">
            <v>6</v>
          </cell>
        </row>
        <row r="6475">
          <cell r="A6475">
            <v>2019</v>
          </cell>
          <cell r="B6475" t="str">
            <v>Budget</v>
          </cell>
          <cell r="C6475" t="str">
            <v>Jun</v>
          </cell>
          <cell r="D6475" t="str">
            <v>Chairs</v>
          </cell>
          <cell r="E6475">
            <v>145872.94399999999</v>
          </cell>
          <cell r="F6475">
            <v>6</v>
          </cell>
        </row>
        <row r="6476">
          <cell r="A6476">
            <v>2018</v>
          </cell>
          <cell r="B6476" t="str">
            <v>Actual</v>
          </cell>
          <cell r="C6476" t="str">
            <v>Jun</v>
          </cell>
          <cell r="D6476" t="str">
            <v>Chairs</v>
          </cell>
          <cell r="E6476">
            <v>776549.55699999991</v>
          </cell>
          <cell r="F6476">
            <v>6</v>
          </cell>
        </row>
        <row r="6477">
          <cell r="A6477">
            <v>2019</v>
          </cell>
          <cell r="B6477" t="str">
            <v>Budget</v>
          </cell>
          <cell r="C6477" t="str">
            <v>Jun</v>
          </cell>
          <cell r="D6477" t="str">
            <v>Chairs</v>
          </cell>
          <cell r="E6477">
            <v>518171.12199999992</v>
          </cell>
          <cell r="F6477">
            <v>6</v>
          </cell>
        </row>
        <row r="6478">
          <cell r="A6478">
            <v>2019</v>
          </cell>
          <cell r="B6478" t="str">
            <v>Actual</v>
          </cell>
          <cell r="C6478" t="str">
            <v>Jun</v>
          </cell>
          <cell r="D6478" t="str">
            <v>Chairs</v>
          </cell>
          <cell r="E6478">
            <v>90735.154999999984</v>
          </cell>
          <cell r="F6478">
            <v>6</v>
          </cell>
        </row>
        <row r="6479">
          <cell r="A6479">
            <v>2018</v>
          </cell>
          <cell r="B6479" t="str">
            <v>Budget</v>
          </cell>
          <cell r="C6479" t="str">
            <v>Jun</v>
          </cell>
          <cell r="D6479" t="str">
            <v>Chairs</v>
          </cell>
          <cell r="E6479">
            <v>42932.26</v>
          </cell>
          <cell r="F6479">
            <v>6</v>
          </cell>
        </row>
        <row r="6480">
          <cell r="A6480">
            <v>2018</v>
          </cell>
          <cell r="B6480" t="str">
            <v>Actual</v>
          </cell>
          <cell r="C6480" t="str">
            <v>Jun</v>
          </cell>
          <cell r="D6480" t="str">
            <v>Chairs</v>
          </cell>
          <cell r="E6480">
            <v>822838.77899999998</v>
          </cell>
          <cell r="F6480">
            <v>6</v>
          </cell>
        </row>
        <row r="6481">
          <cell r="A6481">
            <v>2018</v>
          </cell>
          <cell r="B6481" t="str">
            <v>Budget</v>
          </cell>
          <cell r="C6481" t="str">
            <v>Jun</v>
          </cell>
          <cell r="D6481" t="str">
            <v>Chairs</v>
          </cell>
          <cell r="E6481">
            <v>483058.51299999992</v>
          </cell>
          <cell r="F6481">
            <v>6</v>
          </cell>
        </row>
        <row r="6482">
          <cell r="A6482">
            <v>2018</v>
          </cell>
          <cell r="B6482" t="str">
            <v>Actual</v>
          </cell>
          <cell r="C6482" t="str">
            <v>Jun</v>
          </cell>
          <cell r="D6482" t="str">
            <v>Chairs</v>
          </cell>
          <cell r="E6482">
            <v>5696406.4639999997</v>
          </cell>
          <cell r="F6482">
            <v>6</v>
          </cell>
        </row>
        <row r="6483">
          <cell r="A6483">
            <v>2019</v>
          </cell>
          <cell r="B6483" t="str">
            <v>Budget</v>
          </cell>
          <cell r="C6483" t="str">
            <v>Jun</v>
          </cell>
          <cell r="D6483" t="str">
            <v>Chairs</v>
          </cell>
          <cell r="E6483">
            <v>176058.91099999999</v>
          </cell>
          <cell r="F6483">
            <v>6</v>
          </cell>
        </row>
        <row r="6484">
          <cell r="A6484">
            <v>2019</v>
          </cell>
          <cell r="B6484" t="str">
            <v>Actual</v>
          </cell>
          <cell r="C6484" t="str">
            <v>Jun</v>
          </cell>
          <cell r="D6484" t="str">
            <v>Chairs</v>
          </cell>
          <cell r="E6484">
            <v>5345572.7009999994</v>
          </cell>
          <cell r="F6484">
            <v>6</v>
          </cell>
        </row>
        <row r="6485">
          <cell r="A6485">
            <v>2018</v>
          </cell>
          <cell r="B6485" t="str">
            <v>Budget</v>
          </cell>
          <cell r="C6485" t="str">
            <v>Jun</v>
          </cell>
          <cell r="D6485" t="str">
            <v>Chairs</v>
          </cell>
          <cell r="E6485">
            <v>1725153.8219999999</v>
          </cell>
          <cell r="F6485">
            <v>6</v>
          </cell>
        </row>
        <row r="6486">
          <cell r="A6486">
            <v>2018</v>
          </cell>
          <cell r="B6486" t="str">
            <v>Actual</v>
          </cell>
          <cell r="C6486" t="str">
            <v>Jun</v>
          </cell>
          <cell r="D6486" t="str">
            <v>Chairs</v>
          </cell>
          <cell r="E6486">
            <v>23315230.770999998</v>
          </cell>
          <cell r="F6486">
            <v>6</v>
          </cell>
        </row>
        <row r="6487">
          <cell r="A6487">
            <v>2018</v>
          </cell>
          <cell r="B6487" t="str">
            <v>Budget</v>
          </cell>
          <cell r="C6487" t="str">
            <v>Jun</v>
          </cell>
          <cell r="D6487" t="str">
            <v>Chairs</v>
          </cell>
          <cell r="E6487">
            <v>19810737.505999997</v>
          </cell>
          <cell r="F6487">
            <v>6</v>
          </cell>
        </row>
        <row r="6488">
          <cell r="A6488">
            <v>2019</v>
          </cell>
          <cell r="B6488" t="str">
            <v>Actual</v>
          </cell>
          <cell r="C6488" t="str">
            <v>Jun</v>
          </cell>
          <cell r="D6488" t="str">
            <v>Chairs</v>
          </cell>
          <cell r="E6488">
            <v>52449620.236999996</v>
          </cell>
          <cell r="F6488">
            <v>6</v>
          </cell>
        </row>
        <row r="6489">
          <cell r="A6489">
            <v>2018</v>
          </cell>
          <cell r="B6489" t="str">
            <v>Budget</v>
          </cell>
          <cell r="C6489" t="str">
            <v>Jun</v>
          </cell>
          <cell r="D6489" t="str">
            <v>Chairs</v>
          </cell>
          <cell r="E6489">
            <v>18312.335999999999</v>
          </cell>
          <cell r="F6489">
            <v>6</v>
          </cell>
        </row>
        <row r="6490">
          <cell r="A6490">
            <v>2018</v>
          </cell>
          <cell r="B6490" t="str">
            <v>Actual</v>
          </cell>
          <cell r="C6490" t="str">
            <v>Jun</v>
          </cell>
          <cell r="D6490" t="str">
            <v>Chairs</v>
          </cell>
          <cell r="E6490">
            <v>15871051.07</v>
          </cell>
          <cell r="F6490">
            <v>6</v>
          </cell>
        </row>
        <row r="6491">
          <cell r="A6491">
            <v>2018</v>
          </cell>
          <cell r="B6491" t="str">
            <v>Budget</v>
          </cell>
          <cell r="C6491" t="str">
            <v>Jun</v>
          </cell>
          <cell r="D6491" t="str">
            <v>Tables</v>
          </cell>
          <cell r="E6491">
            <v>22441122.088</v>
          </cell>
          <cell r="F6491">
            <v>6</v>
          </cell>
        </row>
        <row r="6492">
          <cell r="A6492">
            <v>2018</v>
          </cell>
          <cell r="B6492" t="str">
            <v>Actual</v>
          </cell>
          <cell r="C6492" t="str">
            <v>Jun</v>
          </cell>
          <cell r="D6492" t="str">
            <v>Kitchen</v>
          </cell>
          <cell r="E6492">
            <v>13523382.984999999</v>
          </cell>
          <cell r="F6492">
            <v>6</v>
          </cell>
        </row>
        <row r="6493">
          <cell r="A6493">
            <v>2018</v>
          </cell>
          <cell r="B6493" t="str">
            <v>Budget</v>
          </cell>
          <cell r="C6493" t="str">
            <v>Jun</v>
          </cell>
          <cell r="D6493" t="str">
            <v>Chairs</v>
          </cell>
          <cell r="E6493">
            <v>2668273.0619999999</v>
          </cell>
          <cell r="F6493">
            <v>6</v>
          </cell>
        </row>
        <row r="6494">
          <cell r="A6494">
            <v>2019</v>
          </cell>
          <cell r="B6494" t="str">
            <v>Actual</v>
          </cell>
          <cell r="C6494" t="str">
            <v>Jul</v>
          </cell>
          <cell r="D6494" t="str">
            <v>Chairs</v>
          </cell>
          <cell r="E6494">
            <v>256105.31799999997</v>
          </cell>
          <cell r="F6494">
            <v>7</v>
          </cell>
        </row>
        <row r="6495">
          <cell r="A6495">
            <v>2019</v>
          </cell>
          <cell r="B6495" t="str">
            <v>Budget</v>
          </cell>
          <cell r="C6495" t="str">
            <v>Jul</v>
          </cell>
          <cell r="D6495" t="str">
            <v>Chairs</v>
          </cell>
          <cell r="E6495">
            <v>-38120.362000000001</v>
          </cell>
          <cell r="F6495">
            <v>7</v>
          </cell>
        </row>
        <row r="6496">
          <cell r="A6496">
            <v>2019</v>
          </cell>
          <cell r="B6496" t="str">
            <v>Actual</v>
          </cell>
          <cell r="C6496" t="str">
            <v>Jul</v>
          </cell>
          <cell r="D6496" t="str">
            <v>Chairs</v>
          </cell>
          <cell r="E6496">
            <v>1318829.2109999999</v>
          </cell>
          <cell r="F6496">
            <v>7</v>
          </cell>
        </row>
        <row r="6497">
          <cell r="A6497">
            <v>2019</v>
          </cell>
          <cell r="B6497" t="str">
            <v>Budget</v>
          </cell>
          <cell r="C6497" t="str">
            <v>Jul</v>
          </cell>
          <cell r="D6497" t="str">
            <v>Chairs</v>
          </cell>
          <cell r="E6497">
            <v>151441.86399999997</v>
          </cell>
          <cell r="F6497">
            <v>7</v>
          </cell>
        </row>
        <row r="6498">
          <cell r="A6498">
            <v>2019</v>
          </cell>
          <cell r="B6498" t="str">
            <v>Actual</v>
          </cell>
          <cell r="C6498" t="str">
            <v>Jul</v>
          </cell>
          <cell r="D6498" t="str">
            <v>Tables</v>
          </cell>
          <cell r="E6498">
            <v>6087.9979999999996</v>
          </cell>
          <cell r="F6498">
            <v>7</v>
          </cell>
        </row>
        <row r="6499">
          <cell r="A6499">
            <v>2019</v>
          </cell>
          <cell r="B6499" t="str">
            <v>Budget</v>
          </cell>
          <cell r="C6499" t="str">
            <v>Jul</v>
          </cell>
          <cell r="D6499" t="str">
            <v>Kitchen</v>
          </cell>
          <cell r="E6499">
            <v>-101578.071</v>
          </cell>
          <cell r="F6499">
            <v>7</v>
          </cell>
        </row>
        <row r="6500">
          <cell r="A6500">
            <v>2018</v>
          </cell>
          <cell r="B6500" t="str">
            <v>Actual</v>
          </cell>
          <cell r="C6500" t="str">
            <v>Jul</v>
          </cell>
          <cell r="D6500" t="str">
            <v>Chairs</v>
          </cell>
          <cell r="E6500">
            <v>1101278.885</v>
          </cell>
          <cell r="F6500">
            <v>7</v>
          </cell>
        </row>
        <row r="6501">
          <cell r="A6501">
            <v>2019</v>
          </cell>
          <cell r="B6501" t="str">
            <v>Budget</v>
          </cell>
          <cell r="C6501" t="str">
            <v>Jul</v>
          </cell>
          <cell r="D6501" t="str">
            <v>Chairs</v>
          </cell>
          <cell r="E6501">
            <v>545985.91599999997</v>
          </cell>
          <cell r="F6501">
            <v>7</v>
          </cell>
        </row>
        <row r="6502">
          <cell r="A6502">
            <v>2018</v>
          </cell>
          <cell r="B6502" t="str">
            <v>Actual</v>
          </cell>
          <cell r="C6502" t="str">
            <v>Jul</v>
          </cell>
          <cell r="D6502" t="str">
            <v>Chairs</v>
          </cell>
          <cell r="E6502">
            <v>28097.482</v>
          </cell>
          <cell r="F6502">
            <v>7</v>
          </cell>
        </row>
        <row r="6503">
          <cell r="A6503">
            <v>2018</v>
          </cell>
          <cell r="B6503" t="str">
            <v>Budget</v>
          </cell>
          <cell r="C6503" t="str">
            <v>Jul</v>
          </cell>
          <cell r="D6503" t="str">
            <v>Tables</v>
          </cell>
          <cell r="E6503">
            <v>80999.183999999994</v>
          </cell>
          <cell r="F6503">
            <v>7</v>
          </cell>
        </row>
        <row r="6504">
          <cell r="A6504">
            <v>2019</v>
          </cell>
          <cell r="B6504" t="str">
            <v>Actual</v>
          </cell>
          <cell r="C6504" t="str">
            <v>Jul</v>
          </cell>
          <cell r="D6504" t="str">
            <v>Kitchen</v>
          </cell>
          <cell r="E6504">
            <v>14429.785999999998</v>
          </cell>
          <cell r="F6504">
            <v>7</v>
          </cell>
        </row>
        <row r="6505">
          <cell r="A6505">
            <v>2019</v>
          </cell>
          <cell r="B6505" t="str">
            <v>Budget</v>
          </cell>
          <cell r="C6505" t="str">
            <v>Jul</v>
          </cell>
          <cell r="D6505" t="str">
            <v>Chairs</v>
          </cell>
          <cell r="E6505">
            <v>-21158.543000000001</v>
          </cell>
          <cell r="F6505">
            <v>7</v>
          </cell>
        </row>
        <row r="6506">
          <cell r="A6506">
            <v>2019</v>
          </cell>
          <cell r="B6506" t="str">
            <v>Actual</v>
          </cell>
          <cell r="C6506" t="str">
            <v>Jul</v>
          </cell>
          <cell r="D6506" t="str">
            <v>Chairs</v>
          </cell>
          <cell r="E6506">
            <v>211173.91399999999</v>
          </cell>
          <cell r="F6506">
            <v>7</v>
          </cell>
        </row>
        <row r="6507">
          <cell r="A6507">
            <v>2018</v>
          </cell>
          <cell r="B6507" t="str">
            <v>Budget</v>
          </cell>
          <cell r="C6507" t="str">
            <v>Jul</v>
          </cell>
          <cell r="D6507" t="str">
            <v>Tables</v>
          </cell>
          <cell r="E6507">
            <v>-975.26799999999992</v>
          </cell>
          <cell r="F6507">
            <v>7</v>
          </cell>
        </row>
        <row r="6508">
          <cell r="A6508">
            <v>2018</v>
          </cell>
          <cell r="B6508" t="str">
            <v>Actual</v>
          </cell>
          <cell r="C6508" t="str">
            <v>Jul</v>
          </cell>
          <cell r="D6508" t="str">
            <v>Kitchen</v>
          </cell>
          <cell r="E6508">
            <v>1032865.7849999999</v>
          </cell>
          <cell r="F6508">
            <v>7</v>
          </cell>
        </row>
        <row r="6509">
          <cell r="A6509">
            <v>2019</v>
          </cell>
          <cell r="B6509" t="str">
            <v>Budget</v>
          </cell>
          <cell r="C6509" t="str">
            <v>Jul</v>
          </cell>
          <cell r="D6509" t="str">
            <v>Chairs</v>
          </cell>
          <cell r="E6509">
            <v>65781.687999999995</v>
          </cell>
          <cell r="F6509">
            <v>7</v>
          </cell>
        </row>
        <row r="6510">
          <cell r="A6510">
            <v>2018</v>
          </cell>
          <cell r="B6510" t="str">
            <v>Actual</v>
          </cell>
          <cell r="C6510" t="str">
            <v>Jul</v>
          </cell>
          <cell r="D6510" t="str">
            <v>Chairs</v>
          </cell>
          <cell r="E6510">
            <v>27995.407999999999</v>
          </cell>
          <cell r="F6510">
            <v>7</v>
          </cell>
        </row>
        <row r="6511">
          <cell r="A6511">
            <v>2018</v>
          </cell>
          <cell r="B6511" t="str">
            <v>Budget</v>
          </cell>
          <cell r="C6511" t="str">
            <v>Jul</v>
          </cell>
          <cell r="D6511" t="str">
            <v>Chairs</v>
          </cell>
          <cell r="E6511">
            <v>480876.02499999997</v>
          </cell>
          <cell r="F6511">
            <v>7</v>
          </cell>
        </row>
        <row r="6512">
          <cell r="A6512">
            <v>2018</v>
          </cell>
          <cell r="B6512" t="str">
            <v>Actual</v>
          </cell>
          <cell r="C6512" t="str">
            <v>Jul</v>
          </cell>
          <cell r="D6512" t="str">
            <v>Tables</v>
          </cell>
          <cell r="E6512">
            <v>-13890.03</v>
          </cell>
          <cell r="F6512">
            <v>7</v>
          </cell>
        </row>
        <row r="6513">
          <cell r="A6513">
            <v>2018</v>
          </cell>
          <cell r="B6513" t="str">
            <v>Budget</v>
          </cell>
          <cell r="C6513" t="str">
            <v>Jul</v>
          </cell>
          <cell r="D6513" t="str">
            <v>Kitchen</v>
          </cell>
          <cell r="E6513">
            <v>117133.53399999999</v>
          </cell>
          <cell r="F6513">
            <v>7</v>
          </cell>
        </row>
        <row r="6514">
          <cell r="A6514">
            <v>2019</v>
          </cell>
          <cell r="B6514" t="str">
            <v>Actual</v>
          </cell>
          <cell r="C6514" t="str">
            <v>Jul</v>
          </cell>
          <cell r="D6514" t="str">
            <v>Accessories</v>
          </cell>
          <cell r="E6514">
            <v>481389.33500000002</v>
          </cell>
          <cell r="F6514">
            <v>7</v>
          </cell>
        </row>
        <row r="6515">
          <cell r="A6515">
            <v>2019</v>
          </cell>
          <cell r="B6515" t="str">
            <v>Budget</v>
          </cell>
          <cell r="C6515" t="str">
            <v>Jul</v>
          </cell>
          <cell r="D6515" t="str">
            <v>Chairs</v>
          </cell>
          <cell r="E6515">
            <v>58264.646999999997</v>
          </cell>
          <cell r="F6515">
            <v>7</v>
          </cell>
        </row>
        <row r="6516">
          <cell r="A6516">
            <v>2019</v>
          </cell>
          <cell r="B6516" t="str">
            <v>Actual</v>
          </cell>
          <cell r="C6516" t="str">
            <v>Jul</v>
          </cell>
          <cell r="D6516" t="str">
            <v>Tables</v>
          </cell>
          <cell r="E6516">
            <v>164712.65999999997</v>
          </cell>
          <cell r="F6516">
            <v>7</v>
          </cell>
        </row>
        <row r="6517">
          <cell r="A6517">
            <v>2019</v>
          </cell>
          <cell r="B6517" t="str">
            <v>Budget</v>
          </cell>
          <cell r="C6517" t="str">
            <v>Jul</v>
          </cell>
          <cell r="D6517" t="str">
            <v>Kitchen</v>
          </cell>
          <cell r="E6517">
            <v>147.02799999999999</v>
          </cell>
          <cell r="F6517">
            <v>7</v>
          </cell>
        </row>
        <row r="6518">
          <cell r="A6518">
            <v>2018</v>
          </cell>
          <cell r="B6518" t="str">
            <v>Actual</v>
          </cell>
          <cell r="C6518" t="str">
            <v>Jul</v>
          </cell>
          <cell r="D6518" t="str">
            <v>Accessories</v>
          </cell>
          <cell r="E6518">
            <v>15375.583999999999</v>
          </cell>
          <cell r="F6518">
            <v>7</v>
          </cell>
        </row>
        <row r="6519">
          <cell r="A6519">
            <v>2019</v>
          </cell>
          <cell r="B6519" t="str">
            <v>Budget</v>
          </cell>
          <cell r="C6519" t="str">
            <v>Jul</v>
          </cell>
          <cell r="D6519" t="str">
            <v>Chairs</v>
          </cell>
          <cell r="E6519">
            <v>130344.02499999999</v>
          </cell>
          <cell r="F6519">
            <v>7</v>
          </cell>
        </row>
        <row r="6520">
          <cell r="A6520">
            <v>2018</v>
          </cell>
          <cell r="B6520" t="str">
            <v>Actual</v>
          </cell>
          <cell r="C6520" t="str">
            <v>Jul</v>
          </cell>
          <cell r="D6520" t="str">
            <v>Tables</v>
          </cell>
          <cell r="E6520">
            <v>57761.780999999995</v>
          </cell>
          <cell r="F6520">
            <v>7</v>
          </cell>
        </row>
        <row r="6521">
          <cell r="A6521">
            <v>2019</v>
          </cell>
          <cell r="B6521" t="str">
            <v>Budget</v>
          </cell>
          <cell r="C6521" t="str">
            <v>Jul</v>
          </cell>
          <cell r="D6521" t="str">
            <v>Kitchen</v>
          </cell>
          <cell r="E6521">
            <v>244777.88999999998</v>
          </cell>
          <cell r="F6521">
            <v>7</v>
          </cell>
        </row>
        <row r="6522">
          <cell r="A6522">
            <v>2019</v>
          </cell>
          <cell r="B6522" t="str">
            <v>Actual</v>
          </cell>
          <cell r="C6522" t="str">
            <v>Jul</v>
          </cell>
          <cell r="D6522" t="str">
            <v>Accessories</v>
          </cell>
          <cell r="E6522">
            <v>163357.32</v>
          </cell>
          <cell r="F6522">
            <v>7</v>
          </cell>
        </row>
        <row r="6523">
          <cell r="A6523">
            <v>2019</v>
          </cell>
          <cell r="B6523" t="str">
            <v>Budget</v>
          </cell>
          <cell r="C6523" t="str">
            <v>Jul</v>
          </cell>
          <cell r="D6523" t="str">
            <v>Chairs</v>
          </cell>
          <cell r="E6523">
            <v>156129.12</v>
          </cell>
          <cell r="F6523">
            <v>7</v>
          </cell>
        </row>
        <row r="6524">
          <cell r="A6524">
            <v>2018</v>
          </cell>
          <cell r="B6524" t="str">
            <v>Actual</v>
          </cell>
          <cell r="C6524" t="str">
            <v>Jul</v>
          </cell>
          <cell r="D6524" t="str">
            <v>Tables</v>
          </cell>
          <cell r="E6524">
            <v>77379.652000000002</v>
          </cell>
          <cell r="F6524">
            <v>7</v>
          </cell>
        </row>
        <row r="6525">
          <cell r="A6525">
            <v>2018</v>
          </cell>
          <cell r="B6525" t="str">
            <v>Budget</v>
          </cell>
          <cell r="C6525" t="str">
            <v>Jul</v>
          </cell>
          <cell r="D6525" t="str">
            <v>Kitchen</v>
          </cell>
          <cell r="E6525">
            <v>45878.139999999992</v>
          </cell>
          <cell r="F6525">
            <v>7</v>
          </cell>
        </row>
        <row r="6526">
          <cell r="A6526">
            <v>2018</v>
          </cell>
          <cell r="B6526" t="str">
            <v>Actual</v>
          </cell>
          <cell r="C6526" t="str">
            <v>Jul</v>
          </cell>
          <cell r="D6526" t="str">
            <v>Accessories</v>
          </cell>
          <cell r="E6526">
            <v>15129.645999999999</v>
          </cell>
          <cell r="F6526">
            <v>7</v>
          </cell>
        </row>
        <row r="6527">
          <cell r="A6527">
            <v>2019</v>
          </cell>
          <cell r="B6527" t="str">
            <v>Budget</v>
          </cell>
          <cell r="C6527" t="str">
            <v>Jul</v>
          </cell>
          <cell r="D6527" t="str">
            <v>Chairs</v>
          </cell>
          <cell r="E6527">
            <v>77864.002999999997</v>
          </cell>
          <cell r="F6527">
            <v>7</v>
          </cell>
        </row>
        <row r="6528">
          <cell r="A6528">
            <v>2018</v>
          </cell>
          <cell r="B6528" t="str">
            <v>Actual</v>
          </cell>
          <cell r="C6528" t="str">
            <v>Jul</v>
          </cell>
          <cell r="D6528" t="str">
            <v>Chairs</v>
          </cell>
          <cell r="E6528">
            <v>9440.7530000000006</v>
          </cell>
          <cell r="F6528">
            <v>7</v>
          </cell>
        </row>
        <row r="6529">
          <cell r="A6529">
            <v>2018</v>
          </cell>
          <cell r="B6529" t="str">
            <v>Budget</v>
          </cell>
          <cell r="C6529" t="str">
            <v>Jul</v>
          </cell>
          <cell r="D6529" t="str">
            <v>Tables</v>
          </cell>
          <cell r="E6529">
            <v>57590.035999999993</v>
          </cell>
          <cell r="F6529">
            <v>7</v>
          </cell>
        </row>
        <row r="6530">
          <cell r="A6530">
            <v>2018</v>
          </cell>
          <cell r="B6530" t="str">
            <v>Actual</v>
          </cell>
          <cell r="C6530" t="str">
            <v>Jul</v>
          </cell>
          <cell r="D6530" t="str">
            <v>Kitchen</v>
          </cell>
          <cell r="E6530">
            <v>34279.629999999997</v>
          </cell>
          <cell r="F6530">
            <v>7</v>
          </cell>
        </row>
        <row r="6531">
          <cell r="A6531">
            <v>2019</v>
          </cell>
          <cell r="B6531" t="str">
            <v>Budget</v>
          </cell>
          <cell r="C6531" t="str">
            <v>Jul</v>
          </cell>
          <cell r="D6531" t="str">
            <v>Chairs</v>
          </cell>
          <cell r="E6531">
            <v>94605.034999999989</v>
          </cell>
          <cell r="F6531">
            <v>7</v>
          </cell>
        </row>
        <row r="6532">
          <cell r="A6532">
            <v>2018</v>
          </cell>
          <cell r="B6532" t="str">
            <v>Actual</v>
          </cell>
          <cell r="C6532" t="str">
            <v>Jul</v>
          </cell>
          <cell r="D6532" t="str">
            <v>Tables</v>
          </cell>
          <cell r="E6532">
            <v>23970.799999999999</v>
          </cell>
          <cell r="F6532">
            <v>7</v>
          </cell>
        </row>
        <row r="6533">
          <cell r="A6533">
            <v>2018</v>
          </cell>
          <cell r="B6533" t="str">
            <v>Budget</v>
          </cell>
          <cell r="C6533" t="str">
            <v>Jul</v>
          </cell>
          <cell r="D6533" t="str">
            <v>Kitchen</v>
          </cell>
          <cell r="E6533">
            <v>14390.705</v>
          </cell>
          <cell r="F6533">
            <v>7</v>
          </cell>
        </row>
        <row r="6534">
          <cell r="A6534">
            <v>2019</v>
          </cell>
          <cell r="B6534" t="str">
            <v>Actual</v>
          </cell>
          <cell r="C6534" t="str">
            <v>Jul</v>
          </cell>
          <cell r="D6534" t="str">
            <v>Chairs</v>
          </cell>
          <cell r="E6534">
            <v>61479.144999999997</v>
          </cell>
          <cell r="F6534">
            <v>7</v>
          </cell>
        </row>
        <row r="6535">
          <cell r="A6535">
            <v>2018</v>
          </cell>
          <cell r="B6535" t="str">
            <v>Budget</v>
          </cell>
          <cell r="C6535" t="str">
            <v>Jul</v>
          </cell>
          <cell r="D6535" t="str">
            <v>Tables</v>
          </cell>
          <cell r="E6535">
            <v>37377.416999999994</v>
          </cell>
          <cell r="F6535">
            <v>7</v>
          </cell>
        </row>
        <row r="6536">
          <cell r="A6536">
            <v>2018</v>
          </cell>
          <cell r="B6536" t="str">
            <v>Actual</v>
          </cell>
          <cell r="C6536" t="str">
            <v>Jul</v>
          </cell>
          <cell r="D6536" t="str">
            <v>Kitchen</v>
          </cell>
          <cell r="E6536">
            <v>39782.449000000001</v>
          </cell>
          <cell r="F6536">
            <v>7</v>
          </cell>
        </row>
        <row r="6537">
          <cell r="A6537">
            <v>2018</v>
          </cell>
          <cell r="B6537" t="str">
            <v>Budget</v>
          </cell>
          <cell r="C6537" t="str">
            <v>Jul</v>
          </cell>
          <cell r="D6537" t="str">
            <v>Chairs</v>
          </cell>
          <cell r="E6537">
            <v>64919.197</v>
          </cell>
          <cell r="F6537">
            <v>7</v>
          </cell>
        </row>
        <row r="6538">
          <cell r="A6538">
            <v>2019</v>
          </cell>
          <cell r="B6538" t="str">
            <v>Actual</v>
          </cell>
          <cell r="C6538" t="str">
            <v>Jul</v>
          </cell>
          <cell r="D6538" t="str">
            <v>Chairs</v>
          </cell>
          <cell r="E6538">
            <v>230220.14399999997</v>
          </cell>
          <cell r="F6538">
            <v>7</v>
          </cell>
        </row>
        <row r="6539">
          <cell r="A6539">
            <v>2018</v>
          </cell>
          <cell r="B6539" t="str">
            <v>Budget</v>
          </cell>
          <cell r="C6539" t="str">
            <v>Jul</v>
          </cell>
          <cell r="D6539" t="str">
            <v>Chairs</v>
          </cell>
          <cell r="E6539">
            <v>139021.91799999998</v>
          </cell>
          <cell r="F6539">
            <v>7</v>
          </cell>
        </row>
        <row r="6540">
          <cell r="A6540">
            <v>2018</v>
          </cell>
          <cell r="B6540" t="str">
            <v>Actual</v>
          </cell>
          <cell r="C6540" t="str">
            <v>Jul</v>
          </cell>
          <cell r="D6540" t="str">
            <v>Chairs</v>
          </cell>
          <cell r="E6540">
            <v>279661.03200000001</v>
          </cell>
          <cell r="F6540">
            <v>7</v>
          </cell>
        </row>
        <row r="6541">
          <cell r="A6541">
            <v>2019</v>
          </cell>
          <cell r="B6541" t="str">
            <v>Budget</v>
          </cell>
          <cell r="C6541" t="str">
            <v>Jul</v>
          </cell>
          <cell r="D6541" t="str">
            <v>Chairs</v>
          </cell>
          <cell r="E6541">
            <v>134319.56299999999</v>
          </cell>
          <cell r="F6541">
            <v>7</v>
          </cell>
        </row>
        <row r="6542">
          <cell r="A6542">
            <v>2019</v>
          </cell>
          <cell r="B6542" t="str">
            <v>Actual</v>
          </cell>
          <cell r="C6542" t="str">
            <v>Jul</v>
          </cell>
          <cell r="D6542" t="str">
            <v>Chairs</v>
          </cell>
          <cell r="E6542">
            <v>232903.99999999997</v>
          </cell>
          <cell r="F6542">
            <v>7</v>
          </cell>
        </row>
        <row r="6543">
          <cell r="A6543">
            <v>2019</v>
          </cell>
          <cell r="B6543" t="str">
            <v>Budget</v>
          </cell>
          <cell r="C6543" t="str">
            <v>Jul</v>
          </cell>
          <cell r="D6543" t="str">
            <v>Chairs</v>
          </cell>
          <cell r="E6543">
            <v>433181.98</v>
          </cell>
          <cell r="F6543">
            <v>7</v>
          </cell>
        </row>
        <row r="6544">
          <cell r="A6544">
            <v>2018</v>
          </cell>
          <cell r="B6544" t="str">
            <v>Actual</v>
          </cell>
          <cell r="C6544" t="str">
            <v>Jul</v>
          </cell>
          <cell r="D6544" t="str">
            <v>Chairs</v>
          </cell>
          <cell r="E6544">
            <v>318709.36999999994</v>
          </cell>
          <cell r="F6544">
            <v>7</v>
          </cell>
        </row>
        <row r="6545">
          <cell r="A6545">
            <v>2019</v>
          </cell>
          <cell r="B6545" t="str">
            <v>Budget</v>
          </cell>
          <cell r="C6545" t="str">
            <v>Jul</v>
          </cell>
          <cell r="D6545" t="str">
            <v>Chairs</v>
          </cell>
          <cell r="E6545">
            <v>67291.644</v>
          </cell>
          <cell r="F6545">
            <v>7</v>
          </cell>
        </row>
        <row r="6546">
          <cell r="A6546">
            <v>2019</v>
          </cell>
          <cell r="B6546" t="str">
            <v>Actual</v>
          </cell>
          <cell r="C6546" t="str">
            <v>Jul</v>
          </cell>
          <cell r="D6546" t="str">
            <v>Chairs</v>
          </cell>
          <cell r="E6546">
            <v>50785.475999999995</v>
          </cell>
          <cell r="F6546">
            <v>7</v>
          </cell>
        </row>
        <row r="6547">
          <cell r="A6547">
            <v>2018</v>
          </cell>
          <cell r="B6547" t="str">
            <v>Budget</v>
          </cell>
          <cell r="C6547" t="str">
            <v>Jul</v>
          </cell>
          <cell r="D6547" t="str">
            <v>Chairs</v>
          </cell>
          <cell r="E6547">
            <v>52849.047999999995</v>
          </cell>
          <cell r="F6547">
            <v>7</v>
          </cell>
        </row>
        <row r="6548">
          <cell r="A6548">
            <v>2018</v>
          </cell>
          <cell r="B6548" t="str">
            <v>Actual</v>
          </cell>
          <cell r="C6548" t="str">
            <v>Jul</v>
          </cell>
          <cell r="D6548" t="str">
            <v>Chairs</v>
          </cell>
          <cell r="E6548">
            <v>30551.891999999996</v>
          </cell>
          <cell r="F6548">
            <v>7</v>
          </cell>
        </row>
        <row r="6549">
          <cell r="A6549">
            <v>2019</v>
          </cell>
          <cell r="B6549" t="str">
            <v>Budget</v>
          </cell>
          <cell r="C6549" t="str">
            <v>Jul</v>
          </cell>
          <cell r="D6549" t="str">
            <v>Chairs</v>
          </cell>
          <cell r="E6549">
            <v>70615.629000000001</v>
          </cell>
          <cell r="F6549">
            <v>7</v>
          </cell>
        </row>
        <row r="6550">
          <cell r="A6550">
            <v>2019</v>
          </cell>
          <cell r="B6550" t="str">
            <v>Actual</v>
          </cell>
          <cell r="C6550" t="str">
            <v>Jul</v>
          </cell>
          <cell r="D6550" t="str">
            <v>Chairs</v>
          </cell>
          <cell r="E6550">
            <v>55072.303999999996</v>
          </cell>
          <cell r="F6550">
            <v>7</v>
          </cell>
        </row>
        <row r="6551">
          <cell r="A6551">
            <v>2019</v>
          </cell>
          <cell r="B6551" t="str">
            <v>Budget</v>
          </cell>
          <cell r="C6551" t="str">
            <v>Jul</v>
          </cell>
          <cell r="D6551" t="str">
            <v>Chairs</v>
          </cell>
          <cell r="E6551">
            <v>63981.182999999997</v>
          </cell>
          <cell r="F6551">
            <v>7</v>
          </cell>
        </row>
        <row r="6552">
          <cell r="A6552">
            <v>2019</v>
          </cell>
          <cell r="B6552" t="str">
            <v>Actual</v>
          </cell>
          <cell r="C6552" t="str">
            <v>Jul</v>
          </cell>
          <cell r="D6552" t="str">
            <v>Chairs</v>
          </cell>
          <cell r="E6552">
            <v>66578.512000000002</v>
          </cell>
          <cell r="F6552">
            <v>7</v>
          </cell>
        </row>
        <row r="6553">
          <cell r="A6553">
            <v>2018</v>
          </cell>
          <cell r="B6553" t="str">
            <v>Budget</v>
          </cell>
          <cell r="C6553" t="str">
            <v>Jul</v>
          </cell>
          <cell r="D6553" t="str">
            <v>Chairs</v>
          </cell>
          <cell r="E6553">
            <v>133538.00599999999</v>
          </cell>
          <cell r="F6553">
            <v>7</v>
          </cell>
        </row>
        <row r="6554">
          <cell r="A6554">
            <v>2019</v>
          </cell>
          <cell r="B6554" t="str">
            <v>Actual</v>
          </cell>
          <cell r="C6554" t="str">
            <v>Jul</v>
          </cell>
          <cell r="D6554" t="str">
            <v>Chairs</v>
          </cell>
          <cell r="E6554">
            <v>267232.45500000002</v>
          </cell>
          <cell r="F6554">
            <v>7</v>
          </cell>
        </row>
        <row r="6555">
          <cell r="A6555">
            <v>2018</v>
          </cell>
          <cell r="B6555" t="str">
            <v>Budget</v>
          </cell>
          <cell r="C6555" t="str">
            <v>Jul</v>
          </cell>
          <cell r="D6555" t="str">
            <v>Chairs</v>
          </cell>
          <cell r="E6555">
            <v>239826.04799999998</v>
          </cell>
          <cell r="F6555">
            <v>7</v>
          </cell>
        </row>
        <row r="6556">
          <cell r="A6556">
            <v>2019</v>
          </cell>
          <cell r="B6556" t="str">
            <v>Actual</v>
          </cell>
          <cell r="C6556" t="str">
            <v>Jul</v>
          </cell>
          <cell r="D6556" t="str">
            <v>Chairs</v>
          </cell>
          <cell r="E6556">
            <v>273483.098</v>
          </cell>
          <cell r="F6556">
            <v>7</v>
          </cell>
        </row>
        <row r="6557">
          <cell r="A6557">
            <v>2018</v>
          </cell>
          <cell r="B6557" t="str">
            <v>Budget</v>
          </cell>
          <cell r="C6557" t="str">
            <v>Jul</v>
          </cell>
          <cell r="D6557" t="str">
            <v>Chairs</v>
          </cell>
          <cell r="E6557">
            <v>190285.17899999997</v>
          </cell>
          <cell r="F6557">
            <v>7</v>
          </cell>
        </row>
        <row r="6558">
          <cell r="A6558">
            <v>2018</v>
          </cell>
          <cell r="B6558" t="str">
            <v>Actual</v>
          </cell>
          <cell r="C6558" t="str">
            <v>Jul</v>
          </cell>
          <cell r="D6558" t="str">
            <v>Chairs</v>
          </cell>
          <cell r="E6558">
            <v>58789.926999999996</v>
          </cell>
          <cell r="F6558">
            <v>7</v>
          </cell>
        </row>
        <row r="6559">
          <cell r="A6559">
            <v>2019</v>
          </cell>
          <cell r="B6559" t="str">
            <v>Budget</v>
          </cell>
          <cell r="C6559" t="str">
            <v>Jul</v>
          </cell>
          <cell r="D6559" t="str">
            <v>Chairs</v>
          </cell>
          <cell r="E6559">
            <v>-16044.034999999998</v>
          </cell>
          <cell r="F6559">
            <v>7</v>
          </cell>
        </row>
        <row r="6560">
          <cell r="A6560">
            <v>2018</v>
          </cell>
          <cell r="B6560" t="str">
            <v>Actual</v>
          </cell>
          <cell r="C6560" t="str">
            <v>Jul</v>
          </cell>
          <cell r="D6560" t="str">
            <v>Chairs</v>
          </cell>
          <cell r="E6560">
            <v>5776.5119999999997</v>
          </cell>
          <cell r="F6560">
            <v>7</v>
          </cell>
        </row>
        <row r="6561">
          <cell r="A6561">
            <v>2019</v>
          </cell>
          <cell r="B6561" t="str">
            <v>Budget</v>
          </cell>
          <cell r="C6561" t="str">
            <v>Jul</v>
          </cell>
          <cell r="D6561" t="str">
            <v>Chairs</v>
          </cell>
          <cell r="E6561">
            <v>157663.66699999999</v>
          </cell>
          <cell r="F6561">
            <v>7</v>
          </cell>
        </row>
        <row r="6562">
          <cell r="A6562">
            <v>2018</v>
          </cell>
          <cell r="B6562" t="str">
            <v>Actual</v>
          </cell>
          <cell r="C6562" t="str">
            <v>Jul</v>
          </cell>
          <cell r="D6562" t="str">
            <v>Chairs</v>
          </cell>
          <cell r="E6562">
            <v>33260.093999999997</v>
          </cell>
          <cell r="F6562">
            <v>7</v>
          </cell>
        </row>
        <row r="6563">
          <cell r="A6563">
            <v>2019</v>
          </cell>
          <cell r="B6563" t="str">
            <v>Budget</v>
          </cell>
          <cell r="C6563" t="str">
            <v>Jul</v>
          </cell>
          <cell r="D6563" t="str">
            <v>Tables</v>
          </cell>
          <cell r="E6563">
            <v>43692.039999999994</v>
          </cell>
          <cell r="F6563">
            <v>7</v>
          </cell>
        </row>
        <row r="6564">
          <cell r="A6564">
            <v>2018</v>
          </cell>
          <cell r="B6564" t="str">
            <v>Actual</v>
          </cell>
          <cell r="C6564" t="str">
            <v>Jul</v>
          </cell>
          <cell r="D6564" t="str">
            <v>Kitchen</v>
          </cell>
          <cell r="E6564">
            <v>60727.827999999994</v>
          </cell>
          <cell r="F6564">
            <v>7</v>
          </cell>
        </row>
        <row r="6565">
          <cell r="A6565">
            <v>2018</v>
          </cell>
          <cell r="B6565" t="str">
            <v>Budget</v>
          </cell>
          <cell r="C6565" t="str">
            <v>Jul</v>
          </cell>
          <cell r="D6565" t="str">
            <v>Chairs</v>
          </cell>
          <cell r="E6565">
            <v>79483.649000000005</v>
          </cell>
          <cell r="F6565">
            <v>7</v>
          </cell>
        </row>
        <row r="6566">
          <cell r="A6566">
            <v>2018</v>
          </cell>
          <cell r="B6566" t="str">
            <v>Actual</v>
          </cell>
          <cell r="C6566" t="str">
            <v>Jul</v>
          </cell>
          <cell r="D6566" t="str">
            <v>Chairs</v>
          </cell>
          <cell r="E6566">
            <v>75415.101999999999</v>
          </cell>
          <cell r="F6566">
            <v>7</v>
          </cell>
        </row>
        <row r="6567">
          <cell r="A6567">
            <v>2018</v>
          </cell>
          <cell r="B6567" t="str">
            <v>Budget</v>
          </cell>
          <cell r="C6567" t="str">
            <v>Jul</v>
          </cell>
          <cell r="D6567" t="str">
            <v>Chairs</v>
          </cell>
          <cell r="E6567">
            <v>102647.67099999999</v>
          </cell>
          <cell r="F6567">
            <v>7</v>
          </cell>
        </row>
        <row r="6568">
          <cell r="A6568">
            <v>2018</v>
          </cell>
          <cell r="B6568" t="str">
            <v>Actual</v>
          </cell>
          <cell r="C6568" t="str">
            <v>Jul</v>
          </cell>
          <cell r="D6568" t="str">
            <v>Chairs</v>
          </cell>
          <cell r="E6568">
            <v>222393.84999999998</v>
          </cell>
          <cell r="F6568">
            <v>7</v>
          </cell>
        </row>
        <row r="6569">
          <cell r="A6569">
            <v>2019</v>
          </cell>
          <cell r="B6569" t="str">
            <v>Budget</v>
          </cell>
          <cell r="C6569" t="str">
            <v>Jul</v>
          </cell>
          <cell r="D6569" t="str">
            <v>Chairs</v>
          </cell>
          <cell r="E6569">
            <v>-5026.9309999999996</v>
          </cell>
          <cell r="F6569">
            <v>7</v>
          </cell>
        </row>
        <row r="6570">
          <cell r="A6570">
            <v>2019</v>
          </cell>
          <cell r="B6570" t="str">
            <v>Actual</v>
          </cell>
          <cell r="C6570" t="str">
            <v>Jul</v>
          </cell>
          <cell r="D6570" t="str">
            <v>Tables</v>
          </cell>
          <cell r="E6570">
            <v>196644.27299999999</v>
          </cell>
          <cell r="F6570">
            <v>7</v>
          </cell>
        </row>
        <row r="6571">
          <cell r="A6571">
            <v>2019</v>
          </cell>
          <cell r="B6571" t="str">
            <v>Budget</v>
          </cell>
          <cell r="C6571" t="str">
            <v>Jul</v>
          </cell>
          <cell r="D6571" t="str">
            <v>Kitchen</v>
          </cell>
          <cell r="E6571">
            <v>-6314.665</v>
          </cell>
          <cell r="F6571">
            <v>7</v>
          </cell>
        </row>
        <row r="6572">
          <cell r="A6572">
            <v>2018</v>
          </cell>
          <cell r="B6572" t="str">
            <v>Actual</v>
          </cell>
          <cell r="C6572" t="str">
            <v>Jul</v>
          </cell>
          <cell r="D6572" t="str">
            <v>Chairs</v>
          </cell>
          <cell r="E6572">
            <v>42844.227999999996</v>
          </cell>
          <cell r="F6572">
            <v>7</v>
          </cell>
        </row>
        <row r="6573">
          <cell r="A6573">
            <v>2018</v>
          </cell>
          <cell r="B6573" t="str">
            <v>Budget</v>
          </cell>
          <cell r="C6573" t="str">
            <v>Jul</v>
          </cell>
          <cell r="D6573" t="str">
            <v>Chairs</v>
          </cell>
          <cell r="E6573">
            <v>67818.302999999985</v>
          </cell>
          <cell r="F6573">
            <v>7</v>
          </cell>
        </row>
        <row r="6574">
          <cell r="A6574">
            <v>2018</v>
          </cell>
          <cell r="B6574" t="str">
            <v>Actual</v>
          </cell>
          <cell r="C6574" t="str">
            <v>Jul</v>
          </cell>
          <cell r="D6574" t="str">
            <v>Chairs</v>
          </cell>
          <cell r="E6574">
            <v>15466.884999999998</v>
          </cell>
          <cell r="F6574">
            <v>7</v>
          </cell>
        </row>
        <row r="6575">
          <cell r="A6575">
            <v>2019</v>
          </cell>
          <cell r="B6575" t="str">
            <v>Budget</v>
          </cell>
          <cell r="C6575" t="str">
            <v>Jul</v>
          </cell>
          <cell r="D6575" t="str">
            <v>Tables</v>
          </cell>
          <cell r="E6575">
            <v>55184.766000000003</v>
          </cell>
          <cell r="F6575">
            <v>7</v>
          </cell>
        </row>
        <row r="6576">
          <cell r="A6576">
            <v>2018</v>
          </cell>
          <cell r="B6576" t="str">
            <v>Actual</v>
          </cell>
          <cell r="C6576" t="str">
            <v>Jul</v>
          </cell>
          <cell r="D6576" t="str">
            <v>Kitchen</v>
          </cell>
          <cell r="E6576">
            <v>28399.223999999998</v>
          </cell>
          <cell r="F6576">
            <v>7</v>
          </cell>
        </row>
        <row r="6577">
          <cell r="A6577">
            <v>2018</v>
          </cell>
          <cell r="B6577" t="str">
            <v>Budget</v>
          </cell>
          <cell r="C6577" t="str">
            <v>Jul</v>
          </cell>
          <cell r="D6577" t="str">
            <v>Chairs</v>
          </cell>
          <cell r="E6577">
            <v>104960.16299999999</v>
          </cell>
          <cell r="F6577">
            <v>7</v>
          </cell>
        </row>
        <row r="6578">
          <cell r="A6578">
            <v>2019</v>
          </cell>
          <cell r="B6578" t="str">
            <v>Actual</v>
          </cell>
          <cell r="C6578" t="str">
            <v>Jul</v>
          </cell>
          <cell r="D6578" t="str">
            <v>Chairs</v>
          </cell>
          <cell r="E6578">
            <v>-14311.058999999999</v>
          </cell>
          <cell r="F6578">
            <v>7</v>
          </cell>
        </row>
        <row r="6579">
          <cell r="A6579">
            <v>2019</v>
          </cell>
          <cell r="B6579" t="str">
            <v>Budget</v>
          </cell>
          <cell r="C6579" t="str">
            <v>Jul</v>
          </cell>
          <cell r="D6579" t="str">
            <v>Tables</v>
          </cell>
          <cell r="E6579">
            <v>180666.43700000001</v>
          </cell>
          <cell r="F6579">
            <v>7</v>
          </cell>
        </row>
        <row r="6580">
          <cell r="A6580">
            <v>2018</v>
          </cell>
          <cell r="B6580" t="str">
            <v>Actual</v>
          </cell>
          <cell r="C6580" t="str">
            <v>Jul</v>
          </cell>
          <cell r="D6580" t="str">
            <v>Kitchen</v>
          </cell>
          <cell r="E6580">
            <v>1736.7979999999998</v>
          </cell>
          <cell r="F6580">
            <v>7</v>
          </cell>
        </row>
        <row r="6581">
          <cell r="A6581">
            <v>2018</v>
          </cell>
          <cell r="B6581" t="str">
            <v>Budget</v>
          </cell>
          <cell r="C6581" t="str">
            <v>Jul</v>
          </cell>
          <cell r="D6581" t="str">
            <v>Chairs</v>
          </cell>
          <cell r="E6581">
            <v>978970.78999999992</v>
          </cell>
          <cell r="F6581">
            <v>7</v>
          </cell>
        </row>
        <row r="6582">
          <cell r="A6582">
            <v>2018</v>
          </cell>
          <cell r="B6582" t="str">
            <v>Actual</v>
          </cell>
          <cell r="C6582" t="str">
            <v>Jul</v>
          </cell>
          <cell r="D6582" t="str">
            <v>Chairs</v>
          </cell>
          <cell r="E6582">
            <v>5103.9519999999993</v>
          </cell>
          <cell r="F6582">
            <v>7</v>
          </cell>
        </row>
        <row r="6583">
          <cell r="A6583">
            <v>2019</v>
          </cell>
          <cell r="B6583" t="str">
            <v>Budget</v>
          </cell>
          <cell r="C6583" t="str">
            <v>Jul</v>
          </cell>
          <cell r="D6583" t="str">
            <v>Chairs</v>
          </cell>
          <cell r="E6583">
            <v>916676.35499999986</v>
          </cell>
          <cell r="F6583">
            <v>7</v>
          </cell>
        </row>
        <row r="6584">
          <cell r="A6584">
            <v>2019</v>
          </cell>
          <cell r="B6584" t="str">
            <v>Actual</v>
          </cell>
          <cell r="C6584" t="str">
            <v>Jul</v>
          </cell>
          <cell r="D6584" t="str">
            <v>Tables</v>
          </cell>
          <cell r="E6584">
            <v>1047528.6499999999</v>
          </cell>
          <cell r="F6584">
            <v>7</v>
          </cell>
        </row>
        <row r="6585">
          <cell r="A6585">
            <v>2019</v>
          </cell>
          <cell r="B6585" t="str">
            <v>Budget</v>
          </cell>
          <cell r="C6585" t="str">
            <v>Jul</v>
          </cell>
          <cell r="D6585" t="str">
            <v>Kitchen</v>
          </cell>
          <cell r="E6585">
            <v>1028996.3459999999</v>
          </cell>
          <cell r="F6585">
            <v>7</v>
          </cell>
        </row>
        <row r="6586">
          <cell r="A6586">
            <v>2018</v>
          </cell>
          <cell r="B6586" t="str">
            <v>Actual</v>
          </cell>
          <cell r="C6586" t="str">
            <v>Jul</v>
          </cell>
          <cell r="D6586" t="str">
            <v>Accessories</v>
          </cell>
          <cell r="E6586">
            <v>8313239.074</v>
          </cell>
          <cell r="F6586">
            <v>7</v>
          </cell>
        </row>
        <row r="6587">
          <cell r="A6587">
            <v>2019</v>
          </cell>
          <cell r="B6587" t="str">
            <v>Budget</v>
          </cell>
          <cell r="C6587" t="str">
            <v>Jul</v>
          </cell>
          <cell r="D6587" t="str">
            <v>Chairs</v>
          </cell>
          <cell r="E6587">
            <v>20350.855</v>
          </cell>
          <cell r="F6587">
            <v>7</v>
          </cell>
        </row>
        <row r="6588">
          <cell r="A6588">
            <v>2019</v>
          </cell>
          <cell r="B6588" t="str">
            <v>Actual</v>
          </cell>
          <cell r="C6588" t="str">
            <v>Jul</v>
          </cell>
          <cell r="D6588" t="str">
            <v>Tables</v>
          </cell>
          <cell r="E6588">
            <v>1405975.949</v>
          </cell>
          <cell r="F6588">
            <v>7</v>
          </cell>
        </row>
        <row r="6589">
          <cell r="A6589">
            <v>2018</v>
          </cell>
          <cell r="B6589" t="str">
            <v>Budget</v>
          </cell>
          <cell r="C6589" t="str">
            <v>Jul</v>
          </cell>
          <cell r="D6589" t="str">
            <v>Kitchen</v>
          </cell>
          <cell r="E6589">
            <v>317445.42899999995</v>
          </cell>
          <cell r="F6589">
            <v>7</v>
          </cell>
        </row>
        <row r="6590">
          <cell r="A6590">
            <v>2018</v>
          </cell>
          <cell r="B6590" t="str">
            <v>Actual</v>
          </cell>
          <cell r="C6590" t="str">
            <v>Jul</v>
          </cell>
          <cell r="D6590" t="str">
            <v>Accessories</v>
          </cell>
          <cell r="E6590">
            <v>1029702.828</v>
          </cell>
          <cell r="F6590">
            <v>7</v>
          </cell>
        </row>
        <row r="6591">
          <cell r="A6591">
            <v>2019</v>
          </cell>
          <cell r="B6591" t="str">
            <v>Budget</v>
          </cell>
          <cell r="C6591" t="str">
            <v>Jul</v>
          </cell>
          <cell r="D6591" t="str">
            <v>Chairs</v>
          </cell>
          <cell r="E6591">
            <v>22617.665000000001</v>
          </cell>
          <cell r="F6591">
            <v>7</v>
          </cell>
        </row>
        <row r="6592">
          <cell r="A6592">
            <v>2019</v>
          </cell>
          <cell r="B6592" t="str">
            <v>Actual</v>
          </cell>
          <cell r="C6592" t="str">
            <v>Jul</v>
          </cell>
          <cell r="D6592" t="str">
            <v>Tables</v>
          </cell>
          <cell r="E6592">
            <v>317265.29099999997</v>
          </cell>
          <cell r="F6592">
            <v>7</v>
          </cell>
        </row>
        <row r="6593">
          <cell r="A6593">
            <v>2019</v>
          </cell>
          <cell r="B6593" t="str">
            <v>Budget</v>
          </cell>
          <cell r="C6593" t="str">
            <v>Jul</v>
          </cell>
          <cell r="D6593" t="str">
            <v>Kitchen</v>
          </cell>
          <cell r="E6593">
            <v>309200.65399999998</v>
          </cell>
          <cell r="F6593">
            <v>7</v>
          </cell>
        </row>
        <row r="6594">
          <cell r="A6594">
            <v>2018</v>
          </cell>
          <cell r="B6594" t="str">
            <v>Actual</v>
          </cell>
          <cell r="C6594" t="str">
            <v>Jul</v>
          </cell>
          <cell r="D6594" t="str">
            <v>Accessories</v>
          </cell>
          <cell r="E6594">
            <v>468786.40199999994</v>
          </cell>
          <cell r="F6594">
            <v>7</v>
          </cell>
        </row>
        <row r="6595">
          <cell r="A6595">
            <v>2019</v>
          </cell>
          <cell r="B6595" t="str">
            <v>Budget</v>
          </cell>
          <cell r="C6595" t="str">
            <v>Jul</v>
          </cell>
          <cell r="D6595" t="str">
            <v>Chairs</v>
          </cell>
          <cell r="E6595">
            <v>633374.6719999999</v>
          </cell>
          <cell r="F6595">
            <v>7</v>
          </cell>
        </row>
        <row r="6596">
          <cell r="A6596">
            <v>2019</v>
          </cell>
          <cell r="B6596" t="str">
            <v>Actual</v>
          </cell>
          <cell r="C6596" t="str">
            <v>Jul</v>
          </cell>
          <cell r="D6596" t="str">
            <v>Tables</v>
          </cell>
          <cell r="E6596">
            <v>287303.07199999999</v>
          </cell>
          <cell r="F6596">
            <v>7</v>
          </cell>
        </row>
        <row r="6597">
          <cell r="A6597">
            <v>2019</v>
          </cell>
          <cell r="B6597" t="str">
            <v>Budget</v>
          </cell>
          <cell r="C6597" t="str">
            <v>Jul</v>
          </cell>
          <cell r="D6597" t="str">
            <v>Kitchen</v>
          </cell>
          <cell r="E6597">
            <v>205305.13499999998</v>
          </cell>
          <cell r="F6597">
            <v>7</v>
          </cell>
        </row>
        <row r="6598">
          <cell r="A6598">
            <v>2018</v>
          </cell>
          <cell r="B6598" t="str">
            <v>Actual</v>
          </cell>
          <cell r="C6598" t="str">
            <v>Jul</v>
          </cell>
          <cell r="D6598" t="str">
            <v>Accessories</v>
          </cell>
          <cell r="E6598">
            <v>112004.68299999999</v>
          </cell>
          <cell r="F6598">
            <v>7</v>
          </cell>
        </row>
        <row r="6599">
          <cell r="A6599">
            <v>2018</v>
          </cell>
          <cell r="B6599" t="str">
            <v>Budget</v>
          </cell>
          <cell r="C6599" t="str">
            <v>Jul</v>
          </cell>
          <cell r="D6599" t="str">
            <v>Chairs</v>
          </cell>
          <cell r="E6599">
            <v>229431.307</v>
          </cell>
          <cell r="F6599">
            <v>7</v>
          </cell>
        </row>
        <row r="6600">
          <cell r="A6600">
            <v>2018</v>
          </cell>
          <cell r="B6600" t="str">
            <v>Actual</v>
          </cell>
          <cell r="C6600" t="str">
            <v>Jul</v>
          </cell>
          <cell r="D6600" t="str">
            <v>Chairs</v>
          </cell>
          <cell r="E6600">
            <v>-284331.99900000001</v>
          </cell>
          <cell r="F6600">
            <v>7</v>
          </cell>
        </row>
        <row r="6601">
          <cell r="A6601">
            <v>2018</v>
          </cell>
          <cell r="B6601" t="str">
            <v>Budget</v>
          </cell>
          <cell r="C6601" t="str">
            <v>Jul</v>
          </cell>
          <cell r="D6601" t="str">
            <v>Tables</v>
          </cell>
          <cell r="E6601">
            <v>94048.073000000004</v>
          </cell>
          <cell r="F6601">
            <v>7</v>
          </cell>
        </row>
        <row r="6602">
          <cell r="A6602">
            <v>2019</v>
          </cell>
          <cell r="B6602" t="str">
            <v>Actual</v>
          </cell>
          <cell r="C6602" t="str">
            <v>Jul</v>
          </cell>
          <cell r="D6602" t="str">
            <v>Kitchen</v>
          </cell>
          <cell r="E6602">
            <v>1421950.2009999999</v>
          </cell>
          <cell r="F6602">
            <v>7</v>
          </cell>
        </row>
        <row r="6603">
          <cell r="A6603">
            <v>2018</v>
          </cell>
          <cell r="B6603" t="str">
            <v>Budget</v>
          </cell>
          <cell r="C6603" t="str">
            <v>Jul</v>
          </cell>
          <cell r="D6603" t="str">
            <v>Chairs</v>
          </cell>
          <cell r="E6603">
            <v>135566.24900000001</v>
          </cell>
          <cell r="F6603">
            <v>7</v>
          </cell>
        </row>
        <row r="6604">
          <cell r="A6604">
            <v>2019</v>
          </cell>
          <cell r="B6604" t="str">
            <v>Actual</v>
          </cell>
          <cell r="C6604" t="str">
            <v>Jul</v>
          </cell>
          <cell r="D6604" t="str">
            <v>Tables</v>
          </cell>
          <cell r="E6604">
            <v>545072.22699999996</v>
          </cell>
          <cell r="F6604">
            <v>7</v>
          </cell>
        </row>
        <row r="6605">
          <cell r="A6605">
            <v>2018</v>
          </cell>
          <cell r="B6605" t="str">
            <v>Budget</v>
          </cell>
          <cell r="C6605" t="str">
            <v>Jul</v>
          </cell>
          <cell r="D6605" t="str">
            <v>Kitchen</v>
          </cell>
          <cell r="E6605">
            <v>177014.94299999997</v>
          </cell>
          <cell r="F6605">
            <v>7</v>
          </cell>
        </row>
        <row r="6606">
          <cell r="A6606">
            <v>2018</v>
          </cell>
          <cell r="B6606" t="str">
            <v>Actual</v>
          </cell>
          <cell r="C6606" t="str">
            <v>Jul</v>
          </cell>
          <cell r="D6606" t="str">
            <v>Chairs</v>
          </cell>
          <cell r="E6606">
            <v>470738.21899999998</v>
          </cell>
          <cell r="F6606">
            <v>7</v>
          </cell>
        </row>
        <row r="6607">
          <cell r="A6607">
            <v>2018</v>
          </cell>
          <cell r="B6607" t="str">
            <v>Budget</v>
          </cell>
          <cell r="C6607" t="str">
            <v>Jul</v>
          </cell>
          <cell r="D6607" t="str">
            <v>Tables</v>
          </cell>
          <cell r="E6607">
            <v>122305.946</v>
          </cell>
          <cell r="F6607">
            <v>7</v>
          </cell>
        </row>
        <row r="6608">
          <cell r="A6608">
            <v>2018</v>
          </cell>
          <cell r="B6608" t="str">
            <v>Actual</v>
          </cell>
          <cell r="C6608" t="str">
            <v>Jul</v>
          </cell>
          <cell r="D6608" t="str">
            <v>Kitchen</v>
          </cell>
          <cell r="E6608">
            <v>42981.686999999998</v>
          </cell>
          <cell r="F6608">
            <v>7</v>
          </cell>
        </row>
        <row r="6609">
          <cell r="A6609">
            <v>2018</v>
          </cell>
          <cell r="B6609" t="str">
            <v>Budget</v>
          </cell>
          <cell r="C6609" t="str">
            <v>Jul</v>
          </cell>
          <cell r="D6609" t="str">
            <v>Chairs</v>
          </cell>
          <cell r="E6609">
            <v>3017.0279999999998</v>
          </cell>
          <cell r="F6609">
            <v>7</v>
          </cell>
        </row>
        <row r="6610">
          <cell r="A6610">
            <v>2019</v>
          </cell>
          <cell r="B6610" t="str">
            <v>Actual</v>
          </cell>
          <cell r="C6610" t="str">
            <v>Jul</v>
          </cell>
          <cell r="D6610" t="str">
            <v>Chairs</v>
          </cell>
          <cell r="E6610">
            <v>5577.6419999999998</v>
          </cell>
          <cell r="F6610">
            <v>7</v>
          </cell>
        </row>
        <row r="6611">
          <cell r="A6611">
            <v>2019</v>
          </cell>
          <cell r="B6611" t="str">
            <v>Budget</v>
          </cell>
          <cell r="C6611" t="str">
            <v>Jul</v>
          </cell>
          <cell r="D6611" t="str">
            <v>Chairs</v>
          </cell>
          <cell r="E6611">
            <v>13044.009999999998</v>
          </cell>
          <cell r="F6611">
            <v>7</v>
          </cell>
        </row>
        <row r="6612">
          <cell r="A6612">
            <v>2019</v>
          </cell>
          <cell r="B6612" t="str">
            <v>Actual</v>
          </cell>
          <cell r="C6612" t="str">
            <v>Jul</v>
          </cell>
          <cell r="D6612" t="str">
            <v>Chairs</v>
          </cell>
          <cell r="E6612">
            <v>26079.437999999995</v>
          </cell>
          <cell r="F6612">
            <v>7</v>
          </cell>
        </row>
        <row r="6613">
          <cell r="A6613">
            <v>2019</v>
          </cell>
          <cell r="B6613" t="str">
            <v>Budget</v>
          </cell>
          <cell r="C6613" t="str">
            <v>Jul</v>
          </cell>
          <cell r="D6613" t="str">
            <v>Chairs</v>
          </cell>
          <cell r="E6613">
            <v>98679.595000000001</v>
          </cell>
          <cell r="F6613">
            <v>7</v>
          </cell>
        </row>
        <row r="6614">
          <cell r="A6614">
            <v>2019</v>
          </cell>
          <cell r="B6614" t="str">
            <v>Actual</v>
          </cell>
          <cell r="C6614" t="str">
            <v>Jul</v>
          </cell>
          <cell r="D6614" t="str">
            <v>Chairs</v>
          </cell>
          <cell r="E6614">
            <v>78111.67</v>
          </cell>
          <cell r="F6614">
            <v>7</v>
          </cell>
        </row>
        <row r="6615">
          <cell r="A6615">
            <v>2018</v>
          </cell>
          <cell r="B6615" t="str">
            <v>Budget</v>
          </cell>
          <cell r="C6615" t="str">
            <v>Jul</v>
          </cell>
          <cell r="D6615" t="str">
            <v>Chairs</v>
          </cell>
          <cell r="E6615">
            <v>43036.041999999994</v>
          </cell>
          <cell r="F6615">
            <v>7</v>
          </cell>
        </row>
        <row r="6616">
          <cell r="A6616">
            <v>2018</v>
          </cell>
          <cell r="B6616" t="str">
            <v>Actual</v>
          </cell>
          <cell r="C6616" t="str">
            <v>Jul</v>
          </cell>
          <cell r="D6616" t="str">
            <v>Chairs</v>
          </cell>
          <cell r="E6616">
            <v>74885.43299999999</v>
          </cell>
          <cell r="F6616">
            <v>7</v>
          </cell>
        </row>
        <row r="6617">
          <cell r="A6617">
            <v>2019</v>
          </cell>
          <cell r="B6617" t="str">
            <v>Budget</v>
          </cell>
          <cell r="C6617" t="str">
            <v>Jul</v>
          </cell>
          <cell r="D6617" t="str">
            <v>Chairs</v>
          </cell>
          <cell r="E6617">
            <v>98275.659999999989</v>
          </cell>
          <cell r="F6617">
            <v>7</v>
          </cell>
        </row>
        <row r="6618">
          <cell r="A6618">
            <v>2018</v>
          </cell>
          <cell r="B6618" t="str">
            <v>Actual</v>
          </cell>
          <cell r="C6618" t="str">
            <v>Jul</v>
          </cell>
          <cell r="D6618" t="str">
            <v>Chairs</v>
          </cell>
          <cell r="E6618">
            <v>10900.89</v>
          </cell>
          <cell r="F6618">
            <v>7</v>
          </cell>
        </row>
        <row r="6619">
          <cell r="A6619">
            <v>2018</v>
          </cell>
          <cell r="B6619" t="str">
            <v>Budget</v>
          </cell>
          <cell r="C6619" t="str">
            <v>Jul</v>
          </cell>
          <cell r="D6619" t="str">
            <v>Chairs</v>
          </cell>
          <cell r="E6619">
            <v>16583.006999999998</v>
          </cell>
          <cell r="F6619">
            <v>7</v>
          </cell>
        </row>
        <row r="6620">
          <cell r="A6620">
            <v>2018</v>
          </cell>
          <cell r="B6620" t="str">
            <v>Actual</v>
          </cell>
          <cell r="C6620" t="str">
            <v>Jul</v>
          </cell>
          <cell r="D6620" t="str">
            <v>Chairs</v>
          </cell>
          <cell r="E6620">
            <v>36193.856999999996</v>
          </cell>
          <cell r="F6620">
            <v>7</v>
          </cell>
        </row>
        <row r="6621">
          <cell r="A6621">
            <v>2018</v>
          </cell>
          <cell r="B6621" t="str">
            <v>Budget</v>
          </cell>
          <cell r="C6621" t="str">
            <v>Jul</v>
          </cell>
          <cell r="D6621" t="str">
            <v>Chairs</v>
          </cell>
          <cell r="E6621">
            <v>60751.62799999999</v>
          </cell>
          <cell r="F6621">
            <v>7</v>
          </cell>
        </row>
        <row r="6622">
          <cell r="A6622">
            <v>2018</v>
          </cell>
          <cell r="B6622" t="str">
            <v>Actual</v>
          </cell>
          <cell r="C6622" t="str">
            <v>Jul</v>
          </cell>
          <cell r="D6622" t="str">
            <v>Chairs</v>
          </cell>
          <cell r="E6622">
            <v>2803.857</v>
          </cell>
          <cell r="F6622">
            <v>7</v>
          </cell>
        </row>
        <row r="6623">
          <cell r="A6623">
            <v>2018</v>
          </cell>
          <cell r="B6623" t="str">
            <v>Budget</v>
          </cell>
          <cell r="C6623" t="str">
            <v>Jul</v>
          </cell>
          <cell r="D6623" t="str">
            <v>Chairs</v>
          </cell>
          <cell r="E6623">
            <v>25640.705999999998</v>
          </cell>
          <cell r="F6623">
            <v>7</v>
          </cell>
        </row>
        <row r="6624">
          <cell r="A6624">
            <v>2018</v>
          </cell>
          <cell r="B6624" t="str">
            <v>Actual</v>
          </cell>
          <cell r="C6624" t="str">
            <v>Jul</v>
          </cell>
          <cell r="D6624" t="str">
            <v>Chairs</v>
          </cell>
          <cell r="E6624">
            <v>89070.394</v>
          </cell>
          <cell r="F6624">
            <v>7</v>
          </cell>
        </row>
        <row r="6625">
          <cell r="A6625">
            <v>2019</v>
          </cell>
          <cell r="B6625" t="str">
            <v>Budget</v>
          </cell>
          <cell r="C6625" t="str">
            <v>Jul</v>
          </cell>
          <cell r="D6625" t="str">
            <v>Chairs</v>
          </cell>
          <cell r="E6625">
            <v>39435.227999999996</v>
          </cell>
          <cell r="F6625">
            <v>7</v>
          </cell>
        </row>
        <row r="6626">
          <cell r="A6626">
            <v>2018</v>
          </cell>
          <cell r="B6626" t="str">
            <v>Actual</v>
          </cell>
          <cell r="C6626" t="str">
            <v>Jul</v>
          </cell>
          <cell r="D6626" t="str">
            <v>Chairs</v>
          </cell>
          <cell r="E6626">
            <v>199217.921</v>
          </cell>
          <cell r="F6626">
            <v>7</v>
          </cell>
        </row>
        <row r="6627">
          <cell r="A6627">
            <v>2019</v>
          </cell>
          <cell r="B6627" t="str">
            <v>Budget</v>
          </cell>
          <cell r="C6627" t="str">
            <v>Jul</v>
          </cell>
          <cell r="D6627" t="str">
            <v>Chairs</v>
          </cell>
          <cell r="E6627">
            <v>200940.33399999997</v>
          </cell>
          <cell r="F6627">
            <v>7</v>
          </cell>
        </row>
        <row r="6628">
          <cell r="A6628">
            <v>2019</v>
          </cell>
          <cell r="B6628" t="str">
            <v>Actual</v>
          </cell>
          <cell r="C6628" t="str">
            <v>Jul</v>
          </cell>
          <cell r="D6628" t="str">
            <v>Chairs</v>
          </cell>
          <cell r="E6628">
            <v>234715.57899999997</v>
          </cell>
          <cell r="F6628">
            <v>7</v>
          </cell>
        </row>
        <row r="6629">
          <cell r="A6629">
            <v>2018</v>
          </cell>
          <cell r="B6629" t="str">
            <v>Budget</v>
          </cell>
          <cell r="C6629" t="str">
            <v>Jul</v>
          </cell>
          <cell r="D6629" t="str">
            <v>Chairs</v>
          </cell>
          <cell r="E6629">
            <v>134644.21599999999</v>
          </cell>
          <cell r="F6629">
            <v>7</v>
          </cell>
        </row>
        <row r="6630">
          <cell r="A6630">
            <v>2018</v>
          </cell>
          <cell r="B6630" t="str">
            <v>Actual</v>
          </cell>
          <cell r="C6630" t="str">
            <v>Jul</v>
          </cell>
          <cell r="D6630" t="str">
            <v>Chairs</v>
          </cell>
          <cell r="E6630">
            <v>130041.436</v>
          </cell>
          <cell r="F6630">
            <v>7</v>
          </cell>
        </row>
        <row r="6631">
          <cell r="A6631">
            <v>2019</v>
          </cell>
          <cell r="B6631" t="str">
            <v>Budget</v>
          </cell>
          <cell r="C6631" t="str">
            <v>Jul</v>
          </cell>
          <cell r="D6631" t="str">
            <v>Chairs</v>
          </cell>
          <cell r="E6631">
            <v>76110.11099999999</v>
          </cell>
          <cell r="F6631">
            <v>7</v>
          </cell>
        </row>
        <row r="6632">
          <cell r="A6632">
            <v>2018</v>
          </cell>
          <cell r="B6632" t="str">
            <v>Actual</v>
          </cell>
          <cell r="C6632" t="str">
            <v>Jul</v>
          </cell>
          <cell r="D6632" t="str">
            <v>Chairs</v>
          </cell>
          <cell r="E6632">
            <v>73034.079999999987</v>
          </cell>
          <cell r="F6632">
            <v>7</v>
          </cell>
        </row>
        <row r="6633">
          <cell r="A6633">
            <v>2019</v>
          </cell>
          <cell r="B6633" t="str">
            <v>Budget</v>
          </cell>
          <cell r="C6633" t="str">
            <v>Jul</v>
          </cell>
          <cell r="D6633" t="str">
            <v>Chairs</v>
          </cell>
          <cell r="E6633">
            <v>93225.936999999991</v>
          </cell>
          <cell r="F6633">
            <v>7</v>
          </cell>
        </row>
        <row r="6634">
          <cell r="A6634">
            <v>2018</v>
          </cell>
          <cell r="B6634" t="str">
            <v>Actual</v>
          </cell>
          <cell r="C6634" t="str">
            <v>Jul</v>
          </cell>
          <cell r="D6634" t="str">
            <v>Chairs</v>
          </cell>
          <cell r="E6634">
            <v>30052.574999999997</v>
          </cell>
          <cell r="F6634">
            <v>7</v>
          </cell>
        </row>
        <row r="6635">
          <cell r="A6635">
            <v>2018</v>
          </cell>
          <cell r="B6635" t="str">
            <v>Budget</v>
          </cell>
          <cell r="C6635" t="str">
            <v>Jul</v>
          </cell>
          <cell r="D6635" t="str">
            <v>Tables</v>
          </cell>
          <cell r="E6635">
            <v>29082.136999999999</v>
          </cell>
          <cell r="F6635">
            <v>7</v>
          </cell>
        </row>
        <row r="6636">
          <cell r="A6636">
            <v>2019</v>
          </cell>
          <cell r="B6636" t="str">
            <v>Actual</v>
          </cell>
          <cell r="C6636" t="str">
            <v>Jul</v>
          </cell>
          <cell r="D6636" t="str">
            <v>Kitchen</v>
          </cell>
          <cell r="E6636">
            <v>63795.843999999997</v>
          </cell>
          <cell r="F6636">
            <v>7</v>
          </cell>
        </row>
        <row r="6637">
          <cell r="A6637">
            <v>2019</v>
          </cell>
          <cell r="B6637" t="str">
            <v>Budget</v>
          </cell>
          <cell r="C6637" t="str">
            <v>Jul</v>
          </cell>
          <cell r="D6637" t="str">
            <v>Chairs</v>
          </cell>
          <cell r="E6637">
            <v>6327.1319999999996</v>
          </cell>
          <cell r="F6637">
            <v>7</v>
          </cell>
        </row>
        <row r="6638">
          <cell r="A6638">
            <v>2018</v>
          </cell>
          <cell r="B6638" t="str">
            <v>Actual</v>
          </cell>
          <cell r="C6638" t="str">
            <v>Jul</v>
          </cell>
          <cell r="D6638" t="str">
            <v>Chairs</v>
          </cell>
          <cell r="E6638">
            <v>65451.287999999993</v>
          </cell>
          <cell r="F6638">
            <v>7</v>
          </cell>
        </row>
        <row r="6639">
          <cell r="A6639">
            <v>2018</v>
          </cell>
          <cell r="B6639" t="str">
            <v>Budget</v>
          </cell>
          <cell r="C6639" t="str">
            <v>Jul</v>
          </cell>
          <cell r="D6639" t="str">
            <v>Chairs</v>
          </cell>
          <cell r="E6639">
            <v>13761.698999999999</v>
          </cell>
          <cell r="F6639">
            <v>7</v>
          </cell>
        </row>
        <row r="6640">
          <cell r="A6640">
            <v>2019</v>
          </cell>
          <cell r="B6640" t="str">
            <v>Actual</v>
          </cell>
          <cell r="C6640" t="str">
            <v>Jul</v>
          </cell>
          <cell r="D6640" t="str">
            <v>Chairs</v>
          </cell>
          <cell r="E6640">
            <v>28719.837999999996</v>
          </cell>
          <cell r="F6640">
            <v>7</v>
          </cell>
        </row>
        <row r="6641">
          <cell r="A6641">
            <v>2019</v>
          </cell>
          <cell r="B6641" t="str">
            <v>Budget</v>
          </cell>
          <cell r="C6641" t="str">
            <v>Jul</v>
          </cell>
          <cell r="D6641" t="str">
            <v>Chairs</v>
          </cell>
          <cell r="E6641">
            <v>42525.293999999994</v>
          </cell>
          <cell r="F6641">
            <v>7</v>
          </cell>
        </row>
        <row r="6642">
          <cell r="A6642">
            <v>2019</v>
          </cell>
          <cell r="B6642" t="str">
            <v>Actual</v>
          </cell>
          <cell r="C6642" t="str">
            <v>Jul</v>
          </cell>
          <cell r="D6642" t="str">
            <v>Tables</v>
          </cell>
          <cell r="E6642">
            <v>8237.3269999999993</v>
          </cell>
          <cell r="F6642">
            <v>7</v>
          </cell>
        </row>
        <row r="6643">
          <cell r="A6643">
            <v>2019</v>
          </cell>
          <cell r="B6643" t="str">
            <v>Budget</v>
          </cell>
          <cell r="C6643" t="str">
            <v>Jul</v>
          </cell>
          <cell r="D6643" t="str">
            <v>Kitchen</v>
          </cell>
          <cell r="E6643">
            <v>9344.482</v>
          </cell>
          <cell r="F6643">
            <v>7</v>
          </cell>
        </row>
        <row r="6644">
          <cell r="A6644">
            <v>2018</v>
          </cell>
          <cell r="B6644" t="str">
            <v>Actual</v>
          </cell>
          <cell r="C6644" t="str">
            <v>Jul</v>
          </cell>
          <cell r="D6644" t="str">
            <v>Chairs</v>
          </cell>
          <cell r="E6644">
            <v>120333.10799999999</v>
          </cell>
          <cell r="F6644">
            <v>7</v>
          </cell>
        </row>
        <row r="6645">
          <cell r="A6645">
            <v>2018</v>
          </cell>
          <cell r="B6645" t="str">
            <v>Budget</v>
          </cell>
          <cell r="C6645" t="str">
            <v>Jul</v>
          </cell>
          <cell r="D6645" t="str">
            <v>Chairs</v>
          </cell>
          <cell r="E6645">
            <v>37828.231</v>
          </cell>
          <cell r="F6645">
            <v>7</v>
          </cell>
        </row>
        <row r="6646">
          <cell r="A6646">
            <v>2018</v>
          </cell>
          <cell r="B6646" t="str">
            <v>Actual</v>
          </cell>
          <cell r="C6646" t="str">
            <v>Jul</v>
          </cell>
          <cell r="D6646" t="str">
            <v>Chairs</v>
          </cell>
          <cell r="E6646">
            <v>7782.2709999999997</v>
          </cell>
          <cell r="F6646">
            <v>7</v>
          </cell>
        </row>
        <row r="6647">
          <cell r="A6647">
            <v>2019</v>
          </cell>
          <cell r="B6647" t="str">
            <v>Budget</v>
          </cell>
          <cell r="C6647" t="str">
            <v>Jul</v>
          </cell>
          <cell r="D6647" t="str">
            <v>Tables</v>
          </cell>
          <cell r="E6647">
            <v>5304.6209999999992</v>
          </cell>
          <cell r="F6647">
            <v>7</v>
          </cell>
        </row>
        <row r="6648">
          <cell r="A6648">
            <v>2019</v>
          </cell>
          <cell r="B6648" t="str">
            <v>Actual</v>
          </cell>
          <cell r="C6648" t="str">
            <v>Jul</v>
          </cell>
          <cell r="D6648" t="str">
            <v>Kitchen</v>
          </cell>
          <cell r="E6648">
            <v>176300.14499999999</v>
          </cell>
          <cell r="F6648">
            <v>7</v>
          </cell>
        </row>
        <row r="6649">
          <cell r="A6649">
            <v>2019</v>
          </cell>
          <cell r="B6649" t="str">
            <v>Budget</v>
          </cell>
          <cell r="C6649" t="str">
            <v>Jul</v>
          </cell>
          <cell r="D6649" t="str">
            <v>Chairs</v>
          </cell>
          <cell r="E6649">
            <v>93788.708999999988</v>
          </cell>
          <cell r="F6649">
            <v>7</v>
          </cell>
        </row>
        <row r="6650">
          <cell r="A6650">
            <v>2018</v>
          </cell>
          <cell r="B6650" t="str">
            <v>Actual</v>
          </cell>
          <cell r="C6650" t="str">
            <v>Jul</v>
          </cell>
          <cell r="D6650" t="str">
            <v>Chairs</v>
          </cell>
          <cell r="E6650">
            <v>30065.405999999999</v>
          </cell>
          <cell r="F6650">
            <v>7</v>
          </cell>
        </row>
        <row r="6651">
          <cell r="A6651">
            <v>2019</v>
          </cell>
          <cell r="B6651" t="str">
            <v>Budget</v>
          </cell>
          <cell r="C6651" t="str">
            <v>Jul</v>
          </cell>
          <cell r="D6651" t="str">
            <v>Tables</v>
          </cell>
          <cell r="E6651">
            <v>1896201.0689999999</v>
          </cell>
          <cell r="F6651">
            <v>7</v>
          </cell>
        </row>
        <row r="6652">
          <cell r="A6652">
            <v>2019</v>
          </cell>
          <cell r="B6652" t="str">
            <v>Actual</v>
          </cell>
          <cell r="C6652" t="str">
            <v>Jul</v>
          </cell>
          <cell r="D6652" t="str">
            <v>Kitchen</v>
          </cell>
          <cell r="E6652">
            <v>8598.4219999999987</v>
          </cell>
          <cell r="F6652">
            <v>7</v>
          </cell>
        </row>
        <row r="6653">
          <cell r="A6653">
            <v>2019</v>
          </cell>
          <cell r="B6653" t="str">
            <v>Budget</v>
          </cell>
          <cell r="C6653" t="str">
            <v>Jul</v>
          </cell>
          <cell r="D6653" t="str">
            <v>Chairs</v>
          </cell>
          <cell r="E6653">
            <v>-213567.29800000001</v>
          </cell>
          <cell r="F6653">
            <v>7</v>
          </cell>
        </row>
        <row r="6654">
          <cell r="A6654">
            <v>2018</v>
          </cell>
          <cell r="B6654" t="str">
            <v>Actual</v>
          </cell>
          <cell r="C6654" t="str">
            <v>Jul</v>
          </cell>
          <cell r="D6654" t="str">
            <v>Chairs</v>
          </cell>
          <cell r="E6654">
            <v>411848.90599999996</v>
          </cell>
          <cell r="F6654">
            <v>7</v>
          </cell>
        </row>
        <row r="6655">
          <cell r="A6655">
            <v>2019</v>
          </cell>
          <cell r="B6655" t="str">
            <v>Budget</v>
          </cell>
          <cell r="C6655" t="str">
            <v>Jul</v>
          </cell>
          <cell r="D6655" t="str">
            <v>Tables</v>
          </cell>
          <cell r="E6655">
            <v>628792.23399999994</v>
          </cell>
          <cell r="F6655">
            <v>7</v>
          </cell>
        </row>
        <row r="6656">
          <cell r="A6656">
            <v>2018</v>
          </cell>
          <cell r="B6656" t="str">
            <v>Actual</v>
          </cell>
          <cell r="C6656" t="str">
            <v>Jul</v>
          </cell>
          <cell r="D6656" t="str">
            <v>Kitchen</v>
          </cell>
          <cell r="E6656">
            <v>1164916.9209999999</v>
          </cell>
          <cell r="F6656">
            <v>7</v>
          </cell>
        </row>
        <row r="6657">
          <cell r="A6657">
            <v>2019</v>
          </cell>
          <cell r="B6657" t="str">
            <v>Budget</v>
          </cell>
          <cell r="C6657" t="str">
            <v>Jul</v>
          </cell>
          <cell r="D6657" t="str">
            <v>Accessories</v>
          </cell>
          <cell r="E6657">
            <v>221909.91199999998</v>
          </cell>
          <cell r="F6657">
            <v>7</v>
          </cell>
        </row>
        <row r="6658">
          <cell r="A6658">
            <v>2019</v>
          </cell>
          <cell r="B6658" t="str">
            <v>Actual</v>
          </cell>
          <cell r="C6658" t="str">
            <v>Jul</v>
          </cell>
          <cell r="D6658" t="str">
            <v>Chairs</v>
          </cell>
          <cell r="E6658">
            <v>1043845.6909999999</v>
          </cell>
          <cell r="F6658">
            <v>7</v>
          </cell>
        </row>
        <row r="6659">
          <cell r="A6659">
            <v>2018</v>
          </cell>
          <cell r="B6659" t="str">
            <v>Budget</v>
          </cell>
          <cell r="C6659" t="str">
            <v>Jul</v>
          </cell>
          <cell r="D6659" t="str">
            <v>Tables</v>
          </cell>
          <cell r="E6659">
            <v>666551.1719999999</v>
          </cell>
          <cell r="F6659">
            <v>7</v>
          </cell>
        </row>
        <row r="6660">
          <cell r="A6660">
            <v>2018</v>
          </cell>
          <cell r="B6660" t="str">
            <v>Actual</v>
          </cell>
          <cell r="C6660" t="str">
            <v>Jul</v>
          </cell>
          <cell r="D6660" t="str">
            <v>Kitchen</v>
          </cell>
          <cell r="E6660">
            <v>391745.97699999996</v>
          </cell>
          <cell r="F6660">
            <v>7</v>
          </cell>
        </row>
        <row r="6661">
          <cell r="A6661">
            <v>2018</v>
          </cell>
          <cell r="B6661" t="str">
            <v>Budget</v>
          </cell>
          <cell r="C6661" t="str">
            <v>Jul</v>
          </cell>
          <cell r="D6661" t="str">
            <v>Accessories</v>
          </cell>
          <cell r="E6661">
            <v>192567.641</v>
          </cell>
          <cell r="F6661">
            <v>7</v>
          </cell>
        </row>
        <row r="6662">
          <cell r="A6662">
            <v>2018</v>
          </cell>
          <cell r="B6662" t="str">
            <v>Actual</v>
          </cell>
          <cell r="C6662" t="str">
            <v>Jul</v>
          </cell>
          <cell r="D6662" t="str">
            <v>Chairs</v>
          </cell>
          <cell r="E6662">
            <v>2315289.0109999999</v>
          </cell>
          <cell r="F6662">
            <v>7</v>
          </cell>
        </row>
        <row r="6663">
          <cell r="A6663">
            <v>2019</v>
          </cell>
          <cell r="B6663" t="str">
            <v>Budget</v>
          </cell>
          <cell r="C6663" t="str">
            <v>Jul</v>
          </cell>
          <cell r="D6663" t="str">
            <v>Tables</v>
          </cell>
          <cell r="E6663">
            <v>1188085.122</v>
          </cell>
          <cell r="F6663">
            <v>7</v>
          </cell>
        </row>
        <row r="6664">
          <cell r="A6664">
            <v>2019</v>
          </cell>
          <cell r="B6664" t="str">
            <v>Actual</v>
          </cell>
          <cell r="C6664" t="str">
            <v>Jul</v>
          </cell>
          <cell r="D6664" t="str">
            <v>Kitchen</v>
          </cell>
          <cell r="E6664">
            <v>2220141.861</v>
          </cell>
          <cell r="F6664">
            <v>7</v>
          </cell>
        </row>
        <row r="6665">
          <cell r="A6665">
            <v>2019</v>
          </cell>
          <cell r="B6665" t="str">
            <v>Budget</v>
          </cell>
          <cell r="C6665" t="str">
            <v>Jul</v>
          </cell>
          <cell r="D6665" t="str">
            <v>Accessories</v>
          </cell>
          <cell r="E6665">
            <v>1124.4870000000001</v>
          </cell>
          <cell r="F6665">
            <v>7</v>
          </cell>
        </row>
        <row r="6666">
          <cell r="A6666">
            <v>2019</v>
          </cell>
          <cell r="B6666" t="str">
            <v>Actual</v>
          </cell>
          <cell r="C6666" t="str">
            <v>Jul</v>
          </cell>
          <cell r="D6666" t="str">
            <v>Chairs</v>
          </cell>
          <cell r="E6666">
            <v>289337.09700000001</v>
          </cell>
          <cell r="F6666">
            <v>7</v>
          </cell>
        </row>
        <row r="6667">
          <cell r="A6667">
            <v>2019</v>
          </cell>
          <cell r="B6667" t="str">
            <v>Budget</v>
          </cell>
          <cell r="C6667" t="str">
            <v>Jul</v>
          </cell>
          <cell r="D6667" t="str">
            <v>Tables</v>
          </cell>
          <cell r="E6667">
            <v>21218.267</v>
          </cell>
          <cell r="F6667">
            <v>7</v>
          </cell>
        </row>
        <row r="6668">
          <cell r="A6668">
            <v>2019</v>
          </cell>
          <cell r="B6668" t="str">
            <v>Actual</v>
          </cell>
          <cell r="C6668" t="str">
            <v>Jul</v>
          </cell>
          <cell r="D6668" t="str">
            <v>Kitchen</v>
          </cell>
          <cell r="E6668">
            <v>18687.185999999998</v>
          </cell>
          <cell r="F6668">
            <v>7</v>
          </cell>
        </row>
        <row r="6669">
          <cell r="A6669">
            <v>2018</v>
          </cell>
          <cell r="B6669" t="str">
            <v>Budget</v>
          </cell>
          <cell r="C6669" t="str">
            <v>Jul</v>
          </cell>
          <cell r="D6669" t="str">
            <v>Accessories</v>
          </cell>
          <cell r="E6669">
            <v>1336596.1839999999</v>
          </cell>
          <cell r="F6669">
            <v>7</v>
          </cell>
        </row>
        <row r="6670">
          <cell r="A6670">
            <v>2018</v>
          </cell>
          <cell r="B6670" t="str">
            <v>Actual</v>
          </cell>
          <cell r="C6670" t="str">
            <v>Jul</v>
          </cell>
          <cell r="D6670" t="str">
            <v>Chairs</v>
          </cell>
          <cell r="E6670">
            <v>218969.73699999996</v>
          </cell>
          <cell r="F6670">
            <v>7</v>
          </cell>
        </row>
        <row r="6671">
          <cell r="A6671">
            <v>2018</v>
          </cell>
          <cell r="B6671" t="str">
            <v>Budget</v>
          </cell>
          <cell r="C6671" t="str">
            <v>Jul</v>
          </cell>
          <cell r="D6671" t="str">
            <v>Tables</v>
          </cell>
          <cell r="E6671">
            <v>387374.23199999996</v>
          </cell>
          <cell r="F6671">
            <v>7</v>
          </cell>
        </row>
        <row r="6672">
          <cell r="A6672">
            <v>2019</v>
          </cell>
          <cell r="B6672" t="str">
            <v>Actual</v>
          </cell>
          <cell r="C6672" t="str">
            <v>Jul</v>
          </cell>
          <cell r="D6672" t="str">
            <v>Kitchen</v>
          </cell>
          <cell r="E6672">
            <v>66649.813999999998</v>
          </cell>
          <cell r="F6672">
            <v>7</v>
          </cell>
        </row>
        <row r="6673">
          <cell r="A6673">
            <v>2018</v>
          </cell>
          <cell r="B6673" t="str">
            <v>Budget</v>
          </cell>
          <cell r="C6673" t="str">
            <v>Jul</v>
          </cell>
          <cell r="D6673" t="str">
            <v>Accessories</v>
          </cell>
          <cell r="E6673">
            <v>81814.704999999987</v>
          </cell>
          <cell r="F6673">
            <v>7</v>
          </cell>
        </row>
        <row r="6674">
          <cell r="A6674">
            <v>2019</v>
          </cell>
          <cell r="B6674" t="str">
            <v>Actual</v>
          </cell>
          <cell r="C6674" t="str">
            <v>Jul</v>
          </cell>
          <cell r="D6674" t="str">
            <v>Chairs</v>
          </cell>
          <cell r="E6674">
            <v>815895.80799999996</v>
          </cell>
          <cell r="F6674">
            <v>7</v>
          </cell>
        </row>
        <row r="6675">
          <cell r="A6675">
            <v>2018</v>
          </cell>
          <cell r="B6675" t="str">
            <v>Budget</v>
          </cell>
          <cell r="C6675" t="str">
            <v>Jul</v>
          </cell>
          <cell r="D6675" t="str">
            <v>Chairs</v>
          </cell>
          <cell r="E6675">
            <v>122473.848</v>
          </cell>
          <cell r="F6675">
            <v>7</v>
          </cell>
        </row>
        <row r="6676">
          <cell r="A6676">
            <v>2018</v>
          </cell>
          <cell r="B6676" t="str">
            <v>Actual</v>
          </cell>
          <cell r="C6676" t="str">
            <v>Jul</v>
          </cell>
          <cell r="D6676" t="str">
            <v>Tables</v>
          </cell>
          <cell r="E6676">
            <v>1081199.203</v>
          </cell>
          <cell r="F6676">
            <v>7</v>
          </cell>
        </row>
        <row r="6677">
          <cell r="A6677">
            <v>2018</v>
          </cell>
          <cell r="B6677" t="str">
            <v>Budget</v>
          </cell>
          <cell r="C6677" t="str">
            <v>Jul</v>
          </cell>
          <cell r="D6677" t="str">
            <v>Kitchen</v>
          </cell>
          <cell r="E6677">
            <v>5675.4949999999999</v>
          </cell>
          <cell r="F6677">
            <v>7</v>
          </cell>
        </row>
        <row r="6678">
          <cell r="A6678">
            <v>2018</v>
          </cell>
          <cell r="B6678" t="str">
            <v>Actual</v>
          </cell>
          <cell r="C6678" t="str">
            <v>Jul</v>
          </cell>
          <cell r="D6678" t="str">
            <v>Chairs</v>
          </cell>
          <cell r="E6678">
            <v>11869.745999999999</v>
          </cell>
          <cell r="F6678">
            <v>7</v>
          </cell>
        </row>
        <row r="6679">
          <cell r="A6679">
            <v>2018</v>
          </cell>
          <cell r="B6679" t="str">
            <v>Budget</v>
          </cell>
          <cell r="C6679" t="str">
            <v>Jul</v>
          </cell>
          <cell r="D6679" t="str">
            <v>Tables</v>
          </cell>
          <cell r="E6679">
            <v>332615.09399999998</v>
          </cell>
          <cell r="F6679">
            <v>7</v>
          </cell>
        </row>
        <row r="6680">
          <cell r="A6680">
            <v>2019</v>
          </cell>
          <cell r="B6680" t="str">
            <v>Actual</v>
          </cell>
          <cell r="C6680" t="str">
            <v>Jul</v>
          </cell>
          <cell r="D6680" t="str">
            <v>Kitchen</v>
          </cell>
          <cell r="E6680">
            <v>105714.01399999998</v>
          </cell>
          <cell r="F6680">
            <v>7</v>
          </cell>
        </row>
        <row r="6681">
          <cell r="A6681">
            <v>2018</v>
          </cell>
          <cell r="B6681" t="str">
            <v>Budget</v>
          </cell>
          <cell r="C6681" t="str">
            <v>Jul</v>
          </cell>
          <cell r="D6681" t="str">
            <v>Chairs</v>
          </cell>
          <cell r="E6681">
            <v>327942.88099999999</v>
          </cell>
          <cell r="F6681">
            <v>7</v>
          </cell>
        </row>
        <row r="6682">
          <cell r="A6682">
            <v>2018</v>
          </cell>
          <cell r="B6682" t="str">
            <v>Actual</v>
          </cell>
          <cell r="C6682" t="str">
            <v>Jul</v>
          </cell>
          <cell r="D6682" t="str">
            <v>Tables</v>
          </cell>
          <cell r="E6682">
            <v>320866.56</v>
          </cell>
          <cell r="F6682">
            <v>7</v>
          </cell>
        </row>
        <row r="6683">
          <cell r="A6683">
            <v>2018</v>
          </cell>
          <cell r="B6683" t="str">
            <v>Budget</v>
          </cell>
          <cell r="C6683" t="str">
            <v>Jul</v>
          </cell>
          <cell r="D6683" t="str">
            <v>Kitchen</v>
          </cell>
          <cell r="E6683">
            <v>53026.764000000003</v>
          </cell>
          <cell r="F6683">
            <v>7</v>
          </cell>
        </row>
        <row r="6684">
          <cell r="A6684">
            <v>2019</v>
          </cell>
          <cell r="B6684" t="str">
            <v>Actual</v>
          </cell>
          <cell r="C6684" t="str">
            <v>Jul</v>
          </cell>
          <cell r="D6684" t="str">
            <v>Chairs</v>
          </cell>
          <cell r="E6684">
            <v>604015.94400000002</v>
          </cell>
          <cell r="F6684">
            <v>7</v>
          </cell>
        </row>
        <row r="6685">
          <cell r="A6685">
            <v>2019</v>
          </cell>
          <cell r="B6685" t="str">
            <v>Budget</v>
          </cell>
          <cell r="C6685" t="str">
            <v>Jul</v>
          </cell>
          <cell r="D6685" t="str">
            <v>Chairs</v>
          </cell>
          <cell r="E6685">
            <v>82577.991999999998</v>
          </cell>
          <cell r="F6685">
            <v>7</v>
          </cell>
        </row>
        <row r="6686">
          <cell r="A6686">
            <v>2019</v>
          </cell>
          <cell r="B6686" t="str">
            <v>Actual</v>
          </cell>
          <cell r="C6686" t="str">
            <v>Jul</v>
          </cell>
          <cell r="D6686" t="str">
            <v>Chairs</v>
          </cell>
          <cell r="E6686">
            <v>146464.633</v>
          </cell>
          <cell r="F6686">
            <v>7</v>
          </cell>
        </row>
        <row r="6687">
          <cell r="A6687">
            <v>2018</v>
          </cell>
          <cell r="B6687" t="str">
            <v>Budget</v>
          </cell>
          <cell r="C6687" t="str">
            <v>Jul</v>
          </cell>
          <cell r="D6687" t="str">
            <v>Chairs</v>
          </cell>
          <cell r="E6687">
            <v>164929.81399999998</v>
          </cell>
          <cell r="F6687">
            <v>7</v>
          </cell>
        </row>
        <row r="6688">
          <cell r="A6688">
            <v>2019</v>
          </cell>
          <cell r="B6688" t="str">
            <v>Actual</v>
          </cell>
          <cell r="C6688" t="str">
            <v>Jul</v>
          </cell>
          <cell r="D6688" t="str">
            <v>Chairs</v>
          </cell>
          <cell r="E6688">
            <v>292561.11499999999</v>
          </cell>
          <cell r="F6688">
            <v>7</v>
          </cell>
        </row>
        <row r="6689">
          <cell r="A6689">
            <v>2019</v>
          </cell>
          <cell r="B6689" t="str">
            <v>Budget</v>
          </cell>
          <cell r="C6689" t="str">
            <v>Jul</v>
          </cell>
          <cell r="D6689" t="str">
            <v>Chairs</v>
          </cell>
          <cell r="E6689">
            <v>509285.39199999999</v>
          </cell>
          <cell r="F6689">
            <v>7</v>
          </cell>
        </row>
        <row r="6690">
          <cell r="A6690">
            <v>2019</v>
          </cell>
          <cell r="B6690" t="str">
            <v>Actual</v>
          </cell>
          <cell r="C6690" t="str">
            <v>Jul</v>
          </cell>
          <cell r="D6690" t="str">
            <v>Chairs</v>
          </cell>
          <cell r="E6690">
            <v>22272.109999999997</v>
          </cell>
          <cell r="F6690">
            <v>7</v>
          </cell>
        </row>
        <row r="6691">
          <cell r="A6691">
            <v>2018</v>
          </cell>
          <cell r="B6691" t="str">
            <v>Budget</v>
          </cell>
          <cell r="C6691" t="str">
            <v>Jul</v>
          </cell>
          <cell r="D6691" t="str">
            <v>Chairs</v>
          </cell>
          <cell r="E6691">
            <v>79157.056999999986</v>
          </cell>
          <cell r="F6691">
            <v>7</v>
          </cell>
        </row>
        <row r="6692">
          <cell r="A6692">
            <v>2018</v>
          </cell>
          <cell r="B6692" t="str">
            <v>Actual</v>
          </cell>
          <cell r="C6692" t="str">
            <v>Jul</v>
          </cell>
          <cell r="D6692" t="str">
            <v>Chairs</v>
          </cell>
          <cell r="E6692">
            <v>126320.04699999999</v>
          </cell>
          <cell r="F6692">
            <v>7</v>
          </cell>
        </row>
        <row r="6693">
          <cell r="A6693">
            <v>2018</v>
          </cell>
          <cell r="B6693" t="str">
            <v>Budget</v>
          </cell>
          <cell r="C6693" t="str">
            <v>Jul</v>
          </cell>
          <cell r="D6693" t="str">
            <v>Chairs</v>
          </cell>
          <cell r="E6693">
            <v>6572.4679999999998</v>
          </cell>
          <cell r="F6693">
            <v>7</v>
          </cell>
        </row>
        <row r="6694">
          <cell r="A6694">
            <v>2019</v>
          </cell>
          <cell r="B6694" t="str">
            <v>Actual</v>
          </cell>
          <cell r="C6694" t="str">
            <v>Jul</v>
          </cell>
          <cell r="D6694" t="str">
            <v>Chairs</v>
          </cell>
          <cell r="E6694">
            <v>265962.20699999999</v>
          </cell>
          <cell r="F6694">
            <v>7</v>
          </cell>
        </row>
        <row r="6695">
          <cell r="A6695">
            <v>2018</v>
          </cell>
          <cell r="B6695" t="str">
            <v>Budget</v>
          </cell>
          <cell r="C6695" t="str">
            <v>Jul</v>
          </cell>
          <cell r="D6695" t="str">
            <v>Chairs</v>
          </cell>
          <cell r="E6695">
            <v>86254.755999999994</v>
          </cell>
          <cell r="F6695">
            <v>7</v>
          </cell>
        </row>
        <row r="6696">
          <cell r="A6696">
            <v>2019</v>
          </cell>
          <cell r="B6696" t="str">
            <v>Actual</v>
          </cell>
          <cell r="C6696" t="str">
            <v>Jul</v>
          </cell>
          <cell r="D6696" t="str">
            <v>Chairs</v>
          </cell>
          <cell r="E6696">
            <v>355.20099999999996</v>
          </cell>
          <cell r="F6696">
            <v>7</v>
          </cell>
        </row>
        <row r="6697">
          <cell r="A6697">
            <v>2018</v>
          </cell>
          <cell r="B6697" t="str">
            <v>Budget</v>
          </cell>
          <cell r="C6697" t="str">
            <v>Jul</v>
          </cell>
          <cell r="D6697" t="str">
            <v>Chairs</v>
          </cell>
          <cell r="E6697">
            <v>206.27599999999998</v>
          </cell>
          <cell r="F6697">
            <v>7</v>
          </cell>
        </row>
        <row r="6698">
          <cell r="A6698">
            <v>2019</v>
          </cell>
          <cell r="B6698" t="str">
            <v>Actual</v>
          </cell>
          <cell r="C6698" t="str">
            <v>Jul</v>
          </cell>
          <cell r="D6698" t="str">
            <v>Chairs</v>
          </cell>
          <cell r="E6698">
            <v>449.25999999999993</v>
          </cell>
          <cell r="F6698">
            <v>7</v>
          </cell>
        </row>
        <row r="6699">
          <cell r="A6699">
            <v>2018</v>
          </cell>
          <cell r="B6699" t="str">
            <v>Budget</v>
          </cell>
          <cell r="C6699" t="str">
            <v>Jul</v>
          </cell>
          <cell r="D6699" t="str">
            <v>Chairs</v>
          </cell>
          <cell r="E6699">
            <v>58308.572</v>
          </cell>
          <cell r="F6699">
            <v>7</v>
          </cell>
        </row>
        <row r="6700">
          <cell r="A6700">
            <v>2019</v>
          </cell>
          <cell r="B6700" t="str">
            <v>Actual</v>
          </cell>
          <cell r="C6700" t="str">
            <v>Jul</v>
          </cell>
          <cell r="D6700" t="str">
            <v>Chairs</v>
          </cell>
          <cell r="E6700">
            <v>205219.50399999996</v>
          </cell>
          <cell r="F6700">
            <v>7</v>
          </cell>
        </row>
        <row r="6701">
          <cell r="A6701">
            <v>2019</v>
          </cell>
          <cell r="B6701" t="str">
            <v>Budget</v>
          </cell>
          <cell r="C6701" t="str">
            <v>Jul</v>
          </cell>
          <cell r="D6701" t="str">
            <v>Chairs</v>
          </cell>
          <cell r="E6701">
            <v>400107.98799999995</v>
          </cell>
          <cell r="F6701">
            <v>7</v>
          </cell>
        </row>
        <row r="6702">
          <cell r="A6702">
            <v>2018</v>
          </cell>
          <cell r="B6702" t="str">
            <v>Actual</v>
          </cell>
          <cell r="C6702" t="str">
            <v>Jul</v>
          </cell>
          <cell r="D6702" t="str">
            <v>Chairs</v>
          </cell>
          <cell r="E6702">
            <v>84749.84</v>
          </cell>
          <cell r="F6702">
            <v>7</v>
          </cell>
        </row>
        <row r="6703">
          <cell r="A6703">
            <v>2018</v>
          </cell>
          <cell r="B6703" t="str">
            <v>Budget</v>
          </cell>
          <cell r="C6703" t="str">
            <v>Jul</v>
          </cell>
          <cell r="D6703" t="str">
            <v>Chairs</v>
          </cell>
          <cell r="E6703">
            <v>267023.36499999999</v>
          </cell>
          <cell r="F6703">
            <v>7</v>
          </cell>
        </row>
        <row r="6704">
          <cell r="A6704">
            <v>2019</v>
          </cell>
          <cell r="B6704" t="str">
            <v>Actual</v>
          </cell>
          <cell r="C6704" t="str">
            <v>Jul</v>
          </cell>
          <cell r="D6704" t="str">
            <v>Chairs</v>
          </cell>
          <cell r="E6704">
            <v>33855.99</v>
          </cell>
          <cell r="F6704">
            <v>7</v>
          </cell>
        </row>
        <row r="6705">
          <cell r="A6705">
            <v>2019</v>
          </cell>
          <cell r="B6705" t="str">
            <v>Budget</v>
          </cell>
          <cell r="C6705" t="str">
            <v>Jul</v>
          </cell>
          <cell r="D6705" t="str">
            <v>Chairs</v>
          </cell>
          <cell r="E6705">
            <v>86562.735000000001</v>
          </cell>
          <cell r="F6705">
            <v>7</v>
          </cell>
        </row>
        <row r="6706">
          <cell r="A6706">
            <v>2019</v>
          </cell>
          <cell r="B6706" t="str">
            <v>Actual</v>
          </cell>
          <cell r="C6706" t="str">
            <v>Jul</v>
          </cell>
          <cell r="D6706" t="str">
            <v>Chairs</v>
          </cell>
          <cell r="E6706">
            <v>950342.51899999985</v>
          </cell>
          <cell r="F6706">
            <v>7</v>
          </cell>
        </row>
        <row r="6707">
          <cell r="A6707">
            <v>2019</v>
          </cell>
          <cell r="B6707" t="str">
            <v>Budget</v>
          </cell>
          <cell r="C6707" t="str">
            <v>Jul</v>
          </cell>
          <cell r="D6707" t="str">
            <v>Chairs</v>
          </cell>
          <cell r="E6707">
            <v>794062.02399999998</v>
          </cell>
          <cell r="F6707">
            <v>7</v>
          </cell>
        </row>
        <row r="6708">
          <cell r="A6708">
            <v>2019</v>
          </cell>
          <cell r="B6708" t="str">
            <v>Actual</v>
          </cell>
          <cell r="C6708" t="str">
            <v>Jul</v>
          </cell>
          <cell r="D6708" t="str">
            <v>Chairs</v>
          </cell>
          <cell r="E6708">
            <v>361916.76500000001</v>
          </cell>
          <cell r="F6708">
            <v>7</v>
          </cell>
        </row>
        <row r="6709">
          <cell r="A6709">
            <v>2019</v>
          </cell>
          <cell r="B6709" t="str">
            <v>Budget</v>
          </cell>
          <cell r="C6709" t="str">
            <v>Jul</v>
          </cell>
          <cell r="D6709" t="str">
            <v>Chairs</v>
          </cell>
          <cell r="E6709">
            <v>168152.929</v>
          </cell>
          <cell r="F6709">
            <v>7</v>
          </cell>
        </row>
        <row r="6710">
          <cell r="A6710">
            <v>2019</v>
          </cell>
          <cell r="B6710" t="str">
            <v>Actual</v>
          </cell>
          <cell r="C6710" t="str">
            <v>Jul</v>
          </cell>
          <cell r="D6710" t="str">
            <v>Tables</v>
          </cell>
          <cell r="E6710">
            <v>357443.73</v>
          </cell>
          <cell r="F6710">
            <v>7</v>
          </cell>
        </row>
        <row r="6711">
          <cell r="A6711">
            <v>2019</v>
          </cell>
          <cell r="B6711" t="str">
            <v>Budget</v>
          </cell>
          <cell r="C6711" t="str">
            <v>Jul</v>
          </cell>
          <cell r="D6711" t="str">
            <v>Kitchen</v>
          </cell>
          <cell r="E6711">
            <v>53234.047999999995</v>
          </cell>
          <cell r="F6711">
            <v>7</v>
          </cell>
        </row>
        <row r="6712">
          <cell r="A6712">
            <v>2018</v>
          </cell>
          <cell r="B6712" t="str">
            <v>Actual</v>
          </cell>
          <cell r="C6712" t="str">
            <v>Jul</v>
          </cell>
          <cell r="D6712" t="str">
            <v>Chairs</v>
          </cell>
          <cell r="E6712">
            <v>443910.52299999999</v>
          </cell>
          <cell r="F6712">
            <v>7</v>
          </cell>
        </row>
        <row r="6713">
          <cell r="A6713">
            <v>2018</v>
          </cell>
          <cell r="B6713" t="str">
            <v>Budget</v>
          </cell>
          <cell r="C6713" t="str">
            <v>Jul</v>
          </cell>
          <cell r="D6713" t="str">
            <v>Chairs</v>
          </cell>
          <cell r="E6713">
            <v>745219.20200000005</v>
          </cell>
          <cell r="F6713">
            <v>7</v>
          </cell>
        </row>
        <row r="6714">
          <cell r="A6714">
            <v>2019</v>
          </cell>
          <cell r="B6714" t="str">
            <v>Actual</v>
          </cell>
          <cell r="C6714" t="str">
            <v>Jul</v>
          </cell>
          <cell r="D6714" t="str">
            <v>Chairs</v>
          </cell>
          <cell r="E6714">
            <v>4155862.13</v>
          </cell>
          <cell r="F6714">
            <v>7</v>
          </cell>
        </row>
        <row r="6715">
          <cell r="A6715">
            <v>2018</v>
          </cell>
          <cell r="B6715" t="str">
            <v>Budget</v>
          </cell>
          <cell r="C6715" t="str">
            <v>Jul</v>
          </cell>
          <cell r="D6715" t="str">
            <v>Chairs</v>
          </cell>
          <cell r="E6715">
            <v>412505.78599999996</v>
          </cell>
          <cell r="F6715">
            <v>7</v>
          </cell>
        </row>
        <row r="6716">
          <cell r="A6716">
            <v>2018</v>
          </cell>
          <cell r="B6716" t="str">
            <v>Actual</v>
          </cell>
          <cell r="C6716" t="str">
            <v>Jul</v>
          </cell>
          <cell r="D6716" t="str">
            <v>Chairs</v>
          </cell>
          <cell r="E6716">
            <v>34808.297999999995</v>
          </cell>
          <cell r="F6716">
            <v>7</v>
          </cell>
        </row>
        <row r="6717">
          <cell r="A6717">
            <v>2019</v>
          </cell>
          <cell r="B6717" t="str">
            <v>Budget</v>
          </cell>
          <cell r="C6717" t="str">
            <v>Jul</v>
          </cell>
          <cell r="D6717" t="str">
            <v>Tables</v>
          </cell>
          <cell r="E6717">
            <v>107136.232</v>
          </cell>
          <cell r="F6717">
            <v>7</v>
          </cell>
        </row>
        <row r="6718">
          <cell r="A6718">
            <v>2019</v>
          </cell>
          <cell r="B6718" t="str">
            <v>Actual</v>
          </cell>
          <cell r="C6718" t="str">
            <v>Jul</v>
          </cell>
          <cell r="D6718" t="str">
            <v>Kitchen</v>
          </cell>
          <cell r="E6718">
            <v>138019.52499999999</v>
          </cell>
          <cell r="F6718">
            <v>7</v>
          </cell>
        </row>
        <row r="6719">
          <cell r="A6719">
            <v>2019</v>
          </cell>
          <cell r="B6719" t="str">
            <v>Budget</v>
          </cell>
          <cell r="C6719" t="str">
            <v>Jul</v>
          </cell>
          <cell r="D6719" t="str">
            <v>Chairs</v>
          </cell>
          <cell r="E6719">
            <v>293308.51899999997</v>
          </cell>
          <cell r="F6719">
            <v>7</v>
          </cell>
        </row>
        <row r="6720">
          <cell r="A6720">
            <v>2018</v>
          </cell>
          <cell r="B6720" t="str">
            <v>Actual</v>
          </cell>
          <cell r="C6720" t="str">
            <v>Jul</v>
          </cell>
          <cell r="D6720" t="str">
            <v>Chairs</v>
          </cell>
          <cell r="E6720">
            <v>121427.73299999999</v>
          </cell>
          <cell r="F6720">
            <v>7</v>
          </cell>
        </row>
        <row r="6721">
          <cell r="A6721">
            <v>2019</v>
          </cell>
          <cell r="B6721" t="str">
            <v>Budget</v>
          </cell>
          <cell r="C6721" t="str">
            <v>Jul</v>
          </cell>
          <cell r="D6721" t="str">
            <v>Chairs</v>
          </cell>
          <cell r="E6721">
            <v>4034376.0239999997</v>
          </cell>
          <cell r="F6721">
            <v>7</v>
          </cell>
        </row>
        <row r="6722">
          <cell r="A6722">
            <v>2018</v>
          </cell>
          <cell r="B6722" t="str">
            <v>Actual</v>
          </cell>
          <cell r="C6722" t="str">
            <v>Jul</v>
          </cell>
          <cell r="D6722" t="str">
            <v>Tables</v>
          </cell>
          <cell r="E6722">
            <v>22351.769999999997</v>
          </cell>
          <cell r="F6722">
            <v>7</v>
          </cell>
        </row>
        <row r="6723">
          <cell r="A6723">
            <v>2019</v>
          </cell>
          <cell r="B6723" t="str">
            <v>Budget</v>
          </cell>
          <cell r="C6723" t="str">
            <v>Jul</v>
          </cell>
          <cell r="D6723" t="str">
            <v>Kitchen</v>
          </cell>
          <cell r="E6723">
            <v>1506326.6400000001</v>
          </cell>
          <cell r="F6723">
            <v>7</v>
          </cell>
        </row>
        <row r="6724">
          <cell r="A6724">
            <v>2018</v>
          </cell>
          <cell r="B6724" t="str">
            <v>Actual</v>
          </cell>
          <cell r="C6724" t="str">
            <v>Jul</v>
          </cell>
          <cell r="D6724" t="str">
            <v>Chairs</v>
          </cell>
          <cell r="E6724">
            <v>25218.437999999995</v>
          </cell>
          <cell r="F6724">
            <v>7</v>
          </cell>
        </row>
        <row r="6725">
          <cell r="A6725">
            <v>2019</v>
          </cell>
          <cell r="B6725" t="str">
            <v>Budget</v>
          </cell>
          <cell r="C6725" t="str">
            <v>Jul</v>
          </cell>
          <cell r="D6725" t="str">
            <v>Chairs</v>
          </cell>
          <cell r="E6725">
            <v>88440.883999999991</v>
          </cell>
          <cell r="F6725">
            <v>7</v>
          </cell>
        </row>
        <row r="6726">
          <cell r="A6726">
            <v>2018</v>
          </cell>
          <cell r="B6726" t="str">
            <v>Actual</v>
          </cell>
          <cell r="C6726" t="str">
            <v>Jul</v>
          </cell>
          <cell r="D6726" t="str">
            <v>Tables</v>
          </cell>
          <cell r="E6726">
            <v>17399.486999999997</v>
          </cell>
          <cell r="F6726">
            <v>7</v>
          </cell>
        </row>
        <row r="6727">
          <cell r="A6727">
            <v>2018</v>
          </cell>
          <cell r="B6727" t="str">
            <v>Budget</v>
          </cell>
          <cell r="C6727" t="str">
            <v>Jul</v>
          </cell>
          <cell r="D6727" t="str">
            <v>Kitchen</v>
          </cell>
          <cell r="E6727">
            <v>664074.07499999995</v>
          </cell>
          <cell r="F6727">
            <v>7</v>
          </cell>
        </row>
        <row r="6728">
          <cell r="A6728">
            <v>2018</v>
          </cell>
          <cell r="B6728" t="str">
            <v>Actual</v>
          </cell>
          <cell r="C6728" t="str">
            <v>Jul</v>
          </cell>
          <cell r="D6728" t="str">
            <v>Chairs</v>
          </cell>
          <cell r="E6728">
            <v>38828.461000000003</v>
          </cell>
          <cell r="F6728">
            <v>7</v>
          </cell>
        </row>
        <row r="6729">
          <cell r="A6729">
            <v>2019</v>
          </cell>
          <cell r="B6729" t="str">
            <v>Budget</v>
          </cell>
          <cell r="C6729" t="str">
            <v>Jul</v>
          </cell>
          <cell r="D6729" t="str">
            <v>Chairs</v>
          </cell>
          <cell r="E6729">
            <v>864553.22100000002</v>
          </cell>
          <cell r="F6729">
            <v>7</v>
          </cell>
        </row>
        <row r="6730">
          <cell r="A6730">
            <v>2018</v>
          </cell>
          <cell r="B6730" t="str">
            <v>Actual</v>
          </cell>
          <cell r="C6730" t="str">
            <v>Jul</v>
          </cell>
          <cell r="D6730" t="str">
            <v>Tables</v>
          </cell>
          <cell r="E6730">
            <v>90725.193999999989</v>
          </cell>
          <cell r="F6730">
            <v>7</v>
          </cell>
        </row>
        <row r="6731">
          <cell r="A6731">
            <v>2018</v>
          </cell>
          <cell r="B6731" t="str">
            <v>Budget</v>
          </cell>
          <cell r="C6731" t="str">
            <v>Jul</v>
          </cell>
          <cell r="D6731" t="str">
            <v>Chairs</v>
          </cell>
          <cell r="E6731">
            <v>1411727.429</v>
          </cell>
          <cell r="F6731">
            <v>7</v>
          </cell>
        </row>
        <row r="6732">
          <cell r="A6732">
            <v>2018</v>
          </cell>
          <cell r="B6732" t="str">
            <v>Actual</v>
          </cell>
          <cell r="C6732" t="str">
            <v>Jul</v>
          </cell>
          <cell r="D6732" t="str">
            <v>Tables</v>
          </cell>
          <cell r="E6732">
            <v>62018.676999999996</v>
          </cell>
          <cell r="F6732">
            <v>7</v>
          </cell>
        </row>
        <row r="6733">
          <cell r="A6733">
            <v>2018</v>
          </cell>
          <cell r="B6733" t="str">
            <v>Budget</v>
          </cell>
          <cell r="C6733" t="str">
            <v>Jul</v>
          </cell>
          <cell r="D6733" t="str">
            <v>Kitchen</v>
          </cell>
          <cell r="E6733">
            <v>70435.728999999992</v>
          </cell>
          <cell r="F6733">
            <v>7</v>
          </cell>
        </row>
        <row r="6734">
          <cell r="A6734">
            <v>2018</v>
          </cell>
          <cell r="B6734" t="str">
            <v>Actual</v>
          </cell>
          <cell r="C6734" t="str">
            <v>Jul</v>
          </cell>
          <cell r="D6734" t="str">
            <v>Accessories</v>
          </cell>
          <cell r="E6734">
            <v>375108.92300000001</v>
          </cell>
          <cell r="F6734">
            <v>7</v>
          </cell>
        </row>
        <row r="6735">
          <cell r="A6735">
            <v>2018</v>
          </cell>
          <cell r="B6735" t="str">
            <v>Budget</v>
          </cell>
          <cell r="C6735" t="str">
            <v>Jul</v>
          </cell>
          <cell r="D6735" t="str">
            <v>Chairs</v>
          </cell>
          <cell r="E6735">
            <v>164042.64799999999</v>
          </cell>
          <cell r="F6735">
            <v>7</v>
          </cell>
        </row>
        <row r="6736">
          <cell r="A6736">
            <v>2019</v>
          </cell>
          <cell r="B6736" t="str">
            <v>Actual</v>
          </cell>
          <cell r="C6736" t="str">
            <v>Jul</v>
          </cell>
          <cell r="D6736" t="str">
            <v>Tables</v>
          </cell>
          <cell r="E6736">
            <v>468886.15199999994</v>
          </cell>
          <cell r="F6736">
            <v>7</v>
          </cell>
        </row>
        <row r="6737">
          <cell r="A6737">
            <v>2018</v>
          </cell>
          <cell r="B6737" t="str">
            <v>Budget</v>
          </cell>
          <cell r="C6737" t="str">
            <v>Jul</v>
          </cell>
          <cell r="D6737" t="str">
            <v>Kitchen</v>
          </cell>
          <cell r="E6737">
            <v>104280.15499999998</v>
          </cell>
          <cell r="F6737">
            <v>7</v>
          </cell>
        </row>
        <row r="6738">
          <cell r="A6738">
            <v>2018</v>
          </cell>
          <cell r="B6738" t="str">
            <v>Actual</v>
          </cell>
          <cell r="C6738" t="str">
            <v>Jul</v>
          </cell>
          <cell r="D6738" t="str">
            <v>Accessories</v>
          </cell>
          <cell r="E6738">
            <v>104439.28600000001</v>
          </cell>
          <cell r="F6738">
            <v>7</v>
          </cell>
        </row>
        <row r="6739">
          <cell r="A6739">
            <v>2018</v>
          </cell>
          <cell r="B6739" t="str">
            <v>Budget</v>
          </cell>
          <cell r="C6739" t="str">
            <v>Jul</v>
          </cell>
          <cell r="D6739" t="str">
            <v>Chairs</v>
          </cell>
          <cell r="E6739">
            <v>104433.749</v>
          </cell>
          <cell r="F6739">
            <v>7</v>
          </cell>
        </row>
        <row r="6740">
          <cell r="A6740">
            <v>2018</v>
          </cell>
          <cell r="B6740" t="str">
            <v>Actual</v>
          </cell>
          <cell r="C6740" t="str">
            <v>Jul</v>
          </cell>
          <cell r="D6740" t="str">
            <v>Tables</v>
          </cell>
          <cell r="E6740">
            <v>29587.340999999997</v>
          </cell>
          <cell r="F6740">
            <v>7</v>
          </cell>
        </row>
        <row r="6741">
          <cell r="A6741">
            <v>2019</v>
          </cell>
          <cell r="B6741" t="str">
            <v>Budget</v>
          </cell>
          <cell r="C6741" t="str">
            <v>Jul</v>
          </cell>
          <cell r="D6741" t="str">
            <v>Kitchen</v>
          </cell>
          <cell r="E6741">
            <v>24848.837999999996</v>
          </cell>
          <cell r="F6741">
            <v>7</v>
          </cell>
        </row>
        <row r="6742">
          <cell r="A6742">
            <v>2019</v>
          </cell>
          <cell r="B6742" t="str">
            <v>Actual</v>
          </cell>
          <cell r="C6742" t="str">
            <v>Jul</v>
          </cell>
          <cell r="D6742" t="str">
            <v>Accessories</v>
          </cell>
          <cell r="E6742">
            <v>142592.65299999999</v>
          </cell>
          <cell r="F6742">
            <v>7</v>
          </cell>
        </row>
        <row r="6743">
          <cell r="A6743">
            <v>2019</v>
          </cell>
          <cell r="B6743" t="str">
            <v>Budget</v>
          </cell>
          <cell r="C6743" t="str">
            <v>Jul</v>
          </cell>
          <cell r="D6743" t="str">
            <v>Chairs</v>
          </cell>
          <cell r="E6743">
            <v>41912.934000000001</v>
          </cell>
          <cell r="F6743">
            <v>7</v>
          </cell>
        </row>
        <row r="6744">
          <cell r="A6744">
            <v>2018</v>
          </cell>
          <cell r="B6744" t="str">
            <v>Actual</v>
          </cell>
          <cell r="C6744" t="str">
            <v>Jul</v>
          </cell>
          <cell r="D6744" t="str">
            <v>Tables</v>
          </cell>
          <cell r="E6744">
            <v>19002.039000000001</v>
          </cell>
          <cell r="F6744">
            <v>7</v>
          </cell>
        </row>
        <row r="6745">
          <cell r="A6745">
            <v>2018</v>
          </cell>
          <cell r="B6745" t="str">
            <v>Budget</v>
          </cell>
          <cell r="C6745" t="str">
            <v>Jul</v>
          </cell>
          <cell r="D6745" t="str">
            <v>Kitchen</v>
          </cell>
          <cell r="E6745">
            <v>17238.136999999999</v>
          </cell>
          <cell r="F6745">
            <v>7</v>
          </cell>
        </row>
        <row r="6746">
          <cell r="A6746">
            <v>2018</v>
          </cell>
          <cell r="B6746" t="str">
            <v>Actual</v>
          </cell>
          <cell r="C6746" t="str">
            <v>Jul</v>
          </cell>
          <cell r="D6746" t="str">
            <v>Accessories</v>
          </cell>
          <cell r="E6746">
            <v>98020.383999999991</v>
          </cell>
          <cell r="F6746">
            <v>7</v>
          </cell>
        </row>
        <row r="6747">
          <cell r="A6747">
            <v>2019</v>
          </cell>
          <cell r="B6747" t="str">
            <v>Budget</v>
          </cell>
          <cell r="C6747" t="str">
            <v>Jul</v>
          </cell>
          <cell r="D6747" t="str">
            <v>Chairs</v>
          </cell>
          <cell r="E6747">
            <v>708791.9929999999</v>
          </cell>
          <cell r="F6747">
            <v>7</v>
          </cell>
        </row>
        <row r="6748">
          <cell r="A6748">
            <v>2019</v>
          </cell>
          <cell r="B6748" t="str">
            <v>Actual</v>
          </cell>
          <cell r="C6748" t="str">
            <v>Jul</v>
          </cell>
          <cell r="D6748" t="str">
            <v>Chairs</v>
          </cell>
          <cell r="E6748">
            <v>26014.953999999998</v>
          </cell>
          <cell r="F6748">
            <v>7</v>
          </cell>
        </row>
        <row r="6749">
          <cell r="A6749">
            <v>2019</v>
          </cell>
          <cell r="B6749" t="str">
            <v>Budget</v>
          </cell>
          <cell r="C6749" t="str">
            <v>Jul</v>
          </cell>
          <cell r="D6749" t="str">
            <v>Tables</v>
          </cell>
          <cell r="E6749">
            <v>191962.071</v>
          </cell>
          <cell r="F6749">
            <v>7</v>
          </cell>
        </row>
        <row r="6750">
          <cell r="A6750">
            <v>2019</v>
          </cell>
          <cell r="B6750" t="str">
            <v>Actual</v>
          </cell>
          <cell r="C6750" t="str">
            <v>Jul</v>
          </cell>
          <cell r="D6750" t="str">
            <v>Kitchen</v>
          </cell>
          <cell r="E6750">
            <v>277724.45399999997</v>
          </cell>
          <cell r="F6750">
            <v>7</v>
          </cell>
        </row>
        <row r="6751">
          <cell r="A6751">
            <v>2018</v>
          </cell>
          <cell r="B6751" t="str">
            <v>Budget</v>
          </cell>
          <cell r="C6751" t="str">
            <v>Jul</v>
          </cell>
          <cell r="D6751" t="str">
            <v>Chairs</v>
          </cell>
          <cell r="E6751">
            <v>308467.859</v>
          </cell>
          <cell r="F6751">
            <v>7</v>
          </cell>
        </row>
        <row r="6752">
          <cell r="A6752">
            <v>2019</v>
          </cell>
          <cell r="B6752" t="str">
            <v>Actual</v>
          </cell>
          <cell r="C6752" t="str">
            <v>Jul</v>
          </cell>
          <cell r="D6752" t="str">
            <v>Tables</v>
          </cell>
          <cell r="E6752">
            <v>624375.80099999998</v>
          </cell>
          <cell r="F6752">
            <v>7</v>
          </cell>
        </row>
        <row r="6753">
          <cell r="A6753">
            <v>2018</v>
          </cell>
          <cell r="B6753" t="str">
            <v>Budget</v>
          </cell>
          <cell r="C6753" t="str">
            <v>Jul</v>
          </cell>
          <cell r="D6753" t="str">
            <v>Kitchen</v>
          </cell>
          <cell r="E6753">
            <v>39671.113999999994</v>
          </cell>
          <cell r="F6753">
            <v>7</v>
          </cell>
        </row>
        <row r="6754">
          <cell r="A6754">
            <v>2018</v>
          </cell>
          <cell r="B6754" t="str">
            <v>Actual</v>
          </cell>
          <cell r="C6754" t="str">
            <v>Jul</v>
          </cell>
          <cell r="D6754" t="str">
            <v>Chairs</v>
          </cell>
          <cell r="E6754">
            <v>183397.51499999998</v>
          </cell>
          <cell r="F6754">
            <v>7</v>
          </cell>
        </row>
        <row r="6755">
          <cell r="A6755">
            <v>2019</v>
          </cell>
          <cell r="B6755" t="str">
            <v>Budget</v>
          </cell>
          <cell r="C6755" t="str">
            <v>Jul</v>
          </cell>
          <cell r="D6755" t="str">
            <v>Tables</v>
          </cell>
          <cell r="E6755">
            <v>76868.777999999991</v>
          </cell>
          <cell r="F6755">
            <v>7</v>
          </cell>
        </row>
        <row r="6756">
          <cell r="A6756">
            <v>2019</v>
          </cell>
          <cell r="B6756" t="str">
            <v>Actual</v>
          </cell>
          <cell r="C6756" t="str">
            <v>Jul</v>
          </cell>
          <cell r="D6756" t="str">
            <v>Kitchen</v>
          </cell>
          <cell r="E6756">
            <v>313876.72399999999</v>
          </cell>
          <cell r="F6756">
            <v>7</v>
          </cell>
        </row>
        <row r="6757">
          <cell r="A6757">
            <v>2019</v>
          </cell>
          <cell r="B6757" t="str">
            <v>Budget</v>
          </cell>
          <cell r="C6757" t="str">
            <v>Jul</v>
          </cell>
          <cell r="D6757" t="str">
            <v>Chairs</v>
          </cell>
          <cell r="E6757">
            <v>976645.87999999989</v>
          </cell>
          <cell r="F6757">
            <v>7</v>
          </cell>
        </row>
        <row r="6758">
          <cell r="A6758">
            <v>2018</v>
          </cell>
          <cell r="B6758" t="str">
            <v>Actual</v>
          </cell>
          <cell r="C6758" t="str">
            <v>Jul</v>
          </cell>
          <cell r="D6758" t="str">
            <v>Chairs</v>
          </cell>
          <cell r="E6758">
            <v>2329938.7510000002</v>
          </cell>
          <cell r="F6758">
            <v>7</v>
          </cell>
        </row>
        <row r="6759">
          <cell r="A6759">
            <v>2019</v>
          </cell>
          <cell r="B6759" t="str">
            <v>Budget</v>
          </cell>
          <cell r="C6759" t="str">
            <v>Jul</v>
          </cell>
          <cell r="D6759" t="str">
            <v>Chairs</v>
          </cell>
          <cell r="E6759">
            <v>5567072.9169999994</v>
          </cell>
          <cell r="F6759">
            <v>7</v>
          </cell>
        </row>
        <row r="6760">
          <cell r="A6760">
            <v>2018</v>
          </cell>
          <cell r="B6760" t="str">
            <v>Actual</v>
          </cell>
          <cell r="C6760" t="str">
            <v>Jul</v>
          </cell>
          <cell r="D6760" t="str">
            <v>Chairs</v>
          </cell>
          <cell r="E6760">
            <v>62512.59</v>
          </cell>
          <cell r="F6760">
            <v>7</v>
          </cell>
        </row>
        <row r="6761">
          <cell r="A6761">
            <v>2018</v>
          </cell>
          <cell r="B6761" t="str">
            <v>Budget</v>
          </cell>
          <cell r="C6761" t="str">
            <v>Jul</v>
          </cell>
          <cell r="D6761" t="str">
            <v>Chairs</v>
          </cell>
          <cell r="E6761">
            <v>161164.598</v>
          </cell>
          <cell r="F6761">
            <v>7</v>
          </cell>
        </row>
        <row r="6762">
          <cell r="A6762">
            <v>2019</v>
          </cell>
          <cell r="B6762" t="str">
            <v>Actual</v>
          </cell>
          <cell r="C6762" t="str">
            <v>Jul</v>
          </cell>
          <cell r="D6762" t="str">
            <v>Chairs</v>
          </cell>
          <cell r="E6762">
            <v>84557.283999999985</v>
          </cell>
          <cell r="F6762">
            <v>7</v>
          </cell>
        </row>
        <row r="6763">
          <cell r="A6763">
            <v>2019</v>
          </cell>
          <cell r="B6763" t="str">
            <v>Budget</v>
          </cell>
          <cell r="C6763" t="str">
            <v>Jul</v>
          </cell>
          <cell r="D6763" t="str">
            <v>Chairs</v>
          </cell>
          <cell r="E6763">
            <v>35451.332000000002</v>
          </cell>
          <cell r="F6763">
            <v>7</v>
          </cell>
        </row>
        <row r="6764">
          <cell r="A6764">
            <v>2018</v>
          </cell>
          <cell r="B6764" t="str">
            <v>Actual</v>
          </cell>
          <cell r="C6764" t="str">
            <v>Jul</v>
          </cell>
          <cell r="D6764" t="str">
            <v>Chairs</v>
          </cell>
          <cell r="E6764">
            <v>245481.36199999996</v>
          </cell>
          <cell r="F6764">
            <v>7</v>
          </cell>
        </row>
        <row r="6765">
          <cell r="A6765">
            <v>2019</v>
          </cell>
          <cell r="B6765" t="str">
            <v>Budget</v>
          </cell>
          <cell r="C6765" t="str">
            <v>Jul</v>
          </cell>
          <cell r="D6765" t="str">
            <v>Chairs</v>
          </cell>
          <cell r="E6765">
            <v>197694.86799999999</v>
          </cell>
          <cell r="F6765">
            <v>7</v>
          </cell>
        </row>
        <row r="6766">
          <cell r="A6766">
            <v>2018</v>
          </cell>
          <cell r="B6766" t="str">
            <v>Actual</v>
          </cell>
          <cell r="C6766" t="str">
            <v>Jul</v>
          </cell>
          <cell r="D6766" t="str">
            <v>Chairs</v>
          </cell>
          <cell r="E6766">
            <v>205493.42799999999</v>
          </cell>
          <cell r="F6766">
            <v>7</v>
          </cell>
        </row>
        <row r="6767">
          <cell r="A6767">
            <v>2018</v>
          </cell>
          <cell r="B6767" t="str">
            <v>Budget</v>
          </cell>
          <cell r="C6767" t="str">
            <v>Jul</v>
          </cell>
          <cell r="D6767" t="str">
            <v>Chairs</v>
          </cell>
          <cell r="E6767">
            <v>692249.15899999999</v>
          </cell>
          <cell r="F6767">
            <v>7</v>
          </cell>
        </row>
        <row r="6768">
          <cell r="A6768">
            <v>2018</v>
          </cell>
          <cell r="B6768" t="str">
            <v>Actual</v>
          </cell>
          <cell r="C6768" t="str">
            <v>Jul</v>
          </cell>
          <cell r="D6768" t="str">
            <v>Chairs</v>
          </cell>
          <cell r="E6768">
            <v>748880.01300000004</v>
          </cell>
          <cell r="F6768">
            <v>7</v>
          </cell>
        </row>
        <row r="6769">
          <cell r="A6769">
            <v>2019</v>
          </cell>
          <cell r="B6769" t="str">
            <v>Budget</v>
          </cell>
          <cell r="C6769" t="str">
            <v>Jul</v>
          </cell>
          <cell r="D6769" t="str">
            <v>Chairs</v>
          </cell>
          <cell r="E6769">
            <v>20047.257999999998</v>
          </cell>
          <cell r="F6769">
            <v>7</v>
          </cell>
        </row>
        <row r="6770">
          <cell r="A6770">
            <v>2019</v>
          </cell>
          <cell r="B6770" t="str">
            <v>Actual</v>
          </cell>
          <cell r="C6770" t="str">
            <v>Jul</v>
          </cell>
          <cell r="D6770" t="str">
            <v>Chairs</v>
          </cell>
          <cell r="E6770">
            <v>36865.037999999993</v>
          </cell>
          <cell r="F6770">
            <v>7</v>
          </cell>
        </row>
        <row r="6771">
          <cell r="A6771">
            <v>2018</v>
          </cell>
          <cell r="B6771" t="str">
            <v>Budget</v>
          </cell>
          <cell r="C6771" t="str">
            <v>Jul</v>
          </cell>
          <cell r="D6771" t="str">
            <v>Chairs</v>
          </cell>
          <cell r="E6771">
            <v>35083.887999999992</v>
          </cell>
          <cell r="F6771">
            <v>7</v>
          </cell>
        </row>
        <row r="6772">
          <cell r="A6772">
            <v>2019</v>
          </cell>
          <cell r="B6772" t="str">
            <v>Actual</v>
          </cell>
          <cell r="C6772" t="str">
            <v>Jul</v>
          </cell>
          <cell r="D6772" t="str">
            <v>Chairs</v>
          </cell>
          <cell r="E6772">
            <v>834187.16499999992</v>
          </cell>
          <cell r="F6772">
            <v>7</v>
          </cell>
        </row>
        <row r="6773">
          <cell r="A6773">
            <v>2018</v>
          </cell>
          <cell r="B6773" t="str">
            <v>Budget</v>
          </cell>
          <cell r="C6773" t="str">
            <v>Jul</v>
          </cell>
          <cell r="D6773" t="str">
            <v>Chairs</v>
          </cell>
          <cell r="E6773">
            <v>184699.739</v>
          </cell>
          <cell r="F6773">
            <v>7</v>
          </cell>
        </row>
        <row r="6774">
          <cell r="A6774">
            <v>2019</v>
          </cell>
          <cell r="B6774" t="str">
            <v>Actual</v>
          </cell>
          <cell r="C6774" t="str">
            <v>Jul</v>
          </cell>
          <cell r="D6774" t="str">
            <v>Chairs</v>
          </cell>
          <cell r="E6774">
            <v>1561388.8849999998</v>
          </cell>
          <cell r="F6774">
            <v>7</v>
          </cell>
        </row>
        <row r="6775">
          <cell r="A6775">
            <v>2018</v>
          </cell>
          <cell r="B6775" t="str">
            <v>Budget</v>
          </cell>
          <cell r="C6775" t="str">
            <v>Jul</v>
          </cell>
          <cell r="D6775" t="str">
            <v>Chairs</v>
          </cell>
          <cell r="E6775">
            <v>144805.62599999999</v>
          </cell>
          <cell r="F6775">
            <v>7</v>
          </cell>
        </row>
        <row r="6776">
          <cell r="A6776">
            <v>2019</v>
          </cell>
          <cell r="B6776" t="str">
            <v>Actual</v>
          </cell>
          <cell r="C6776" t="str">
            <v>Jul</v>
          </cell>
          <cell r="D6776" t="str">
            <v>Chairs</v>
          </cell>
          <cell r="E6776">
            <v>805090.86</v>
          </cell>
          <cell r="F6776">
            <v>7</v>
          </cell>
        </row>
        <row r="6777">
          <cell r="A6777">
            <v>2018</v>
          </cell>
          <cell r="B6777" t="str">
            <v>Budget</v>
          </cell>
          <cell r="C6777" t="str">
            <v>Jul</v>
          </cell>
          <cell r="D6777" t="str">
            <v>Chairs</v>
          </cell>
          <cell r="E6777">
            <v>608034.69299999997</v>
          </cell>
          <cell r="F6777">
            <v>7</v>
          </cell>
        </row>
        <row r="6778">
          <cell r="A6778">
            <v>2018</v>
          </cell>
          <cell r="B6778" t="str">
            <v>Actual</v>
          </cell>
          <cell r="C6778" t="str">
            <v>Jul</v>
          </cell>
          <cell r="D6778" t="str">
            <v>Chairs</v>
          </cell>
          <cell r="E6778">
            <v>31781.511999999999</v>
          </cell>
          <cell r="F6778">
            <v>7</v>
          </cell>
        </row>
        <row r="6779">
          <cell r="A6779">
            <v>2019</v>
          </cell>
          <cell r="B6779" t="str">
            <v>Budget</v>
          </cell>
          <cell r="C6779" t="str">
            <v>Jul</v>
          </cell>
          <cell r="D6779" t="str">
            <v>Chairs</v>
          </cell>
          <cell r="E6779">
            <v>29058.175999999999</v>
          </cell>
          <cell r="F6779">
            <v>7</v>
          </cell>
        </row>
        <row r="6780">
          <cell r="A6780">
            <v>2018</v>
          </cell>
          <cell r="B6780" t="str">
            <v>Actual</v>
          </cell>
          <cell r="C6780" t="str">
            <v>Jul</v>
          </cell>
          <cell r="D6780" t="str">
            <v>Chairs</v>
          </cell>
          <cell r="E6780">
            <v>2784095.6430000002</v>
          </cell>
          <cell r="F6780">
            <v>7</v>
          </cell>
        </row>
        <row r="6781">
          <cell r="A6781">
            <v>2018</v>
          </cell>
          <cell r="B6781" t="str">
            <v>Budget</v>
          </cell>
          <cell r="C6781" t="str">
            <v>Jul</v>
          </cell>
          <cell r="D6781" t="str">
            <v>Chairs</v>
          </cell>
          <cell r="E6781">
            <v>4874396.6109999996</v>
          </cell>
          <cell r="F6781">
            <v>7</v>
          </cell>
        </row>
        <row r="6782">
          <cell r="A6782">
            <v>2019</v>
          </cell>
          <cell r="B6782" t="str">
            <v>Actual</v>
          </cell>
          <cell r="C6782" t="str">
            <v>Jul</v>
          </cell>
          <cell r="D6782" t="str">
            <v>Chairs</v>
          </cell>
          <cell r="E6782">
            <v>130341.60999999999</v>
          </cell>
          <cell r="F6782">
            <v>7</v>
          </cell>
        </row>
        <row r="6783">
          <cell r="A6783">
            <v>2018</v>
          </cell>
          <cell r="B6783" t="str">
            <v>Budget</v>
          </cell>
          <cell r="C6783" t="str">
            <v>Jul</v>
          </cell>
          <cell r="D6783" t="str">
            <v>Tables</v>
          </cell>
          <cell r="E6783">
            <v>1765051.554</v>
          </cell>
          <cell r="F6783">
            <v>7</v>
          </cell>
        </row>
        <row r="6784">
          <cell r="A6784">
            <v>2019</v>
          </cell>
          <cell r="B6784" t="str">
            <v>Actual</v>
          </cell>
          <cell r="C6784" t="str">
            <v>Jul</v>
          </cell>
          <cell r="D6784" t="str">
            <v>Kitchen</v>
          </cell>
          <cell r="E6784">
            <v>3387779.2479999997</v>
          </cell>
          <cell r="F6784">
            <v>7</v>
          </cell>
        </row>
        <row r="6785">
          <cell r="A6785">
            <v>2019</v>
          </cell>
          <cell r="B6785" t="str">
            <v>Budget</v>
          </cell>
          <cell r="C6785" t="str">
            <v>Jul</v>
          </cell>
          <cell r="D6785" t="str">
            <v>Chairs</v>
          </cell>
          <cell r="E6785">
            <v>134443.204</v>
          </cell>
          <cell r="F6785">
            <v>7</v>
          </cell>
        </row>
        <row r="6786">
          <cell r="A6786">
            <v>2018</v>
          </cell>
          <cell r="B6786" t="str">
            <v>Actual</v>
          </cell>
          <cell r="C6786" t="str">
            <v>Jul</v>
          </cell>
          <cell r="D6786" t="str">
            <v>Chairs</v>
          </cell>
          <cell r="E6786">
            <v>444486.32199999993</v>
          </cell>
          <cell r="F6786">
            <v>7</v>
          </cell>
        </row>
        <row r="6787">
          <cell r="A6787">
            <v>2018</v>
          </cell>
          <cell r="B6787" t="str">
            <v>Budget</v>
          </cell>
          <cell r="C6787" t="str">
            <v>Jul</v>
          </cell>
          <cell r="D6787" t="str">
            <v>Chairs</v>
          </cell>
          <cell r="E6787">
            <v>265419.00699999998</v>
          </cell>
          <cell r="F6787">
            <v>7</v>
          </cell>
        </row>
        <row r="6788">
          <cell r="A6788">
            <v>2018</v>
          </cell>
          <cell r="B6788" t="str">
            <v>Actual</v>
          </cell>
          <cell r="C6788" t="str">
            <v>Jul</v>
          </cell>
          <cell r="D6788" t="str">
            <v>Chairs</v>
          </cell>
          <cell r="E6788">
            <v>367323.69799999997</v>
          </cell>
          <cell r="F6788">
            <v>7</v>
          </cell>
        </row>
        <row r="6789">
          <cell r="A6789">
            <v>2018</v>
          </cell>
          <cell r="B6789" t="str">
            <v>Budget</v>
          </cell>
          <cell r="C6789" t="str">
            <v>Jul</v>
          </cell>
          <cell r="D6789" t="str">
            <v>Chairs</v>
          </cell>
          <cell r="E6789">
            <v>4375143.7520000003</v>
          </cell>
          <cell r="F6789">
            <v>7</v>
          </cell>
        </row>
        <row r="6790">
          <cell r="A6790">
            <v>2019</v>
          </cell>
          <cell r="B6790" t="str">
            <v>Actual</v>
          </cell>
          <cell r="C6790" t="str">
            <v>Jul</v>
          </cell>
          <cell r="D6790" t="str">
            <v>Tables</v>
          </cell>
          <cell r="E6790">
            <v>5215822.29</v>
          </cell>
          <cell r="F6790">
            <v>7</v>
          </cell>
        </row>
        <row r="6791">
          <cell r="A6791">
            <v>2018</v>
          </cell>
          <cell r="B6791" t="str">
            <v>Budget</v>
          </cell>
          <cell r="C6791" t="str">
            <v>Jul</v>
          </cell>
          <cell r="D6791" t="str">
            <v>Kitchen</v>
          </cell>
          <cell r="E6791">
            <v>1102935.0989999999</v>
          </cell>
          <cell r="F6791">
            <v>7</v>
          </cell>
        </row>
        <row r="6792">
          <cell r="A6792">
            <v>2019</v>
          </cell>
          <cell r="B6792" t="str">
            <v>Actual</v>
          </cell>
          <cell r="C6792" t="str">
            <v>Jul</v>
          </cell>
          <cell r="D6792" t="str">
            <v>Chairs</v>
          </cell>
          <cell r="E6792">
            <v>526323.08399999992</v>
          </cell>
          <cell r="F6792">
            <v>7</v>
          </cell>
        </row>
        <row r="6793">
          <cell r="A6793">
            <v>2018</v>
          </cell>
          <cell r="B6793" t="str">
            <v>Budget</v>
          </cell>
          <cell r="C6793" t="str">
            <v>Jul</v>
          </cell>
          <cell r="D6793" t="str">
            <v>Chairs</v>
          </cell>
          <cell r="E6793">
            <v>1162930.202</v>
          </cell>
          <cell r="F6793">
            <v>7</v>
          </cell>
        </row>
        <row r="6794">
          <cell r="A6794">
            <v>2018</v>
          </cell>
          <cell r="B6794" t="str">
            <v>Actual</v>
          </cell>
          <cell r="C6794" t="str">
            <v>Jul</v>
          </cell>
          <cell r="D6794" t="str">
            <v>Chairs</v>
          </cell>
          <cell r="E6794">
            <v>2337958.2939999998</v>
          </cell>
          <cell r="F6794">
            <v>7</v>
          </cell>
        </row>
        <row r="6795">
          <cell r="A6795">
            <v>2019</v>
          </cell>
          <cell r="B6795" t="str">
            <v>Budget</v>
          </cell>
          <cell r="C6795" t="str">
            <v>Jul</v>
          </cell>
          <cell r="D6795" t="str">
            <v>Tables</v>
          </cell>
          <cell r="E6795">
            <v>1426104.5889999999</v>
          </cell>
          <cell r="F6795">
            <v>7</v>
          </cell>
        </row>
        <row r="6796">
          <cell r="A6796">
            <v>2018</v>
          </cell>
          <cell r="B6796" t="str">
            <v>Actual</v>
          </cell>
          <cell r="C6796" t="str">
            <v>Jul</v>
          </cell>
          <cell r="D6796" t="str">
            <v>Kitchen</v>
          </cell>
          <cell r="E6796">
            <v>4692696.0919999992</v>
          </cell>
          <cell r="F6796">
            <v>7</v>
          </cell>
        </row>
        <row r="6797">
          <cell r="A6797">
            <v>2018</v>
          </cell>
          <cell r="B6797" t="str">
            <v>Budget</v>
          </cell>
          <cell r="C6797" t="str">
            <v>Jul</v>
          </cell>
          <cell r="D6797" t="str">
            <v>Chairs</v>
          </cell>
          <cell r="E6797">
            <v>1096223.6950000001</v>
          </cell>
          <cell r="F6797">
            <v>7</v>
          </cell>
        </row>
        <row r="6798">
          <cell r="A6798">
            <v>2019</v>
          </cell>
          <cell r="B6798" t="str">
            <v>Actual</v>
          </cell>
          <cell r="C6798" t="str">
            <v>Jul</v>
          </cell>
          <cell r="D6798" t="str">
            <v>Chairs</v>
          </cell>
          <cell r="E6798">
            <v>563720.87800000003</v>
          </cell>
          <cell r="F6798">
            <v>7</v>
          </cell>
        </row>
        <row r="6799">
          <cell r="A6799">
            <v>2018</v>
          </cell>
          <cell r="B6799" t="str">
            <v>Budget</v>
          </cell>
          <cell r="C6799" t="str">
            <v>Jul</v>
          </cell>
          <cell r="D6799" t="str">
            <v>Tables</v>
          </cell>
          <cell r="E6799">
            <v>317547.272</v>
          </cell>
          <cell r="F6799">
            <v>7</v>
          </cell>
        </row>
        <row r="6800">
          <cell r="A6800">
            <v>2018</v>
          </cell>
          <cell r="B6800" t="str">
            <v>Actual</v>
          </cell>
          <cell r="C6800" t="str">
            <v>Jul</v>
          </cell>
          <cell r="D6800" t="str">
            <v>Kitchen</v>
          </cell>
          <cell r="E6800">
            <v>7825207.46</v>
          </cell>
          <cell r="F6800">
            <v>7</v>
          </cell>
        </row>
        <row r="6801">
          <cell r="A6801">
            <v>2019</v>
          </cell>
          <cell r="B6801" t="str">
            <v>Budget</v>
          </cell>
          <cell r="C6801" t="str">
            <v>Jul</v>
          </cell>
          <cell r="D6801" t="str">
            <v>Chairs</v>
          </cell>
          <cell r="E6801">
            <v>689054.41499999992</v>
          </cell>
          <cell r="F6801">
            <v>7</v>
          </cell>
        </row>
        <row r="6802">
          <cell r="A6802">
            <v>2018</v>
          </cell>
          <cell r="B6802" t="str">
            <v>Actual</v>
          </cell>
          <cell r="C6802" t="str">
            <v>Jul</v>
          </cell>
          <cell r="D6802" t="str">
            <v>Chairs</v>
          </cell>
          <cell r="E6802">
            <v>1074999.7649999999</v>
          </cell>
          <cell r="F6802">
            <v>7</v>
          </cell>
        </row>
        <row r="6803">
          <cell r="A6803">
            <v>2019</v>
          </cell>
          <cell r="B6803" t="str">
            <v>Budget</v>
          </cell>
          <cell r="C6803" t="str">
            <v>Jul</v>
          </cell>
          <cell r="D6803" t="str">
            <v>Chairs</v>
          </cell>
          <cell r="E6803">
            <v>394304.337</v>
          </cell>
          <cell r="F6803">
            <v>7</v>
          </cell>
        </row>
        <row r="6804">
          <cell r="A6804">
            <v>2018</v>
          </cell>
          <cell r="B6804" t="str">
            <v>Actual</v>
          </cell>
          <cell r="C6804" t="str">
            <v>Jul</v>
          </cell>
          <cell r="D6804" t="str">
            <v>Tables</v>
          </cell>
          <cell r="E6804">
            <v>1193456.2219999998</v>
          </cell>
          <cell r="F6804">
            <v>7</v>
          </cell>
        </row>
        <row r="6805">
          <cell r="A6805">
            <v>2018</v>
          </cell>
          <cell r="B6805" t="str">
            <v>Budget</v>
          </cell>
          <cell r="C6805" t="str">
            <v>Jul</v>
          </cell>
          <cell r="D6805" t="str">
            <v>Kitchen</v>
          </cell>
          <cell r="E6805">
            <v>19744180.679999996</v>
          </cell>
          <cell r="F6805">
            <v>7</v>
          </cell>
        </row>
        <row r="6806">
          <cell r="A6806">
            <v>2018</v>
          </cell>
          <cell r="B6806" t="str">
            <v>Actual</v>
          </cell>
          <cell r="C6806" t="str">
            <v>Jul</v>
          </cell>
          <cell r="D6806" t="str">
            <v>Accessories</v>
          </cell>
          <cell r="E6806">
            <v>1170383.6199999999</v>
          </cell>
          <cell r="F6806">
            <v>7</v>
          </cell>
        </row>
        <row r="6807">
          <cell r="A6807">
            <v>2019</v>
          </cell>
          <cell r="B6807" t="str">
            <v>Budget</v>
          </cell>
          <cell r="C6807" t="str">
            <v>Jul</v>
          </cell>
          <cell r="D6807" t="str">
            <v>Chairs</v>
          </cell>
          <cell r="E6807">
            <v>174979.97999999998</v>
          </cell>
          <cell r="F6807">
            <v>7</v>
          </cell>
        </row>
        <row r="6808">
          <cell r="A6808">
            <v>2019</v>
          </cell>
          <cell r="B6808" t="str">
            <v>Actual</v>
          </cell>
          <cell r="C6808" t="str">
            <v>Jul</v>
          </cell>
          <cell r="D6808" t="str">
            <v>Tables</v>
          </cell>
          <cell r="E6808">
            <v>3097430.8539999998</v>
          </cell>
          <cell r="F6808">
            <v>7</v>
          </cell>
        </row>
        <row r="6809">
          <cell r="A6809">
            <v>2019</v>
          </cell>
          <cell r="B6809" t="str">
            <v>Budget</v>
          </cell>
          <cell r="C6809" t="str">
            <v>Jul</v>
          </cell>
          <cell r="D6809" t="str">
            <v>Kitchen</v>
          </cell>
          <cell r="E6809">
            <v>217443.198</v>
          </cell>
          <cell r="F6809">
            <v>7</v>
          </cell>
        </row>
        <row r="6810">
          <cell r="A6810">
            <v>2018</v>
          </cell>
          <cell r="B6810" t="str">
            <v>Actual</v>
          </cell>
          <cell r="C6810" t="str">
            <v>Jul</v>
          </cell>
          <cell r="D6810" t="str">
            <v>Accessories</v>
          </cell>
          <cell r="E6810">
            <v>1365914.2349999999</v>
          </cell>
          <cell r="F6810">
            <v>7</v>
          </cell>
        </row>
        <row r="6811">
          <cell r="A6811">
            <v>2018</v>
          </cell>
          <cell r="B6811" t="str">
            <v>Budget</v>
          </cell>
          <cell r="C6811" t="str">
            <v>Jul</v>
          </cell>
          <cell r="D6811" t="str">
            <v>Chairs</v>
          </cell>
          <cell r="E6811">
            <v>264225.95500000002</v>
          </cell>
          <cell r="F6811">
            <v>7</v>
          </cell>
        </row>
        <row r="6812">
          <cell r="A6812">
            <v>2018</v>
          </cell>
          <cell r="B6812" t="str">
            <v>Actual</v>
          </cell>
          <cell r="C6812" t="str">
            <v>Jul</v>
          </cell>
          <cell r="D6812" t="str">
            <v>Tables</v>
          </cell>
          <cell r="E6812">
            <v>493607.81399999995</v>
          </cell>
          <cell r="F6812">
            <v>7</v>
          </cell>
        </row>
        <row r="6813">
          <cell r="A6813">
            <v>2019</v>
          </cell>
          <cell r="B6813" t="str">
            <v>Budget</v>
          </cell>
          <cell r="C6813" t="str">
            <v>Jul</v>
          </cell>
          <cell r="D6813" t="str">
            <v>Kitchen</v>
          </cell>
          <cell r="E6813">
            <v>1516231.5559999999</v>
          </cell>
          <cell r="F6813">
            <v>7</v>
          </cell>
        </row>
        <row r="6814">
          <cell r="A6814">
            <v>2019</v>
          </cell>
          <cell r="B6814" t="str">
            <v>Actual</v>
          </cell>
          <cell r="C6814" t="str">
            <v>Jul</v>
          </cell>
          <cell r="D6814" t="str">
            <v>Accessories</v>
          </cell>
          <cell r="E6814">
            <v>8297893.862999999</v>
          </cell>
          <cell r="F6814">
            <v>7</v>
          </cell>
        </row>
        <row r="6815">
          <cell r="A6815">
            <v>2019</v>
          </cell>
          <cell r="B6815" t="str">
            <v>Budget</v>
          </cell>
          <cell r="C6815" t="str">
            <v>Jul</v>
          </cell>
          <cell r="D6815" t="str">
            <v>Chairs</v>
          </cell>
          <cell r="E6815">
            <v>1845038.048</v>
          </cell>
          <cell r="F6815">
            <v>7</v>
          </cell>
        </row>
        <row r="6816">
          <cell r="A6816">
            <v>2019</v>
          </cell>
          <cell r="B6816" t="str">
            <v>Actual</v>
          </cell>
          <cell r="C6816" t="str">
            <v>Jul</v>
          </cell>
          <cell r="D6816" t="str">
            <v>Tables</v>
          </cell>
          <cell r="E6816">
            <v>378962.26900000003</v>
          </cell>
          <cell r="F6816">
            <v>7</v>
          </cell>
        </row>
        <row r="6817">
          <cell r="A6817">
            <v>2018</v>
          </cell>
          <cell r="B6817" t="str">
            <v>Budget</v>
          </cell>
          <cell r="C6817" t="str">
            <v>Jul</v>
          </cell>
          <cell r="D6817" t="str">
            <v>Kitchen</v>
          </cell>
          <cell r="E6817">
            <v>40712.090999999993</v>
          </cell>
          <cell r="F6817">
            <v>7</v>
          </cell>
        </row>
        <row r="6818">
          <cell r="A6818">
            <v>2019</v>
          </cell>
          <cell r="B6818" t="str">
            <v>Actual</v>
          </cell>
          <cell r="C6818" t="str">
            <v>Jul</v>
          </cell>
          <cell r="D6818" t="str">
            <v>Accessories</v>
          </cell>
          <cell r="E6818">
            <v>40342.840999999993</v>
          </cell>
          <cell r="F6818">
            <v>7</v>
          </cell>
        </row>
        <row r="6819">
          <cell r="A6819">
            <v>2019</v>
          </cell>
          <cell r="B6819" t="str">
            <v>Budget</v>
          </cell>
          <cell r="C6819" t="str">
            <v>Jul</v>
          </cell>
          <cell r="D6819" t="str">
            <v>Chairs</v>
          </cell>
          <cell r="E6819">
            <v>2025310.4339999999</v>
          </cell>
          <cell r="F6819">
            <v>7</v>
          </cell>
        </row>
        <row r="6820">
          <cell r="A6820">
            <v>2018</v>
          </cell>
          <cell r="B6820" t="str">
            <v>Actual</v>
          </cell>
          <cell r="C6820" t="str">
            <v>Jul</v>
          </cell>
          <cell r="D6820" t="str">
            <v>Chairs</v>
          </cell>
          <cell r="E6820">
            <v>695125.15099999995</v>
          </cell>
          <cell r="F6820">
            <v>7</v>
          </cell>
        </row>
        <row r="6821">
          <cell r="A6821">
            <v>2019</v>
          </cell>
          <cell r="B6821" t="str">
            <v>Budget</v>
          </cell>
          <cell r="C6821" t="str">
            <v>Jul</v>
          </cell>
          <cell r="D6821" t="str">
            <v>Tables</v>
          </cell>
          <cell r="E6821">
            <v>1006248.4039999999</v>
          </cell>
          <cell r="F6821">
            <v>7</v>
          </cell>
        </row>
        <row r="6822">
          <cell r="A6822">
            <v>2018</v>
          </cell>
          <cell r="B6822" t="str">
            <v>Actual</v>
          </cell>
          <cell r="C6822" t="str">
            <v>Jul</v>
          </cell>
          <cell r="D6822" t="str">
            <v>Kitchen</v>
          </cell>
          <cell r="E6822">
            <v>1333428.2919999999</v>
          </cell>
          <cell r="F6822">
            <v>7</v>
          </cell>
        </row>
        <row r="6823">
          <cell r="A6823">
            <v>2019</v>
          </cell>
          <cell r="B6823" t="str">
            <v>Budget</v>
          </cell>
          <cell r="C6823" t="str">
            <v>Jul</v>
          </cell>
          <cell r="D6823" t="str">
            <v>Chairs</v>
          </cell>
          <cell r="E6823">
            <v>2240393.4839999997</v>
          </cell>
          <cell r="F6823">
            <v>7</v>
          </cell>
        </row>
        <row r="6824">
          <cell r="A6824">
            <v>2018</v>
          </cell>
          <cell r="B6824" t="str">
            <v>Actual</v>
          </cell>
          <cell r="C6824" t="str">
            <v>Jul</v>
          </cell>
          <cell r="D6824" t="str">
            <v>Tables</v>
          </cell>
          <cell r="E6824">
            <v>349826.68699999998</v>
          </cell>
          <cell r="F6824">
            <v>7</v>
          </cell>
        </row>
        <row r="6825">
          <cell r="A6825">
            <v>2018</v>
          </cell>
          <cell r="B6825" t="str">
            <v>Budget</v>
          </cell>
          <cell r="C6825" t="str">
            <v>Jul</v>
          </cell>
          <cell r="D6825" t="str">
            <v>Kitchen</v>
          </cell>
          <cell r="E6825">
            <v>780637.06700000004</v>
          </cell>
          <cell r="F6825">
            <v>7</v>
          </cell>
        </row>
        <row r="6826">
          <cell r="A6826">
            <v>2019</v>
          </cell>
          <cell r="B6826" t="str">
            <v>Actual</v>
          </cell>
          <cell r="C6826" t="str">
            <v>Jul</v>
          </cell>
          <cell r="D6826" t="str">
            <v>Chairs</v>
          </cell>
          <cell r="E6826">
            <v>254097.48699999996</v>
          </cell>
          <cell r="F6826">
            <v>7</v>
          </cell>
        </row>
        <row r="6827">
          <cell r="A6827">
            <v>2018</v>
          </cell>
          <cell r="B6827" t="str">
            <v>Budget</v>
          </cell>
          <cell r="C6827" t="str">
            <v>Jul</v>
          </cell>
          <cell r="D6827" t="str">
            <v>Tables</v>
          </cell>
          <cell r="E6827">
            <v>182870.61799999999</v>
          </cell>
          <cell r="F6827">
            <v>7</v>
          </cell>
        </row>
        <row r="6828">
          <cell r="A6828">
            <v>2018</v>
          </cell>
          <cell r="B6828" t="str">
            <v>Actual</v>
          </cell>
          <cell r="C6828" t="str">
            <v>Jul</v>
          </cell>
          <cell r="D6828" t="str">
            <v>Kitchen</v>
          </cell>
          <cell r="E6828">
            <v>49581</v>
          </cell>
          <cell r="F6828">
            <v>7</v>
          </cell>
        </row>
        <row r="6829">
          <cell r="A6829">
            <v>2018</v>
          </cell>
          <cell r="B6829" t="str">
            <v>Budget</v>
          </cell>
          <cell r="C6829" t="str">
            <v>Jul</v>
          </cell>
          <cell r="D6829" t="str">
            <v>Chairs</v>
          </cell>
          <cell r="E6829">
            <v>121175.63499999998</v>
          </cell>
          <cell r="F6829">
            <v>7</v>
          </cell>
        </row>
        <row r="6830">
          <cell r="A6830">
            <v>2019</v>
          </cell>
          <cell r="B6830" t="str">
            <v>Actual</v>
          </cell>
          <cell r="C6830" t="str">
            <v>Jul</v>
          </cell>
          <cell r="D6830" t="str">
            <v>Chairs</v>
          </cell>
          <cell r="E6830">
            <v>246763.3</v>
          </cell>
          <cell r="F6830">
            <v>7</v>
          </cell>
        </row>
        <row r="6831">
          <cell r="A6831">
            <v>2019</v>
          </cell>
          <cell r="B6831" t="str">
            <v>Budget</v>
          </cell>
          <cell r="C6831" t="str">
            <v>Jul</v>
          </cell>
          <cell r="D6831" t="str">
            <v>Chairs</v>
          </cell>
          <cell r="E6831">
            <v>53947.032999999996</v>
          </cell>
          <cell r="F6831">
            <v>7</v>
          </cell>
        </row>
        <row r="6832">
          <cell r="A6832">
            <v>2018</v>
          </cell>
          <cell r="B6832" t="str">
            <v>Actual</v>
          </cell>
          <cell r="C6832" t="str">
            <v>Jul</v>
          </cell>
          <cell r="D6832" t="str">
            <v>Chairs</v>
          </cell>
          <cell r="E6832">
            <v>385241.80100000004</v>
          </cell>
          <cell r="F6832">
            <v>7</v>
          </cell>
        </row>
        <row r="6833">
          <cell r="A6833">
            <v>2019</v>
          </cell>
          <cell r="B6833" t="str">
            <v>Budget</v>
          </cell>
          <cell r="C6833" t="str">
            <v>Jul</v>
          </cell>
          <cell r="D6833" t="str">
            <v>Chairs</v>
          </cell>
          <cell r="E6833">
            <v>4718579.6770000001</v>
          </cell>
          <cell r="F6833">
            <v>7</v>
          </cell>
        </row>
        <row r="6834">
          <cell r="A6834">
            <v>2019</v>
          </cell>
          <cell r="B6834" t="str">
            <v>Actual</v>
          </cell>
          <cell r="C6834" t="str">
            <v>Jul</v>
          </cell>
          <cell r="D6834" t="str">
            <v>Chairs</v>
          </cell>
          <cell r="E6834">
            <v>3606874.3619999997</v>
          </cell>
          <cell r="F6834">
            <v>7</v>
          </cell>
        </row>
        <row r="6835">
          <cell r="A6835">
            <v>2018</v>
          </cell>
          <cell r="B6835" t="str">
            <v>Budget</v>
          </cell>
          <cell r="C6835" t="str">
            <v>Jul</v>
          </cell>
          <cell r="D6835" t="str">
            <v>Chairs</v>
          </cell>
          <cell r="E6835">
            <v>966125.51</v>
          </cell>
          <cell r="F6835">
            <v>7</v>
          </cell>
        </row>
        <row r="6836">
          <cell r="A6836">
            <v>2019</v>
          </cell>
          <cell r="B6836" t="str">
            <v>Actual</v>
          </cell>
          <cell r="C6836" t="str">
            <v>Jul</v>
          </cell>
          <cell r="D6836" t="str">
            <v>Chairs</v>
          </cell>
          <cell r="E6836">
            <v>-10416.259</v>
          </cell>
          <cell r="F6836">
            <v>7</v>
          </cell>
        </row>
        <row r="6837">
          <cell r="A6837">
            <v>2019</v>
          </cell>
          <cell r="B6837" t="str">
            <v>Budget</v>
          </cell>
          <cell r="C6837" t="str">
            <v>Jul</v>
          </cell>
          <cell r="D6837" t="str">
            <v>Chairs</v>
          </cell>
          <cell r="E6837">
            <v>145525.38699999999</v>
          </cell>
          <cell r="F6837">
            <v>7</v>
          </cell>
        </row>
        <row r="6838">
          <cell r="A6838">
            <v>2019</v>
          </cell>
          <cell r="B6838" t="str">
            <v>Actual</v>
          </cell>
          <cell r="C6838" t="str">
            <v>Jul</v>
          </cell>
          <cell r="D6838" t="str">
            <v>Chairs</v>
          </cell>
          <cell r="E6838">
            <v>1191889.615</v>
          </cell>
          <cell r="F6838">
            <v>7</v>
          </cell>
        </row>
        <row r="6839">
          <cell r="A6839">
            <v>2018</v>
          </cell>
          <cell r="B6839" t="str">
            <v>Budget</v>
          </cell>
          <cell r="C6839" t="str">
            <v>Jul</v>
          </cell>
          <cell r="D6839" t="str">
            <v>Chairs</v>
          </cell>
          <cell r="E6839">
            <v>5141007.3470000001</v>
          </cell>
          <cell r="F6839">
            <v>7</v>
          </cell>
        </row>
        <row r="6840">
          <cell r="A6840">
            <v>2018</v>
          </cell>
          <cell r="B6840" t="str">
            <v>Actual</v>
          </cell>
          <cell r="C6840" t="str">
            <v>Jul</v>
          </cell>
          <cell r="D6840" t="str">
            <v>Chairs</v>
          </cell>
          <cell r="E6840">
            <v>5903059.5399999991</v>
          </cell>
          <cell r="F6840">
            <v>7</v>
          </cell>
        </row>
        <row r="6841">
          <cell r="A6841">
            <v>2019</v>
          </cell>
          <cell r="B6841" t="str">
            <v>Budget</v>
          </cell>
          <cell r="C6841" t="str">
            <v>Jul</v>
          </cell>
          <cell r="D6841" t="str">
            <v>Chairs</v>
          </cell>
          <cell r="E6841">
            <v>-24581.353999999999</v>
          </cell>
          <cell r="F6841">
            <v>7</v>
          </cell>
        </row>
        <row r="6842">
          <cell r="A6842">
            <v>2018</v>
          </cell>
          <cell r="B6842" t="str">
            <v>Actual</v>
          </cell>
          <cell r="C6842" t="str">
            <v>Jul</v>
          </cell>
          <cell r="D6842" t="str">
            <v>Chairs</v>
          </cell>
          <cell r="E6842">
            <v>4707.1009999999997</v>
          </cell>
          <cell r="F6842">
            <v>7</v>
          </cell>
        </row>
        <row r="6843">
          <cell r="A6843">
            <v>2018</v>
          </cell>
          <cell r="B6843" t="str">
            <v>Budget</v>
          </cell>
          <cell r="C6843" t="str">
            <v>Jul</v>
          </cell>
          <cell r="D6843" t="str">
            <v>Chairs</v>
          </cell>
          <cell r="E6843">
            <v>-49929.158999999992</v>
          </cell>
          <cell r="F6843">
            <v>7</v>
          </cell>
        </row>
        <row r="6844">
          <cell r="A6844">
            <v>2018</v>
          </cell>
          <cell r="B6844" t="str">
            <v>Actual</v>
          </cell>
          <cell r="C6844" t="str">
            <v>Jul</v>
          </cell>
          <cell r="D6844" t="str">
            <v>Chairs</v>
          </cell>
          <cell r="E6844">
            <v>200218.13</v>
          </cell>
          <cell r="F6844">
            <v>7</v>
          </cell>
        </row>
        <row r="6845">
          <cell r="A6845">
            <v>2018</v>
          </cell>
          <cell r="B6845" t="str">
            <v>Budget</v>
          </cell>
          <cell r="C6845" t="str">
            <v>Jul</v>
          </cell>
          <cell r="D6845" t="str">
            <v>Chairs</v>
          </cell>
          <cell r="E6845">
            <v>22454.999</v>
          </cell>
          <cell r="F6845">
            <v>7</v>
          </cell>
        </row>
        <row r="6846">
          <cell r="A6846">
            <v>2018</v>
          </cell>
          <cell r="B6846" t="str">
            <v>Actual</v>
          </cell>
          <cell r="C6846" t="str">
            <v>Jul</v>
          </cell>
          <cell r="D6846" t="str">
            <v>Chairs</v>
          </cell>
          <cell r="E6846">
            <v>128799.42599999999</v>
          </cell>
          <cell r="F6846">
            <v>7</v>
          </cell>
        </row>
        <row r="6847">
          <cell r="A6847">
            <v>2018</v>
          </cell>
          <cell r="B6847" t="str">
            <v>Budget</v>
          </cell>
          <cell r="C6847" t="str">
            <v>Jul</v>
          </cell>
          <cell r="D6847" t="str">
            <v>Chairs</v>
          </cell>
          <cell r="E6847">
            <v>-553234.91299999994</v>
          </cell>
          <cell r="F6847">
            <v>7</v>
          </cell>
        </row>
        <row r="6848">
          <cell r="A6848">
            <v>2019</v>
          </cell>
          <cell r="B6848" t="str">
            <v>Actual</v>
          </cell>
          <cell r="C6848" t="str">
            <v>Jul</v>
          </cell>
          <cell r="D6848" t="str">
            <v>Chairs</v>
          </cell>
          <cell r="E6848">
            <v>-100576.53899999999</v>
          </cell>
          <cell r="F6848">
            <v>7</v>
          </cell>
        </row>
        <row r="6849">
          <cell r="A6849">
            <v>2018</v>
          </cell>
          <cell r="B6849" t="str">
            <v>Budget</v>
          </cell>
          <cell r="C6849" t="str">
            <v>Jul</v>
          </cell>
          <cell r="D6849" t="str">
            <v>Chairs</v>
          </cell>
          <cell r="E6849">
            <v>165330.01799999998</v>
          </cell>
          <cell r="F6849">
            <v>7</v>
          </cell>
        </row>
        <row r="6850">
          <cell r="A6850">
            <v>2019</v>
          </cell>
          <cell r="B6850" t="str">
            <v>Actual</v>
          </cell>
          <cell r="C6850" t="str">
            <v>Jul</v>
          </cell>
          <cell r="D6850" t="str">
            <v>Chairs</v>
          </cell>
          <cell r="E6850">
            <v>6633778.1579999989</v>
          </cell>
          <cell r="F6850">
            <v>7</v>
          </cell>
        </row>
        <row r="6851">
          <cell r="A6851">
            <v>2019</v>
          </cell>
          <cell r="B6851" t="str">
            <v>Budget</v>
          </cell>
          <cell r="C6851" t="str">
            <v>Jul</v>
          </cell>
          <cell r="D6851" t="str">
            <v>Chairs</v>
          </cell>
          <cell r="E6851">
            <v>160504.85499999998</v>
          </cell>
          <cell r="F6851">
            <v>7</v>
          </cell>
        </row>
        <row r="6852">
          <cell r="A6852">
            <v>2018</v>
          </cell>
          <cell r="B6852" t="str">
            <v>Actual</v>
          </cell>
          <cell r="C6852" t="str">
            <v>Jul</v>
          </cell>
          <cell r="D6852" t="str">
            <v>Chairs</v>
          </cell>
          <cell r="E6852">
            <v>142581.215</v>
          </cell>
          <cell r="F6852">
            <v>7</v>
          </cell>
        </row>
        <row r="6853">
          <cell r="A6853">
            <v>2018</v>
          </cell>
          <cell r="B6853" t="str">
            <v>Budget</v>
          </cell>
          <cell r="C6853" t="str">
            <v>Jul</v>
          </cell>
          <cell r="D6853" t="str">
            <v>Chairs</v>
          </cell>
          <cell r="E6853">
            <v>196345.38699999996</v>
          </cell>
          <cell r="F6853">
            <v>7</v>
          </cell>
        </row>
        <row r="6854">
          <cell r="A6854">
            <v>2018</v>
          </cell>
          <cell r="B6854" t="str">
            <v>Actual</v>
          </cell>
          <cell r="C6854" t="str">
            <v>Jul</v>
          </cell>
          <cell r="D6854" t="str">
            <v>Chairs</v>
          </cell>
          <cell r="E6854">
            <v>439916.55399999995</v>
          </cell>
          <cell r="F6854">
            <v>7</v>
          </cell>
        </row>
        <row r="6855">
          <cell r="A6855">
            <v>2018</v>
          </cell>
          <cell r="B6855" t="str">
            <v>Budget</v>
          </cell>
          <cell r="C6855" t="str">
            <v>Jul</v>
          </cell>
          <cell r="D6855" t="str">
            <v>Tables</v>
          </cell>
          <cell r="E6855">
            <v>310930.739</v>
          </cell>
          <cell r="F6855">
            <v>7</v>
          </cell>
        </row>
        <row r="6856">
          <cell r="A6856">
            <v>2019</v>
          </cell>
          <cell r="B6856" t="str">
            <v>Actual</v>
          </cell>
          <cell r="C6856" t="str">
            <v>Jul</v>
          </cell>
          <cell r="D6856" t="str">
            <v>Kitchen</v>
          </cell>
          <cell r="E6856">
            <v>143823.24599999998</v>
          </cell>
          <cell r="F6856">
            <v>7</v>
          </cell>
        </row>
        <row r="6857">
          <cell r="A6857">
            <v>2018</v>
          </cell>
          <cell r="B6857" t="str">
            <v>Budget</v>
          </cell>
          <cell r="C6857" t="str">
            <v>Jul</v>
          </cell>
          <cell r="D6857" t="str">
            <v>Chairs</v>
          </cell>
          <cell r="E6857">
            <v>67861.269</v>
          </cell>
          <cell r="F6857">
            <v>7</v>
          </cell>
        </row>
        <row r="6858">
          <cell r="A6858">
            <v>2018</v>
          </cell>
          <cell r="B6858" t="str">
            <v>Actual</v>
          </cell>
          <cell r="C6858" t="str">
            <v>Jul</v>
          </cell>
          <cell r="D6858" t="str">
            <v>Chairs</v>
          </cell>
          <cell r="E6858">
            <v>113237.859</v>
          </cell>
          <cell r="F6858">
            <v>7</v>
          </cell>
        </row>
        <row r="6859">
          <cell r="A6859">
            <v>2019</v>
          </cell>
          <cell r="B6859" t="str">
            <v>Budget</v>
          </cell>
          <cell r="C6859" t="str">
            <v>Jul</v>
          </cell>
          <cell r="D6859" t="str">
            <v>Chairs</v>
          </cell>
          <cell r="E6859">
            <v>8664312.4680000003</v>
          </cell>
          <cell r="F6859">
            <v>7</v>
          </cell>
        </row>
        <row r="6860">
          <cell r="A6860">
            <v>2019</v>
          </cell>
          <cell r="B6860" t="str">
            <v>Actual</v>
          </cell>
          <cell r="C6860" t="str">
            <v>Jul</v>
          </cell>
          <cell r="D6860" t="str">
            <v>Chairs</v>
          </cell>
          <cell r="E6860">
            <v>2546724.5299999998</v>
          </cell>
          <cell r="F6860">
            <v>7</v>
          </cell>
        </row>
        <row r="6861">
          <cell r="A6861">
            <v>2019</v>
          </cell>
          <cell r="B6861" t="str">
            <v>Budget</v>
          </cell>
          <cell r="C6861" t="str">
            <v>Jul</v>
          </cell>
          <cell r="D6861" t="str">
            <v>Chairs</v>
          </cell>
          <cell r="E6861">
            <v>612197.12399999995</v>
          </cell>
          <cell r="F6861">
            <v>7</v>
          </cell>
        </row>
        <row r="6862">
          <cell r="A6862">
            <v>2019</v>
          </cell>
          <cell r="B6862" t="str">
            <v>Actual</v>
          </cell>
          <cell r="C6862" t="str">
            <v>Jul</v>
          </cell>
          <cell r="D6862" t="str">
            <v>Tables</v>
          </cell>
          <cell r="E6862">
            <v>2092998.5719999999</v>
          </cell>
          <cell r="F6862">
            <v>7</v>
          </cell>
        </row>
        <row r="6863">
          <cell r="A6863">
            <v>2018</v>
          </cell>
          <cell r="B6863" t="str">
            <v>Budget</v>
          </cell>
          <cell r="C6863" t="str">
            <v>Jul</v>
          </cell>
          <cell r="D6863" t="str">
            <v>Kitchen</v>
          </cell>
          <cell r="E6863">
            <v>1016781.3459999999</v>
          </cell>
          <cell r="F6863">
            <v>7</v>
          </cell>
        </row>
        <row r="6864">
          <cell r="A6864">
            <v>2018</v>
          </cell>
          <cell r="B6864" t="str">
            <v>Actual</v>
          </cell>
          <cell r="C6864" t="str">
            <v>Jul</v>
          </cell>
          <cell r="D6864" t="str">
            <v>Chairs</v>
          </cell>
          <cell r="E6864">
            <v>6769790.1319999993</v>
          </cell>
          <cell r="F6864">
            <v>7</v>
          </cell>
        </row>
        <row r="6865">
          <cell r="A6865">
            <v>2019</v>
          </cell>
          <cell r="B6865" t="str">
            <v>Budget</v>
          </cell>
          <cell r="C6865" t="str">
            <v>Jul</v>
          </cell>
          <cell r="D6865" t="str">
            <v>Chairs</v>
          </cell>
          <cell r="E6865">
            <v>776882.71499999997</v>
          </cell>
          <cell r="F6865">
            <v>7</v>
          </cell>
        </row>
        <row r="6866">
          <cell r="A6866">
            <v>2018</v>
          </cell>
          <cell r="B6866" t="str">
            <v>Actual</v>
          </cell>
          <cell r="C6866" t="str">
            <v>Jul</v>
          </cell>
          <cell r="D6866" t="str">
            <v>Chairs</v>
          </cell>
          <cell r="E6866">
            <v>7396488.5609999998</v>
          </cell>
          <cell r="F6866">
            <v>7</v>
          </cell>
        </row>
        <row r="6867">
          <cell r="A6867">
            <v>2018</v>
          </cell>
          <cell r="B6867" t="str">
            <v>Budget</v>
          </cell>
          <cell r="C6867" t="str">
            <v>Jul</v>
          </cell>
          <cell r="D6867" t="str">
            <v>Tables</v>
          </cell>
          <cell r="E6867">
            <v>1654149.4620000001</v>
          </cell>
          <cell r="F6867">
            <v>7</v>
          </cell>
        </row>
        <row r="6868">
          <cell r="A6868">
            <v>2019</v>
          </cell>
          <cell r="B6868" t="str">
            <v>Actual</v>
          </cell>
          <cell r="C6868" t="str">
            <v>Jul</v>
          </cell>
          <cell r="D6868" t="str">
            <v>Kitchen</v>
          </cell>
          <cell r="E6868">
            <v>273021.71399999998</v>
          </cell>
          <cell r="F6868">
            <v>7</v>
          </cell>
        </row>
        <row r="6869">
          <cell r="A6869">
            <v>2018</v>
          </cell>
          <cell r="B6869" t="str">
            <v>Budget</v>
          </cell>
          <cell r="C6869" t="str">
            <v>Jul</v>
          </cell>
          <cell r="D6869" t="str">
            <v>Chairs</v>
          </cell>
          <cell r="E6869">
            <v>202860.742</v>
          </cell>
          <cell r="F6869">
            <v>7</v>
          </cell>
        </row>
        <row r="6870">
          <cell r="A6870">
            <v>2018</v>
          </cell>
          <cell r="B6870" t="str">
            <v>Actual</v>
          </cell>
          <cell r="C6870" t="str">
            <v>Jul</v>
          </cell>
          <cell r="D6870" t="str">
            <v>Chairs</v>
          </cell>
          <cell r="E6870">
            <v>1050907.186</v>
          </cell>
          <cell r="F6870">
            <v>7</v>
          </cell>
        </row>
        <row r="6871">
          <cell r="A6871">
            <v>2018</v>
          </cell>
          <cell r="B6871" t="str">
            <v>Budget</v>
          </cell>
          <cell r="C6871" t="str">
            <v>Jul</v>
          </cell>
          <cell r="D6871" t="str">
            <v>Tables</v>
          </cell>
          <cell r="E6871">
            <v>152387.21399999998</v>
          </cell>
          <cell r="F6871">
            <v>7</v>
          </cell>
        </row>
        <row r="6872">
          <cell r="A6872">
            <v>2019</v>
          </cell>
          <cell r="B6872" t="str">
            <v>Actual</v>
          </cell>
          <cell r="C6872" t="str">
            <v>Jul</v>
          </cell>
          <cell r="D6872" t="str">
            <v>Kitchen</v>
          </cell>
          <cell r="E6872">
            <v>657507.78099999996</v>
          </cell>
          <cell r="F6872">
            <v>7</v>
          </cell>
        </row>
        <row r="6873">
          <cell r="A6873">
            <v>2018</v>
          </cell>
          <cell r="B6873" t="str">
            <v>Budget</v>
          </cell>
          <cell r="C6873" t="str">
            <v>Jul</v>
          </cell>
          <cell r="D6873" t="str">
            <v>Chairs</v>
          </cell>
          <cell r="E6873">
            <v>2389351.6709999996</v>
          </cell>
          <cell r="F6873">
            <v>7</v>
          </cell>
        </row>
        <row r="6874">
          <cell r="A6874">
            <v>2019</v>
          </cell>
          <cell r="B6874" t="str">
            <v>Actual</v>
          </cell>
          <cell r="C6874" t="str">
            <v>Jul</v>
          </cell>
          <cell r="D6874" t="str">
            <v>Chairs</v>
          </cell>
          <cell r="E6874">
            <v>10777795.734999999</v>
          </cell>
          <cell r="F6874">
            <v>7</v>
          </cell>
        </row>
        <row r="6875">
          <cell r="A6875">
            <v>2018</v>
          </cell>
          <cell r="B6875" t="str">
            <v>Budget</v>
          </cell>
          <cell r="C6875" t="str">
            <v>Jul</v>
          </cell>
          <cell r="D6875" t="str">
            <v>Chairs</v>
          </cell>
          <cell r="E6875">
            <v>50951.676999999996</v>
          </cell>
          <cell r="F6875">
            <v>7</v>
          </cell>
        </row>
        <row r="6876">
          <cell r="A6876">
            <v>2019</v>
          </cell>
          <cell r="B6876" t="str">
            <v>Actual</v>
          </cell>
          <cell r="C6876" t="str">
            <v>Jul</v>
          </cell>
          <cell r="D6876" t="str">
            <v>Tables</v>
          </cell>
          <cell r="E6876">
            <v>74982.39</v>
          </cell>
          <cell r="F6876">
            <v>7</v>
          </cell>
        </row>
        <row r="6877">
          <cell r="A6877">
            <v>2018</v>
          </cell>
          <cell r="B6877" t="str">
            <v>Budget</v>
          </cell>
          <cell r="C6877" t="str">
            <v>Jul</v>
          </cell>
          <cell r="D6877" t="str">
            <v>Kitchen</v>
          </cell>
          <cell r="E6877">
            <v>59301.710999999996</v>
          </cell>
          <cell r="F6877">
            <v>7</v>
          </cell>
        </row>
        <row r="6878">
          <cell r="A6878">
            <v>2019</v>
          </cell>
          <cell r="B6878" t="str">
            <v>Actual</v>
          </cell>
          <cell r="C6878" t="str">
            <v>Jul</v>
          </cell>
          <cell r="D6878" t="str">
            <v>Accessories</v>
          </cell>
          <cell r="E6878">
            <v>47921.264999999992</v>
          </cell>
          <cell r="F6878">
            <v>7</v>
          </cell>
        </row>
        <row r="6879">
          <cell r="A6879">
            <v>2019</v>
          </cell>
          <cell r="B6879" t="str">
            <v>Budget</v>
          </cell>
          <cell r="C6879" t="str">
            <v>Jul</v>
          </cell>
          <cell r="D6879" t="str">
            <v>Chairs</v>
          </cell>
          <cell r="E6879">
            <v>208751.26300000001</v>
          </cell>
          <cell r="F6879">
            <v>7</v>
          </cell>
        </row>
        <row r="6880">
          <cell r="A6880">
            <v>2019</v>
          </cell>
          <cell r="B6880" t="str">
            <v>Actual</v>
          </cell>
          <cell r="C6880" t="str">
            <v>Jul</v>
          </cell>
          <cell r="D6880" t="str">
            <v>Tables</v>
          </cell>
          <cell r="E6880">
            <v>207333.364</v>
          </cell>
          <cell r="F6880">
            <v>7</v>
          </cell>
        </row>
        <row r="6881">
          <cell r="A6881">
            <v>2019</v>
          </cell>
          <cell r="B6881" t="str">
            <v>Budget</v>
          </cell>
          <cell r="C6881" t="str">
            <v>Jul</v>
          </cell>
          <cell r="D6881" t="str">
            <v>Kitchen</v>
          </cell>
          <cell r="E6881">
            <v>209372.65299999996</v>
          </cell>
          <cell r="F6881">
            <v>7</v>
          </cell>
        </row>
        <row r="6882">
          <cell r="A6882">
            <v>2019</v>
          </cell>
          <cell r="B6882" t="str">
            <v>Actual</v>
          </cell>
          <cell r="C6882" t="str">
            <v>Jul</v>
          </cell>
          <cell r="D6882" t="str">
            <v>Accessories</v>
          </cell>
          <cell r="E6882">
            <v>1254998.7869999998</v>
          </cell>
          <cell r="F6882">
            <v>7</v>
          </cell>
        </row>
        <row r="6883">
          <cell r="A6883">
            <v>2018</v>
          </cell>
          <cell r="B6883" t="str">
            <v>Budget</v>
          </cell>
          <cell r="C6883" t="str">
            <v>Jul</v>
          </cell>
          <cell r="D6883" t="str">
            <v>Chairs</v>
          </cell>
          <cell r="E6883">
            <v>835087.90399999998</v>
          </cell>
          <cell r="F6883">
            <v>7</v>
          </cell>
        </row>
        <row r="6884">
          <cell r="A6884">
            <v>2019</v>
          </cell>
          <cell r="B6884" t="str">
            <v>Actual</v>
          </cell>
          <cell r="C6884" t="str">
            <v>Jul</v>
          </cell>
          <cell r="D6884" t="str">
            <v>Tables</v>
          </cell>
          <cell r="E6884">
            <v>15148.755999999999</v>
          </cell>
          <cell r="F6884">
            <v>7</v>
          </cell>
        </row>
        <row r="6885">
          <cell r="A6885">
            <v>2019</v>
          </cell>
          <cell r="B6885" t="str">
            <v>Budget</v>
          </cell>
          <cell r="C6885" t="str">
            <v>Jul</v>
          </cell>
          <cell r="D6885" t="str">
            <v>Kitchen</v>
          </cell>
          <cell r="E6885">
            <v>13040.706</v>
          </cell>
          <cell r="F6885">
            <v>7</v>
          </cell>
        </row>
        <row r="6886">
          <cell r="A6886">
            <v>2019</v>
          </cell>
          <cell r="B6886" t="str">
            <v>Actual</v>
          </cell>
          <cell r="C6886" t="str">
            <v>Jul</v>
          </cell>
          <cell r="D6886" t="str">
            <v>Accessories</v>
          </cell>
          <cell r="E6886">
            <v>59352.243999999992</v>
          </cell>
          <cell r="F6886">
            <v>7</v>
          </cell>
        </row>
        <row r="6887">
          <cell r="A6887">
            <v>2019</v>
          </cell>
          <cell r="B6887" t="str">
            <v>Budget</v>
          </cell>
          <cell r="C6887" t="str">
            <v>Jul</v>
          </cell>
          <cell r="D6887" t="str">
            <v>Chairs</v>
          </cell>
          <cell r="E6887">
            <v>93704.071999999986</v>
          </cell>
          <cell r="F6887">
            <v>7</v>
          </cell>
        </row>
        <row r="6888">
          <cell r="A6888">
            <v>2018</v>
          </cell>
          <cell r="B6888" t="str">
            <v>Actual</v>
          </cell>
          <cell r="C6888" t="str">
            <v>Jul</v>
          </cell>
          <cell r="D6888" t="str">
            <v>Tables</v>
          </cell>
          <cell r="E6888">
            <v>28359.967999999997</v>
          </cell>
          <cell r="F6888">
            <v>7</v>
          </cell>
        </row>
        <row r="6889">
          <cell r="A6889">
            <v>2018</v>
          </cell>
          <cell r="B6889" t="str">
            <v>Budget</v>
          </cell>
          <cell r="C6889" t="str">
            <v>Jul</v>
          </cell>
          <cell r="D6889" t="str">
            <v>Kitchen</v>
          </cell>
          <cell r="E6889">
            <v>113439.86500000001</v>
          </cell>
          <cell r="F6889">
            <v>7</v>
          </cell>
        </row>
        <row r="6890">
          <cell r="A6890">
            <v>2018</v>
          </cell>
          <cell r="B6890" t="str">
            <v>Actual</v>
          </cell>
          <cell r="C6890" t="str">
            <v>Jul</v>
          </cell>
          <cell r="D6890" t="str">
            <v>Accessories</v>
          </cell>
          <cell r="E6890">
            <v>167391.21699999998</v>
          </cell>
          <cell r="F6890">
            <v>7</v>
          </cell>
        </row>
        <row r="6891">
          <cell r="A6891">
            <v>2018</v>
          </cell>
          <cell r="B6891" t="str">
            <v>Budget</v>
          </cell>
          <cell r="C6891" t="str">
            <v>Jul</v>
          </cell>
          <cell r="D6891" t="str">
            <v>Chairs</v>
          </cell>
          <cell r="E6891">
            <v>175239.386</v>
          </cell>
          <cell r="F6891">
            <v>7</v>
          </cell>
        </row>
        <row r="6892">
          <cell r="A6892">
            <v>2018</v>
          </cell>
          <cell r="B6892" t="str">
            <v>Actual</v>
          </cell>
          <cell r="C6892" t="str">
            <v>Jul</v>
          </cell>
          <cell r="D6892" t="str">
            <v>Chairs</v>
          </cell>
          <cell r="E6892">
            <v>540264.36800000002</v>
          </cell>
          <cell r="F6892">
            <v>7</v>
          </cell>
        </row>
        <row r="6893">
          <cell r="A6893">
            <v>2018</v>
          </cell>
          <cell r="B6893" t="str">
            <v>Budget</v>
          </cell>
          <cell r="C6893" t="str">
            <v>Jul</v>
          </cell>
          <cell r="D6893" t="str">
            <v>Tables</v>
          </cell>
          <cell r="E6893">
            <v>111655.075</v>
          </cell>
          <cell r="F6893">
            <v>7</v>
          </cell>
        </row>
        <row r="6894">
          <cell r="A6894">
            <v>2018</v>
          </cell>
          <cell r="B6894" t="str">
            <v>Actual</v>
          </cell>
          <cell r="C6894" t="str">
            <v>Jul</v>
          </cell>
          <cell r="D6894" t="str">
            <v>Kitchen</v>
          </cell>
          <cell r="E6894">
            <v>509170.31900000002</v>
          </cell>
          <cell r="F6894">
            <v>7</v>
          </cell>
        </row>
        <row r="6895">
          <cell r="A6895">
            <v>2019</v>
          </cell>
          <cell r="B6895" t="str">
            <v>Budget</v>
          </cell>
          <cell r="C6895" t="str">
            <v>Jul</v>
          </cell>
          <cell r="D6895" t="str">
            <v>Chairs</v>
          </cell>
          <cell r="E6895">
            <v>-38522.197</v>
          </cell>
          <cell r="F6895">
            <v>7</v>
          </cell>
        </row>
        <row r="6896">
          <cell r="A6896">
            <v>2019</v>
          </cell>
          <cell r="B6896" t="str">
            <v>Actual</v>
          </cell>
          <cell r="C6896" t="str">
            <v>Jul</v>
          </cell>
          <cell r="D6896" t="str">
            <v>Tables</v>
          </cell>
          <cell r="E6896">
            <v>75213.396999999997</v>
          </cell>
          <cell r="F6896">
            <v>7</v>
          </cell>
        </row>
        <row r="6897">
          <cell r="A6897">
            <v>2019</v>
          </cell>
          <cell r="B6897" t="str">
            <v>Budget</v>
          </cell>
          <cell r="C6897" t="str">
            <v>Jul</v>
          </cell>
          <cell r="D6897" t="str">
            <v>Kitchen</v>
          </cell>
          <cell r="E6897">
            <v>45529.049999999996</v>
          </cell>
          <cell r="F6897">
            <v>7</v>
          </cell>
        </row>
        <row r="6898">
          <cell r="A6898">
            <v>2018</v>
          </cell>
          <cell r="B6898" t="str">
            <v>Actual</v>
          </cell>
          <cell r="C6898" t="str">
            <v>Jul</v>
          </cell>
          <cell r="D6898" t="str">
            <v>Chairs</v>
          </cell>
          <cell r="E6898">
            <v>128436.06999999999</v>
          </cell>
          <cell r="F6898">
            <v>7</v>
          </cell>
        </row>
        <row r="6899">
          <cell r="A6899">
            <v>2018</v>
          </cell>
          <cell r="B6899" t="str">
            <v>Budget</v>
          </cell>
          <cell r="C6899" t="str">
            <v>Jul</v>
          </cell>
          <cell r="D6899" t="str">
            <v>Tables</v>
          </cell>
          <cell r="E6899">
            <v>123278.841</v>
          </cell>
          <cell r="F6899">
            <v>7</v>
          </cell>
        </row>
        <row r="6900">
          <cell r="A6900">
            <v>2018</v>
          </cell>
          <cell r="B6900" t="str">
            <v>Actual</v>
          </cell>
          <cell r="C6900" t="str">
            <v>Jul</v>
          </cell>
          <cell r="D6900" t="str">
            <v>Kitchen</v>
          </cell>
          <cell r="E6900">
            <v>137787.93700000001</v>
          </cell>
          <cell r="F6900">
            <v>7</v>
          </cell>
        </row>
        <row r="6901">
          <cell r="A6901">
            <v>2019</v>
          </cell>
          <cell r="B6901" t="str">
            <v>Budget</v>
          </cell>
          <cell r="C6901" t="str">
            <v>Jul</v>
          </cell>
          <cell r="D6901" t="str">
            <v>Chairs</v>
          </cell>
          <cell r="E6901">
            <v>10523.932999999999</v>
          </cell>
          <cell r="F6901">
            <v>7</v>
          </cell>
        </row>
        <row r="6902">
          <cell r="A6902">
            <v>2019</v>
          </cell>
          <cell r="B6902" t="str">
            <v>Actual</v>
          </cell>
          <cell r="C6902" t="str">
            <v>Jul</v>
          </cell>
          <cell r="D6902" t="str">
            <v>Chairs</v>
          </cell>
          <cell r="E6902">
            <v>62377.160999999993</v>
          </cell>
          <cell r="F6902">
            <v>7</v>
          </cell>
        </row>
        <row r="6903">
          <cell r="A6903">
            <v>2019</v>
          </cell>
          <cell r="B6903" t="str">
            <v>Budget</v>
          </cell>
          <cell r="C6903" t="str">
            <v>Jul</v>
          </cell>
          <cell r="D6903" t="str">
            <v>Chairs</v>
          </cell>
          <cell r="E6903">
            <v>196891.21199999997</v>
          </cell>
          <cell r="F6903">
            <v>7</v>
          </cell>
        </row>
        <row r="6904">
          <cell r="A6904">
            <v>2019</v>
          </cell>
          <cell r="B6904" t="str">
            <v>Actual</v>
          </cell>
          <cell r="C6904" t="str">
            <v>Jul</v>
          </cell>
          <cell r="D6904" t="str">
            <v>Chairs</v>
          </cell>
          <cell r="E6904">
            <v>121936.18499999998</v>
          </cell>
          <cell r="F6904">
            <v>7</v>
          </cell>
        </row>
        <row r="6905">
          <cell r="A6905">
            <v>2018</v>
          </cell>
          <cell r="B6905" t="str">
            <v>Budget</v>
          </cell>
          <cell r="C6905" t="str">
            <v>Jul</v>
          </cell>
          <cell r="D6905" t="str">
            <v>Chairs</v>
          </cell>
          <cell r="E6905">
            <v>84484.547000000006</v>
          </cell>
          <cell r="F6905">
            <v>7</v>
          </cell>
        </row>
        <row r="6906">
          <cell r="A6906">
            <v>2019</v>
          </cell>
          <cell r="B6906" t="str">
            <v>Actual</v>
          </cell>
          <cell r="C6906" t="str">
            <v>Jul</v>
          </cell>
          <cell r="D6906" t="str">
            <v>Chairs</v>
          </cell>
          <cell r="E6906">
            <v>67125.891000000003</v>
          </cell>
          <cell r="F6906">
            <v>7</v>
          </cell>
        </row>
        <row r="6907">
          <cell r="A6907">
            <v>2019</v>
          </cell>
          <cell r="B6907" t="str">
            <v>Budget</v>
          </cell>
          <cell r="C6907" t="str">
            <v>Jul</v>
          </cell>
          <cell r="D6907" t="str">
            <v>Chairs</v>
          </cell>
          <cell r="E6907">
            <v>166531.16899999999</v>
          </cell>
          <cell r="F6907">
            <v>7</v>
          </cell>
        </row>
        <row r="6908">
          <cell r="A6908">
            <v>2019</v>
          </cell>
          <cell r="B6908" t="str">
            <v>Actual</v>
          </cell>
          <cell r="C6908" t="str">
            <v>Jul</v>
          </cell>
          <cell r="D6908" t="str">
            <v>Chairs</v>
          </cell>
          <cell r="E6908">
            <v>269420.13699999999</v>
          </cell>
          <cell r="F6908">
            <v>7</v>
          </cell>
        </row>
        <row r="6909">
          <cell r="A6909">
            <v>2018</v>
          </cell>
          <cell r="B6909" t="str">
            <v>Budget</v>
          </cell>
          <cell r="C6909" t="str">
            <v>Jul</v>
          </cell>
          <cell r="D6909" t="str">
            <v>Chairs</v>
          </cell>
          <cell r="E6909">
            <v>232532.38399999999</v>
          </cell>
          <cell r="F6909">
            <v>7</v>
          </cell>
        </row>
        <row r="6910">
          <cell r="A6910">
            <v>2018</v>
          </cell>
          <cell r="B6910" t="str">
            <v>Actual</v>
          </cell>
          <cell r="C6910" t="str">
            <v>Jul</v>
          </cell>
          <cell r="D6910" t="str">
            <v>Chairs</v>
          </cell>
          <cell r="E6910">
            <v>39121.481</v>
          </cell>
          <cell r="F6910">
            <v>7</v>
          </cell>
        </row>
        <row r="6911">
          <cell r="A6911">
            <v>2018</v>
          </cell>
          <cell r="B6911" t="str">
            <v>Budget</v>
          </cell>
          <cell r="C6911" t="str">
            <v>Jul</v>
          </cell>
          <cell r="D6911" t="str">
            <v>Chairs</v>
          </cell>
          <cell r="E6911">
            <v>13399.784999999998</v>
          </cell>
          <cell r="F6911">
            <v>7</v>
          </cell>
        </row>
        <row r="6912">
          <cell r="A6912">
            <v>2018</v>
          </cell>
          <cell r="B6912" t="str">
            <v>Actual</v>
          </cell>
          <cell r="C6912" t="str">
            <v>Jul</v>
          </cell>
          <cell r="D6912" t="str">
            <v>Chairs</v>
          </cell>
          <cell r="E6912">
            <v>131127.647</v>
          </cell>
          <cell r="F6912">
            <v>7</v>
          </cell>
        </row>
        <row r="6913">
          <cell r="A6913">
            <v>2018</v>
          </cell>
          <cell r="B6913" t="str">
            <v>Budget</v>
          </cell>
          <cell r="C6913" t="str">
            <v>Jul</v>
          </cell>
          <cell r="D6913" t="str">
            <v>Chairs</v>
          </cell>
          <cell r="E6913">
            <v>244573.06299999999</v>
          </cell>
          <cell r="F6913">
            <v>7</v>
          </cell>
        </row>
        <row r="6914">
          <cell r="A6914">
            <v>2018</v>
          </cell>
          <cell r="B6914" t="str">
            <v>Actual</v>
          </cell>
          <cell r="C6914" t="str">
            <v>Jul</v>
          </cell>
          <cell r="D6914" t="str">
            <v>Chairs</v>
          </cell>
          <cell r="E6914">
            <v>418263.321</v>
          </cell>
          <cell r="F6914">
            <v>7</v>
          </cell>
        </row>
        <row r="6915">
          <cell r="A6915">
            <v>2018</v>
          </cell>
          <cell r="B6915" t="str">
            <v>Budget</v>
          </cell>
          <cell r="C6915" t="str">
            <v>Jul</v>
          </cell>
          <cell r="D6915" t="str">
            <v>Chairs</v>
          </cell>
          <cell r="E6915">
            <v>72607.079999999987</v>
          </cell>
          <cell r="F6915">
            <v>7</v>
          </cell>
        </row>
        <row r="6916">
          <cell r="A6916">
            <v>2019</v>
          </cell>
          <cell r="B6916" t="str">
            <v>Actual</v>
          </cell>
          <cell r="C6916" t="str">
            <v>Jul</v>
          </cell>
          <cell r="D6916" t="str">
            <v>Chairs</v>
          </cell>
          <cell r="E6916">
            <v>27000.302</v>
          </cell>
          <cell r="F6916">
            <v>7</v>
          </cell>
        </row>
        <row r="6917">
          <cell r="A6917">
            <v>2018</v>
          </cell>
          <cell r="B6917" t="str">
            <v>Budget</v>
          </cell>
          <cell r="C6917" t="str">
            <v>Jul</v>
          </cell>
          <cell r="D6917" t="str">
            <v>Chairs</v>
          </cell>
          <cell r="E6917">
            <v>259705.22899999996</v>
          </cell>
          <cell r="F6917">
            <v>7</v>
          </cell>
        </row>
        <row r="6918">
          <cell r="A6918">
            <v>2019</v>
          </cell>
          <cell r="B6918" t="str">
            <v>Actual</v>
          </cell>
          <cell r="C6918" t="str">
            <v>Jul</v>
          </cell>
          <cell r="D6918" t="str">
            <v>Chairs</v>
          </cell>
          <cell r="E6918">
            <v>1435482.6359999999</v>
          </cell>
          <cell r="F6918">
            <v>7</v>
          </cell>
        </row>
        <row r="6919">
          <cell r="A6919">
            <v>2019</v>
          </cell>
          <cell r="B6919" t="str">
            <v>Budget</v>
          </cell>
          <cell r="C6919" t="str">
            <v>Jul</v>
          </cell>
          <cell r="D6919" t="str">
            <v>Chairs</v>
          </cell>
          <cell r="E6919">
            <v>484398.71899999998</v>
          </cell>
          <cell r="F6919">
            <v>7</v>
          </cell>
        </row>
        <row r="6920">
          <cell r="A6920">
            <v>2019</v>
          </cell>
          <cell r="B6920" t="str">
            <v>Actual</v>
          </cell>
          <cell r="C6920" t="str">
            <v>Jul</v>
          </cell>
          <cell r="D6920" t="str">
            <v>Chairs</v>
          </cell>
          <cell r="E6920">
            <v>13258.875</v>
          </cell>
          <cell r="F6920">
            <v>7</v>
          </cell>
        </row>
        <row r="6921">
          <cell r="A6921">
            <v>2019</v>
          </cell>
          <cell r="B6921" t="str">
            <v>Budget</v>
          </cell>
          <cell r="C6921" t="str">
            <v>Jul</v>
          </cell>
          <cell r="D6921" t="str">
            <v>Chairs</v>
          </cell>
          <cell r="E6921">
            <v>146021.59599999999</v>
          </cell>
          <cell r="F6921">
            <v>7</v>
          </cell>
        </row>
        <row r="6922">
          <cell r="A6922">
            <v>2019</v>
          </cell>
          <cell r="B6922" t="str">
            <v>Actual</v>
          </cell>
          <cell r="C6922" t="str">
            <v>Jul</v>
          </cell>
          <cell r="D6922" t="str">
            <v>Chairs</v>
          </cell>
          <cell r="E6922">
            <v>692205.80799999996</v>
          </cell>
          <cell r="F6922">
            <v>7</v>
          </cell>
        </row>
        <row r="6923">
          <cell r="A6923">
            <v>2019</v>
          </cell>
          <cell r="B6923" t="str">
            <v>Budget</v>
          </cell>
          <cell r="C6923" t="str">
            <v>Jul</v>
          </cell>
          <cell r="D6923" t="str">
            <v>Chairs</v>
          </cell>
          <cell r="E6923">
            <v>17406.073999999997</v>
          </cell>
          <cell r="F6923">
            <v>7</v>
          </cell>
        </row>
        <row r="6924">
          <cell r="A6924">
            <v>2018</v>
          </cell>
          <cell r="B6924" t="str">
            <v>Actual</v>
          </cell>
          <cell r="C6924" t="str">
            <v>Jul</v>
          </cell>
          <cell r="D6924" t="str">
            <v>Chairs</v>
          </cell>
          <cell r="E6924">
            <v>107546.06799999998</v>
          </cell>
          <cell r="F6924">
            <v>7</v>
          </cell>
        </row>
        <row r="6925">
          <cell r="A6925">
            <v>2019</v>
          </cell>
          <cell r="B6925" t="str">
            <v>Budget</v>
          </cell>
          <cell r="C6925" t="str">
            <v>Jul</v>
          </cell>
          <cell r="D6925" t="str">
            <v>Chairs</v>
          </cell>
          <cell r="E6925">
            <v>15727.067999999999</v>
          </cell>
          <cell r="F6925">
            <v>7</v>
          </cell>
        </row>
        <row r="6926">
          <cell r="A6926">
            <v>2019</v>
          </cell>
          <cell r="B6926" t="str">
            <v>Actual</v>
          </cell>
          <cell r="C6926" t="str">
            <v>Jul</v>
          </cell>
          <cell r="D6926" t="str">
            <v>Chairs</v>
          </cell>
          <cell r="E6926">
            <v>54948.991999999998</v>
          </cell>
          <cell r="F6926">
            <v>7</v>
          </cell>
        </row>
        <row r="6927">
          <cell r="A6927">
            <v>2019</v>
          </cell>
          <cell r="B6927" t="str">
            <v>Budget</v>
          </cell>
          <cell r="C6927" t="str">
            <v>Jul</v>
          </cell>
          <cell r="D6927" t="str">
            <v>Tables</v>
          </cell>
          <cell r="E6927">
            <v>65671.417000000001</v>
          </cell>
          <cell r="F6927">
            <v>7</v>
          </cell>
        </row>
        <row r="6928">
          <cell r="A6928">
            <v>2018</v>
          </cell>
          <cell r="B6928" t="str">
            <v>Actual</v>
          </cell>
          <cell r="C6928" t="str">
            <v>Jul</v>
          </cell>
          <cell r="D6928" t="str">
            <v>Kitchen</v>
          </cell>
          <cell r="E6928">
            <v>123759.18799999999</v>
          </cell>
          <cell r="F6928">
            <v>7</v>
          </cell>
        </row>
        <row r="6929">
          <cell r="A6929">
            <v>2019</v>
          </cell>
          <cell r="B6929" t="str">
            <v>Budget</v>
          </cell>
          <cell r="C6929" t="str">
            <v>Jul</v>
          </cell>
          <cell r="D6929" t="str">
            <v>Chairs</v>
          </cell>
          <cell r="E6929">
            <v>3017.8329999999996</v>
          </cell>
          <cell r="F6929">
            <v>7</v>
          </cell>
        </row>
        <row r="6930">
          <cell r="A6930">
            <v>2018</v>
          </cell>
          <cell r="B6930" t="str">
            <v>Actual</v>
          </cell>
          <cell r="C6930" t="str">
            <v>Jul</v>
          </cell>
          <cell r="D6930" t="str">
            <v>Chairs</v>
          </cell>
          <cell r="E6930">
            <v>2936.2759999999998</v>
          </cell>
          <cell r="F6930">
            <v>7</v>
          </cell>
        </row>
        <row r="6931">
          <cell r="A6931">
            <v>2018</v>
          </cell>
          <cell r="B6931" t="str">
            <v>Budget</v>
          </cell>
          <cell r="C6931" t="str">
            <v>Jul</v>
          </cell>
          <cell r="D6931" t="str">
            <v>Chairs</v>
          </cell>
          <cell r="E6931">
            <v>1353256.2959999999</v>
          </cell>
          <cell r="F6931">
            <v>7</v>
          </cell>
        </row>
        <row r="6932">
          <cell r="A6932">
            <v>2019</v>
          </cell>
          <cell r="B6932" t="str">
            <v>Actual</v>
          </cell>
          <cell r="C6932" t="str">
            <v>Jul</v>
          </cell>
          <cell r="D6932" t="str">
            <v>Chairs</v>
          </cell>
          <cell r="E6932">
            <v>-11281.843999999999</v>
          </cell>
          <cell r="F6932">
            <v>7</v>
          </cell>
        </row>
        <row r="6933">
          <cell r="A6933">
            <v>2019</v>
          </cell>
          <cell r="B6933" t="str">
            <v>Budget</v>
          </cell>
          <cell r="C6933" t="str">
            <v>Jul</v>
          </cell>
          <cell r="D6933" t="str">
            <v>Chairs</v>
          </cell>
          <cell r="E6933">
            <v>485238.65599999996</v>
          </cell>
          <cell r="F6933">
            <v>7</v>
          </cell>
        </row>
        <row r="6934">
          <cell r="A6934">
            <v>2019</v>
          </cell>
          <cell r="B6934" t="str">
            <v>Actual</v>
          </cell>
          <cell r="C6934" t="str">
            <v>Jul</v>
          </cell>
          <cell r="D6934" t="str">
            <v>Tables</v>
          </cell>
          <cell r="E6934">
            <v>-18624.367999999999</v>
          </cell>
          <cell r="F6934">
            <v>7</v>
          </cell>
        </row>
        <row r="6935">
          <cell r="A6935">
            <v>2018</v>
          </cell>
          <cell r="B6935" t="str">
            <v>Budget</v>
          </cell>
          <cell r="C6935" t="str">
            <v>Jul</v>
          </cell>
          <cell r="D6935" t="str">
            <v>Kitchen</v>
          </cell>
          <cell r="E6935">
            <v>933911.55200000003</v>
          </cell>
          <cell r="F6935">
            <v>7</v>
          </cell>
        </row>
        <row r="6936">
          <cell r="A6936">
            <v>2019</v>
          </cell>
          <cell r="B6936" t="str">
            <v>Actual</v>
          </cell>
          <cell r="C6936" t="str">
            <v>Jul</v>
          </cell>
          <cell r="D6936" t="str">
            <v>Chairs</v>
          </cell>
          <cell r="E6936">
            <v>-49003.737999999998</v>
          </cell>
          <cell r="F6936">
            <v>7</v>
          </cell>
        </row>
        <row r="6937">
          <cell r="A6937">
            <v>2018</v>
          </cell>
          <cell r="B6937" t="str">
            <v>Budget</v>
          </cell>
          <cell r="C6937" t="str">
            <v>Jul</v>
          </cell>
          <cell r="D6937" t="str">
            <v>Chairs</v>
          </cell>
          <cell r="E6937">
            <v>398212.24799999996</v>
          </cell>
          <cell r="F6937">
            <v>7</v>
          </cell>
        </row>
        <row r="6938">
          <cell r="A6938">
            <v>2018</v>
          </cell>
          <cell r="B6938" t="str">
            <v>Actual</v>
          </cell>
          <cell r="C6938" t="str">
            <v>Jul</v>
          </cell>
          <cell r="D6938" t="str">
            <v>Chairs</v>
          </cell>
          <cell r="E6938">
            <v>273458.283</v>
          </cell>
          <cell r="F6938">
            <v>7</v>
          </cell>
        </row>
        <row r="6939">
          <cell r="A6939">
            <v>2019</v>
          </cell>
          <cell r="B6939" t="str">
            <v>Budget</v>
          </cell>
          <cell r="C6939" t="str">
            <v>Jul</v>
          </cell>
          <cell r="D6939" t="str">
            <v>Tables</v>
          </cell>
          <cell r="E6939">
            <v>-50624.966</v>
          </cell>
          <cell r="F6939">
            <v>7</v>
          </cell>
        </row>
        <row r="6940">
          <cell r="A6940">
            <v>2018</v>
          </cell>
          <cell r="B6940" t="str">
            <v>Actual</v>
          </cell>
          <cell r="C6940" t="str">
            <v>Jul</v>
          </cell>
          <cell r="D6940" t="str">
            <v>Kitchen</v>
          </cell>
          <cell r="E6940">
            <v>-13532.428</v>
          </cell>
          <cell r="F6940">
            <v>7</v>
          </cell>
        </row>
        <row r="6941">
          <cell r="A6941">
            <v>2018</v>
          </cell>
          <cell r="B6941" t="str">
            <v>Budget</v>
          </cell>
          <cell r="C6941" t="str">
            <v>Jul</v>
          </cell>
          <cell r="D6941" t="str">
            <v>Chairs</v>
          </cell>
          <cell r="E6941">
            <v>-24591.475999999999</v>
          </cell>
          <cell r="F6941">
            <v>7</v>
          </cell>
        </row>
        <row r="6942">
          <cell r="A6942">
            <v>2018</v>
          </cell>
          <cell r="B6942" t="str">
            <v>Actual</v>
          </cell>
          <cell r="C6942" t="str">
            <v>Jul</v>
          </cell>
          <cell r="D6942" t="str">
            <v>Chairs</v>
          </cell>
          <cell r="E6942">
            <v>498083.76799999998</v>
          </cell>
          <cell r="F6942">
            <v>7</v>
          </cell>
        </row>
        <row r="6943">
          <cell r="A6943">
            <v>2019</v>
          </cell>
          <cell r="B6943" t="str">
            <v>Budget</v>
          </cell>
          <cell r="C6943" t="str">
            <v>Jul</v>
          </cell>
          <cell r="D6943" t="str">
            <v>Tables</v>
          </cell>
          <cell r="E6943">
            <v>11144.749</v>
          </cell>
          <cell r="F6943">
            <v>7</v>
          </cell>
        </row>
        <row r="6944">
          <cell r="A6944">
            <v>2019</v>
          </cell>
          <cell r="B6944" t="str">
            <v>Actual</v>
          </cell>
          <cell r="C6944" t="str">
            <v>Jul</v>
          </cell>
          <cell r="D6944" t="str">
            <v>Kitchen</v>
          </cell>
          <cell r="E6944">
            <v>185707.02499999999</v>
          </cell>
          <cell r="F6944">
            <v>7</v>
          </cell>
        </row>
        <row r="6945">
          <cell r="A6945">
            <v>2018</v>
          </cell>
          <cell r="B6945" t="str">
            <v>Budget</v>
          </cell>
          <cell r="C6945" t="str">
            <v>Jul</v>
          </cell>
          <cell r="D6945" t="str">
            <v>Chairs</v>
          </cell>
          <cell r="E6945">
            <v>26331.634000000002</v>
          </cell>
          <cell r="F6945">
            <v>7</v>
          </cell>
        </row>
        <row r="6946">
          <cell r="A6946">
            <v>2019</v>
          </cell>
          <cell r="B6946" t="str">
            <v>Actual</v>
          </cell>
          <cell r="C6946" t="str">
            <v>Jul</v>
          </cell>
          <cell r="D6946" t="str">
            <v>Chairs</v>
          </cell>
          <cell r="E6946">
            <v>331956.90499999997</v>
          </cell>
          <cell r="F6946">
            <v>7</v>
          </cell>
        </row>
        <row r="6947">
          <cell r="A6947">
            <v>2018</v>
          </cell>
          <cell r="B6947" t="str">
            <v>Budget</v>
          </cell>
          <cell r="C6947" t="str">
            <v>Jul</v>
          </cell>
          <cell r="D6947" t="str">
            <v>Chairs</v>
          </cell>
          <cell r="E6947">
            <v>10502.155999999999</v>
          </cell>
          <cell r="F6947">
            <v>7</v>
          </cell>
        </row>
        <row r="6948">
          <cell r="A6948">
            <v>2019</v>
          </cell>
          <cell r="B6948" t="str">
            <v>Actual</v>
          </cell>
          <cell r="C6948" t="str">
            <v>Jul</v>
          </cell>
          <cell r="D6948" t="str">
            <v>Tables</v>
          </cell>
          <cell r="E6948">
            <v>541823.83499999996</v>
          </cell>
          <cell r="F6948">
            <v>7</v>
          </cell>
        </row>
        <row r="6949">
          <cell r="A6949">
            <v>2018</v>
          </cell>
          <cell r="B6949" t="str">
            <v>Budget</v>
          </cell>
          <cell r="C6949" t="str">
            <v>Jul</v>
          </cell>
          <cell r="D6949" t="str">
            <v>Kitchen</v>
          </cell>
          <cell r="E6949">
            <v>-41697.641999999993</v>
          </cell>
          <cell r="F6949">
            <v>7</v>
          </cell>
        </row>
        <row r="6950">
          <cell r="A6950">
            <v>2019</v>
          </cell>
          <cell r="B6950" t="str">
            <v>Actual</v>
          </cell>
          <cell r="C6950" t="str">
            <v>Jul</v>
          </cell>
          <cell r="D6950" t="str">
            <v>Accessories</v>
          </cell>
          <cell r="E6950">
            <v>15884.658999999998</v>
          </cell>
          <cell r="F6950">
            <v>7</v>
          </cell>
        </row>
        <row r="6951">
          <cell r="A6951">
            <v>2018</v>
          </cell>
          <cell r="B6951" t="str">
            <v>Budget</v>
          </cell>
          <cell r="C6951" t="str">
            <v>Jul</v>
          </cell>
          <cell r="D6951" t="str">
            <v>Chairs</v>
          </cell>
          <cell r="E6951">
            <v>2364261.9</v>
          </cell>
          <cell r="F6951">
            <v>7</v>
          </cell>
        </row>
        <row r="6952">
          <cell r="A6952">
            <v>2018</v>
          </cell>
          <cell r="B6952" t="str">
            <v>Actual</v>
          </cell>
          <cell r="C6952" t="str">
            <v>Jul</v>
          </cell>
          <cell r="D6952" t="str">
            <v>Tables</v>
          </cell>
          <cell r="E6952">
            <v>10475647.405999999</v>
          </cell>
          <cell r="F6952">
            <v>7</v>
          </cell>
        </row>
        <row r="6953">
          <cell r="A6953">
            <v>2019</v>
          </cell>
          <cell r="B6953" t="str">
            <v>Budget</v>
          </cell>
          <cell r="C6953" t="str">
            <v>Jul</v>
          </cell>
          <cell r="D6953" t="str">
            <v>Kitchen</v>
          </cell>
          <cell r="E6953">
            <v>-346509.48499999999</v>
          </cell>
          <cell r="F6953">
            <v>7</v>
          </cell>
        </row>
        <row r="6954">
          <cell r="A6954">
            <v>2018</v>
          </cell>
          <cell r="B6954" t="str">
            <v>Actual</v>
          </cell>
          <cell r="C6954" t="str">
            <v>Jul</v>
          </cell>
          <cell r="D6954" t="str">
            <v>Accessories</v>
          </cell>
          <cell r="E6954">
            <v>12324695.403999999</v>
          </cell>
          <cell r="F6954">
            <v>7</v>
          </cell>
        </row>
        <row r="6955">
          <cell r="A6955">
            <v>2018</v>
          </cell>
          <cell r="B6955" t="str">
            <v>Budget</v>
          </cell>
          <cell r="C6955" t="str">
            <v>Jul</v>
          </cell>
          <cell r="D6955" t="str">
            <v>Chairs</v>
          </cell>
          <cell r="E6955">
            <v>57906.849000000002</v>
          </cell>
          <cell r="F6955">
            <v>7</v>
          </cell>
        </row>
        <row r="6956">
          <cell r="A6956">
            <v>2018</v>
          </cell>
          <cell r="B6956" t="str">
            <v>Actual</v>
          </cell>
          <cell r="C6956" t="str">
            <v>Jul</v>
          </cell>
          <cell r="D6956" t="str">
            <v>Tables</v>
          </cell>
          <cell r="E6956">
            <v>186037.92199999999</v>
          </cell>
          <cell r="F6956">
            <v>7</v>
          </cell>
        </row>
        <row r="6957">
          <cell r="A6957">
            <v>2019</v>
          </cell>
          <cell r="B6957" t="str">
            <v>Budget</v>
          </cell>
          <cell r="C6957" t="str">
            <v>Jul</v>
          </cell>
          <cell r="D6957" t="str">
            <v>Kitchen</v>
          </cell>
          <cell r="E6957">
            <v>23021.991999999998</v>
          </cell>
          <cell r="F6957">
            <v>7</v>
          </cell>
        </row>
        <row r="6958">
          <cell r="A6958">
            <v>2018</v>
          </cell>
          <cell r="B6958" t="str">
            <v>Actual</v>
          </cell>
          <cell r="C6958" t="str">
            <v>Jul</v>
          </cell>
          <cell r="D6958" t="str">
            <v>Accessories</v>
          </cell>
          <cell r="E6958">
            <v>43311.603999999999</v>
          </cell>
          <cell r="F6958">
            <v>7</v>
          </cell>
        </row>
        <row r="6959">
          <cell r="A6959">
            <v>2018</v>
          </cell>
          <cell r="B6959" t="str">
            <v>Budget</v>
          </cell>
          <cell r="C6959" t="str">
            <v>Jul</v>
          </cell>
          <cell r="D6959" t="str">
            <v>Chairs</v>
          </cell>
          <cell r="E6959">
            <v>126042.53899999999</v>
          </cell>
          <cell r="F6959">
            <v>7</v>
          </cell>
        </row>
        <row r="6960">
          <cell r="A6960">
            <v>2019</v>
          </cell>
          <cell r="B6960" t="str">
            <v>Actual</v>
          </cell>
          <cell r="C6960" t="str">
            <v>Jul</v>
          </cell>
          <cell r="D6960" t="str">
            <v>Tables</v>
          </cell>
          <cell r="E6960">
            <v>15698.318999999998</v>
          </cell>
          <cell r="F6960">
            <v>7</v>
          </cell>
        </row>
        <row r="6961">
          <cell r="A6961">
            <v>2019</v>
          </cell>
          <cell r="B6961" t="str">
            <v>Budget</v>
          </cell>
          <cell r="C6961" t="str">
            <v>Jul</v>
          </cell>
          <cell r="D6961" t="str">
            <v>Kitchen</v>
          </cell>
          <cell r="E6961">
            <v>366569.39199999999</v>
          </cell>
          <cell r="F6961">
            <v>7</v>
          </cell>
        </row>
        <row r="6962">
          <cell r="A6962">
            <v>2019</v>
          </cell>
          <cell r="B6962" t="str">
            <v>Actual</v>
          </cell>
          <cell r="C6962" t="str">
            <v>Jul</v>
          </cell>
          <cell r="D6962" t="str">
            <v>Accessories</v>
          </cell>
          <cell r="E6962">
            <v>296852.98300000001</v>
          </cell>
          <cell r="F6962">
            <v>7</v>
          </cell>
        </row>
        <row r="6963">
          <cell r="A6963">
            <v>2018</v>
          </cell>
          <cell r="B6963" t="str">
            <v>Budget</v>
          </cell>
          <cell r="C6963" t="str">
            <v>Jul</v>
          </cell>
          <cell r="D6963" t="str">
            <v>Chairs</v>
          </cell>
          <cell r="E6963">
            <v>180066.94299999997</v>
          </cell>
          <cell r="F6963">
            <v>7</v>
          </cell>
        </row>
        <row r="6964">
          <cell r="A6964">
            <v>2019</v>
          </cell>
          <cell r="B6964" t="str">
            <v>Actual</v>
          </cell>
          <cell r="C6964" t="str">
            <v>Jul</v>
          </cell>
          <cell r="D6964" t="str">
            <v>Chairs</v>
          </cell>
          <cell r="E6964">
            <v>66970.189999999988</v>
          </cell>
          <cell r="F6964">
            <v>7</v>
          </cell>
        </row>
        <row r="6965">
          <cell r="A6965">
            <v>2019</v>
          </cell>
          <cell r="B6965" t="str">
            <v>Budget</v>
          </cell>
          <cell r="C6965" t="str">
            <v>Jul</v>
          </cell>
          <cell r="D6965" t="str">
            <v>Tables</v>
          </cell>
          <cell r="E6965">
            <v>688732.18400000001</v>
          </cell>
          <cell r="F6965">
            <v>7</v>
          </cell>
        </row>
        <row r="6966">
          <cell r="A6966">
            <v>2018</v>
          </cell>
          <cell r="B6966" t="str">
            <v>Actual</v>
          </cell>
          <cell r="C6966" t="str">
            <v>Jul</v>
          </cell>
          <cell r="D6966" t="str">
            <v>Kitchen</v>
          </cell>
          <cell r="E6966">
            <v>5274990.1330000004</v>
          </cell>
          <cell r="F6966">
            <v>7</v>
          </cell>
        </row>
        <row r="6967">
          <cell r="A6967">
            <v>2018</v>
          </cell>
          <cell r="B6967" t="str">
            <v>Budget</v>
          </cell>
          <cell r="C6967" t="str">
            <v>Jul</v>
          </cell>
          <cell r="D6967" t="str">
            <v>Chairs</v>
          </cell>
          <cell r="E6967">
            <v>25265.982</v>
          </cell>
          <cell r="F6967">
            <v>7</v>
          </cell>
        </row>
        <row r="6968">
          <cell r="A6968">
            <v>2018</v>
          </cell>
          <cell r="B6968" t="str">
            <v>Actual</v>
          </cell>
          <cell r="C6968" t="str">
            <v>Jul</v>
          </cell>
          <cell r="D6968" t="str">
            <v>Tables</v>
          </cell>
          <cell r="E6968">
            <v>50503.851999999999</v>
          </cell>
          <cell r="F6968">
            <v>7</v>
          </cell>
        </row>
        <row r="6969">
          <cell r="A6969">
            <v>2019</v>
          </cell>
          <cell r="B6969" t="str">
            <v>Budget</v>
          </cell>
          <cell r="C6969" t="str">
            <v>Jul</v>
          </cell>
          <cell r="D6969" t="str">
            <v>Kitchen</v>
          </cell>
          <cell r="E6969">
            <v>120753.24800000001</v>
          </cell>
          <cell r="F6969">
            <v>7</v>
          </cell>
        </row>
        <row r="6970">
          <cell r="A6970">
            <v>2019</v>
          </cell>
          <cell r="B6970" t="str">
            <v>Actual</v>
          </cell>
          <cell r="C6970" t="str">
            <v>Jul</v>
          </cell>
          <cell r="D6970" t="str">
            <v>Chairs</v>
          </cell>
          <cell r="E6970">
            <v>43005.745999999999</v>
          </cell>
          <cell r="F6970">
            <v>7</v>
          </cell>
        </row>
        <row r="6971">
          <cell r="A6971">
            <v>2019</v>
          </cell>
          <cell r="B6971" t="str">
            <v>Budget</v>
          </cell>
          <cell r="C6971" t="str">
            <v>Jul</v>
          </cell>
          <cell r="D6971" t="str">
            <v>Tables</v>
          </cell>
          <cell r="E6971">
            <v>1585176.4459999998</v>
          </cell>
          <cell r="F6971">
            <v>7</v>
          </cell>
        </row>
        <row r="6972">
          <cell r="A6972">
            <v>2018</v>
          </cell>
          <cell r="B6972" t="str">
            <v>Actual</v>
          </cell>
          <cell r="C6972" t="str">
            <v>Jul</v>
          </cell>
          <cell r="D6972" t="str">
            <v>Kitchen</v>
          </cell>
          <cell r="E6972">
            <v>730727.15099999995</v>
          </cell>
          <cell r="F6972">
            <v>7</v>
          </cell>
        </row>
        <row r="6973">
          <cell r="A6973">
            <v>2019</v>
          </cell>
          <cell r="B6973" t="str">
            <v>Budget</v>
          </cell>
          <cell r="C6973" t="str">
            <v>Jul</v>
          </cell>
          <cell r="D6973" t="str">
            <v>Chairs</v>
          </cell>
          <cell r="E6973">
            <v>7391.7479999999987</v>
          </cell>
          <cell r="F6973">
            <v>7</v>
          </cell>
        </row>
        <row r="6974">
          <cell r="A6974">
            <v>2018</v>
          </cell>
          <cell r="B6974" t="str">
            <v>Actual</v>
          </cell>
          <cell r="C6974" t="str">
            <v>Jul</v>
          </cell>
          <cell r="D6974" t="str">
            <v>Chairs</v>
          </cell>
          <cell r="E6974">
            <v>52366.663999999997</v>
          </cell>
          <cell r="F6974">
            <v>7</v>
          </cell>
        </row>
        <row r="6975">
          <cell r="A6975">
            <v>2019</v>
          </cell>
          <cell r="B6975" t="str">
            <v>Budget</v>
          </cell>
          <cell r="C6975" t="str">
            <v>Jul</v>
          </cell>
          <cell r="D6975" t="str">
            <v>Chairs</v>
          </cell>
          <cell r="E6975">
            <v>289245.49499999994</v>
          </cell>
          <cell r="F6975">
            <v>7</v>
          </cell>
        </row>
        <row r="6976">
          <cell r="A6976">
            <v>2018</v>
          </cell>
          <cell r="B6976" t="str">
            <v>Actual</v>
          </cell>
          <cell r="C6976" t="str">
            <v>Jul</v>
          </cell>
          <cell r="D6976" t="str">
            <v>Chairs</v>
          </cell>
          <cell r="E6976">
            <v>1208337.97</v>
          </cell>
          <cell r="F6976">
            <v>7</v>
          </cell>
        </row>
        <row r="6977">
          <cell r="A6977">
            <v>2019</v>
          </cell>
          <cell r="B6977" t="str">
            <v>Budget</v>
          </cell>
          <cell r="C6977" t="str">
            <v>Jul</v>
          </cell>
          <cell r="D6977" t="str">
            <v>Chairs</v>
          </cell>
          <cell r="E6977">
            <v>617086.47</v>
          </cell>
          <cell r="F6977">
            <v>7</v>
          </cell>
        </row>
        <row r="6978">
          <cell r="A6978">
            <v>2018</v>
          </cell>
          <cell r="B6978" t="str">
            <v>Actual</v>
          </cell>
          <cell r="C6978" t="str">
            <v>Jul</v>
          </cell>
          <cell r="D6978" t="str">
            <v>Chairs</v>
          </cell>
          <cell r="E6978">
            <v>9767901.8919999991</v>
          </cell>
          <cell r="F6978">
            <v>7</v>
          </cell>
        </row>
        <row r="6979">
          <cell r="A6979">
            <v>2019</v>
          </cell>
          <cell r="B6979" t="str">
            <v>Budget</v>
          </cell>
          <cell r="C6979" t="str">
            <v>Jul</v>
          </cell>
          <cell r="D6979" t="str">
            <v>Chairs</v>
          </cell>
          <cell r="E6979">
            <v>3008668.9639999997</v>
          </cell>
          <cell r="F6979">
            <v>7</v>
          </cell>
        </row>
        <row r="6980">
          <cell r="A6980">
            <v>2019</v>
          </cell>
          <cell r="B6980" t="str">
            <v>Actual</v>
          </cell>
          <cell r="C6980" t="str">
            <v>Jul</v>
          </cell>
          <cell r="D6980" t="str">
            <v>Chairs</v>
          </cell>
          <cell r="E6980">
            <v>851823.59499999997</v>
          </cell>
          <cell r="F6980">
            <v>7</v>
          </cell>
        </row>
        <row r="6981">
          <cell r="A6981">
            <v>2018</v>
          </cell>
          <cell r="B6981" t="str">
            <v>Budget</v>
          </cell>
          <cell r="C6981" t="str">
            <v>Jul</v>
          </cell>
          <cell r="D6981" t="str">
            <v>Chairs</v>
          </cell>
          <cell r="E6981">
            <v>19799467.421999998</v>
          </cell>
          <cell r="F6981">
            <v>7</v>
          </cell>
        </row>
        <row r="6982">
          <cell r="A6982">
            <v>2019</v>
          </cell>
          <cell r="B6982" t="str">
            <v>Actual</v>
          </cell>
          <cell r="C6982" t="str">
            <v>Jul</v>
          </cell>
          <cell r="D6982" t="str">
            <v>Chairs</v>
          </cell>
          <cell r="E6982">
            <v>9541254.1629999988</v>
          </cell>
          <cell r="F6982">
            <v>7</v>
          </cell>
        </row>
        <row r="6983">
          <cell r="A6983">
            <v>2018</v>
          </cell>
          <cell r="B6983" t="str">
            <v>Budget</v>
          </cell>
          <cell r="C6983" t="str">
            <v>Jul</v>
          </cell>
          <cell r="D6983" t="str">
            <v>Chairs</v>
          </cell>
          <cell r="E6983">
            <v>661371.66899999999</v>
          </cell>
          <cell r="F6983">
            <v>7</v>
          </cell>
        </row>
        <row r="6984">
          <cell r="A6984">
            <v>2019</v>
          </cell>
          <cell r="B6984" t="str">
            <v>Actual</v>
          </cell>
          <cell r="C6984" t="str">
            <v>Jul</v>
          </cell>
          <cell r="D6984" t="str">
            <v>Chairs</v>
          </cell>
          <cell r="E6984">
            <v>403869.52899999998</v>
          </cell>
          <cell r="F6984">
            <v>7</v>
          </cell>
        </row>
        <row r="6985">
          <cell r="A6985">
            <v>2018</v>
          </cell>
          <cell r="B6985" t="str">
            <v>Budget</v>
          </cell>
          <cell r="C6985" t="str">
            <v>Jul</v>
          </cell>
          <cell r="D6985" t="str">
            <v>Chairs</v>
          </cell>
          <cell r="E6985">
            <v>2409657.355</v>
          </cell>
          <cell r="F6985">
            <v>7</v>
          </cell>
        </row>
        <row r="6986">
          <cell r="A6986">
            <v>2018</v>
          </cell>
          <cell r="B6986" t="str">
            <v>Actual</v>
          </cell>
          <cell r="C6986" t="str">
            <v>Jul</v>
          </cell>
          <cell r="D6986" t="str">
            <v>Chairs</v>
          </cell>
          <cell r="E6986">
            <v>325563.27999999997</v>
          </cell>
          <cell r="F6986">
            <v>7</v>
          </cell>
        </row>
        <row r="6987">
          <cell r="A6987">
            <v>2018</v>
          </cell>
          <cell r="B6987" t="str">
            <v>Budget</v>
          </cell>
          <cell r="C6987" t="str">
            <v>Jul</v>
          </cell>
          <cell r="D6987" t="str">
            <v>Chairs</v>
          </cell>
          <cell r="E6987">
            <v>224288.16199999998</v>
          </cell>
          <cell r="F6987">
            <v>7</v>
          </cell>
        </row>
        <row r="6988">
          <cell r="A6988">
            <v>2019</v>
          </cell>
          <cell r="B6988" t="str">
            <v>Actual</v>
          </cell>
          <cell r="C6988" t="str">
            <v>Jul</v>
          </cell>
          <cell r="D6988" t="str">
            <v>Chairs</v>
          </cell>
          <cell r="E6988">
            <v>66277.59599999999</v>
          </cell>
          <cell r="F6988">
            <v>7</v>
          </cell>
        </row>
        <row r="6989">
          <cell r="A6989">
            <v>2019</v>
          </cell>
          <cell r="B6989" t="str">
            <v>Budget</v>
          </cell>
          <cell r="C6989" t="str">
            <v>Jul</v>
          </cell>
          <cell r="D6989" t="str">
            <v>Chairs</v>
          </cell>
          <cell r="E6989">
            <v>1551057.6969999999</v>
          </cell>
          <cell r="F6989">
            <v>7</v>
          </cell>
        </row>
        <row r="6990">
          <cell r="A6990">
            <v>2018</v>
          </cell>
          <cell r="B6990" t="str">
            <v>Actual</v>
          </cell>
          <cell r="C6990" t="str">
            <v>Jul</v>
          </cell>
          <cell r="D6990" t="str">
            <v>Chairs</v>
          </cell>
          <cell r="E6990">
            <v>18511.562999999998</v>
          </cell>
          <cell r="F6990">
            <v>7</v>
          </cell>
        </row>
        <row r="6991">
          <cell r="A6991">
            <v>2018</v>
          </cell>
          <cell r="B6991" t="str">
            <v>Budget</v>
          </cell>
          <cell r="C6991" t="str">
            <v>Jul</v>
          </cell>
          <cell r="D6991" t="str">
            <v>Chairs</v>
          </cell>
          <cell r="E6991">
            <v>1829892.9879999999</v>
          </cell>
          <cell r="F6991">
            <v>7</v>
          </cell>
        </row>
        <row r="6992">
          <cell r="A6992">
            <v>2019</v>
          </cell>
          <cell r="B6992" t="str">
            <v>Actual</v>
          </cell>
          <cell r="C6992" t="str">
            <v>Jul</v>
          </cell>
          <cell r="D6992" t="str">
            <v>Chairs</v>
          </cell>
          <cell r="E6992">
            <v>2815648.1149999998</v>
          </cell>
          <cell r="F6992">
            <v>7</v>
          </cell>
        </row>
        <row r="6993">
          <cell r="A6993">
            <v>2019</v>
          </cell>
          <cell r="B6993" t="str">
            <v>Budget</v>
          </cell>
          <cell r="C6993" t="str">
            <v>Jul</v>
          </cell>
          <cell r="D6993" t="str">
            <v>Chairs</v>
          </cell>
          <cell r="E6993">
            <v>755969.21399999992</v>
          </cell>
          <cell r="F6993">
            <v>7</v>
          </cell>
        </row>
        <row r="6994">
          <cell r="A6994">
            <v>2018</v>
          </cell>
          <cell r="B6994" t="str">
            <v>Actual</v>
          </cell>
          <cell r="C6994" t="str">
            <v>Jul</v>
          </cell>
          <cell r="D6994" t="str">
            <v>Chairs</v>
          </cell>
          <cell r="E6994">
            <v>664809.61399999994</v>
          </cell>
          <cell r="F6994">
            <v>7</v>
          </cell>
        </row>
        <row r="6995">
          <cell r="A6995">
            <v>2019</v>
          </cell>
          <cell r="B6995" t="str">
            <v>Budget</v>
          </cell>
          <cell r="C6995" t="str">
            <v>Jul</v>
          </cell>
          <cell r="D6995" t="str">
            <v>Chairs</v>
          </cell>
          <cell r="E6995">
            <v>1154005.3770000001</v>
          </cell>
          <cell r="F6995">
            <v>7</v>
          </cell>
        </row>
        <row r="6996">
          <cell r="A6996">
            <v>2018</v>
          </cell>
          <cell r="B6996" t="str">
            <v>Actual</v>
          </cell>
          <cell r="C6996" t="str">
            <v>Jul</v>
          </cell>
          <cell r="D6996" t="str">
            <v>Chairs</v>
          </cell>
          <cell r="E6996">
            <v>-176634.304</v>
          </cell>
          <cell r="F6996">
            <v>7</v>
          </cell>
        </row>
        <row r="6997">
          <cell r="A6997">
            <v>2018</v>
          </cell>
          <cell r="B6997" t="str">
            <v>Budget</v>
          </cell>
          <cell r="C6997" t="str">
            <v>Jul</v>
          </cell>
          <cell r="D6997" t="str">
            <v>Chairs</v>
          </cell>
          <cell r="E6997">
            <v>1140241.5149999999</v>
          </cell>
          <cell r="F6997">
            <v>7</v>
          </cell>
        </row>
        <row r="6998">
          <cell r="A6998">
            <v>2018</v>
          </cell>
          <cell r="B6998" t="str">
            <v>Actual</v>
          </cell>
          <cell r="C6998" t="str">
            <v>Jul</v>
          </cell>
          <cell r="D6998" t="str">
            <v>Chairs</v>
          </cell>
          <cell r="E6998">
            <v>3022732.5869999998</v>
          </cell>
          <cell r="F6998">
            <v>7</v>
          </cell>
        </row>
        <row r="6999">
          <cell r="A6999">
            <v>2019</v>
          </cell>
          <cell r="B6999" t="str">
            <v>Budget</v>
          </cell>
          <cell r="C6999" t="str">
            <v>Jul</v>
          </cell>
          <cell r="D6999" t="str">
            <v>Tables</v>
          </cell>
          <cell r="E6999">
            <v>26473.755000000001</v>
          </cell>
          <cell r="F6999">
            <v>7</v>
          </cell>
        </row>
        <row r="7000">
          <cell r="A7000">
            <v>2019</v>
          </cell>
          <cell r="B7000" t="str">
            <v>Actual</v>
          </cell>
          <cell r="C7000" t="str">
            <v>Jul</v>
          </cell>
          <cell r="D7000" t="str">
            <v>Kitchen</v>
          </cell>
          <cell r="E7000">
            <v>979951.25199999998</v>
          </cell>
          <cell r="F7000">
            <v>7</v>
          </cell>
        </row>
        <row r="7001">
          <cell r="A7001">
            <v>2019</v>
          </cell>
          <cell r="B7001" t="str">
            <v>Budget</v>
          </cell>
          <cell r="C7001" t="str">
            <v>Jul</v>
          </cell>
          <cell r="D7001" t="str">
            <v>Chairs</v>
          </cell>
          <cell r="E7001">
            <v>729227.576</v>
          </cell>
          <cell r="F7001">
            <v>7</v>
          </cell>
        </row>
        <row r="7002">
          <cell r="A7002">
            <v>2018</v>
          </cell>
          <cell r="B7002" t="str">
            <v>Actual</v>
          </cell>
          <cell r="C7002" t="str">
            <v>Jul</v>
          </cell>
          <cell r="D7002" t="str">
            <v>Chairs</v>
          </cell>
          <cell r="E7002">
            <v>289795.97499999998</v>
          </cell>
          <cell r="F7002">
            <v>7</v>
          </cell>
        </row>
        <row r="7003">
          <cell r="A7003">
            <v>2019</v>
          </cell>
          <cell r="B7003" t="str">
            <v>Budget</v>
          </cell>
          <cell r="C7003" t="str">
            <v>Jul</v>
          </cell>
          <cell r="D7003" t="str">
            <v>Chairs</v>
          </cell>
          <cell r="E7003">
            <v>108859.55499999999</v>
          </cell>
          <cell r="F7003">
            <v>7</v>
          </cell>
        </row>
        <row r="7004">
          <cell r="A7004">
            <v>2019</v>
          </cell>
          <cell r="B7004" t="str">
            <v>Actual</v>
          </cell>
          <cell r="C7004" t="str">
            <v>Jul</v>
          </cell>
          <cell r="D7004" t="str">
            <v>Chairs</v>
          </cell>
          <cell r="E7004">
            <v>149610.88799999998</v>
          </cell>
          <cell r="F7004">
            <v>7</v>
          </cell>
        </row>
        <row r="7005">
          <cell r="A7005">
            <v>2018</v>
          </cell>
          <cell r="B7005" t="str">
            <v>Budget</v>
          </cell>
          <cell r="C7005" t="str">
            <v>Jul</v>
          </cell>
          <cell r="D7005" t="str">
            <v>Chairs</v>
          </cell>
          <cell r="E7005">
            <v>84319.290999999997</v>
          </cell>
          <cell r="F7005">
            <v>7</v>
          </cell>
        </row>
        <row r="7006">
          <cell r="A7006">
            <v>2018</v>
          </cell>
          <cell r="B7006" t="str">
            <v>Actual</v>
          </cell>
          <cell r="C7006" t="str">
            <v>Jul</v>
          </cell>
          <cell r="D7006" t="str">
            <v>Tables</v>
          </cell>
          <cell r="E7006">
            <v>1743897.9040000001</v>
          </cell>
          <cell r="F7006">
            <v>7</v>
          </cell>
        </row>
        <row r="7007">
          <cell r="A7007">
            <v>2019</v>
          </cell>
          <cell r="B7007" t="str">
            <v>Budget</v>
          </cell>
          <cell r="C7007" t="str">
            <v>Jul</v>
          </cell>
          <cell r="D7007" t="str">
            <v>Kitchen</v>
          </cell>
          <cell r="E7007">
            <v>352956.03699999995</v>
          </cell>
          <cell r="F7007">
            <v>7</v>
          </cell>
        </row>
        <row r="7008">
          <cell r="A7008">
            <v>2018</v>
          </cell>
          <cell r="B7008" t="str">
            <v>Actual</v>
          </cell>
          <cell r="C7008" t="str">
            <v>Jul</v>
          </cell>
          <cell r="D7008" t="str">
            <v>Chairs</v>
          </cell>
          <cell r="E7008">
            <v>1152839.5549999999</v>
          </cell>
          <cell r="F7008">
            <v>7</v>
          </cell>
        </row>
        <row r="7009">
          <cell r="A7009">
            <v>2019</v>
          </cell>
          <cell r="B7009" t="str">
            <v>Budget</v>
          </cell>
          <cell r="C7009" t="str">
            <v>Jul</v>
          </cell>
          <cell r="D7009" t="str">
            <v>Chairs</v>
          </cell>
          <cell r="E7009">
            <v>711073.68499999994</v>
          </cell>
          <cell r="F7009">
            <v>7</v>
          </cell>
        </row>
        <row r="7010">
          <cell r="A7010">
            <v>2019</v>
          </cell>
          <cell r="B7010" t="str">
            <v>Actual</v>
          </cell>
          <cell r="C7010" t="str">
            <v>Jul</v>
          </cell>
          <cell r="D7010" t="str">
            <v>Chairs</v>
          </cell>
          <cell r="E7010">
            <v>4408158.4749999996</v>
          </cell>
          <cell r="F7010">
            <v>7</v>
          </cell>
        </row>
        <row r="7011">
          <cell r="A7011">
            <v>2019</v>
          </cell>
          <cell r="B7011" t="str">
            <v>Budget</v>
          </cell>
          <cell r="C7011" t="str">
            <v>Jul</v>
          </cell>
          <cell r="D7011" t="str">
            <v>Tables</v>
          </cell>
          <cell r="E7011">
            <v>199784.70399999997</v>
          </cell>
          <cell r="F7011">
            <v>7</v>
          </cell>
        </row>
        <row r="7012">
          <cell r="A7012">
            <v>2019</v>
          </cell>
          <cell r="B7012" t="str">
            <v>Actual</v>
          </cell>
          <cell r="C7012" t="str">
            <v>Jul</v>
          </cell>
          <cell r="D7012" t="str">
            <v>Kitchen</v>
          </cell>
          <cell r="E7012">
            <v>398610.68799999997</v>
          </cell>
          <cell r="F7012">
            <v>7</v>
          </cell>
        </row>
        <row r="7013">
          <cell r="A7013">
            <v>2019</v>
          </cell>
          <cell r="B7013" t="str">
            <v>Budget</v>
          </cell>
          <cell r="C7013" t="str">
            <v>Jul</v>
          </cell>
          <cell r="D7013" t="str">
            <v>Chairs</v>
          </cell>
          <cell r="E7013">
            <v>791449.34399999992</v>
          </cell>
          <cell r="F7013">
            <v>7</v>
          </cell>
        </row>
        <row r="7014">
          <cell r="A7014">
            <v>2018</v>
          </cell>
          <cell r="B7014" t="str">
            <v>Actual</v>
          </cell>
          <cell r="C7014" t="str">
            <v>Jul</v>
          </cell>
          <cell r="D7014" t="str">
            <v>Chairs</v>
          </cell>
          <cell r="E7014">
            <v>993776.89599999995</v>
          </cell>
          <cell r="F7014">
            <v>7</v>
          </cell>
        </row>
        <row r="7015">
          <cell r="A7015">
            <v>2019</v>
          </cell>
          <cell r="B7015" t="str">
            <v>Budget</v>
          </cell>
          <cell r="C7015" t="str">
            <v>Jul</v>
          </cell>
          <cell r="D7015" t="str">
            <v>Tables</v>
          </cell>
          <cell r="E7015">
            <v>72094.574999999997</v>
          </cell>
          <cell r="F7015">
            <v>7</v>
          </cell>
        </row>
        <row r="7016">
          <cell r="A7016">
            <v>2019</v>
          </cell>
          <cell r="B7016" t="str">
            <v>Actual</v>
          </cell>
          <cell r="C7016" t="str">
            <v>Jul</v>
          </cell>
          <cell r="D7016" t="str">
            <v>Kitchen</v>
          </cell>
          <cell r="E7016">
            <v>75568.093999999997</v>
          </cell>
          <cell r="F7016">
            <v>7</v>
          </cell>
        </row>
        <row r="7017">
          <cell r="A7017">
            <v>2019</v>
          </cell>
          <cell r="B7017" t="str">
            <v>Budget</v>
          </cell>
          <cell r="C7017" t="str">
            <v>Jul</v>
          </cell>
          <cell r="D7017" t="str">
            <v>Chairs</v>
          </cell>
          <cell r="E7017">
            <v>7947.2119999999995</v>
          </cell>
          <cell r="F7017">
            <v>7</v>
          </cell>
        </row>
        <row r="7018">
          <cell r="A7018">
            <v>2018</v>
          </cell>
          <cell r="B7018" t="str">
            <v>Actual</v>
          </cell>
          <cell r="C7018" t="str">
            <v>Jul</v>
          </cell>
          <cell r="D7018" t="str">
            <v>Chairs</v>
          </cell>
          <cell r="E7018">
            <v>107571.45</v>
          </cell>
          <cell r="F7018">
            <v>7</v>
          </cell>
        </row>
        <row r="7019">
          <cell r="A7019">
            <v>2019</v>
          </cell>
          <cell r="B7019" t="str">
            <v>Budget</v>
          </cell>
          <cell r="C7019" t="str">
            <v>Jul</v>
          </cell>
          <cell r="D7019" t="str">
            <v>Chairs</v>
          </cell>
          <cell r="E7019">
            <v>105650.97899999999</v>
          </cell>
          <cell r="F7019">
            <v>7</v>
          </cell>
        </row>
        <row r="7020">
          <cell r="A7020">
            <v>2019</v>
          </cell>
          <cell r="B7020" t="str">
            <v>Actual</v>
          </cell>
          <cell r="C7020" t="str">
            <v>Jul</v>
          </cell>
          <cell r="D7020" t="str">
            <v>Tables</v>
          </cell>
          <cell r="E7020">
            <v>125501.45299999999</v>
          </cell>
          <cell r="F7020">
            <v>7</v>
          </cell>
        </row>
        <row r="7021">
          <cell r="A7021">
            <v>2019</v>
          </cell>
          <cell r="B7021" t="str">
            <v>Budget</v>
          </cell>
          <cell r="C7021" t="str">
            <v>Jul</v>
          </cell>
          <cell r="D7021" t="str">
            <v>Kitchen</v>
          </cell>
          <cell r="E7021">
            <v>260752.61799999999</v>
          </cell>
          <cell r="F7021">
            <v>7</v>
          </cell>
        </row>
        <row r="7022">
          <cell r="A7022">
            <v>2019</v>
          </cell>
          <cell r="B7022" t="str">
            <v>Actual</v>
          </cell>
          <cell r="C7022" t="str">
            <v>Jul</v>
          </cell>
          <cell r="D7022" t="str">
            <v>Accessories</v>
          </cell>
          <cell r="E7022">
            <v>206001.35500000001</v>
          </cell>
          <cell r="F7022">
            <v>7</v>
          </cell>
        </row>
        <row r="7023">
          <cell r="A7023">
            <v>2019</v>
          </cell>
          <cell r="B7023" t="str">
            <v>Budget</v>
          </cell>
          <cell r="C7023" t="str">
            <v>Jul</v>
          </cell>
          <cell r="D7023" t="str">
            <v>Chairs</v>
          </cell>
          <cell r="E7023">
            <v>40969.11</v>
          </cell>
          <cell r="F7023">
            <v>7</v>
          </cell>
        </row>
        <row r="7024">
          <cell r="A7024">
            <v>2018</v>
          </cell>
          <cell r="B7024" t="str">
            <v>Actual</v>
          </cell>
          <cell r="C7024" t="str">
            <v>Jul</v>
          </cell>
          <cell r="D7024" t="str">
            <v>Tables</v>
          </cell>
          <cell r="E7024">
            <v>349060.16599999997</v>
          </cell>
          <cell r="F7024">
            <v>7</v>
          </cell>
        </row>
        <row r="7025">
          <cell r="A7025">
            <v>2018</v>
          </cell>
          <cell r="B7025" t="str">
            <v>Budget</v>
          </cell>
          <cell r="C7025" t="str">
            <v>Jul</v>
          </cell>
          <cell r="D7025" t="str">
            <v>Kitchen</v>
          </cell>
          <cell r="E7025">
            <v>166098.53399999999</v>
          </cell>
          <cell r="F7025">
            <v>7</v>
          </cell>
        </row>
        <row r="7026">
          <cell r="A7026">
            <v>2019</v>
          </cell>
          <cell r="B7026" t="str">
            <v>Actual</v>
          </cell>
          <cell r="C7026" t="str">
            <v>Jul</v>
          </cell>
          <cell r="D7026" t="str">
            <v>Accessories</v>
          </cell>
          <cell r="E7026">
            <v>142735.98499999999</v>
          </cell>
          <cell r="F7026">
            <v>7</v>
          </cell>
        </row>
        <row r="7027">
          <cell r="A7027">
            <v>2018</v>
          </cell>
          <cell r="B7027" t="str">
            <v>Budget</v>
          </cell>
          <cell r="C7027" t="str">
            <v>Jul</v>
          </cell>
          <cell r="D7027" t="str">
            <v>Chairs</v>
          </cell>
          <cell r="E7027">
            <v>219146.71799999999</v>
          </cell>
          <cell r="F7027">
            <v>7</v>
          </cell>
        </row>
        <row r="7028">
          <cell r="A7028">
            <v>2018</v>
          </cell>
          <cell r="B7028" t="str">
            <v>Actual</v>
          </cell>
          <cell r="C7028" t="str">
            <v>Jul</v>
          </cell>
          <cell r="D7028" t="str">
            <v>Tables</v>
          </cell>
          <cell r="E7028">
            <v>2159.136</v>
          </cell>
          <cell r="F7028">
            <v>7</v>
          </cell>
        </row>
        <row r="7029">
          <cell r="A7029">
            <v>2018</v>
          </cell>
          <cell r="B7029" t="str">
            <v>Budget</v>
          </cell>
          <cell r="C7029" t="str">
            <v>Jul</v>
          </cell>
          <cell r="D7029" t="str">
            <v>Kitchen</v>
          </cell>
          <cell r="E7029">
            <v>8951.7819999999992</v>
          </cell>
          <cell r="F7029">
            <v>7</v>
          </cell>
        </row>
        <row r="7030">
          <cell r="A7030">
            <v>2018</v>
          </cell>
          <cell r="B7030" t="str">
            <v>Actual</v>
          </cell>
          <cell r="C7030" t="str">
            <v>Jul</v>
          </cell>
          <cell r="D7030" t="str">
            <v>Accessories</v>
          </cell>
          <cell r="E7030">
            <v>61169.457999999999</v>
          </cell>
          <cell r="F7030">
            <v>7</v>
          </cell>
        </row>
        <row r="7031">
          <cell r="A7031">
            <v>2019</v>
          </cell>
          <cell r="B7031" t="str">
            <v>Budget</v>
          </cell>
          <cell r="C7031" t="str">
            <v>Jul</v>
          </cell>
          <cell r="D7031" t="str">
            <v>Chairs</v>
          </cell>
          <cell r="E7031">
            <v>51372.068999999996</v>
          </cell>
          <cell r="F7031">
            <v>7</v>
          </cell>
        </row>
        <row r="7032">
          <cell r="A7032">
            <v>2018</v>
          </cell>
          <cell r="B7032" t="str">
            <v>Actual</v>
          </cell>
          <cell r="C7032" t="str">
            <v>Jul</v>
          </cell>
          <cell r="D7032" t="str">
            <v>Tables</v>
          </cell>
          <cell r="E7032">
            <v>74295.710999999996</v>
          </cell>
          <cell r="F7032">
            <v>7</v>
          </cell>
        </row>
        <row r="7033">
          <cell r="A7033">
            <v>2018</v>
          </cell>
          <cell r="B7033" t="str">
            <v>Budget</v>
          </cell>
          <cell r="C7033" t="str">
            <v>Jul</v>
          </cell>
          <cell r="D7033" t="str">
            <v>Kitchen</v>
          </cell>
          <cell r="E7033">
            <v>3420.6969999999997</v>
          </cell>
          <cell r="F7033">
            <v>7</v>
          </cell>
        </row>
        <row r="7034">
          <cell r="A7034">
            <v>2019</v>
          </cell>
          <cell r="B7034" t="str">
            <v>Actual</v>
          </cell>
          <cell r="C7034" t="str">
            <v>Jul</v>
          </cell>
          <cell r="D7034" t="str">
            <v>Accessories</v>
          </cell>
          <cell r="E7034">
            <v>15082.556999999997</v>
          </cell>
          <cell r="F7034">
            <v>7</v>
          </cell>
        </row>
        <row r="7035">
          <cell r="A7035">
            <v>2018</v>
          </cell>
          <cell r="B7035" t="str">
            <v>Budget</v>
          </cell>
          <cell r="C7035" t="str">
            <v>Jul</v>
          </cell>
          <cell r="D7035" t="str">
            <v>Chairs</v>
          </cell>
          <cell r="E7035">
            <v>54089.083999999995</v>
          </cell>
          <cell r="F7035">
            <v>7</v>
          </cell>
        </row>
        <row r="7036">
          <cell r="A7036">
            <v>2018</v>
          </cell>
          <cell r="B7036" t="str">
            <v>Actual</v>
          </cell>
          <cell r="C7036" t="str">
            <v>Jul</v>
          </cell>
          <cell r="D7036" t="str">
            <v>Chairs</v>
          </cell>
          <cell r="E7036">
            <v>4786.2219999999998</v>
          </cell>
          <cell r="F7036">
            <v>7</v>
          </cell>
        </row>
        <row r="7037">
          <cell r="A7037">
            <v>2018</v>
          </cell>
          <cell r="B7037" t="str">
            <v>Budget</v>
          </cell>
          <cell r="C7037" t="str">
            <v>Jul</v>
          </cell>
          <cell r="D7037" t="str">
            <v>Tables</v>
          </cell>
          <cell r="E7037">
            <v>184026.43</v>
          </cell>
          <cell r="F7037">
            <v>7</v>
          </cell>
        </row>
        <row r="7038">
          <cell r="A7038">
            <v>2018</v>
          </cell>
          <cell r="B7038" t="str">
            <v>Actual</v>
          </cell>
          <cell r="C7038" t="str">
            <v>Jul</v>
          </cell>
          <cell r="D7038" t="str">
            <v>Kitchen</v>
          </cell>
          <cell r="E7038">
            <v>815834.03999999992</v>
          </cell>
          <cell r="F7038">
            <v>7</v>
          </cell>
        </row>
        <row r="7039">
          <cell r="A7039">
            <v>2019</v>
          </cell>
          <cell r="B7039" t="str">
            <v>Budget</v>
          </cell>
          <cell r="C7039" t="str">
            <v>Jul</v>
          </cell>
          <cell r="D7039" t="str">
            <v>Chairs</v>
          </cell>
          <cell r="E7039">
            <v>126503.27199999998</v>
          </cell>
          <cell r="F7039">
            <v>7</v>
          </cell>
        </row>
        <row r="7040">
          <cell r="A7040">
            <v>2019</v>
          </cell>
          <cell r="B7040" t="str">
            <v>Actual</v>
          </cell>
          <cell r="C7040" t="str">
            <v>Jul</v>
          </cell>
          <cell r="D7040" t="str">
            <v>Tables</v>
          </cell>
          <cell r="E7040">
            <v>55205.864000000001</v>
          </cell>
          <cell r="F7040">
            <v>7</v>
          </cell>
        </row>
        <row r="7041">
          <cell r="A7041">
            <v>2018</v>
          </cell>
          <cell r="B7041" t="str">
            <v>Budget</v>
          </cell>
          <cell r="C7041" t="str">
            <v>Jul</v>
          </cell>
          <cell r="D7041" t="str">
            <v>Kitchen</v>
          </cell>
          <cell r="E7041">
            <v>223580.448</v>
          </cell>
          <cell r="F7041">
            <v>7</v>
          </cell>
        </row>
        <row r="7042">
          <cell r="A7042">
            <v>2018</v>
          </cell>
          <cell r="B7042" t="str">
            <v>Actual</v>
          </cell>
          <cell r="C7042" t="str">
            <v>Jul</v>
          </cell>
          <cell r="D7042" t="str">
            <v>Chairs</v>
          </cell>
          <cell r="E7042">
            <v>127807.86900000001</v>
          </cell>
          <cell r="F7042">
            <v>7</v>
          </cell>
        </row>
        <row r="7043">
          <cell r="A7043">
            <v>2018</v>
          </cell>
          <cell r="B7043" t="str">
            <v>Budget</v>
          </cell>
          <cell r="C7043" t="str">
            <v>Jul</v>
          </cell>
          <cell r="D7043" t="str">
            <v>Tables</v>
          </cell>
          <cell r="E7043">
            <v>247975.81199999998</v>
          </cell>
          <cell r="F7043">
            <v>7</v>
          </cell>
        </row>
        <row r="7044">
          <cell r="A7044">
            <v>2018</v>
          </cell>
          <cell r="B7044" t="str">
            <v>Actual</v>
          </cell>
          <cell r="C7044" t="str">
            <v>Jul</v>
          </cell>
          <cell r="D7044" t="str">
            <v>Kitchen</v>
          </cell>
          <cell r="E7044">
            <v>440894.03399999999</v>
          </cell>
          <cell r="F7044">
            <v>7</v>
          </cell>
        </row>
        <row r="7045">
          <cell r="A7045">
            <v>2018</v>
          </cell>
          <cell r="B7045" t="str">
            <v>Budget</v>
          </cell>
          <cell r="C7045" t="str">
            <v>Jul</v>
          </cell>
          <cell r="D7045" t="str">
            <v>Chairs</v>
          </cell>
          <cell r="E7045">
            <v>15058.483999999999</v>
          </cell>
          <cell r="F7045">
            <v>7</v>
          </cell>
        </row>
        <row r="7046">
          <cell r="A7046">
            <v>2019</v>
          </cell>
          <cell r="B7046" t="str">
            <v>Actual</v>
          </cell>
          <cell r="C7046" t="str">
            <v>Jul</v>
          </cell>
          <cell r="D7046" t="str">
            <v>Chairs</v>
          </cell>
          <cell r="E7046">
            <v>28823.732</v>
          </cell>
          <cell r="F7046">
            <v>7</v>
          </cell>
        </row>
        <row r="7047">
          <cell r="A7047">
            <v>2018</v>
          </cell>
          <cell r="B7047" t="str">
            <v>Budget</v>
          </cell>
          <cell r="C7047" t="str">
            <v>Jul</v>
          </cell>
          <cell r="D7047" t="str">
            <v>Chairs</v>
          </cell>
          <cell r="E7047">
            <v>375641.56</v>
          </cell>
          <cell r="F7047">
            <v>7</v>
          </cell>
        </row>
        <row r="7048">
          <cell r="A7048">
            <v>2019</v>
          </cell>
          <cell r="B7048" t="str">
            <v>Actual</v>
          </cell>
          <cell r="C7048" t="str">
            <v>Jul</v>
          </cell>
          <cell r="D7048" t="str">
            <v>Chairs</v>
          </cell>
          <cell r="E7048">
            <v>296366.20299999998</v>
          </cell>
          <cell r="F7048">
            <v>7</v>
          </cell>
        </row>
        <row r="7049">
          <cell r="A7049">
            <v>2019</v>
          </cell>
          <cell r="B7049" t="str">
            <v>Budget</v>
          </cell>
          <cell r="C7049" t="str">
            <v>Jul</v>
          </cell>
          <cell r="D7049" t="str">
            <v>Chairs</v>
          </cell>
          <cell r="E7049">
            <v>185113.446</v>
          </cell>
          <cell r="F7049">
            <v>7</v>
          </cell>
        </row>
        <row r="7050">
          <cell r="A7050">
            <v>2018</v>
          </cell>
          <cell r="B7050" t="str">
            <v>Actual</v>
          </cell>
          <cell r="C7050" t="str">
            <v>Jul</v>
          </cell>
          <cell r="D7050" t="str">
            <v>Chairs</v>
          </cell>
          <cell r="E7050">
            <v>168667.492</v>
          </cell>
          <cell r="F7050">
            <v>7</v>
          </cell>
        </row>
        <row r="7051">
          <cell r="A7051">
            <v>2018</v>
          </cell>
          <cell r="B7051" t="str">
            <v>Budget</v>
          </cell>
          <cell r="C7051" t="str">
            <v>Jul</v>
          </cell>
          <cell r="D7051" t="str">
            <v>Chairs</v>
          </cell>
          <cell r="E7051">
            <v>56871.268999999993</v>
          </cell>
          <cell r="F7051">
            <v>7</v>
          </cell>
        </row>
        <row r="7052">
          <cell r="A7052">
            <v>2018</v>
          </cell>
          <cell r="B7052" t="str">
            <v>Actual</v>
          </cell>
          <cell r="C7052" t="str">
            <v>Jul</v>
          </cell>
          <cell r="D7052" t="str">
            <v>Chairs</v>
          </cell>
          <cell r="E7052">
            <v>161124.58600000001</v>
          </cell>
          <cell r="F7052">
            <v>7</v>
          </cell>
        </row>
        <row r="7053">
          <cell r="A7053">
            <v>2018</v>
          </cell>
          <cell r="B7053" t="str">
            <v>Budget</v>
          </cell>
          <cell r="C7053" t="str">
            <v>Jul</v>
          </cell>
          <cell r="D7053" t="str">
            <v>Chairs</v>
          </cell>
          <cell r="E7053">
            <v>281484.86099999998</v>
          </cell>
          <cell r="F7053">
            <v>7</v>
          </cell>
        </row>
        <row r="7054">
          <cell r="A7054">
            <v>2018</v>
          </cell>
          <cell r="B7054" t="str">
            <v>Actual</v>
          </cell>
          <cell r="C7054" t="str">
            <v>Jul</v>
          </cell>
          <cell r="D7054" t="str">
            <v>Chairs</v>
          </cell>
          <cell r="E7054">
            <v>82588.974999999991</v>
          </cell>
          <cell r="F7054">
            <v>7</v>
          </cell>
        </row>
        <row r="7055">
          <cell r="A7055">
            <v>2018</v>
          </cell>
          <cell r="B7055" t="str">
            <v>Budget</v>
          </cell>
          <cell r="C7055" t="str">
            <v>Jul</v>
          </cell>
          <cell r="D7055" t="str">
            <v>Chairs</v>
          </cell>
          <cell r="E7055">
            <v>56678.705999999998</v>
          </cell>
          <cell r="F7055">
            <v>7</v>
          </cell>
        </row>
        <row r="7056">
          <cell r="A7056">
            <v>2018</v>
          </cell>
          <cell r="B7056" t="str">
            <v>Actual</v>
          </cell>
          <cell r="C7056" t="str">
            <v>Jul</v>
          </cell>
          <cell r="D7056" t="str">
            <v>Chairs</v>
          </cell>
          <cell r="E7056">
            <v>64279.270999999993</v>
          </cell>
          <cell r="F7056">
            <v>7</v>
          </cell>
        </row>
        <row r="7057">
          <cell r="A7057">
            <v>2019</v>
          </cell>
          <cell r="B7057" t="str">
            <v>Budget</v>
          </cell>
          <cell r="C7057" t="str">
            <v>Jul</v>
          </cell>
          <cell r="D7057" t="str">
            <v>Chairs</v>
          </cell>
          <cell r="E7057">
            <v>1661446.8639999998</v>
          </cell>
          <cell r="F7057">
            <v>7</v>
          </cell>
        </row>
        <row r="7058">
          <cell r="A7058">
            <v>2018</v>
          </cell>
          <cell r="B7058" t="str">
            <v>Actual</v>
          </cell>
          <cell r="C7058" t="str">
            <v>Jul</v>
          </cell>
          <cell r="D7058" t="str">
            <v>Chairs</v>
          </cell>
          <cell r="E7058">
            <v>674907.00899999996</v>
          </cell>
          <cell r="F7058">
            <v>7</v>
          </cell>
        </row>
        <row r="7059">
          <cell r="A7059">
            <v>2018</v>
          </cell>
          <cell r="B7059" t="str">
            <v>Budget</v>
          </cell>
          <cell r="C7059" t="str">
            <v>Jul</v>
          </cell>
          <cell r="D7059" t="str">
            <v>Chairs</v>
          </cell>
          <cell r="E7059">
            <v>408312.40799999994</v>
          </cell>
          <cell r="F7059">
            <v>7</v>
          </cell>
        </row>
        <row r="7060">
          <cell r="A7060">
            <v>2019</v>
          </cell>
          <cell r="B7060" t="str">
            <v>Actual</v>
          </cell>
          <cell r="C7060" t="str">
            <v>Jul</v>
          </cell>
          <cell r="D7060" t="str">
            <v>Chairs</v>
          </cell>
          <cell r="E7060">
            <v>826703.47899999993</v>
          </cell>
          <cell r="F7060">
            <v>7</v>
          </cell>
        </row>
        <row r="7061">
          <cell r="A7061">
            <v>2018</v>
          </cell>
          <cell r="B7061" t="str">
            <v>Budget</v>
          </cell>
          <cell r="C7061" t="str">
            <v>Jul</v>
          </cell>
          <cell r="D7061" t="str">
            <v>Chairs</v>
          </cell>
          <cell r="E7061">
            <v>26313.468999999997</v>
          </cell>
          <cell r="F7061">
            <v>7</v>
          </cell>
        </row>
        <row r="7062">
          <cell r="A7062">
            <v>2019</v>
          </cell>
          <cell r="B7062" t="str">
            <v>Actual</v>
          </cell>
          <cell r="C7062" t="str">
            <v>Jul</v>
          </cell>
          <cell r="D7062" t="str">
            <v>Chairs</v>
          </cell>
          <cell r="E7062">
            <v>256233.42499999999</v>
          </cell>
          <cell r="F7062">
            <v>7</v>
          </cell>
        </row>
        <row r="7063">
          <cell r="A7063">
            <v>2019</v>
          </cell>
          <cell r="B7063" t="str">
            <v>Budget</v>
          </cell>
          <cell r="C7063" t="str">
            <v>Jul</v>
          </cell>
          <cell r="D7063" t="str">
            <v>Chairs</v>
          </cell>
          <cell r="E7063">
            <v>136315.99100000001</v>
          </cell>
          <cell r="F7063">
            <v>7</v>
          </cell>
        </row>
        <row r="7064">
          <cell r="A7064">
            <v>2018</v>
          </cell>
          <cell r="B7064" t="str">
            <v>Actual</v>
          </cell>
          <cell r="C7064" t="str">
            <v>Jul</v>
          </cell>
          <cell r="D7064" t="str">
            <v>Chairs</v>
          </cell>
          <cell r="E7064">
            <v>274297.24699999997</v>
          </cell>
          <cell r="F7064">
            <v>7</v>
          </cell>
        </row>
        <row r="7065">
          <cell r="A7065">
            <v>2019</v>
          </cell>
          <cell r="B7065" t="str">
            <v>Budget</v>
          </cell>
          <cell r="C7065" t="str">
            <v>Jul</v>
          </cell>
          <cell r="D7065" t="str">
            <v>Chairs</v>
          </cell>
          <cell r="E7065">
            <v>61600.497000000003</v>
          </cell>
          <cell r="F7065">
            <v>7</v>
          </cell>
        </row>
        <row r="7066">
          <cell r="A7066">
            <v>2019</v>
          </cell>
          <cell r="B7066" t="str">
            <v>Actual</v>
          </cell>
          <cell r="C7066" t="str">
            <v>Jul</v>
          </cell>
          <cell r="D7066" t="str">
            <v>Chairs</v>
          </cell>
          <cell r="E7066">
            <v>60854.177999999993</v>
          </cell>
          <cell r="F7066">
            <v>7</v>
          </cell>
        </row>
        <row r="7067">
          <cell r="A7067">
            <v>2018</v>
          </cell>
          <cell r="B7067" t="str">
            <v>Budget</v>
          </cell>
          <cell r="C7067" t="str">
            <v>Jul</v>
          </cell>
          <cell r="D7067" t="str">
            <v>Chairs</v>
          </cell>
          <cell r="E7067">
            <v>51949.093000000001</v>
          </cell>
          <cell r="F7067">
            <v>7</v>
          </cell>
        </row>
        <row r="7068">
          <cell r="A7068">
            <v>2018</v>
          </cell>
          <cell r="B7068" t="str">
            <v>Actual</v>
          </cell>
          <cell r="C7068" t="str">
            <v>Jul</v>
          </cell>
          <cell r="D7068" t="str">
            <v>Chairs</v>
          </cell>
          <cell r="E7068">
            <v>54109.313999999998</v>
          </cell>
          <cell r="F7068">
            <v>7</v>
          </cell>
        </row>
        <row r="7069">
          <cell r="A7069">
            <v>2018</v>
          </cell>
          <cell r="B7069" t="str">
            <v>Budget</v>
          </cell>
          <cell r="C7069" t="str">
            <v>Jul</v>
          </cell>
          <cell r="D7069" t="str">
            <v>Chairs</v>
          </cell>
          <cell r="E7069">
            <v>40561.401999999995</v>
          </cell>
          <cell r="F7069">
            <v>7</v>
          </cell>
        </row>
        <row r="7070">
          <cell r="A7070">
            <v>2018</v>
          </cell>
          <cell r="B7070" t="str">
            <v>Actual</v>
          </cell>
          <cell r="C7070" t="str">
            <v>Jul</v>
          </cell>
          <cell r="D7070" t="str">
            <v>Chairs</v>
          </cell>
          <cell r="E7070">
            <v>36410.828999999998</v>
          </cell>
          <cell r="F7070">
            <v>7</v>
          </cell>
        </row>
        <row r="7071">
          <cell r="A7071">
            <v>2019</v>
          </cell>
          <cell r="B7071" t="str">
            <v>Budget</v>
          </cell>
          <cell r="C7071" t="str">
            <v>Jul</v>
          </cell>
          <cell r="D7071" t="str">
            <v>Tables</v>
          </cell>
          <cell r="E7071">
            <v>61413.883999999991</v>
          </cell>
          <cell r="F7071">
            <v>7</v>
          </cell>
        </row>
        <row r="7072">
          <cell r="A7072">
            <v>2019</v>
          </cell>
          <cell r="B7072" t="str">
            <v>Actual</v>
          </cell>
          <cell r="C7072" t="str">
            <v>Jul</v>
          </cell>
          <cell r="D7072" t="str">
            <v>Kitchen</v>
          </cell>
          <cell r="E7072">
            <v>306263.11799999996</v>
          </cell>
          <cell r="F7072">
            <v>7</v>
          </cell>
        </row>
        <row r="7073">
          <cell r="A7073">
            <v>2018</v>
          </cell>
          <cell r="B7073" t="str">
            <v>Budget</v>
          </cell>
          <cell r="C7073" t="str">
            <v>Jul</v>
          </cell>
          <cell r="D7073" t="str">
            <v>Chairs</v>
          </cell>
          <cell r="E7073">
            <v>450608.13</v>
          </cell>
          <cell r="F7073">
            <v>7</v>
          </cell>
        </row>
        <row r="7074">
          <cell r="A7074">
            <v>2018</v>
          </cell>
          <cell r="B7074" t="str">
            <v>Actual</v>
          </cell>
          <cell r="C7074" t="str">
            <v>Jul</v>
          </cell>
          <cell r="D7074" t="str">
            <v>Chairs</v>
          </cell>
          <cell r="E7074">
            <v>728330.16200000001</v>
          </cell>
          <cell r="F7074">
            <v>7</v>
          </cell>
        </row>
        <row r="7075">
          <cell r="A7075">
            <v>2019</v>
          </cell>
          <cell r="B7075" t="str">
            <v>Budget</v>
          </cell>
          <cell r="C7075" t="str">
            <v>Jul</v>
          </cell>
          <cell r="D7075" t="str">
            <v>Chairs</v>
          </cell>
          <cell r="E7075">
            <v>1441067.2359999998</v>
          </cell>
          <cell r="F7075">
            <v>7</v>
          </cell>
        </row>
        <row r="7076">
          <cell r="A7076">
            <v>2019</v>
          </cell>
          <cell r="B7076" t="str">
            <v>Actual</v>
          </cell>
          <cell r="C7076" t="str">
            <v>Jul</v>
          </cell>
          <cell r="D7076" t="str">
            <v>Chairs</v>
          </cell>
          <cell r="E7076">
            <v>340791.696</v>
          </cell>
          <cell r="F7076">
            <v>7</v>
          </cell>
        </row>
        <row r="7077">
          <cell r="A7077">
            <v>2019</v>
          </cell>
          <cell r="B7077" t="str">
            <v>Budget</v>
          </cell>
          <cell r="C7077" t="str">
            <v>Jul</v>
          </cell>
          <cell r="D7077" t="str">
            <v>Chairs</v>
          </cell>
          <cell r="E7077">
            <v>147501.361</v>
          </cell>
          <cell r="F7077">
            <v>7</v>
          </cell>
        </row>
        <row r="7078">
          <cell r="A7078">
            <v>2018</v>
          </cell>
          <cell r="B7078" t="str">
            <v>Actual</v>
          </cell>
          <cell r="C7078" t="str">
            <v>Jul</v>
          </cell>
          <cell r="D7078" t="str">
            <v>Tables</v>
          </cell>
          <cell r="E7078">
            <v>149277.345</v>
          </cell>
          <cell r="F7078">
            <v>7</v>
          </cell>
        </row>
        <row r="7079">
          <cell r="A7079">
            <v>2019</v>
          </cell>
          <cell r="B7079" t="str">
            <v>Budget</v>
          </cell>
          <cell r="C7079" t="str">
            <v>Jul</v>
          </cell>
          <cell r="D7079" t="str">
            <v>Kitchen</v>
          </cell>
          <cell r="E7079">
            <v>201917.56199999998</v>
          </cell>
          <cell r="F7079">
            <v>7</v>
          </cell>
        </row>
        <row r="7080">
          <cell r="A7080">
            <v>2018</v>
          </cell>
          <cell r="B7080" t="str">
            <v>Actual</v>
          </cell>
          <cell r="C7080" t="str">
            <v>Jul</v>
          </cell>
          <cell r="D7080" t="str">
            <v>Chairs</v>
          </cell>
          <cell r="E7080">
            <v>25057.787999999997</v>
          </cell>
          <cell r="F7080">
            <v>7</v>
          </cell>
        </row>
        <row r="7081">
          <cell r="A7081">
            <v>2019</v>
          </cell>
          <cell r="B7081" t="str">
            <v>Budget</v>
          </cell>
          <cell r="C7081" t="str">
            <v>Jul</v>
          </cell>
          <cell r="D7081" t="str">
            <v>Chairs</v>
          </cell>
          <cell r="E7081">
            <v>47237.743000000002</v>
          </cell>
          <cell r="F7081">
            <v>7</v>
          </cell>
        </row>
        <row r="7082">
          <cell r="A7082">
            <v>2018</v>
          </cell>
          <cell r="B7082" t="str">
            <v>Actual</v>
          </cell>
          <cell r="C7082" t="str">
            <v>Jul</v>
          </cell>
          <cell r="D7082" t="str">
            <v>Chairs</v>
          </cell>
          <cell r="E7082">
            <v>208542.726</v>
          </cell>
          <cell r="F7082">
            <v>7</v>
          </cell>
        </row>
        <row r="7083">
          <cell r="A7083">
            <v>2018</v>
          </cell>
          <cell r="B7083" t="str">
            <v>Budget</v>
          </cell>
          <cell r="C7083" t="str">
            <v>Jul</v>
          </cell>
          <cell r="D7083" t="str">
            <v>Tables</v>
          </cell>
          <cell r="E7083">
            <v>687780.12800000003</v>
          </cell>
          <cell r="F7083">
            <v>7</v>
          </cell>
        </row>
        <row r="7084">
          <cell r="A7084">
            <v>2019</v>
          </cell>
          <cell r="B7084" t="str">
            <v>Actual</v>
          </cell>
          <cell r="C7084" t="str">
            <v>Jul</v>
          </cell>
          <cell r="D7084" t="str">
            <v>Kitchen</v>
          </cell>
          <cell r="E7084">
            <v>216841.56199999998</v>
          </cell>
          <cell r="F7084">
            <v>7</v>
          </cell>
        </row>
        <row r="7085">
          <cell r="A7085">
            <v>2019</v>
          </cell>
          <cell r="B7085" t="str">
            <v>Budget</v>
          </cell>
          <cell r="C7085" t="str">
            <v>Jul</v>
          </cell>
          <cell r="D7085" t="str">
            <v>Chairs</v>
          </cell>
          <cell r="E7085">
            <v>333301.32499999995</v>
          </cell>
          <cell r="F7085">
            <v>7</v>
          </cell>
        </row>
        <row r="7086">
          <cell r="A7086">
            <v>2018</v>
          </cell>
          <cell r="B7086" t="str">
            <v>Actual</v>
          </cell>
          <cell r="C7086" t="str">
            <v>Jul</v>
          </cell>
          <cell r="D7086" t="str">
            <v>Chairs</v>
          </cell>
          <cell r="E7086">
            <v>40406.856</v>
          </cell>
          <cell r="F7086">
            <v>7</v>
          </cell>
        </row>
        <row r="7087">
          <cell r="A7087">
            <v>2018</v>
          </cell>
          <cell r="B7087" t="str">
            <v>Budget</v>
          </cell>
          <cell r="C7087" t="str">
            <v>Jul</v>
          </cell>
          <cell r="D7087" t="str">
            <v>Tables</v>
          </cell>
          <cell r="E7087">
            <v>9547040.152999999</v>
          </cell>
          <cell r="F7087">
            <v>7</v>
          </cell>
        </row>
        <row r="7088">
          <cell r="A7088">
            <v>2018</v>
          </cell>
          <cell r="B7088" t="str">
            <v>Actual</v>
          </cell>
          <cell r="C7088" t="str">
            <v>Jul</v>
          </cell>
          <cell r="D7088" t="str">
            <v>Kitchen</v>
          </cell>
          <cell r="E7088">
            <v>172693.283</v>
          </cell>
          <cell r="F7088">
            <v>7</v>
          </cell>
        </row>
        <row r="7089">
          <cell r="A7089">
            <v>2018</v>
          </cell>
          <cell r="B7089" t="str">
            <v>Budget</v>
          </cell>
          <cell r="C7089" t="str">
            <v>Jul</v>
          </cell>
          <cell r="D7089" t="str">
            <v>Chairs</v>
          </cell>
          <cell r="E7089">
            <v>174538.658</v>
          </cell>
          <cell r="F7089">
            <v>7</v>
          </cell>
        </row>
        <row r="7090">
          <cell r="A7090">
            <v>2019</v>
          </cell>
          <cell r="B7090" t="str">
            <v>Actual</v>
          </cell>
          <cell r="C7090" t="str">
            <v>Jul</v>
          </cell>
          <cell r="D7090" t="str">
            <v>Chairs</v>
          </cell>
          <cell r="E7090">
            <v>251033.06899999996</v>
          </cell>
          <cell r="F7090">
            <v>7</v>
          </cell>
        </row>
        <row r="7091">
          <cell r="A7091">
            <v>2019</v>
          </cell>
          <cell r="B7091" t="str">
            <v>Budget</v>
          </cell>
          <cell r="C7091" t="str">
            <v>Jul</v>
          </cell>
          <cell r="D7091" t="str">
            <v>Chairs</v>
          </cell>
          <cell r="E7091">
            <v>438874.38</v>
          </cell>
          <cell r="F7091">
            <v>7</v>
          </cell>
        </row>
        <row r="7092">
          <cell r="A7092">
            <v>2019</v>
          </cell>
          <cell r="B7092" t="str">
            <v>Actual</v>
          </cell>
          <cell r="C7092" t="str">
            <v>Jul</v>
          </cell>
          <cell r="D7092" t="str">
            <v>Tables</v>
          </cell>
          <cell r="E7092">
            <v>2096.6329999999998</v>
          </cell>
          <cell r="F7092">
            <v>7</v>
          </cell>
        </row>
        <row r="7093">
          <cell r="A7093">
            <v>2019</v>
          </cell>
          <cell r="B7093" t="str">
            <v>Budget</v>
          </cell>
          <cell r="C7093" t="str">
            <v>Jul</v>
          </cell>
          <cell r="D7093" t="str">
            <v>Kitchen</v>
          </cell>
          <cell r="E7093">
            <v>4489263.0789999999</v>
          </cell>
          <cell r="F7093">
            <v>7</v>
          </cell>
        </row>
        <row r="7094">
          <cell r="A7094">
            <v>2019</v>
          </cell>
          <cell r="B7094" t="str">
            <v>Actual</v>
          </cell>
          <cell r="C7094" t="str">
            <v>Jul</v>
          </cell>
          <cell r="D7094" t="str">
            <v>Accessories</v>
          </cell>
          <cell r="E7094">
            <v>226090.508</v>
          </cell>
          <cell r="F7094">
            <v>7</v>
          </cell>
        </row>
        <row r="7095">
          <cell r="A7095">
            <v>2019</v>
          </cell>
          <cell r="B7095" t="str">
            <v>Budget</v>
          </cell>
          <cell r="C7095" t="str">
            <v>Jul</v>
          </cell>
          <cell r="D7095" t="str">
            <v>Chairs</v>
          </cell>
          <cell r="E7095">
            <v>50934.135000000002</v>
          </cell>
          <cell r="F7095">
            <v>7</v>
          </cell>
        </row>
        <row r="7096">
          <cell r="A7096">
            <v>2018</v>
          </cell>
          <cell r="B7096" t="str">
            <v>Actual</v>
          </cell>
          <cell r="C7096" t="str">
            <v>Jul</v>
          </cell>
          <cell r="D7096" t="str">
            <v>Tables</v>
          </cell>
          <cell r="E7096">
            <v>689794.35699999996</v>
          </cell>
          <cell r="F7096">
            <v>7</v>
          </cell>
        </row>
        <row r="7097">
          <cell r="A7097">
            <v>2019</v>
          </cell>
          <cell r="B7097" t="str">
            <v>Budget</v>
          </cell>
          <cell r="C7097" t="str">
            <v>Jul</v>
          </cell>
          <cell r="D7097" t="str">
            <v>Kitchen</v>
          </cell>
          <cell r="E7097">
            <v>6102154.2470000004</v>
          </cell>
          <cell r="F7097">
            <v>7</v>
          </cell>
        </row>
        <row r="7098">
          <cell r="A7098">
            <v>2019</v>
          </cell>
          <cell r="B7098" t="str">
            <v>Actual</v>
          </cell>
          <cell r="C7098" t="str">
            <v>Jul</v>
          </cell>
          <cell r="D7098" t="str">
            <v>Accessories</v>
          </cell>
          <cell r="E7098">
            <v>147354.30499999999</v>
          </cell>
          <cell r="F7098">
            <v>7</v>
          </cell>
        </row>
        <row r="7099">
          <cell r="A7099">
            <v>2018</v>
          </cell>
          <cell r="B7099" t="str">
            <v>Budget</v>
          </cell>
          <cell r="C7099" t="str">
            <v>Jul</v>
          </cell>
          <cell r="D7099" t="str">
            <v>Chairs</v>
          </cell>
          <cell r="E7099">
            <v>662241.30699999991</v>
          </cell>
          <cell r="F7099">
            <v>7</v>
          </cell>
        </row>
        <row r="7100">
          <cell r="A7100">
            <v>2019</v>
          </cell>
          <cell r="B7100" t="str">
            <v>Actual</v>
          </cell>
          <cell r="C7100" t="str">
            <v>Jul</v>
          </cell>
          <cell r="D7100" t="str">
            <v>Tables</v>
          </cell>
          <cell r="E7100">
            <v>408135.48999999993</v>
          </cell>
          <cell r="F7100">
            <v>7</v>
          </cell>
        </row>
        <row r="7101">
          <cell r="A7101">
            <v>2018</v>
          </cell>
          <cell r="B7101" t="str">
            <v>Budget</v>
          </cell>
          <cell r="C7101" t="str">
            <v>Jul</v>
          </cell>
          <cell r="D7101" t="str">
            <v>Kitchen</v>
          </cell>
          <cell r="E7101">
            <v>479532.01099999994</v>
          </cell>
          <cell r="F7101">
            <v>7</v>
          </cell>
        </row>
        <row r="7102">
          <cell r="A7102">
            <v>2019</v>
          </cell>
          <cell r="B7102" t="str">
            <v>Actual</v>
          </cell>
          <cell r="C7102" t="str">
            <v>Jul</v>
          </cell>
          <cell r="D7102" t="str">
            <v>Accessories</v>
          </cell>
          <cell r="E7102">
            <v>442609.3</v>
          </cell>
          <cell r="F7102">
            <v>7</v>
          </cell>
        </row>
        <row r="7103">
          <cell r="A7103">
            <v>2018</v>
          </cell>
          <cell r="B7103" t="str">
            <v>Budget</v>
          </cell>
          <cell r="C7103" t="str">
            <v>Jul</v>
          </cell>
          <cell r="D7103" t="str">
            <v>Chairs</v>
          </cell>
          <cell r="E7103">
            <v>298359.50199999998</v>
          </cell>
          <cell r="F7103">
            <v>7</v>
          </cell>
        </row>
        <row r="7104">
          <cell r="A7104">
            <v>2018</v>
          </cell>
          <cell r="B7104" t="str">
            <v>Actual</v>
          </cell>
          <cell r="C7104" t="str">
            <v>Jul</v>
          </cell>
          <cell r="D7104" t="str">
            <v>Tables</v>
          </cell>
          <cell r="E7104">
            <v>703285.16299999994</v>
          </cell>
          <cell r="F7104">
            <v>7</v>
          </cell>
        </row>
        <row r="7105">
          <cell r="A7105">
            <v>2019</v>
          </cell>
          <cell r="B7105" t="str">
            <v>Budget</v>
          </cell>
          <cell r="C7105" t="str">
            <v>Jul</v>
          </cell>
          <cell r="D7105" t="str">
            <v>Kitchen</v>
          </cell>
          <cell r="E7105">
            <v>1617445.872</v>
          </cell>
          <cell r="F7105">
            <v>7</v>
          </cell>
        </row>
        <row r="7106">
          <cell r="A7106">
            <v>2019</v>
          </cell>
          <cell r="B7106" t="str">
            <v>Actual</v>
          </cell>
          <cell r="C7106" t="str">
            <v>Jul</v>
          </cell>
          <cell r="D7106" t="str">
            <v>Accessories</v>
          </cell>
          <cell r="E7106">
            <v>2640367.5619999999</v>
          </cell>
          <cell r="F7106">
            <v>7</v>
          </cell>
        </row>
        <row r="7107">
          <cell r="A7107">
            <v>2018</v>
          </cell>
          <cell r="B7107" t="str">
            <v>Budget</v>
          </cell>
          <cell r="C7107" t="str">
            <v>Jul</v>
          </cell>
          <cell r="D7107" t="str">
            <v>Chairs</v>
          </cell>
          <cell r="E7107">
            <v>340961.02599999995</v>
          </cell>
          <cell r="F7107">
            <v>7</v>
          </cell>
        </row>
        <row r="7108">
          <cell r="A7108">
            <v>2019</v>
          </cell>
          <cell r="B7108" t="str">
            <v>Actual</v>
          </cell>
          <cell r="C7108" t="str">
            <v>Jul</v>
          </cell>
          <cell r="D7108" t="str">
            <v>Chairs</v>
          </cell>
          <cell r="E7108">
            <v>2147842.102</v>
          </cell>
          <cell r="F7108">
            <v>7</v>
          </cell>
        </row>
        <row r="7109">
          <cell r="A7109">
            <v>2019</v>
          </cell>
          <cell r="B7109" t="str">
            <v>Budget</v>
          </cell>
          <cell r="C7109" t="str">
            <v>Jul</v>
          </cell>
          <cell r="D7109" t="str">
            <v>Tables</v>
          </cell>
          <cell r="E7109">
            <v>15571.367</v>
          </cell>
          <cell r="F7109">
            <v>7</v>
          </cell>
        </row>
        <row r="7110">
          <cell r="A7110">
            <v>2019</v>
          </cell>
          <cell r="B7110" t="str">
            <v>Actual</v>
          </cell>
          <cell r="C7110" t="str">
            <v>Jul</v>
          </cell>
          <cell r="D7110" t="str">
            <v>Kitchen</v>
          </cell>
          <cell r="E7110">
            <v>1186990.875</v>
          </cell>
          <cell r="F7110">
            <v>7</v>
          </cell>
        </row>
        <row r="7111">
          <cell r="A7111">
            <v>2019</v>
          </cell>
          <cell r="B7111" t="str">
            <v>Budget</v>
          </cell>
          <cell r="C7111" t="str">
            <v>Jul</v>
          </cell>
          <cell r="D7111" t="str">
            <v>Chairs</v>
          </cell>
          <cell r="E7111">
            <v>1202753.9509999999</v>
          </cell>
          <cell r="F7111">
            <v>7</v>
          </cell>
        </row>
        <row r="7112">
          <cell r="A7112">
            <v>2019</v>
          </cell>
          <cell r="B7112" t="str">
            <v>Actual</v>
          </cell>
          <cell r="C7112" t="str">
            <v>Jul</v>
          </cell>
          <cell r="D7112" t="str">
            <v>Tables</v>
          </cell>
          <cell r="E7112">
            <v>261542.56099999996</v>
          </cell>
          <cell r="F7112">
            <v>7</v>
          </cell>
        </row>
        <row r="7113">
          <cell r="A7113">
            <v>2018</v>
          </cell>
          <cell r="B7113" t="str">
            <v>Budget</v>
          </cell>
          <cell r="C7113" t="str">
            <v>Jul</v>
          </cell>
          <cell r="D7113" t="str">
            <v>Kitchen</v>
          </cell>
          <cell r="E7113">
            <v>210740.52299999999</v>
          </cell>
          <cell r="F7113">
            <v>7</v>
          </cell>
        </row>
        <row r="7114">
          <cell r="A7114">
            <v>2018</v>
          </cell>
          <cell r="B7114" t="str">
            <v>Actual</v>
          </cell>
          <cell r="C7114" t="str">
            <v>Jul</v>
          </cell>
          <cell r="D7114" t="str">
            <v>Chairs</v>
          </cell>
          <cell r="E7114">
            <v>90726.306999999986</v>
          </cell>
          <cell r="F7114">
            <v>7</v>
          </cell>
        </row>
        <row r="7115">
          <cell r="A7115">
            <v>2019</v>
          </cell>
          <cell r="B7115" t="str">
            <v>Budget</v>
          </cell>
          <cell r="C7115" t="str">
            <v>Jul</v>
          </cell>
          <cell r="D7115" t="str">
            <v>Tables</v>
          </cell>
          <cell r="E7115">
            <v>120111.474</v>
          </cell>
          <cell r="F7115">
            <v>7</v>
          </cell>
        </row>
        <row r="7116">
          <cell r="A7116">
            <v>2019</v>
          </cell>
          <cell r="B7116" t="str">
            <v>Actual</v>
          </cell>
          <cell r="C7116" t="str">
            <v>Jul</v>
          </cell>
          <cell r="D7116" t="str">
            <v>Kitchen</v>
          </cell>
          <cell r="E7116">
            <v>95998.888999999981</v>
          </cell>
          <cell r="F7116">
            <v>7</v>
          </cell>
        </row>
        <row r="7117">
          <cell r="A7117">
            <v>2019</v>
          </cell>
          <cell r="B7117" t="str">
            <v>Budget</v>
          </cell>
          <cell r="C7117" t="str">
            <v>Jul</v>
          </cell>
          <cell r="D7117" t="str">
            <v>Chairs</v>
          </cell>
          <cell r="E7117">
            <v>2348657.0729999999</v>
          </cell>
          <cell r="F7117">
            <v>7</v>
          </cell>
        </row>
        <row r="7118">
          <cell r="A7118">
            <v>2018</v>
          </cell>
          <cell r="B7118" t="str">
            <v>Actual</v>
          </cell>
          <cell r="C7118" t="str">
            <v>Jul</v>
          </cell>
          <cell r="D7118" t="str">
            <v>Chairs</v>
          </cell>
          <cell r="E7118">
            <v>3289401.8360000001</v>
          </cell>
          <cell r="F7118">
            <v>7</v>
          </cell>
        </row>
        <row r="7119">
          <cell r="A7119">
            <v>2018</v>
          </cell>
          <cell r="B7119" t="str">
            <v>Budget</v>
          </cell>
          <cell r="C7119" t="str">
            <v>Jul</v>
          </cell>
          <cell r="D7119" t="str">
            <v>Chairs</v>
          </cell>
          <cell r="E7119">
            <v>491292.88599999994</v>
          </cell>
          <cell r="F7119">
            <v>7</v>
          </cell>
        </row>
        <row r="7120">
          <cell r="A7120">
            <v>2018</v>
          </cell>
          <cell r="B7120" t="str">
            <v>Actual</v>
          </cell>
          <cell r="C7120" t="str">
            <v>Jul</v>
          </cell>
          <cell r="D7120" t="str">
            <v>Chairs</v>
          </cell>
          <cell r="E7120">
            <v>733055.46299999999</v>
          </cell>
          <cell r="F7120">
            <v>7</v>
          </cell>
        </row>
        <row r="7121">
          <cell r="A7121">
            <v>2018</v>
          </cell>
          <cell r="B7121" t="str">
            <v>Budget</v>
          </cell>
          <cell r="C7121" t="str">
            <v>Jul</v>
          </cell>
          <cell r="D7121" t="str">
            <v>Chairs</v>
          </cell>
          <cell r="E7121">
            <v>3133134.3050000002</v>
          </cell>
          <cell r="F7121">
            <v>7</v>
          </cell>
        </row>
        <row r="7122">
          <cell r="A7122">
            <v>2018</v>
          </cell>
          <cell r="B7122" t="str">
            <v>Actual</v>
          </cell>
          <cell r="C7122" t="str">
            <v>Jul</v>
          </cell>
          <cell r="D7122" t="str">
            <v>Chairs</v>
          </cell>
          <cell r="E7122">
            <v>3208194.4509999994</v>
          </cell>
          <cell r="F7122">
            <v>7</v>
          </cell>
        </row>
        <row r="7123">
          <cell r="A7123">
            <v>2019</v>
          </cell>
          <cell r="B7123" t="str">
            <v>Budget</v>
          </cell>
          <cell r="C7123" t="str">
            <v>Jul</v>
          </cell>
          <cell r="D7123" t="str">
            <v>Chairs</v>
          </cell>
          <cell r="E7123">
            <v>189553.07699999999</v>
          </cell>
          <cell r="F7123">
            <v>7</v>
          </cell>
        </row>
        <row r="7124">
          <cell r="A7124">
            <v>2019</v>
          </cell>
          <cell r="B7124" t="str">
            <v>Actual</v>
          </cell>
          <cell r="C7124" t="str">
            <v>Jul</v>
          </cell>
          <cell r="D7124" t="str">
            <v>Chairs</v>
          </cell>
          <cell r="E7124">
            <v>623468.98599999992</v>
          </cell>
          <cell r="F7124">
            <v>7</v>
          </cell>
        </row>
        <row r="7125">
          <cell r="A7125">
            <v>2019</v>
          </cell>
          <cell r="B7125" t="str">
            <v>Budget</v>
          </cell>
          <cell r="C7125" t="str">
            <v>Jul</v>
          </cell>
          <cell r="D7125" t="str">
            <v>Chairs</v>
          </cell>
          <cell r="E7125">
            <v>3280431.7069999995</v>
          </cell>
          <cell r="F7125">
            <v>7</v>
          </cell>
        </row>
        <row r="7126">
          <cell r="A7126">
            <v>2018</v>
          </cell>
          <cell r="B7126" t="str">
            <v>Actual</v>
          </cell>
          <cell r="C7126" t="str">
            <v>Jul</v>
          </cell>
          <cell r="D7126" t="str">
            <v>Chairs</v>
          </cell>
          <cell r="E7126">
            <v>1171292.409</v>
          </cell>
          <cell r="F7126">
            <v>7</v>
          </cell>
        </row>
        <row r="7127">
          <cell r="A7127">
            <v>2019</v>
          </cell>
          <cell r="B7127" t="str">
            <v>Budget</v>
          </cell>
          <cell r="C7127" t="str">
            <v>Jul</v>
          </cell>
          <cell r="D7127" t="str">
            <v>Chairs</v>
          </cell>
          <cell r="E7127">
            <v>-3070.6059999999998</v>
          </cell>
          <cell r="F7127">
            <v>7</v>
          </cell>
        </row>
        <row r="7128">
          <cell r="A7128">
            <v>2018</v>
          </cell>
          <cell r="B7128" t="str">
            <v>Actual</v>
          </cell>
          <cell r="C7128" t="str">
            <v>Jul</v>
          </cell>
          <cell r="D7128" t="str">
            <v>Chairs</v>
          </cell>
          <cell r="E7128">
            <v>487341.65899999999</v>
          </cell>
          <cell r="F7128">
            <v>7</v>
          </cell>
        </row>
        <row r="7129">
          <cell r="A7129">
            <v>2018</v>
          </cell>
          <cell r="B7129" t="str">
            <v>Budget</v>
          </cell>
          <cell r="C7129" t="str">
            <v>Jul</v>
          </cell>
          <cell r="D7129" t="str">
            <v>Chairs</v>
          </cell>
          <cell r="E7129">
            <v>244339.571</v>
          </cell>
          <cell r="F7129">
            <v>7</v>
          </cell>
        </row>
        <row r="7130">
          <cell r="A7130">
            <v>2018</v>
          </cell>
          <cell r="B7130" t="str">
            <v>Actual</v>
          </cell>
          <cell r="C7130" t="str">
            <v>Jul</v>
          </cell>
          <cell r="D7130" t="str">
            <v>Chairs</v>
          </cell>
          <cell r="E7130">
            <v>116489.77199999998</v>
          </cell>
          <cell r="F7130">
            <v>7</v>
          </cell>
        </row>
        <row r="7131">
          <cell r="A7131">
            <v>2018</v>
          </cell>
          <cell r="B7131" t="str">
            <v>Budget</v>
          </cell>
          <cell r="C7131" t="str">
            <v>Jul</v>
          </cell>
          <cell r="D7131" t="str">
            <v>Chairs</v>
          </cell>
          <cell r="E7131">
            <v>89462.345000000001</v>
          </cell>
          <cell r="F7131">
            <v>7</v>
          </cell>
        </row>
        <row r="7132">
          <cell r="A7132">
            <v>2018</v>
          </cell>
          <cell r="B7132" t="str">
            <v>Actual</v>
          </cell>
          <cell r="C7132" t="str">
            <v>Jul</v>
          </cell>
          <cell r="D7132" t="str">
            <v>Chairs</v>
          </cell>
          <cell r="E7132">
            <v>129123.16899999999</v>
          </cell>
          <cell r="F7132">
            <v>7</v>
          </cell>
        </row>
        <row r="7133">
          <cell r="A7133">
            <v>2018</v>
          </cell>
          <cell r="B7133" t="str">
            <v>Budget</v>
          </cell>
          <cell r="C7133" t="str">
            <v>Jul</v>
          </cell>
          <cell r="D7133" t="str">
            <v>Chairs</v>
          </cell>
          <cell r="E7133">
            <v>115900.099</v>
          </cell>
          <cell r="F7133">
            <v>7</v>
          </cell>
        </row>
        <row r="7134">
          <cell r="A7134">
            <v>2019</v>
          </cell>
          <cell r="B7134" t="str">
            <v>Actual</v>
          </cell>
          <cell r="C7134" t="str">
            <v>Jul</v>
          </cell>
          <cell r="D7134" t="str">
            <v>Chairs</v>
          </cell>
          <cell r="E7134">
            <v>108328.03099999999</v>
          </cell>
          <cell r="F7134">
            <v>7</v>
          </cell>
        </row>
        <row r="7135">
          <cell r="A7135">
            <v>2018</v>
          </cell>
          <cell r="B7135" t="str">
            <v>Budget</v>
          </cell>
          <cell r="C7135" t="str">
            <v>Jul</v>
          </cell>
          <cell r="D7135" t="str">
            <v>Chairs</v>
          </cell>
          <cell r="E7135">
            <v>83544.34199999999</v>
          </cell>
          <cell r="F7135">
            <v>7</v>
          </cell>
        </row>
        <row r="7136">
          <cell r="A7136">
            <v>2019</v>
          </cell>
          <cell r="B7136" t="str">
            <v>Actual</v>
          </cell>
          <cell r="C7136" t="str">
            <v>Jul</v>
          </cell>
          <cell r="D7136" t="str">
            <v>Chairs</v>
          </cell>
          <cell r="E7136">
            <v>61705.370999999992</v>
          </cell>
          <cell r="F7136">
            <v>7</v>
          </cell>
        </row>
        <row r="7137">
          <cell r="A7137">
            <v>2018</v>
          </cell>
          <cell r="B7137" t="str">
            <v>Budget</v>
          </cell>
          <cell r="C7137" t="str">
            <v>Jul</v>
          </cell>
          <cell r="D7137" t="str">
            <v>Chairs</v>
          </cell>
          <cell r="E7137">
            <v>60201.406999999992</v>
          </cell>
          <cell r="F7137">
            <v>7</v>
          </cell>
        </row>
        <row r="7138">
          <cell r="A7138">
            <v>2018</v>
          </cell>
          <cell r="B7138" t="str">
            <v>Actual</v>
          </cell>
          <cell r="C7138" t="str">
            <v>Jul</v>
          </cell>
          <cell r="D7138" t="str">
            <v>Chairs</v>
          </cell>
          <cell r="E7138">
            <v>27055.895999999997</v>
          </cell>
          <cell r="F7138">
            <v>7</v>
          </cell>
        </row>
        <row r="7139">
          <cell r="A7139">
            <v>2018</v>
          </cell>
          <cell r="B7139" t="str">
            <v>Budget</v>
          </cell>
          <cell r="C7139" t="str">
            <v>Jul</v>
          </cell>
          <cell r="D7139" t="str">
            <v>Chairs</v>
          </cell>
          <cell r="E7139">
            <v>46456.998</v>
          </cell>
          <cell r="F7139">
            <v>7</v>
          </cell>
        </row>
        <row r="7140">
          <cell r="A7140">
            <v>2018</v>
          </cell>
          <cell r="B7140" t="str">
            <v>Actual</v>
          </cell>
          <cell r="C7140" t="str">
            <v>Jul</v>
          </cell>
          <cell r="D7140" t="str">
            <v>Chairs</v>
          </cell>
          <cell r="E7140">
            <v>23536.449999999997</v>
          </cell>
          <cell r="F7140">
            <v>7</v>
          </cell>
        </row>
        <row r="7141">
          <cell r="A7141">
            <v>2019</v>
          </cell>
          <cell r="B7141" t="str">
            <v>Budget</v>
          </cell>
          <cell r="C7141" t="str">
            <v>Jul</v>
          </cell>
          <cell r="D7141" t="str">
            <v>Chairs</v>
          </cell>
          <cell r="E7141">
            <v>15128.155000000001</v>
          </cell>
          <cell r="F7141">
            <v>7</v>
          </cell>
        </row>
        <row r="7142">
          <cell r="A7142">
            <v>2019</v>
          </cell>
          <cell r="B7142" t="str">
            <v>Actual</v>
          </cell>
          <cell r="C7142" t="str">
            <v>Jul</v>
          </cell>
          <cell r="D7142" t="str">
            <v>Chairs</v>
          </cell>
          <cell r="E7142">
            <v>18275.718999999997</v>
          </cell>
          <cell r="F7142">
            <v>7</v>
          </cell>
        </row>
        <row r="7143">
          <cell r="A7143">
            <v>2019</v>
          </cell>
          <cell r="B7143" t="str">
            <v>Budget</v>
          </cell>
          <cell r="C7143" t="str">
            <v>Jul</v>
          </cell>
          <cell r="D7143" t="str">
            <v>Tables</v>
          </cell>
          <cell r="E7143">
            <v>40417.110999999997</v>
          </cell>
          <cell r="F7143">
            <v>7</v>
          </cell>
        </row>
        <row r="7144">
          <cell r="A7144">
            <v>2019</v>
          </cell>
          <cell r="B7144" t="str">
            <v>Actual</v>
          </cell>
          <cell r="C7144" t="str">
            <v>Jul</v>
          </cell>
          <cell r="D7144" t="str">
            <v>Kitchen</v>
          </cell>
          <cell r="E7144">
            <v>58202.976999999999</v>
          </cell>
          <cell r="F7144">
            <v>7</v>
          </cell>
        </row>
        <row r="7145">
          <cell r="A7145">
            <v>2019</v>
          </cell>
          <cell r="B7145" t="str">
            <v>Budget</v>
          </cell>
          <cell r="C7145" t="str">
            <v>Jul</v>
          </cell>
          <cell r="D7145" t="str">
            <v>Chairs</v>
          </cell>
          <cell r="E7145">
            <v>747.07499999999993</v>
          </cell>
          <cell r="F7145">
            <v>7</v>
          </cell>
        </row>
        <row r="7146">
          <cell r="A7146">
            <v>2019</v>
          </cell>
          <cell r="B7146" t="str">
            <v>Actual</v>
          </cell>
          <cell r="C7146" t="str">
            <v>Jul</v>
          </cell>
          <cell r="D7146" t="str">
            <v>Chairs</v>
          </cell>
          <cell r="E7146">
            <v>10297.055999999999</v>
          </cell>
          <cell r="F7146">
            <v>7</v>
          </cell>
        </row>
        <row r="7147">
          <cell r="A7147">
            <v>2019</v>
          </cell>
          <cell r="B7147" t="str">
            <v>Budget</v>
          </cell>
          <cell r="C7147" t="str">
            <v>Jul</v>
          </cell>
          <cell r="D7147" t="str">
            <v>Chairs</v>
          </cell>
          <cell r="E7147">
            <v>434670.69099999999</v>
          </cell>
          <cell r="F7147">
            <v>7</v>
          </cell>
        </row>
        <row r="7148">
          <cell r="A7148">
            <v>2018</v>
          </cell>
          <cell r="B7148" t="str">
            <v>Actual</v>
          </cell>
          <cell r="C7148" t="str">
            <v>Jul</v>
          </cell>
          <cell r="D7148" t="str">
            <v>Chairs</v>
          </cell>
          <cell r="E7148">
            <v>140326.69699999999</v>
          </cell>
          <cell r="F7148">
            <v>7</v>
          </cell>
        </row>
        <row r="7149">
          <cell r="A7149">
            <v>2019</v>
          </cell>
          <cell r="B7149" t="str">
            <v>Budget</v>
          </cell>
          <cell r="C7149" t="str">
            <v>Jul</v>
          </cell>
          <cell r="D7149" t="str">
            <v>Chairs</v>
          </cell>
          <cell r="E7149">
            <v>39746.146999999997</v>
          </cell>
          <cell r="F7149">
            <v>7</v>
          </cell>
        </row>
        <row r="7150">
          <cell r="A7150">
            <v>2019</v>
          </cell>
          <cell r="B7150" t="str">
            <v>Actual</v>
          </cell>
          <cell r="C7150" t="str">
            <v>Jul</v>
          </cell>
          <cell r="D7150" t="str">
            <v>Tables</v>
          </cell>
          <cell r="E7150">
            <v>1345190.952</v>
          </cell>
          <cell r="F7150">
            <v>7</v>
          </cell>
        </row>
        <row r="7151">
          <cell r="A7151">
            <v>2019</v>
          </cell>
          <cell r="B7151" t="str">
            <v>Budget</v>
          </cell>
          <cell r="C7151" t="str">
            <v>Jul</v>
          </cell>
          <cell r="D7151" t="str">
            <v>Kitchen</v>
          </cell>
          <cell r="E7151">
            <v>92460.508000000002</v>
          </cell>
          <cell r="F7151">
            <v>7</v>
          </cell>
        </row>
        <row r="7152">
          <cell r="A7152">
            <v>2019</v>
          </cell>
          <cell r="B7152" t="str">
            <v>Actual</v>
          </cell>
          <cell r="C7152" t="str">
            <v>Jul</v>
          </cell>
          <cell r="D7152" t="str">
            <v>Chairs</v>
          </cell>
          <cell r="E7152">
            <v>921184.152</v>
          </cell>
          <cell r="F7152">
            <v>7</v>
          </cell>
        </row>
        <row r="7153">
          <cell r="A7153">
            <v>2019</v>
          </cell>
          <cell r="B7153" t="str">
            <v>Budget</v>
          </cell>
          <cell r="C7153" t="str">
            <v>Jul</v>
          </cell>
          <cell r="D7153" t="str">
            <v>Chairs</v>
          </cell>
          <cell r="E7153">
            <v>98475.173999999999</v>
          </cell>
          <cell r="F7153">
            <v>7</v>
          </cell>
        </row>
        <row r="7154">
          <cell r="A7154">
            <v>2018</v>
          </cell>
          <cell r="B7154" t="str">
            <v>Actual</v>
          </cell>
          <cell r="C7154" t="str">
            <v>Jul</v>
          </cell>
          <cell r="D7154" t="str">
            <v>Chairs</v>
          </cell>
          <cell r="E7154">
            <v>700914.82299999997</v>
          </cell>
          <cell r="F7154">
            <v>7</v>
          </cell>
        </row>
        <row r="7155">
          <cell r="A7155">
            <v>2019</v>
          </cell>
          <cell r="B7155" t="str">
            <v>Budget</v>
          </cell>
          <cell r="C7155" t="str">
            <v>Jul</v>
          </cell>
          <cell r="D7155" t="str">
            <v>Tables</v>
          </cell>
          <cell r="E7155">
            <v>280188.64999999997</v>
          </cell>
          <cell r="F7155">
            <v>7</v>
          </cell>
        </row>
        <row r="7156">
          <cell r="A7156">
            <v>2018</v>
          </cell>
          <cell r="B7156" t="str">
            <v>Actual</v>
          </cell>
          <cell r="C7156" t="str">
            <v>Jul</v>
          </cell>
          <cell r="D7156" t="str">
            <v>Kitchen</v>
          </cell>
          <cell r="E7156">
            <v>660823.07899999991</v>
          </cell>
          <cell r="F7156">
            <v>7</v>
          </cell>
        </row>
        <row r="7157">
          <cell r="A7157">
            <v>2018</v>
          </cell>
          <cell r="B7157" t="str">
            <v>Budget</v>
          </cell>
          <cell r="C7157" t="str">
            <v>Jul</v>
          </cell>
          <cell r="D7157" t="str">
            <v>Chairs</v>
          </cell>
          <cell r="E7157">
            <v>535215.21199999994</v>
          </cell>
          <cell r="F7157">
            <v>7</v>
          </cell>
        </row>
        <row r="7158">
          <cell r="A7158">
            <v>2018</v>
          </cell>
          <cell r="B7158" t="str">
            <v>Actual</v>
          </cell>
          <cell r="C7158" t="str">
            <v>Jul</v>
          </cell>
          <cell r="D7158" t="str">
            <v>Chairs</v>
          </cell>
          <cell r="E7158">
            <v>393852.39600000001</v>
          </cell>
          <cell r="F7158">
            <v>7</v>
          </cell>
        </row>
        <row r="7159">
          <cell r="A7159">
            <v>2019</v>
          </cell>
          <cell r="B7159" t="str">
            <v>Budget</v>
          </cell>
          <cell r="C7159" t="str">
            <v>Jul</v>
          </cell>
          <cell r="D7159" t="str">
            <v>Tables</v>
          </cell>
          <cell r="E7159">
            <v>378352.70199999999</v>
          </cell>
          <cell r="F7159">
            <v>7</v>
          </cell>
        </row>
        <row r="7160">
          <cell r="A7160">
            <v>2019</v>
          </cell>
          <cell r="B7160" t="str">
            <v>Actual</v>
          </cell>
          <cell r="C7160" t="str">
            <v>Jul</v>
          </cell>
          <cell r="D7160" t="str">
            <v>Kitchen</v>
          </cell>
          <cell r="E7160">
            <v>369098.90499999997</v>
          </cell>
          <cell r="F7160">
            <v>7</v>
          </cell>
        </row>
        <row r="7161">
          <cell r="A7161">
            <v>2019</v>
          </cell>
          <cell r="B7161" t="str">
            <v>Budget</v>
          </cell>
          <cell r="C7161" t="str">
            <v>Jul</v>
          </cell>
          <cell r="D7161" t="str">
            <v>Chairs</v>
          </cell>
          <cell r="E7161">
            <v>1182419.406</v>
          </cell>
          <cell r="F7161">
            <v>7</v>
          </cell>
        </row>
        <row r="7162">
          <cell r="A7162">
            <v>2018</v>
          </cell>
          <cell r="B7162" t="str">
            <v>Actual</v>
          </cell>
          <cell r="C7162" t="str">
            <v>Jul</v>
          </cell>
          <cell r="D7162" t="str">
            <v>Chairs</v>
          </cell>
          <cell r="E7162">
            <v>720769.62300000002</v>
          </cell>
          <cell r="F7162">
            <v>7</v>
          </cell>
        </row>
        <row r="7163">
          <cell r="A7163">
            <v>2018</v>
          </cell>
          <cell r="B7163" t="str">
            <v>Budget</v>
          </cell>
          <cell r="C7163" t="str">
            <v>Jul</v>
          </cell>
          <cell r="D7163" t="str">
            <v>Chairs</v>
          </cell>
          <cell r="E7163">
            <v>362906.64899999998</v>
          </cell>
          <cell r="F7163">
            <v>7</v>
          </cell>
        </row>
        <row r="7164">
          <cell r="A7164">
            <v>2019</v>
          </cell>
          <cell r="B7164" t="str">
            <v>Actual</v>
          </cell>
          <cell r="C7164" t="str">
            <v>Jul</v>
          </cell>
          <cell r="D7164" t="str">
            <v>Tables</v>
          </cell>
          <cell r="E7164">
            <v>8003.8280000000004</v>
          </cell>
          <cell r="F7164">
            <v>7</v>
          </cell>
        </row>
        <row r="7165">
          <cell r="A7165">
            <v>2019</v>
          </cell>
          <cell r="B7165" t="str">
            <v>Budget</v>
          </cell>
          <cell r="C7165" t="str">
            <v>Jul</v>
          </cell>
          <cell r="D7165" t="str">
            <v>Kitchen</v>
          </cell>
          <cell r="E7165">
            <v>181293.73499999999</v>
          </cell>
          <cell r="F7165">
            <v>7</v>
          </cell>
        </row>
        <row r="7166">
          <cell r="A7166">
            <v>2019</v>
          </cell>
          <cell r="B7166" t="str">
            <v>Actual</v>
          </cell>
          <cell r="C7166" t="str">
            <v>Jul</v>
          </cell>
          <cell r="D7166" t="str">
            <v>Accessories</v>
          </cell>
          <cell r="E7166">
            <v>1486046.5619999999</v>
          </cell>
          <cell r="F7166">
            <v>7</v>
          </cell>
        </row>
        <row r="7167">
          <cell r="A7167">
            <v>2018</v>
          </cell>
          <cell r="B7167" t="str">
            <v>Budget</v>
          </cell>
          <cell r="C7167" t="str">
            <v>Jul</v>
          </cell>
          <cell r="D7167" t="str">
            <v>Chairs</v>
          </cell>
          <cell r="E7167">
            <v>69398.462</v>
          </cell>
          <cell r="F7167">
            <v>7</v>
          </cell>
        </row>
        <row r="7168">
          <cell r="A7168">
            <v>2018</v>
          </cell>
          <cell r="B7168" t="str">
            <v>Actual</v>
          </cell>
          <cell r="C7168" t="str">
            <v>Jul</v>
          </cell>
          <cell r="D7168" t="str">
            <v>Tables</v>
          </cell>
          <cell r="E7168">
            <v>16701.817999999999</v>
          </cell>
          <cell r="F7168">
            <v>7</v>
          </cell>
        </row>
        <row r="7169">
          <cell r="A7169">
            <v>2018</v>
          </cell>
          <cell r="B7169" t="str">
            <v>Budget</v>
          </cell>
          <cell r="C7169" t="str">
            <v>Jul</v>
          </cell>
          <cell r="D7169" t="str">
            <v>Kitchen</v>
          </cell>
          <cell r="E7169">
            <v>3019376.1569999997</v>
          </cell>
          <cell r="F7169">
            <v>7</v>
          </cell>
        </row>
        <row r="7170">
          <cell r="A7170">
            <v>2018</v>
          </cell>
          <cell r="B7170" t="str">
            <v>Actual</v>
          </cell>
          <cell r="C7170" t="str">
            <v>Jul</v>
          </cell>
          <cell r="D7170" t="str">
            <v>Accessories</v>
          </cell>
          <cell r="E7170">
            <v>1244823.118</v>
          </cell>
          <cell r="F7170">
            <v>7</v>
          </cell>
        </row>
        <row r="7171">
          <cell r="A7171">
            <v>2019</v>
          </cell>
          <cell r="B7171" t="str">
            <v>Budget</v>
          </cell>
          <cell r="C7171" t="str">
            <v>Jul</v>
          </cell>
          <cell r="D7171" t="str">
            <v>Chairs</v>
          </cell>
          <cell r="E7171">
            <v>6165232.8079999993</v>
          </cell>
          <cell r="F7171">
            <v>7</v>
          </cell>
        </row>
        <row r="7172">
          <cell r="A7172">
            <v>2019</v>
          </cell>
          <cell r="B7172" t="str">
            <v>Actual</v>
          </cell>
          <cell r="C7172" t="str">
            <v>Jul</v>
          </cell>
          <cell r="D7172" t="str">
            <v>Tables</v>
          </cell>
          <cell r="E7172">
            <v>9242007.095999999</v>
          </cell>
          <cell r="F7172">
            <v>7</v>
          </cell>
        </row>
        <row r="7173">
          <cell r="A7173">
            <v>2019</v>
          </cell>
          <cell r="B7173" t="str">
            <v>Budget</v>
          </cell>
          <cell r="C7173" t="str">
            <v>Jul</v>
          </cell>
          <cell r="D7173" t="str">
            <v>Kitchen</v>
          </cell>
          <cell r="E7173">
            <v>29252.971999999998</v>
          </cell>
          <cell r="F7173">
            <v>7</v>
          </cell>
        </row>
        <row r="7174">
          <cell r="A7174">
            <v>2019</v>
          </cell>
          <cell r="B7174" t="str">
            <v>Actual</v>
          </cell>
          <cell r="C7174" t="str">
            <v>Jul</v>
          </cell>
          <cell r="D7174" t="str">
            <v>Accessories</v>
          </cell>
          <cell r="E7174">
            <v>44889.830999999998</v>
          </cell>
          <cell r="F7174">
            <v>7</v>
          </cell>
        </row>
        <row r="7175">
          <cell r="A7175">
            <v>2019</v>
          </cell>
          <cell r="B7175" t="str">
            <v>Budget</v>
          </cell>
          <cell r="C7175" t="str">
            <v>Jul</v>
          </cell>
          <cell r="D7175" t="str">
            <v>Chairs</v>
          </cell>
          <cell r="E7175">
            <v>17719.456999999999</v>
          </cell>
          <cell r="F7175">
            <v>7</v>
          </cell>
        </row>
        <row r="7176">
          <cell r="A7176">
            <v>2018</v>
          </cell>
          <cell r="B7176" t="str">
            <v>Actual</v>
          </cell>
          <cell r="C7176" t="str">
            <v>Jul</v>
          </cell>
          <cell r="D7176" t="str">
            <v>Tables</v>
          </cell>
          <cell r="E7176">
            <v>1473.3109999999999</v>
          </cell>
          <cell r="F7176">
            <v>7</v>
          </cell>
        </row>
        <row r="7177">
          <cell r="A7177">
            <v>2019</v>
          </cell>
          <cell r="B7177" t="str">
            <v>Budget</v>
          </cell>
          <cell r="C7177" t="str">
            <v>Jul</v>
          </cell>
          <cell r="D7177" t="str">
            <v>Kitchen</v>
          </cell>
          <cell r="E7177">
            <v>833610.66599999985</v>
          </cell>
          <cell r="F7177">
            <v>7</v>
          </cell>
        </row>
        <row r="7178">
          <cell r="A7178">
            <v>2018</v>
          </cell>
          <cell r="B7178" t="str">
            <v>Actual</v>
          </cell>
          <cell r="C7178" t="str">
            <v>Jul</v>
          </cell>
          <cell r="D7178" t="str">
            <v>Accessories</v>
          </cell>
          <cell r="E7178">
            <v>623721.37800000003</v>
          </cell>
          <cell r="F7178">
            <v>7</v>
          </cell>
        </row>
        <row r="7179">
          <cell r="A7179">
            <v>2018</v>
          </cell>
          <cell r="B7179" t="str">
            <v>Budget</v>
          </cell>
          <cell r="C7179" t="str">
            <v>Jul</v>
          </cell>
          <cell r="D7179" t="str">
            <v>Chairs</v>
          </cell>
          <cell r="E7179">
            <v>361733.17599999998</v>
          </cell>
          <cell r="F7179">
            <v>7</v>
          </cell>
        </row>
        <row r="7180">
          <cell r="A7180">
            <v>2019</v>
          </cell>
          <cell r="B7180" t="str">
            <v>Actual</v>
          </cell>
          <cell r="C7180" t="str">
            <v>Jul</v>
          </cell>
          <cell r="D7180" t="str">
            <v>Chairs</v>
          </cell>
          <cell r="E7180">
            <v>1401858.4719999998</v>
          </cell>
          <cell r="F7180">
            <v>7</v>
          </cell>
        </row>
        <row r="7181">
          <cell r="A7181">
            <v>2018</v>
          </cell>
          <cell r="B7181" t="str">
            <v>Budget</v>
          </cell>
          <cell r="C7181" t="str">
            <v>Jul</v>
          </cell>
          <cell r="D7181" t="str">
            <v>Tables</v>
          </cell>
          <cell r="E7181">
            <v>209585.31999999998</v>
          </cell>
          <cell r="F7181">
            <v>7</v>
          </cell>
        </row>
        <row r="7182">
          <cell r="A7182">
            <v>2019</v>
          </cell>
          <cell r="B7182" t="str">
            <v>Actual</v>
          </cell>
          <cell r="C7182" t="str">
            <v>Jul</v>
          </cell>
          <cell r="D7182" t="str">
            <v>Kitchen</v>
          </cell>
          <cell r="E7182">
            <v>80383.345000000001</v>
          </cell>
          <cell r="F7182">
            <v>7</v>
          </cell>
        </row>
        <row r="7183">
          <cell r="A7183">
            <v>2019</v>
          </cell>
          <cell r="B7183" t="str">
            <v>Budget</v>
          </cell>
          <cell r="C7183" t="str">
            <v>Jul</v>
          </cell>
          <cell r="D7183" t="str">
            <v>Chairs</v>
          </cell>
          <cell r="E7183">
            <v>24416.076999999997</v>
          </cell>
          <cell r="F7183">
            <v>7</v>
          </cell>
        </row>
        <row r="7184">
          <cell r="A7184">
            <v>2019</v>
          </cell>
          <cell r="B7184" t="str">
            <v>Actual</v>
          </cell>
          <cell r="C7184" t="str">
            <v>Jul</v>
          </cell>
          <cell r="D7184" t="str">
            <v>Tables</v>
          </cell>
          <cell r="E7184">
            <v>6899.360999999999</v>
          </cell>
          <cell r="F7184">
            <v>7</v>
          </cell>
        </row>
        <row r="7185">
          <cell r="A7185">
            <v>2019</v>
          </cell>
          <cell r="B7185" t="str">
            <v>Budget</v>
          </cell>
          <cell r="C7185" t="str">
            <v>Jul</v>
          </cell>
          <cell r="D7185" t="str">
            <v>Kitchen</v>
          </cell>
          <cell r="E7185">
            <v>307306.69199999998</v>
          </cell>
          <cell r="F7185">
            <v>7</v>
          </cell>
        </row>
        <row r="7186">
          <cell r="A7186">
            <v>2018</v>
          </cell>
          <cell r="B7186" t="str">
            <v>Actual</v>
          </cell>
          <cell r="C7186" t="str">
            <v>Jul</v>
          </cell>
          <cell r="D7186" t="str">
            <v>Chairs</v>
          </cell>
          <cell r="E7186">
            <v>6839089.8029999994</v>
          </cell>
          <cell r="F7186">
            <v>7</v>
          </cell>
        </row>
        <row r="7187">
          <cell r="A7187">
            <v>2019</v>
          </cell>
          <cell r="B7187" t="str">
            <v>Budget</v>
          </cell>
          <cell r="C7187" t="str">
            <v>Jul</v>
          </cell>
          <cell r="D7187" t="str">
            <v>Tables</v>
          </cell>
          <cell r="E7187">
            <v>16432.206000000002</v>
          </cell>
          <cell r="F7187">
            <v>7</v>
          </cell>
        </row>
        <row r="7188">
          <cell r="A7188">
            <v>2019</v>
          </cell>
          <cell r="B7188" t="str">
            <v>Actual</v>
          </cell>
          <cell r="C7188" t="str">
            <v>Jul</v>
          </cell>
          <cell r="D7188" t="str">
            <v>Kitchen</v>
          </cell>
          <cell r="E7188">
            <v>564433.98899999994</v>
          </cell>
          <cell r="F7188">
            <v>7</v>
          </cell>
        </row>
        <row r="7189">
          <cell r="A7189">
            <v>2018</v>
          </cell>
          <cell r="B7189" t="str">
            <v>Budget</v>
          </cell>
          <cell r="C7189" t="str">
            <v>Jul</v>
          </cell>
          <cell r="D7189" t="str">
            <v>Chairs</v>
          </cell>
          <cell r="E7189">
            <v>12912.934999999999</v>
          </cell>
          <cell r="F7189">
            <v>7</v>
          </cell>
        </row>
        <row r="7190">
          <cell r="A7190">
            <v>2018</v>
          </cell>
          <cell r="B7190" t="str">
            <v>Actual</v>
          </cell>
          <cell r="C7190" t="str">
            <v>Jul</v>
          </cell>
          <cell r="D7190" t="str">
            <v>Chairs</v>
          </cell>
          <cell r="E7190">
            <v>256177.57899999997</v>
          </cell>
          <cell r="F7190">
            <v>7</v>
          </cell>
        </row>
        <row r="7191">
          <cell r="A7191">
            <v>2019</v>
          </cell>
          <cell r="B7191" t="str">
            <v>Budget</v>
          </cell>
          <cell r="C7191" t="str">
            <v>Jul</v>
          </cell>
          <cell r="D7191" t="str">
            <v>Chairs</v>
          </cell>
          <cell r="E7191">
            <v>511843.17099999997</v>
          </cell>
          <cell r="F7191">
            <v>7</v>
          </cell>
        </row>
        <row r="7192">
          <cell r="A7192">
            <v>2018</v>
          </cell>
          <cell r="B7192" t="str">
            <v>Actual</v>
          </cell>
          <cell r="C7192" t="str">
            <v>Jul</v>
          </cell>
          <cell r="D7192" t="str">
            <v>Chairs</v>
          </cell>
          <cell r="E7192">
            <v>2343498.4579999996</v>
          </cell>
          <cell r="F7192">
            <v>7</v>
          </cell>
        </row>
        <row r="7193">
          <cell r="A7193">
            <v>2018</v>
          </cell>
          <cell r="B7193" t="str">
            <v>Budget</v>
          </cell>
          <cell r="C7193" t="str">
            <v>Jul</v>
          </cell>
          <cell r="D7193" t="str">
            <v>Chairs</v>
          </cell>
          <cell r="E7193">
            <v>8645215.9220000003</v>
          </cell>
          <cell r="F7193">
            <v>7</v>
          </cell>
        </row>
        <row r="7194">
          <cell r="A7194">
            <v>2018</v>
          </cell>
          <cell r="B7194" t="str">
            <v>Actual</v>
          </cell>
          <cell r="C7194" t="str">
            <v>Jul</v>
          </cell>
          <cell r="D7194" t="str">
            <v>Chairs</v>
          </cell>
          <cell r="E7194">
            <v>496188.86099999998</v>
          </cell>
          <cell r="F7194">
            <v>7</v>
          </cell>
        </row>
        <row r="7195">
          <cell r="A7195">
            <v>2019</v>
          </cell>
          <cell r="B7195" t="str">
            <v>Budget</v>
          </cell>
          <cell r="C7195" t="str">
            <v>Jul</v>
          </cell>
          <cell r="D7195" t="str">
            <v>Chairs</v>
          </cell>
          <cell r="E7195">
            <v>895468.60900000005</v>
          </cell>
          <cell r="F7195">
            <v>7</v>
          </cell>
        </row>
        <row r="7196">
          <cell r="A7196">
            <v>2018</v>
          </cell>
          <cell r="B7196" t="str">
            <v>Actual</v>
          </cell>
          <cell r="C7196" t="str">
            <v>Jul</v>
          </cell>
          <cell r="D7196" t="str">
            <v>Chairs</v>
          </cell>
          <cell r="E7196">
            <v>2911767.6069999998</v>
          </cell>
          <cell r="F7196">
            <v>7</v>
          </cell>
        </row>
        <row r="7197">
          <cell r="A7197">
            <v>2019</v>
          </cell>
          <cell r="B7197" t="str">
            <v>Budget</v>
          </cell>
          <cell r="C7197" t="str">
            <v>Jul</v>
          </cell>
          <cell r="D7197" t="str">
            <v>Chairs</v>
          </cell>
          <cell r="E7197">
            <v>1999811.5129999998</v>
          </cell>
          <cell r="F7197">
            <v>7</v>
          </cell>
        </row>
        <row r="7198">
          <cell r="A7198">
            <v>2018</v>
          </cell>
          <cell r="B7198" t="str">
            <v>Actual</v>
          </cell>
          <cell r="C7198" t="str">
            <v>Jul</v>
          </cell>
          <cell r="D7198" t="str">
            <v>Chairs</v>
          </cell>
          <cell r="E7198">
            <v>571064.77399999998</v>
          </cell>
          <cell r="F7198">
            <v>7</v>
          </cell>
        </row>
        <row r="7199">
          <cell r="A7199">
            <v>2018</v>
          </cell>
          <cell r="B7199" t="str">
            <v>Budget</v>
          </cell>
          <cell r="C7199" t="str">
            <v>Jul</v>
          </cell>
          <cell r="D7199" t="str">
            <v>Chairs</v>
          </cell>
          <cell r="E7199">
            <v>67474.987999999998</v>
          </cell>
          <cell r="F7199">
            <v>7</v>
          </cell>
        </row>
        <row r="7200">
          <cell r="A7200">
            <v>2019</v>
          </cell>
          <cell r="B7200" t="str">
            <v>Actual</v>
          </cell>
          <cell r="C7200" t="str">
            <v>Jul</v>
          </cell>
          <cell r="D7200" t="str">
            <v>Chairs</v>
          </cell>
          <cell r="E7200">
            <v>255712.09999999998</v>
          </cell>
          <cell r="F7200">
            <v>7</v>
          </cell>
        </row>
        <row r="7201">
          <cell r="A7201">
            <v>2019</v>
          </cell>
          <cell r="B7201" t="str">
            <v>Budget</v>
          </cell>
          <cell r="C7201" t="str">
            <v>Jul</v>
          </cell>
          <cell r="D7201" t="str">
            <v>Chairs</v>
          </cell>
          <cell r="E7201">
            <v>996347.77199999988</v>
          </cell>
          <cell r="F7201">
            <v>7</v>
          </cell>
        </row>
        <row r="7202">
          <cell r="A7202">
            <v>2018</v>
          </cell>
          <cell r="B7202" t="str">
            <v>Actual</v>
          </cell>
          <cell r="C7202" t="str">
            <v>Jul</v>
          </cell>
          <cell r="D7202" t="str">
            <v>Chairs</v>
          </cell>
          <cell r="E7202">
            <v>747541.00399999996</v>
          </cell>
          <cell r="F7202">
            <v>7</v>
          </cell>
        </row>
        <row r="7203">
          <cell r="A7203">
            <v>2018</v>
          </cell>
          <cell r="B7203" t="str">
            <v>Budget</v>
          </cell>
          <cell r="C7203" t="str">
            <v>Jul</v>
          </cell>
          <cell r="D7203" t="str">
            <v>Chairs</v>
          </cell>
          <cell r="E7203">
            <v>128012.03099999999</v>
          </cell>
          <cell r="F7203">
            <v>7</v>
          </cell>
        </row>
        <row r="7204">
          <cell r="A7204">
            <v>2019</v>
          </cell>
          <cell r="B7204" t="str">
            <v>Actual</v>
          </cell>
          <cell r="C7204" t="str">
            <v>Jul</v>
          </cell>
          <cell r="D7204" t="str">
            <v>Chairs</v>
          </cell>
          <cell r="E7204">
            <v>227714.19299999997</v>
          </cell>
          <cell r="F7204">
            <v>7</v>
          </cell>
        </row>
        <row r="7205">
          <cell r="A7205">
            <v>2019</v>
          </cell>
          <cell r="B7205" t="str">
            <v>Budget</v>
          </cell>
          <cell r="C7205" t="str">
            <v>Jul</v>
          </cell>
          <cell r="D7205" t="str">
            <v>Chairs</v>
          </cell>
          <cell r="E7205">
            <v>32686.548999999999</v>
          </cell>
          <cell r="F7205">
            <v>7</v>
          </cell>
        </row>
        <row r="7206">
          <cell r="A7206">
            <v>2018</v>
          </cell>
          <cell r="B7206" t="str">
            <v>Actual</v>
          </cell>
          <cell r="C7206" t="str">
            <v>Jul</v>
          </cell>
          <cell r="D7206" t="str">
            <v>Chairs</v>
          </cell>
          <cell r="E7206">
            <v>886240.51599999983</v>
          </cell>
          <cell r="F7206">
            <v>7</v>
          </cell>
        </row>
        <row r="7207">
          <cell r="A7207">
            <v>2018</v>
          </cell>
          <cell r="B7207" t="str">
            <v>Budget</v>
          </cell>
          <cell r="C7207" t="str">
            <v>Jul</v>
          </cell>
          <cell r="D7207" t="str">
            <v>Chairs</v>
          </cell>
          <cell r="E7207">
            <v>1213273.7679999999</v>
          </cell>
          <cell r="F7207">
            <v>7</v>
          </cell>
        </row>
        <row r="7208">
          <cell r="A7208">
            <v>2019</v>
          </cell>
          <cell r="B7208" t="str">
            <v>Actual</v>
          </cell>
          <cell r="C7208" t="str">
            <v>Jul</v>
          </cell>
          <cell r="D7208" t="str">
            <v>Chairs</v>
          </cell>
          <cell r="E7208">
            <v>32179.636999999999</v>
          </cell>
          <cell r="F7208">
            <v>7</v>
          </cell>
        </row>
        <row r="7209">
          <cell r="A7209">
            <v>2019</v>
          </cell>
          <cell r="B7209" t="str">
            <v>Budget</v>
          </cell>
          <cell r="C7209" t="str">
            <v>Jul</v>
          </cell>
          <cell r="D7209" t="str">
            <v>Chairs</v>
          </cell>
          <cell r="E7209">
            <v>28613.738999999998</v>
          </cell>
          <cell r="F7209">
            <v>7</v>
          </cell>
        </row>
        <row r="7210">
          <cell r="A7210">
            <v>2019</v>
          </cell>
          <cell r="B7210" t="str">
            <v>Actual</v>
          </cell>
          <cell r="C7210" t="str">
            <v>Jul</v>
          </cell>
          <cell r="D7210" t="str">
            <v>Chairs</v>
          </cell>
          <cell r="E7210">
            <v>176111.019</v>
          </cell>
          <cell r="F7210">
            <v>7</v>
          </cell>
        </row>
        <row r="7211">
          <cell r="A7211">
            <v>2019</v>
          </cell>
          <cell r="B7211" t="str">
            <v>Budget</v>
          </cell>
          <cell r="C7211" t="str">
            <v>Jul</v>
          </cell>
          <cell r="D7211" t="str">
            <v>Chairs</v>
          </cell>
          <cell r="E7211">
            <v>909676.93599999999</v>
          </cell>
          <cell r="F7211">
            <v>7</v>
          </cell>
        </row>
        <row r="7212">
          <cell r="A7212">
            <v>2018</v>
          </cell>
          <cell r="B7212" t="str">
            <v>Actual</v>
          </cell>
          <cell r="C7212" t="str">
            <v>Jul</v>
          </cell>
          <cell r="D7212" t="str">
            <v>Chairs</v>
          </cell>
          <cell r="E7212">
            <v>146472.73899999997</v>
          </cell>
          <cell r="F7212">
            <v>7</v>
          </cell>
        </row>
        <row r="7213">
          <cell r="A7213">
            <v>2018</v>
          </cell>
          <cell r="B7213" t="str">
            <v>Budget</v>
          </cell>
          <cell r="C7213" t="str">
            <v>Jul</v>
          </cell>
          <cell r="D7213" t="str">
            <v>Chairs</v>
          </cell>
          <cell r="E7213">
            <v>460988.00299999997</v>
          </cell>
          <cell r="F7213">
            <v>7</v>
          </cell>
        </row>
        <row r="7214">
          <cell r="A7214">
            <v>2019</v>
          </cell>
          <cell r="B7214" t="str">
            <v>Actual</v>
          </cell>
          <cell r="C7214" t="str">
            <v>Jul</v>
          </cell>
          <cell r="D7214" t="str">
            <v>Chairs</v>
          </cell>
          <cell r="E7214">
            <v>235119.52799999996</v>
          </cell>
          <cell r="F7214">
            <v>7</v>
          </cell>
        </row>
        <row r="7215">
          <cell r="A7215">
            <v>2019</v>
          </cell>
          <cell r="B7215" t="str">
            <v>Budget</v>
          </cell>
          <cell r="C7215" t="str">
            <v>Jul</v>
          </cell>
          <cell r="D7215" t="str">
            <v>Tables</v>
          </cell>
          <cell r="E7215">
            <v>2074327.7169999999</v>
          </cell>
          <cell r="F7215">
            <v>7</v>
          </cell>
        </row>
        <row r="7216">
          <cell r="A7216">
            <v>2018</v>
          </cell>
          <cell r="B7216" t="str">
            <v>Actual</v>
          </cell>
          <cell r="C7216" t="str">
            <v>Jul</v>
          </cell>
          <cell r="D7216" t="str">
            <v>Kitchen</v>
          </cell>
          <cell r="E7216">
            <v>1448069.8609999998</v>
          </cell>
          <cell r="F7216">
            <v>7</v>
          </cell>
        </row>
        <row r="7217">
          <cell r="A7217">
            <v>2019</v>
          </cell>
          <cell r="B7217" t="str">
            <v>Budget</v>
          </cell>
          <cell r="C7217" t="str">
            <v>Jul</v>
          </cell>
          <cell r="D7217" t="str">
            <v>Chairs</v>
          </cell>
          <cell r="E7217">
            <v>3637159.0219999999</v>
          </cell>
          <cell r="F7217">
            <v>7</v>
          </cell>
        </row>
        <row r="7218">
          <cell r="A7218">
            <v>2018</v>
          </cell>
          <cell r="B7218" t="str">
            <v>Actual</v>
          </cell>
          <cell r="C7218" t="str">
            <v>Jul</v>
          </cell>
          <cell r="D7218" t="str">
            <v>Chairs</v>
          </cell>
          <cell r="E7218">
            <v>675404.16999999993</v>
          </cell>
          <cell r="F7218">
            <v>7</v>
          </cell>
        </row>
        <row r="7219">
          <cell r="A7219">
            <v>2018</v>
          </cell>
          <cell r="B7219" t="str">
            <v>Budget</v>
          </cell>
          <cell r="C7219" t="str">
            <v>Jul</v>
          </cell>
          <cell r="D7219" t="str">
            <v>Chairs</v>
          </cell>
          <cell r="E7219">
            <v>274005.40999999997</v>
          </cell>
          <cell r="F7219">
            <v>7</v>
          </cell>
        </row>
        <row r="7220">
          <cell r="A7220">
            <v>2018</v>
          </cell>
          <cell r="B7220" t="str">
            <v>Actual</v>
          </cell>
          <cell r="C7220" t="str">
            <v>Jul</v>
          </cell>
          <cell r="D7220" t="str">
            <v>Chairs</v>
          </cell>
          <cell r="E7220">
            <v>1229284.6439999999</v>
          </cell>
          <cell r="F7220">
            <v>7</v>
          </cell>
        </row>
        <row r="7221">
          <cell r="A7221">
            <v>2019</v>
          </cell>
          <cell r="B7221" t="str">
            <v>Budget</v>
          </cell>
          <cell r="C7221" t="str">
            <v>Jul</v>
          </cell>
          <cell r="D7221" t="str">
            <v>Chairs</v>
          </cell>
          <cell r="E7221">
            <v>128.023</v>
          </cell>
          <cell r="F7221">
            <v>7</v>
          </cell>
        </row>
        <row r="7222">
          <cell r="A7222">
            <v>2018</v>
          </cell>
          <cell r="B7222" t="str">
            <v>Actual</v>
          </cell>
          <cell r="C7222" t="str">
            <v>Jul</v>
          </cell>
          <cell r="D7222" t="str">
            <v>Tables</v>
          </cell>
          <cell r="E7222">
            <v>23548.805</v>
          </cell>
          <cell r="F7222">
            <v>7</v>
          </cell>
        </row>
        <row r="7223">
          <cell r="A7223">
            <v>2018</v>
          </cell>
          <cell r="B7223" t="str">
            <v>Budget</v>
          </cell>
          <cell r="C7223" t="str">
            <v>Jul</v>
          </cell>
          <cell r="D7223" t="str">
            <v>Kitchen</v>
          </cell>
          <cell r="E7223">
            <v>12390.538999999999</v>
          </cell>
          <cell r="F7223">
            <v>7</v>
          </cell>
        </row>
        <row r="7224">
          <cell r="A7224">
            <v>2018</v>
          </cell>
          <cell r="B7224" t="str">
            <v>Actual</v>
          </cell>
          <cell r="C7224" t="str">
            <v>Jul</v>
          </cell>
          <cell r="D7224" t="str">
            <v>Chairs</v>
          </cell>
          <cell r="E7224">
            <v>72200.289000000004</v>
          </cell>
          <cell r="F7224">
            <v>7</v>
          </cell>
        </row>
        <row r="7225">
          <cell r="A7225">
            <v>2019</v>
          </cell>
          <cell r="B7225" t="str">
            <v>Budget</v>
          </cell>
          <cell r="C7225" t="str">
            <v>Jul</v>
          </cell>
          <cell r="D7225" t="str">
            <v>Chairs</v>
          </cell>
          <cell r="E7225">
            <v>63654.331999999995</v>
          </cell>
          <cell r="F7225">
            <v>7</v>
          </cell>
        </row>
        <row r="7226">
          <cell r="A7226">
            <v>2019</v>
          </cell>
          <cell r="B7226" t="str">
            <v>Actual</v>
          </cell>
          <cell r="C7226" t="str">
            <v>Jul</v>
          </cell>
          <cell r="D7226" t="str">
            <v>Chairs</v>
          </cell>
          <cell r="E7226">
            <v>108178.88899999998</v>
          </cell>
          <cell r="F7226">
            <v>7</v>
          </cell>
        </row>
        <row r="7227">
          <cell r="A7227">
            <v>2019</v>
          </cell>
          <cell r="B7227" t="str">
            <v>Budget</v>
          </cell>
          <cell r="C7227" t="str">
            <v>Jul</v>
          </cell>
          <cell r="D7227" t="str">
            <v>Tables</v>
          </cell>
          <cell r="E7227">
            <v>160268.05199999997</v>
          </cell>
          <cell r="F7227">
            <v>7</v>
          </cell>
        </row>
        <row r="7228">
          <cell r="A7228">
            <v>2019</v>
          </cell>
          <cell r="B7228" t="str">
            <v>Actual</v>
          </cell>
          <cell r="C7228" t="str">
            <v>Jul</v>
          </cell>
          <cell r="D7228" t="str">
            <v>Kitchen</v>
          </cell>
          <cell r="E7228">
            <v>641085.88599999994</v>
          </cell>
          <cell r="F7228">
            <v>7</v>
          </cell>
        </row>
        <row r="7229">
          <cell r="A7229">
            <v>2019</v>
          </cell>
          <cell r="B7229" t="str">
            <v>Budget</v>
          </cell>
          <cell r="C7229" t="str">
            <v>Jul</v>
          </cell>
          <cell r="D7229" t="str">
            <v>Chairs</v>
          </cell>
          <cell r="E7229">
            <v>892677.30999999994</v>
          </cell>
          <cell r="F7229">
            <v>7</v>
          </cell>
        </row>
        <row r="7230">
          <cell r="A7230">
            <v>2019</v>
          </cell>
          <cell r="B7230" t="str">
            <v>Actual</v>
          </cell>
          <cell r="C7230" t="str">
            <v>Jul</v>
          </cell>
          <cell r="D7230" t="str">
            <v>Chairs</v>
          </cell>
          <cell r="E7230">
            <v>5716.9209999999994</v>
          </cell>
          <cell r="F7230">
            <v>7</v>
          </cell>
        </row>
        <row r="7231">
          <cell r="A7231">
            <v>2018</v>
          </cell>
          <cell r="B7231" t="str">
            <v>Budget</v>
          </cell>
          <cell r="C7231" t="str">
            <v>Jul</v>
          </cell>
          <cell r="D7231" t="str">
            <v>Tables</v>
          </cell>
          <cell r="E7231">
            <v>18041.708999999999</v>
          </cell>
          <cell r="F7231">
            <v>7</v>
          </cell>
        </row>
        <row r="7232">
          <cell r="A7232">
            <v>2019</v>
          </cell>
          <cell r="B7232" t="str">
            <v>Actual</v>
          </cell>
          <cell r="C7232" t="str">
            <v>Jul</v>
          </cell>
          <cell r="D7232" t="str">
            <v>Kitchen</v>
          </cell>
          <cell r="E7232">
            <v>11049.465</v>
          </cell>
          <cell r="F7232">
            <v>7</v>
          </cell>
        </row>
        <row r="7233">
          <cell r="A7233">
            <v>2019</v>
          </cell>
          <cell r="B7233" t="str">
            <v>Budget</v>
          </cell>
          <cell r="C7233" t="str">
            <v>Jul</v>
          </cell>
          <cell r="D7233" t="str">
            <v>Chairs</v>
          </cell>
          <cell r="E7233">
            <v>51980.564999999995</v>
          </cell>
          <cell r="F7233">
            <v>7</v>
          </cell>
        </row>
        <row r="7234">
          <cell r="A7234">
            <v>2018</v>
          </cell>
          <cell r="B7234" t="str">
            <v>Actual</v>
          </cell>
          <cell r="C7234" t="str">
            <v>Jul</v>
          </cell>
          <cell r="D7234" t="str">
            <v>Chairs</v>
          </cell>
          <cell r="E7234">
            <v>59846.472000000002</v>
          </cell>
          <cell r="F7234">
            <v>7</v>
          </cell>
        </row>
        <row r="7235">
          <cell r="A7235">
            <v>2019</v>
          </cell>
          <cell r="B7235" t="str">
            <v>Budget</v>
          </cell>
          <cell r="C7235" t="str">
            <v>Jul</v>
          </cell>
          <cell r="D7235" t="str">
            <v>Chairs</v>
          </cell>
          <cell r="E7235">
            <v>15190.14</v>
          </cell>
          <cell r="F7235">
            <v>7</v>
          </cell>
        </row>
        <row r="7236">
          <cell r="A7236">
            <v>2018</v>
          </cell>
          <cell r="B7236" t="str">
            <v>Actual</v>
          </cell>
          <cell r="C7236" t="str">
            <v>Jul</v>
          </cell>
          <cell r="D7236" t="str">
            <v>Tables</v>
          </cell>
          <cell r="E7236">
            <v>20539.162</v>
          </cell>
          <cell r="F7236">
            <v>7</v>
          </cell>
        </row>
        <row r="7237">
          <cell r="A7237">
            <v>2018</v>
          </cell>
          <cell r="B7237" t="str">
            <v>Budget</v>
          </cell>
          <cell r="C7237" t="str">
            <v>Jul</v>
          </cell>
          <cell r="D7237" t="str">
            <v>Kitchen</v>
          </cell>
          <cell r="E7237">
            <v>15434.454</v>
          </cell>
          <cell r="F7237">
            <v>7</v>
          </cell>
        </row>
        <row r="7238">
          <cell r="A7238">
            <v>2018</v>
          </cell>
          <cell r="B7238" t="str">
            <v>Actual</v>
          </cell>
          <cell r="C7238" t="str">
            <v>Jul</v>
          </cell>
          <cell r="D7238" t="str">
            <v>Accessories</v>
          </cell>
          <cell r="E7238">
            <v>926769.89299999992</v>
          </cell>
          <cell r="F7238">
            <v>7</v>
          </cell>
        </row>
        <row r="7239">
          <cell r="A7239">
            <v>2019</v>
          </cell>
          <cell r="B7239" t="str">
            <v>Budget</v>
          </cell>
          <cell r="C7239" t="str">
            <v>Jul</v>
          </cell>
          <cell r="D7239" t="str">
            <v>Chairs</v>
          </cell>
          <cell r="E7239">
            <v>4658790.5559999999</v>
          </cell>
          <cell r="F7239">
            <v>7</v>
          </cell>
        </row>
        <row r="7240">
          <cell r="A7240">
            <v>2018</v>
          </cell>
          <cell r="B7240" t="str">
            <v>Actual</v>
          </cell>
          <cell r="C7240" t="str">
            <v>Jul</v>
          </cell>
          <cell r="D7240" t="str">
            <v>Tables</v>
          </cell>
          <cell r="E7240">
            <v>92172.842999999993</v>
          </cell>
          <cell r="F7240">
            <v>7</v>
          </cell>
        </row>
        <row r="7241">
          <cell r="A7241">
            <v>2018</v>
          </cell>
          <cell r="B7241" t="str">
            <v>Budget</v>
          </cell>
          <cell r="C7241" t="str">
            <v>Jul</v>
          </cell>
          <cell r="D7241" t="str">
            <v>Kitchen</v>
          </cell>
          <cell r="E7241">
            <v>44610.803999999996</v>
          </cell>
          <cell r="F7241">
            <v>7</v>
          </cell>
        </row>
        <row r="7242">
          <cell r="A7242">
            <v>2018</v>
          </cell>
          <cell r="B7242" t="str">
            <v>Actual</v>
          </cell>
          <cell r="C7242" t="str">
            <v>Jul</v>
          </cell>
          <cell r="D7242" t="str">
            <v>Accessories</v>
          </cell>
          <cell r="E7242">
            <v>26435.304</v>
          </cell>
          <cell r="F7242">
            <v>7</v>
          </cell>
        </row>
        <row r="7243">
          <cell r="A7243">
            <v>2019</v>
          </cell>
          <cell r="B7243" t="str">
            <v>Budget</v>
          </cell>
          <cell r="C7243" t="str">
            <v>Jul</v>
          </cell>
          <cell r="D7243" t="str">
            <v>Chairs</v>
          </cell>
          <cell r="E7243">
            <v>13442.757999999998</v>
          </cell>
          <cell r="F7243">
            <v>7</v>
          </cell>
        </row>
        <row r="7244">
          <cell r="A7244">
            <v>2018</v>
          </cell>
          <cell r="B7244" t="str">
            <v>Actual</v>
          </cell>
          <cell r="C7244" t="str">
            <v>Jul</v>
          </cell>
          <cell r="D7244" t="str">
            <v>Tables</v>
          </cell>
          <cell r="E7244">
            <v>327521.25</v>
          </cell>
          <cell r="F7244">
            <v>7</v>
          </cell>
        </row>
        <row r="7245">
          <cell r="A7245">
            <v>2018</v>
          </cell>
          <cell r="B7245" t="str">
            <v>Budget</v>
          </cell>
          <cell r="C7245" t="str">
            <v>Jul</v>
          </cell>
          <cell r="D7245" t="str">
            <v>Kitchen</v>
          </cell>
          <cell r="E7245">
            <v>72602.074999999997</v>
          </cell>
          <cell r="F7245">
            <v>7</v>
          </cell>
        </row>
        <row r="7246">
          <cell r="A7246">
            <v>2019</v>
          </cell>
          <cell r="B7246" t="str">
            <v>Actual</v>
          </cell>
          <cell r="C7246" t="str">
            <v>Jul</v>
          </cell>
          <cell r="D7246" t="str">
            <v>Accessories</v>
          </cell>
          <cell r="E7246">
            <v>452103.28099999996</v>
          </cell>
          <cell r="F7246">
            <v>7</v>
          </cell>
        </row>
        <row r="7247">
          <cell r="A7247">
            <v>2018</v>
          </cell>
          <cell r="B7247" t="str">
            <v>Budget</v>
          </cell>
          <cell r="C7247" t="str">
            <v>Jul</v>
          </cell>
          <cell r="D7247" t="str">
            <v>Chairs</v>
          </cell>
          <cell r="E7247">
            <v>204252.07599999997</v>
          </cell>
          <cell r="F7247">
            <v>7</v>
          </cell>
        </row>
        <row r="7248">
          <cell r="A7248">
            <v>2018</v>
          </cell>
          <cell r="B7248" t="str">
            <v>Actual</v>
          </cell>
          <cell r="C7248" t="str">
            <v>Jul</v>
          </cell>
          <cell r="D7248" t="str">
            <v>Tables</v>
          </cell>
          <cell r="E7248">
            <v>480629.26099999994</v>
          </cell>
          <cell r="F7248">
            <v>7</v>
          </cell>
        </row>
        <row r="7249">
          <cell r="A7249">
            <v>2018</v>
          </cell>
          <cell r="B7249" t="str">
            <v>Budget</v>
          </cell>
          <cell r="C7249" t="str">
            <v>Jul</v>
          </cell>
          <cell r="D7249" t="str">
            <v>Kitchen</v>
          </cell>
          <cell r="E7249">
            <v>93820.398000000001</v>
          </cell>
          <cell r="F7249">
            <v>7</v>
          </cell>
        </row>
        <row r="7250">
          <cell r="A7250">
            <v>2018</v>
          </cell>
          <cell r="B7250" t="str">
            <v>Actual</v>
          </cell>
          <cell r="C7250" t="str">
            <v>Jul</v>
          </cell>
          <cell r="D7250" t="str">
            <v>Accessories</v>
          </cell>
          <cell r="E7250">
            <v>3364077.9479999994</v>
          </cell>
          <cell r="F7250">
            <v>7</v>
          </cell>
        </row>
        <row r="7251">
          <cell r="A7251">
            <v>2019</v>
          </cell>
          <cell r="B7251" t="str">
            <v>Budget</v>
          </cell>
          <cell r="C7251" t="str">
            <v>Jul</v>
          </cell>
          <cell r="D7251" t="str">
            <v>Chairs</v>
          </cell>
          <cell r="E7251">
            <v>37680.796999999999</v>
          </cell>
          <cell r="F7251">
            <v>7</v>
          </cell>
        </row>
        <row r="7252">
          <cell r="A7252">
            <v>2019</v>
          </cell>
          <cell r="B7252" t="str">
            <v>Actual</v>
          </cell>
          <cell r="C7252" t="str">
            <v>Jul</v>
          </cell>
          <cell r="D7252" t="str">
            <v>Chairs</v>
          </cell>
          <cell r="E7252">
            <v>15070.145999999999</v>
          </cell>
          <cell r="F7252">
            <v>7</v>
          </cell>
        </row>
        <row r="7253">
          <cell r="A7253">
            <v>2019</v>
          </cell>
          <cell r="B7253" t="str">
            <v>Budget</v>
          </cell>
          <cell r="C7253" t="str">
            <v>Jul</v>
          </cell>
          <cell r="D7253" t="str">
            <v>Tables</v>
          </cell>
          <cell r="E7253">
            <v>1145952.8429999999</v>
          </cell>
          <cell r="F7253">
            <v>7</v>
          </cell>
        </row>
        <row r="7254">
          <cell r="A7254">
            <v>2019</v>
          </cell>
          <cell r="B7254" t="str">
            <v>Actual</v>
          </cell>
          <cell r="C7254" t="str">
            <v>Jul</v>
          </cell>
          <cell r="D7254" t="str">
            <v>Kitchen</v>
          </cell>
          <cell r="E7254">
            <v>871160.24799999991</v>
          </cell>
          <cell r="F7254">
            <v>7</v>
          </cell>
        </row>
        <row r="7255">
          <cell r="A7255">
            <v>2018</v>
          </cell>
          <cell r="B7255" t="str">
            <v>Budget</v>
          </cell>
          <cell r="C7255" t="str">
            <v>Jul</v>
          </cell>
          <cell r="D7255" t="str">
            <v>Chairs</v>
          </cell>
          <cell r="E7255">
            <v>117616.33799999999</v>
          </cell>
          <cell r="F7255">
            <v>7</v>
          </cell>
        </row>
        <row r="7256">
          <cell r="A7256">
            <v>2019</v>
          </cell>
          <cell r="B7256" t="str">
            <v>Actual</v>
          </cell>
          <cell r="C7256" t="str">
            <v>Jul</v>
          </cell>
          <cell r="D7256" t="str">
            <v>Tables</v>
          </cell>
          <cell r="E7256">
            <v>294400.86899999995</v>
          </cell>
          <cell r="F7256">
            <v>7</v>
          </cell>
        </row>
        <row r="7257">
          <cell r="A7257">
            <v>2018</v>
          </cell>
          <cell r="B7257" t="str">
            <v>Budget</v>
          </cell>
          <cell r="C7257" t="str">
            <v>Jul</v>
          </cell>
          <cell r="D7257" t="str">
            <v>Kitchen</v>
          </cell>
          <cell r="E7257">
            <v>3843305.6199999996</v>
          </cell>
          <cell r="F7257">
            <v>7</v>
          </cell>
        </row>
        <row r="7258">
          <cell r="A7258">
            <v>2018</v>
          </cell>
          <cell r="B7258" t="str">
            <v>Actual</v>
          </cell>
          <cell r="C7258" t="str">
            <v>Jul</v>
          </cell>
          <cell r="D7258" t="str">
            <v>Chairs</v>
          </cell>
          <cell r="E7258">
            <v>597463.86699999997</v>
          </cell>
          <cell r="F7258">
            <v>7</v>
          </cell>
        </row>
        <row r="7259">
          <cell r="A7259">
            <v>2019</v>
          </cell>
          <cell r="B7259" t="str">
            <v>Budget</v>
          </cell>
          <cell r="C7259" t="str">
            <v>Jul</v>
          </cell>
          <cell r="D7259" t="str">
            <v>Tables</v>
          </cell>
          <cell r="E7259">
            <v>489537.78299999994</v>
          </cell>
          <cell r="F7259">
            <v>7</v>
          </cell>
        </row>
        <row r="7260">
          <cell r="A7260">
            <v>2019</v>
          </cell>
          <cell r="B7260" t="str">
            <v>Actual</v>
          </cell>
          <cell r="C7260" t="str">
            <v>Jul</v>
          </cell>
          <cell r="D7260" t="str">
            <v>Kitchen</v>
          </cell>
          <cell r="E7260">
            <v>439678.26699999999</v>
          </cell>
          <cell r="F7260">
            <v>7</v>
          </cell>
        </row>
        <row r="7261">
          <cell r="A7261">
            <v>2019</v>
          </cell>
          <cell r="B7261" t="str">
            <v>Budget</v>
          </cell>
          <cell r="C7261" t="str">
            <v>Jul</v>
          </cell>
          <cell r="D7261" t="str">
            <v>Chairs</v>
          </cell>
          <cell r="E7261">
            <v>446703.06799999997</v>
          </cell>
          <cell r="F7261">
            <v>7</v>
          </cell>
        </row>
        <row r="7262">
          <cell r="A7262">
            <v>2019</v>
          </cell>
          <cell r="B7262" t="str">
            <v>Actual</v>
          </cell>
          <cell r="C7262" t="str">
            <v>Jul</v>
          </cell>
          <cell r="D7262" t="str">
            <v>Chairs</v>
          </cell>
          <cell r="E7262">
            <v>223881.42699999997</v>
          </cell>
          <cell r="F7262">
            <v>7</v>
          </cell>
        </row>
        <row r="7263">
          <cell r="A7263">
            <v>2018</v>
          </cell>
          <cell r="B7263" t="str">
            <v>Budget</v>
          </cell>
          <cell r="C7263" t="str">
            <v>Jul</v>
          </cell>
          <cell r="D7263" t="str">
            <v>Chairs</v>
          </cell>
          <cell r="E7263">
            <v>14570.359999999999</v>
          </cell>
          <cell r="F7263">
            <v>7</v>
          </cell>
        </row>
        <row r="7264">
          <cell r="A7264">
            <v>2018</v>
          </cell>
          <cell r="B7264" t="str">
            <v>Actual</v>
          </cell>
          <cell r="C7264" t="str">
            <v>Jul</v>
          </cell>
          <cell r="D7264" t="str">
            <v>Chairs</v>
          </cell>
          <cell r="E7264">
            <v>3908.982</v>
          </cell>
          <cell r="F7264">
            <v>7</v>
          </cell>
        </row>
        <row r="7265">
          <cell r="A7265">
            <v>2019</v>
          </cell>
          <cell r="B7265" t="str">
            <v>Budget</v>
          </cell>
          <cell r="C7265" t="str">
            <v>Jul</v>
          </cell>
          <cell r="D7265" t="str">
            <v>Chairs</v>
          </cell>
          <cell r="E7265">
            <v>21342.012999999999</v>
          </cell>
          <cell r="F7265">
            <v>7</v>
          </cell>
        </row>
        <row r="7266">
          <cell r="A7266">
            <v>2019</v>
          </cell>
          <cell r="B7266" t="str">
            <v>Actual</v>
          </cell>
          <cell r="C7266" t="str">
            <v>Jul</v>
          </cell>
          <cell r="D7266" t="str">
            <v>Chairs</v>
          </cell>
          <cell r="E7266">
            <v>473355.19699999993</v>
          </cell>
          <cell r="F7266">
            <v>7</v>
          </cell>
        </row>
        <row r="7267">
          <cell r="A7267">
            <v>2018</v>
          </cell>
          <cell r="B7267" t="str">
            <v>Budget</v>
          </cell>
          <cell r="C7267" t="str">
            <v>Jul</v>
          </cell>
          <cell r="D7267" t="str">
            <v>Chairs</v>
          </cell>
          <cell r="E7267">
            <v>552610.44299999997</v>
          </cell>
          <cell r="F7267">
            <v>7</v>
          </cell>
        </row>
        <row r="7268">
          <cell r="A7268">
            <v>2019</v>
          </cell>
          <cell r="B7268" t="str">
            <v>Actual</v>
          </cell>
          <cell r="C7268" t="str">
            <v>Jul</v>
          </cell>
          <cell r="D7268" t="str">
            <v>Chairs</v>
          </cell>
          <cell r="E7268">
            <v>294633.05199999997</v>
          </cell>
          <cell r="F7268">
            <v>7</v>
          </cell>
        </row>
        <row r="7269">
          <cell r="A7269">
            <v>2018</v>
          </cell>
          <cell r="B7269" t="str">
            <v>Budget</v>
          </cell>
          <cell r="C7269" t="str">
            <v>Jul</v>
          </cell>
          <cell r="D7269" t="str">
            <v>Chairs</v>
          </cell>
          <cell r="E7269">
            <v>331259.05399999995</v>
          </cell>
          <cell r="F7269">
            <v>7</v>
          </cell>
        </row>
        <row r="7270">
          <cell r="A7270">
            <v>2018</v>
          </cell>
          <cell r="B7270" t="str">
            <v>Actual</v>
          </cell>
          <cell r="C7270" t="str">
            <v>Jul</v>
          </cell>
          <cell r="D7270" t="str">
            <v>Chairs</v>
          </cell>
          <cell r="E7270">
            <v>424745.00599999994</v>
          </cell>
          <cell r="F7270">
            <v>7</v>
          </cell>
        </row>
        <row r="7271">
          <cell r="A7271">
            <v>2018</v>
          </cell>
          <cell r="B7271" t="str">
            <v>Budget</v>
          </cell>
          <cell r="C7271" t="str">
            <v>Jul</v>
          </cell>
          <cell r="D7271" t="str">
            <v>Chairs</v>
          </cell>
          <cell r="E7271">
            <v>259904.02899999995</v>
          </cell>
          <cell r="F7271">
            <v>7</v>
          </cell>
        </row>
        <row r="7272">
          <cell r="A7272">
            <v>2019</v>
          </cell>
          <cell r="B7272" t="str">
            <v>Actual</v>
          </cell>
          <cell r="C7272" t="str">
            <v>Jul</v>
          </cell>
          <cell r="D7272" t="str">
            <v>Chairs</v>
          </cell>
          <cell r="E7272">
            <v>62236.453999999998</v>
          </cell>
          <cell r="F7272">
            <v>7</v>
          </cell>
        </row>
        <row r="7273">
          <cell r="A7273">
            <v>2018</v>
          </cell>
          <cell r="B7273" t="str">
            <v>Budget</v>
          </cell>
          <cell r="C7273" t="str">
            <v>Jul</v>
          </cell>
          <cell r="D7273" t="str">
            <v>Chairs</v>
          </cell>
          <cell r="E7273">
            <v>7879.0809999999992</v>
          </cell>
          <cell r="F7273">
            <v>7</v>
          </cell>
        </row>
        <row r="7274">
          <cell r="A7274">
            <v>2019</v>
          </cell>
          <cell r="B7274" t="str">
            <v>Actual</v>
          </cell>
          <cell r="C7274" t="str">
            <v>Jul</v>
          </cell>
          <cell r="D7274" t="str">
            <v>Chairs</v>
          </cell>
          <cell r="E7274">
            <v>119666.4</v>
          </cell>
          <cell r="F7274">
            <v>7</v>
          </cell>
        </row>
        <row r="7275">
          <cell r="A7275">
            <v>2018</v>
          </cell>
          <cell r="B7275" t="str">
            <v>Budget</v>
          </cell>
          <cell r="C7275" t="str">
            <v>Jul</v>
          </cell>
          <cell r="D7275" t="str">
            <v>Chairs</v>
          </cell>
          <cell r="E7275">
            <v>19779.570999999996</v>
          </cell>
          <cell r="F7275">
            <v>7</v>
          </cell>
        </row>
        <row r="7276">
          <cell r="A7276">
            <v>2019</v>
          </cell>
          <cell r="B7276" t="str">
            <v>Actual</v>
          </cell>
          <cell r="C7276" t="str">
            <v>Jul</v>
          </cell>
          <cell r="D7276" t="str">
            <v>Chairs</v>
          </cell>
          <cell r="E7276">
            <v>124137.85999999999</v>
          </cell>
          <cell r="F7276">
            <v>7</v>
          </cell>
        </row>
        <row r="7277">
          <cell r="A7277">
            <v>2019</v>
          </cell>
          <cell r="B7277" t="str">
            <v>Budget</v>
          </cell>
          <cell r="C7277" t="str">
            <v>Jul</v>
          </cell>
          <cell r="D7277" t="str">
            <v>Chairs</v>
          </cell>
          <cell r="E7277">
            <v>418357.00199999998</v>
          </cell>
          <cell r="F7277">
            <v>7</v>
          </cell>
        </row>
        <row r="7278">
          <cell r="A7278">
            <v>2019</v>
          </cell>
          <cell r="B7278" t="str">
            <v>Actual</v>
          </cell>
          <cell r="C7278" t="str">
            <v>Jul</v>
          </cell>
          <cell r="D7278" t="str">
            <v>Chairs</v>
          </cell>
          <cell r="E7278">
            <v>583845.34600000002</v>
          </cell>
          <cell r="F7278">
            <v>7</v>
          </cell>
        </row>
        <row r="7279">
          <cell r="A7279">
            <v>2019</v>
          </cell>
          <cell r="B7279" t="str">
            <v>Budget</v>
          </cell>
          <cell r="C7279" t="str">
            <v>Jul</v>
          </cell>
          <cell r="D7279" t="str">
            <v>Chairs</v>
          </cell>
          <cell r="E7279">
            <v>18346.775999999998</v>
          </cell>
          <cell r="F7279">
            <v>7</v>
          </cell>
        </row>
        <row r="7280">
          <cell r="A7280">
            <v>2019</v>
          </cell>
          <cell r="B7280" t="str">
            <v>Actual</v>
          </cell>
          <cell r="C7280" t="str">
            <v>Jul</v>
          </cell>
          <cell r="D7280" t="str">
            <v>Chairs</v>
          </cell>
          <cell r="E7280">
            <v>74688.914999999994</v>
          </cell>
          <cell r="F7280">
            <v>7</v>
          </cell>
        </row>
        <row r="7281">
          <cell r="A7281">
            <v>2019</v>
          </cell>
          <cell r="B7281" t="str">
            <v>Budget</v>
          </cell>
          <cell r="C7281" t="str">
            <v>Jul</v>
          </cell>
          <cell r="D7281" t="str">
            <v>Chairs</v>
          </cell>
          <cell r="E7281">
            <v>17691.743999999999</v>
          </cell>
          <cell r="F7281">
            <v>7</v>
          </cell>
        </row>
        <row r="7282">
          <cell r="A7282">
            <v>2018</v>
          </cell>
          <cell r="B7282" t="str">
            <v>Actual</v>
          </cell>
          <cell r="C7282" t="str">
            <v>Jul</v>
          </cell>
          <cell r="D7282" t="str">
            <v>Chairs</v>
          </cell>
          <cell r="E7282">
            <v>305251.42899999995</v>
          </cell>
          <cell r="F7282">
            <v>7</v>
          </cell>
        </row>
        <row r="7283">
          <cell r="A7283">
            <v>2018</v>
          </cell>
          <cell r="B7283" t="str">
            <v>Budget</v>
          </cell>
          <cell r="C7283" t="str">
            <v>Jul</v>
          </cell>
          <cell r="D7283" t="str">
            <v>Chairs</v>
          </cell>
          <cell r="E7283">
            <v>239169.93099999998</v>
          </cell>
          <cell r="F7283">
            <v>7</v>
          </cell>
        </row>
        <row r="7284">
          <cell r="A7284">
            <v>2018</v>
          </cell>
          <cell r="B7284" t="str">
            <v>Actual</v>
          </cell>
          <cell r="C7284" t="str">
            <v>Jul</v>
          </cell>
          <cell r="D7284" t="str">
            <v>Chairs</v>
          </cell>
          <cell r="E7284">
            <v>437466.33</v>
          </cell>
          <cell r="F7284">
            <v>7</v>
          </cell>
        </row>
        <row r="7285">
          <cell r="A7285">
            <v>2019</v>
          </cell>
          <cell r="B7285" t="str">
            <v>Budget</v>
          </cell>
          <cell r="C7285" t="str">
            <v>Jul</v>
          </cell>
          <cell r="D7285" t="str">
            <v>Chairs</v>
          </cell>
          <cell r="E7285">
            <v>448954.93999999994</v>
          </cell>
          <cell r="F7285">
            <v>7</v>
          </cell>
        </row>
        <row r="7286">
          <cell r="A7286">
            <v>2019</v>
          </cell>
          <cell r="B7286" t="str">
            <v>Actual</v>
          </cell>
          <cell r="C7286" t="str">
            <v>Jul</v>
          </cell>
          <cell r="D7286" t="str">
            <v>Chairs</v>
          </cell>
          <cell r="E7286">
            <v>891894.14999999991</v>
          </cell>
          <cell r="F7286">
            <v>7</v>
          </cell>
        </row>
        <row r="7287">
          <cell r="A7287">
            <v>2019</v>
          </cell>
          <cell r="B7287" t="str">
            <v>Budget</v>
          </cell>
          <cell r="C7287" t="str">
            <v>Jul</v>
          </cell>
          <cell r="D7287" t="str">
            <v>Tables</v>
          </cell>
          <cell r="E7287">
            <v>27177.541999999998</v>
          </cell>
          <cell r="F7287">
            <v>7</v>
          </cell>
        </row>
        <row r="7288">
          <cell r="A7288">
            <v>2019</v>
          </cell>
          <cell r="B7288" t="str">
            <v>Actual</v>
          </cell>
          <cell r="C7288" t="str">
            <v>Jul</v>
          </cell>
          <cell r="D7288" t="str">
            <v>Kitchen</v>
          </cell>
          <cell r="E7288">
            <v>55467.272000000004</v>
          </cell>
          <cell r="F7288">
            <v>7</v>
          </cell>
        </row>
        <row r="7289">
          <cell r="A7289">
            <v>2019</v>
          </cell>
          <cell r="B7289" t="str">
            <v>Budget</v>
          </cell>
          <cell r="C7289" t="str">
            <v>Jul</v>
          </cell>
          <cell r="D7289" t="str">
            <v>Chairs</v>
          </cell>
          <cell r="E7289">
            <v>20172.606999999996</v>
          </cell>
          <cell r="F7289">
            <v>7</v>
          </cell>
        </row>
        <row r="7290">
          <cell r="A7290">
            <v>2019</v>
          </cell>
          <cell r="B7290" t="str">
            <v>Actual</v>
          </cell>
          <cell r="C7290" t="str">
            <v>Jul</v>
          </cell>
          <cell r="D7290" t="str">
            <v>Chairs</v>
          </cell>
          <cell r="E7290">
            <v>99342.942999999985</v>
          </cell>
          <cell r="F7290">
            <v>7</v>
          </cell>
        </row>
        <row r="7291">
          <cell r="A7291">
            <v>2019</v>
          </cell>
          <cell r="B7291" t="str">
            <v>Budget</v>
          </cell>
          <cell r="C7291" t="str">
            <v>Jul</v>
          </cell>
          <cell r="D7291" t="str">
            <v>Chairs</v>
          </cell>
          <cell r="E7291">
            <v>96896.904999999984</v>
          </cell>
          <cell r="F7291">
            <v>7</v>
          </cell>
        </row>
        <row r="7292">
          <cell r="A7292">
            <v>2018</v>
          </cell>
          <cell r="B7292" t="str">
            <v>Actual</v>
          </cell>
          <cell r="C7292" t="str">
            <v>Jul</v>
          </cell>
          <cell r="D7292" t="str">
            <v>Chairs</v>
          </cell>
          <cell r="E7292">
            <v>132175.97399999999</v>
          </cell>
          <cell r="F7292">
            <v>7</v>
          </cell>
        </row>
        <row r="7293">
          <cell r="A7293">
            <v>2018</v>
          </cell>
          <cell r="B7293" t="str">
            <v>Budget</v>
          </cell>
          <cell r="C7293" t="str">
            <v>Jul</v>
          </cell>
          <cell r="D7293" t="str">
            <v>Chairs</v>
          </cell>
          <cell r="E7293">
            <v>217013.88099999999</v>
          </cell>
          <cell r="F7293">
            <v>7</v>
          </cell>
        </row>
        <row r="7294">
          <cell r="A7294">
            <v>2019</v>
          </cell>
          <cell r="B7294" t="str">
            <v>Actual</v>
          </cell>
          <cell r="C7294" t="str">
            <v>Jul</v>
          </cell>
          <cell r="D7294" t="str">
            <v>Tables</v>
          </cell>
          <cell r="E7294">
            <v>30128.636999999999</v>
          </cell>
          <cell r="F7294">
            <v>7</v>
          </cell>
        </row>
        <row r="7295">
          <cell r="A7295">
            <v>2019</v>
          </cell>
          <cell r="B7295" t="str">
            <v>Budget</v>
          </cell>
          <cell r="C7295" t="str">
            <v>Jul</v>
          </cell>
          <cell r="D7295" t="str">
            <v>Kitchen</v>
          </cell>
          <cell r="E7295">
            <v>172003.89499999999</v>
          </cell>
          <cell r="F7295">
            <v>7</v>
          </cell>
        </row>
        <row r="7296">
          <cell r="A7296">
            <v>2019</v>
          </cell>
          <cell r="B7296" t="str">
            <v>Actual</v>
          </cell>
          <cell r="C7296" t="str">
            <v>Jul</v>
          </cell>
          <cell r="D7296" t="str">
            <v>Chairs</v>
          </cell>
          <cell r="E7296">
            <v>26406.834999999999</v>
          </cell>
          <cell r="F7296">
            <v>7</v>
          </cell>
        </row>
        <row r="7297">
          <cell r="A7297">
            <v>2019</v>
          </cell>
          <cell r="B7297" t="str">
            <v>Budget</v>
          </cell>
          <cell r="C7297" t="str">
            <v>Jul</v>
          </cell>
          <cell r="D7297" t="str">
            <v>Chairs</v>
          </cell>
          <cell r="E7297">
            <v>8671.0679999999993</v>
          </cell>
          <cell r="F7297">
            <v>7</v>
          </cell>
        </row>
        <row r="7298">
          <cell r="A7298">
            <v>2019</v>
          </cell>
          <cell r="B7298" t="str">
            <v>Actual</v>
          </cell>
          <cell r="C7298" t="str">
            <v>Jul</v>
          </cell>
          <cell r="D7298" t="str">
            <v>Chairs</v>
          </cell>
          <cell r="E7298">
            <v>19467.706999999999</v>
          </cell>
          <cell r="F7298">
            <v>7</v>
          </cell>
        </row>
        <row r="7299">
          <cell r="A7299">
            <v>2019</v>
          </cell>
          <cell r="B7299" t="str">
            <v>Budget</v>
          </cell>
          <cell r="C7299" t="str">
            <v>Jul</v>
          </cell>
          <cell r="D7299" t="str">
            <v>Tables</v>
          </cell>
          <cell r="E7299">
            <v>31629.338999999996</v>
          </cell>
          <cell r="F7299">
            <v>7</v>
          </cell>
        </row>
        <row r="7300">
          <cell r="A7300">
            <v>2018</v>
          </cell>
          <cell r="B7300" t="str">
            <v>Actual</v>
          </cell>
          <cell r="C7300" t="str">
            <v>Jul</v>
          </cell>
          <cell r="D7300" t="str">
            <v>Kitchen</v>
          </cell>
          <cell r="E7300">
            <v>47458.522999999994</v>
          </cell>
          <cell r="F7300">
            <v>7</v>
          </cell>
        </row>
        <row r="7301">
          <cell r="A7301">
            <v>2019</v>
          </cell>
          <cell r="B7301" t="str">
            <v>Budget</v>
          </cell>
          <cell r="C7301" t="str">
            <v>Jul</v>
          </cell>
          <cell r="D7301" t="str">
            <v>Chairs</v>
          </cell>
          <cell r="E7301">
            <v>90353.843999999997</v>
          </cell>
          <cell r="F7301">
            <v>7</v>
          </cell>
        </row>
        <row r="7302">
          <cell r="A7302">
            <v>2019</v>
          </cell>
          <cell r="B7302" t="str">
            <v>Actual</v>
          </cell>
          <cell r="C7302" t="str">
            <v>Jul</v>
          </cell>
          <cell r="D7302" t="str">
            <v>Chairs</v>
          </cell>
          <cell r="E7302">
            <v>17253.39</v>
          </cell>
          <cell r="F7302">
            <v>7</v>
          </cell>
        </row>
        <row r="7303">
          <cell r="A7303">
            <v>2018</v>
          </cell>
          <cell r="B7303" t="str">
            <v>Budget</v>
          </cell>
          <cell r="C7303" t="str">
            <v>Jul</v>
          </cell>
          <cell r="D7303" t="str">
            <v>Tables</v>
          </cell>
          <cell r="E7303">
            <v>52715.522999999994</v>
          </cell>
          <cell r="F7303">
            <v>7</v>
          </cell>
        </row>
        <row r="7304">
          <cell r="A7304">
            <v>2019</v>
          </cell>
          <cell r="B7304" t="str">
            <v>Actual</v>
          </cell>
          <cell r="C7304" t="str">
            <v>Jul</v>
          </cell>
          <cell r="D7304" t="str">
            <v>Kitchen</v>
          </cell>
          <cell r="E7304">
            <v>39875.317999999999</v>
          </cell>
          <cell r="F7304">
            <v>7</v>
          </cell>
        </row>
        <row r="7305">
          <cell r="A7305">
            <v>2018</v>
          </cell>
          <cell r="B7305" t="str">
            <v>Budget</v>
          </cell>
          <cell r="C7305" t="str">
            <v>Jul</v>
          </cell>
          <cell r="D7305" t="str">
            <v>Chairs</v>
          </cell>
          <cell r="E7305">
            <v>62348.376999999993</v>
          </cell>
          <cell r="F7305">
            <v>7</v>
          </cell>
        </row>
        <row r="7306">
          <cell r="A7306">
            <v>2018</v>
          </cell>
          <cell r="B7306" t="str">
            <v>Actual</v>
          </cell>
          <cell r="C7306" t="str">
            <v>Jul</v>
          </cell>
          <cell r="D7306" t="str">
            <v>Chairs</v>
          </cell>
          <cell r="E7306">
            <v>93470.012999999992</v>
          </cell>
          <cell r="F7306">
            <v>7</v>
          </cell>
        </row>
        <row r="7307">
          <cell r="A7307">
            <v>2018</v>
          </cell>
          <cell r="B7307" t="str">
            <v>Budget</v>
          </cell>
          <cell r="C7307" t="str">
            <v>Jul</v>
          </cell>
          <cell r="D7307" t="str">
            <v>Chairs</v>
          </cell>
          <cell r="E7307">
            <v>712095.8949999999</v>
          </cell>
          <cell r="F7307">
            <v>7</v>
          </cell>
        </row>
        <row r="7308">
          <cell r="A7308">
            <v>2018</v>
          </cell>
          <cell r="B7308" t="str">
            <v>Actual</v>
          </cell>
          <cell r="C7308" t="str">
            <v>Jul</v>
          </cell>
          <cell r="D7308" t="str">
            <v>Tables</v>
          </cell>
          <cell r="E7308">
            <v>472405.76599999995</v>
          </cell>
          <cell r="F7308">
            <v>7</v>
          </cell>
        </row>
        <row r="7309">
          <cell r="A7309">
            <v>2018</v>
          </cell>
          <cell r="B7309" t="str">
            <v>Budget</v>
          </cell>
          <cell r="C7309" t="str">
            <v>Jul</v>
          </cell>
          <cell r="D7309" t="str">
            <v>Kitchen</v>
          </cell>
          <cell r="E7309">
            <v>146031.571</v>
          </cell>
          <cell r="F7309">
            <v>7</v>
          </cell>
        </row>
        <row r="7310">
          <cell r="A7310">
            <v>2018</v>
          </cell>
          <cell r="B7310" t="str">
            <v>Actual</v>
          </cell>
          <cell r="C7310" t="str">
            <v>Jul</v>
          </cell>
          <cell r="D7310" t="str">
            <v>Accessories</v>
          </cell>
          <cell r="E7310">
            <v>260975.13399999999</v>
          </cell>
          <cell r="F7310">
            <v>7</v>
          </cell>
        </row>
        <row r="7311">
          <cell r="A7311">
            <v>2018</v>
          </cell>
          <cell r="B7311" t="str">
            <v>Budget</v>
          </cell>
          <cell r="C7311" t="str">
            <v>Jul</v>
          </cell>
          <cell r="D7311" t="str">
            <v>Chairs</v>
          </cell>
          <cell r="E7311">
            <v>339153.40899999999</v>
          </cell>
          <cell r="F7311">
            <v>7</v>
          </cell>
        </row>
        <row r="7312">
          <cell r="A7312">
            <v>2018</v>
          </cell>
          <cell r="B7312" t="str">
            <v>Actual</v>
          </cell>
          <cell r="C7312" t="str">
            <v>Jul</v>
          </cell>
          <cell r="D7312" t="str">
            <v>Tables</v>
          </cell>
          <cell r="E7312">
            <v>219881.22100000002</v>
          </cell>
          <cell r="F7312">
            <v>7</v>
          </cell>
        </row>
        <row r="7313">
          <cell r="A7313">
            <v>2019</v>
          </cell>
          <cell r="B7313" t="str">
            <v>Budget</v>
          </cell>
          <cell r="C7313" t="str">
            <v>Jul</v>
          </cell>
          <cell r="D7313" t="str">
            <v>Kitchen</v>
          </cell>
          <cell r="E7313">
            <v>470251.37599999999</v>
          </cell>
          <cell r="F7313">
            <v>7</v>
          </cell>
        </row>
        <row r="7314">
          <cell r="A7314">
            <v>2018</v>
          </cell>
          <cell r="B7314" t="str">
            <v>Actual</v>
          </cell>
          <cell r="C7314" t="str">
            <v>Jul</v>
          </cell>
          <cell r="D7314" t="str">
            <v>Accessories</v>
          </cell>
          <cell r="E7314">
            <v>659401.21099999989</v>
          </cell>
          <cell r="F7314">
            <v>7</v>
          </cell>
        </row>
        <row r="7315">
          <cell r="A7315">
            <v>2018</v>
          </cell>
          <cell r="B7315" t="str">
            <v>Budget</v>
          </cell>
          <cell r="C7315" t="str">
            <v>Jul</v>
          </cell>
          <cell r="D7315" t="str">
            <v>Chairs</v>
          </cell>
          <cell r="E7315">
            <v>223769.014</v>
          </cell>
          <cell r="F7315">
            <v>7</v>
          </cell>
        </row>
        <row r="7316">
          <cell r="A7316">
            <v>2018</v>
          </cell>
          <cell r="B7316" t="str">
            <v>Actual</v>
          </cell>
          <cell r="C7316" t="str">
            <v>Jul</v>
          </cell>
          <cell r="D7316" t="str">
            <v>Tables</v>
          </cell>
          <cell r="E7316">
            <v>51322.487999999998</v>
          </cell>
          <cell r="F7316">
            <v>7</v>
          </cell>
        </row>
        <row r="7317">
          <cell r="A7317">
            <v>2018</v>
          </cell>
          <cell r="B7317" t="str">
            <v>Budget</v>
          </cell>
          <cell r="C7317" t="str">
            <v>Jul</v>
          </cell>
          <cell r="D7317" t="str">
            <v>Kitchen</v>
          </cell>
          <cell r="E7317">
            <v>136750.677</v>
          </cell>
          <cell r="F7317">
            <v>7</v>
          </cell>
        </row>
        <row r="7318">
          <cell r="A7318">
            <v>2019</v>
          </cell>
          <cell r="B7318" t="str">
            <v>Actual</v>
          </cell>
          <cell r="C7318" t="str">
            <v>Jul</v>
          </cell>
          <cell r="D7318" t="str">
            <v>Accessories</v>
          </cell>
          <cell r="E7318">
            <v>47031.536999999997</v>
          </cell>
          <cell r="F7318">
            <v>7</v>
          </cell>
        </row>
        <row r="7319">
          <cell r="A7319">
            <v>2019</v>
          </cell>
          <cell r="B7319" t="str">
            <v>Budget</v>
          </cell>
          <cell r="C7319" t="str">
            <v>Jul</v>
          </cell>
          <cell r="D7319" t="str">
            <v>Chairs</v>
          </cell>
          <cell r="E7319">
            <v>888655.60699999996</v>
          </cell>
          <cell r="F7319">
            <v>7</v>
          </cell>
        </row>
        <row r="7320">
          <cell r="A7320">
            <v>2019</v>
          </cell>
          <cell r="B7320" t="str">
            <v>Actual</v>
          </cell>
          <cell r="C7320" t="str">
            <v>Jul</v>
          </cell>
          <cell r="D7320" t="str">
            <v>Tables</v>
          </cell>
          <cell r="E7320">
            <v>210385.65099999998</v>
          </cell>
          <cell r="F7320">
            <v>7</v>
          </cell>
        </row>
        <row r="7321">
          <cell r="A7321">
            <v>2019</v>
          </cell>
          <cell r="B7321" t="str">
            <v>Budget</v>
          </cell>
          <cell r="C7321" t="str">
            <v>Jul</v>
          </cell>
          <cell r="D7321" t="str">
            <v>Kitchen</v>
          </cell>
          <cell r="E7321">
            <v>120656.50799999999</v>
          </cell>
          <cell r="F7321">
            <v>7</v>
          </cell>
        </row>
        <row r="7322">
          <cell r="A7322">
            <v>2018</v>
          </cell>
          <cell r="B7322" t="str">
            <v>Actual</v>
          </cell>
          <cell r="C7322" t="str">
            <v>Jul</v>
          </cell>
          <cell r="D7322" t="str">
            <v>Accessories</v>
          </cell>
          <cell r="E7322">
            <v>48539.75</v>
          </cell>
          <cell r="F7322">
            <v>7</v>
          </cell>
        </row>
        <row r="7323">
          <cell r="A7323">
            <v>2019</v>
          </cell>
          <cell r="B7323" t="str">
            <v>Budget</v>
          </cell>
          <cell r="C7323" t="str">
            <v>Jul</v>
          </cell>
          <cell r="D7323" t="str">
            <v>Chairs</v>
          </cell>
          <cell r="E7323">
            <v>626700.76</v>
          </cell>
          <cell r="F7323">
            <v>7</v>
          </cell>
        </row>
        <row r="7324">
          <cell r="A7324">
            <v>2019</v>
          </cell>
          <cell r="B7324" t="str">
            <v>Actual</v>
          </cell>
          <cell r="C7324" t="str">
            <v>Jul</v>
          </cell>
          <cell r="D7324" t="str">
            <v>Chairs</v>
          </cell>
          <cell r="E7324">
            <v>23119.578999999998</v>
          </cell>
          <cell r="F7324">
            <v>7</v>
          </cell>
        </row>
        <row r="7325">
          <cell r="A7325">
            <v>2019</v>
          </cell>
          <cell r="B7325" t="str">
            <v>Budget</v>
          </cell>
          <cell r="C7325" t="str">
            <v>Jul</v>
          </cell>
          <cell r="D7325" t="str">
            <v>Tables</v>
          </cell>
          <cell r="E7325">
            <v>144275.117</v>
          </cell>
          <cell r="F7325">
            <v>7</v>
          </cell>
        </row>
        <row r="7326">
          <cell r="A7326">
            <v>2018</v>
          </cell>
          <cell r="B7326" t="str">
            <v>Actual</v>
          </cell>
          <cell r="C7326" t="str">
            <v>Jul</v>
          </cell>
          <cell r="D7326" t="str">
            <v>Kitchen</v>
          </cell>
          <cell r="E7326">
            <v>6612.4589999999998</v>
          </cell>
          <cell r="F7326">
            <v>7</v>
          </cell>
        </row>
        <row r="7327">
          <cell r="A7327">
            <v>2019</v>
          </cell>
          <cell r="B7327" t="str">
            <v>Budget</v>
          </cell>
          <cell r="C7327" t="str">
            <v>Jul</v>
          </cell>
          <cell r="D7327" t="str">
            <v>Chairs</v>
          </cell>
          <cell r="E7327">
            <v>-51295.097000000002</v>
          </cell>
          <cell r="F7327">
            <v>7</v>
          </cell>
        </row>
        <row r="7328">
          <cell r="A7328">
            <v>2018</v>
          </cell>
          <cell r="B7328" t="str">
            <v>Actual</v>
          </cell>
          <cell r="C7328" t="str">
            <v>Jul</v>
          </cell>
          <cell r="D7328" t="str">
            <v>Tables</v>
          </cell>
          <cell r="E7328">
            <v>53234.50299999999</v>
          </cell>
          <cell r="F7328">
            <v>7</v>
          </cell>
        </row>
        <row r="7329">
          <cell r="A7329">
            <v>2018</v>
          </cell>
          <cell r="B7329" t="str">
            <v>Budget</v>
          </cell>
          <cell r="C7329" t="str">
            <v>Jul</v>
          </cell>
          <cell r="D7329" t="str">
            <v>Kitchen</v>
          </cell>
          <cell r="E7329">
            <v>43692.473999999995</v>
          </cell>
          <cell r="F7329">
            <v>7</v>
          </cell>
        </row>
        <row r="7330">
          <cell r="A7330">
            <v>2019</v>
          </cell>
          <cell r="B7330" t="str">
            <v>Actual</v>
          </cell>
          <cell r="C7330" t="str">
            <v>Jul</v>
          </cell>
          <cell r="D7330" t="str">
            <v>Chairs</v>
          </cell>
          <cell r="E7330">
            <v>148777.258</v>
          </cell>
          <cell r="F7330">
            <v>7</v>
          </cell>
        </row>
        <row r="7331">
          <cell r="A7331">
            <v>2018</v>
          </cell>
          <cell r="B7331" t="str">
            <v>Budget</v>
          </cell>
          <cell r="C7331" t="str">
            <v>Jul</v>
          </cell>
          <cell r="D7331" t="str">
            <v>Tables</v>
          </cell>
          <cell r="E7331">
            <v>106522.52800000001</v>
          </cell>
          <cell r="F7331">
            <v>7</v>
          </cell>
        </row>
        <row r="7332">
          <cell r="A7332">
            <v>2018</v>
          </cell>
          <cell r="B7332" t="str">
            <v>Actual</v>
          </cell>
          <cell r="C7332" t="str">
            <v>Jul</v>
          </cell>
          <cell r="D7332" t="str">
            <v>Kitchen</v>
          </cell>
          <cell r="E7332">
            <v>1855.2029999999997</v>
          </cell>
          <cell r="F7332">
            <v>7</v>
          </cell>
        </row>
        <row r="7333">
          <cell r="A7333">
            <v>2019</v>
          </cell>
          <cell r="B7333" t="str">
            <v>Budget</v>
          </cell>
          <cell r="C7333" t="str">
            <v>Jul</v>
          </cell>
          <cell r="D7333" t="str">
            <v>Chairs</v>
          </cell>
          <cell r="E7333">
            <v>79649.884999999995</v>
          </cell>
          <cell r="F7333">
            <v>7</v>
          </cell>
        </row>
        <row r="7334">
          <cell r="A7334">
            <v>2019</v>
          </cell>
          <cell r="B7334" t="str">
            <v>Actual</v>
          </cell>
          <cell r="C7334" t="str">
            <v>Jul</v>
          </cell>
          <cell r="D7334" t="str">
            <v>Chairs</v>
          </cell>
          <cell r="E7334">
            <v>218518.05499999999</v>
          </cell>
          <cell r="F7334">
            <v>7</v>
          </cell>
        </row>
        <row r="7335">
          <cell r="A7335">
            <v>2018</v>
          </cell>
          <cell r="B7335" t="str">
            <v>Budget</v>
          </cell>
          <cell r="C7335" t="str">
            <v>Jul</v>
          </cell>
          <cell r="D7335" t="str">
            <v>Chairs</v>
          </cell>
          <cell r="E7335">
            <v>198404.31099999999</v>
          </cell>
          <cell r="F7335">
            <v>7</v>
          </cell>
        </row>
        <row r="7336">
          <cell r="A7336">
            <v>2019</v>
          </cell>
          <cell r="B7336" t="str">
            <v>Actual</v>
          </cell>
          <cell r="C7336" t="str">
            <v>Jul</v>
          </cell>
          <cell r="D7336" t="str">
            <v>Chairs</v>
          </cell>
          <cell r="E7336">
            <v>-28261.267999999996</v>
          </cell>
          <cell r="F7336">
            <v>7</v>
          </cell>
        </row>
        <row r="7337">
          <cell r="A7337">
            <v>2018</v>
          </cell>
          <cell r="B7337" t="str">
            <v>Budget</v>
          </cell>
          <cell r="C7337" t="str">
            <v>Jul</v>
          </cell>
          <cell r="D7337" t="str">
            <v>Chairs</v>
          </cell>
          <cell r="E7337">
            <v>35963.367999999995</v>
          </cell>
          <cell r="F7337">
            <v>7</v>
          </cell>
        </row>
        <row r="7338">
          <cell r="A7338">
            <v>2018</v>
          </cell>
          <cell r="B7338" t="str">
            <v>Actual</v>
          </cell>
          <cell r="C7338" t="str">
            <v>Jul</v>
          </cell>
          <cell r="D7338" t="str">
            <v>Chairs</v>
          </cell>
          <cell r="E7338">
            <v>1534037.6169999999</v>
          </cell>
          <cell r="F7338">
            <v>7</v>
          </cell>
        </row>
        <row r="7339">
          <cell r="A7339">
            <v>2019</v>
          </cell>
          <cell r="B7339" t="str">
            <v>Budget</v>
          </cell>
          <cell r="C7339" t="str">
            <v>Jul</v>
          </cell>
          <cell r="D7339" t="str">
            <v>Chairs</v>
          </cell>
          <cell r="E7339">
            <v>160035.204</v>
          </cell>
          <cell r="F7339">
            <v>7</v>
          </cell>
        </row>
        <row r="7340">
          <cell r="A7340">
            <v>2019</v>
          </cell>
          <cell r="B7340" t="str">
            <v>Actual</v>
          </cell>
          <cell r="C7340" t="str">
            <v>Jul</v>
          </cell>
          <cell r="D7340" t="str">
            <v>Chairs</v>
          </cell>
          <cell r="E7340">
            <v>697750.28399999999</v>
          </cell>
          <cell r="F7340">
            <v>7</v>
          </cell>
        </row>
        <row r="7341">
          <cell r="A7341">
            <v>2019</v>
          </cell>
          <cell r="B7341" t="str">
            <v>Budget</v>
          </cell>
          <cell r="C7341" t="str">
            <v>Jul</v>
          </cell>
          <cell r="D7341" t="str">
            <v>Chairs</v>
          </cell>
          <cell r="E7341">
            <v>105363.916</v>
          </cell>
          <cell r="F7341">
            <v>7</v>
          </cell>
        </row>
        <row r="7342">
          <cell r="A7342">
            <v>2019</v>
          </cell>
          <cell r="B7342" t="str">
            <v>Actual</v>
          </cell>
          <cell r="C7342" t="str">
            <v>Jul</v>
          </cell>
          <cell r="D7342" t="str">
            <v>Chairs</v>
          </cell>
          <cell r="E7342">
            <v>71771.14</v>
          </cell>
          <cell r="F7342">
            <v>7</v>
          </cell>
        </row>
        <row r="7343">
          <cell r="A7343">
            <v>2018</v>
          </cell>
          <cell r="B7343" t="str">
            <v>Budget</v>
          </cell>
          <cell r="C7343" t="str">
            <v>Jul</v>
          </cell>
          <cell r="D7343" t="str">
            <v>Chairs</v>
          </cell>
          <cell r="E7343">
            <v>81033.420999999988</v>
          </cell>
          <cell r="F7343">
            <v>7</v>
          </cell>
        </row>
        <row r="7344">
          <cell r="A7344">
            <v>2018</v>
          </cell>
          <cell r="B7344" t="str">
            <v>Actual</v>
          </cell>
          <cell r="C7344" t="str">
            <v>Jul</v>
          </cell>
          <cell r="D7344" t="str">
            <v>Chairs</v>
          </cell>
          <cell r="E7344">
            <v>872941.56599999988</v>
          </cell>
          <cell r="F7344">
            <v>7</v>
          </cell>
        </row>
        <row r="7345">
          <cell r="A7345">
            <v>2019</v>
          </cell>
          <cell r="B7345" t="str">
            <v>Budget</v>
          </cell>
          <cell r="C7345" t="str">
            <v>Jul</v>
          </cell>
          <cell r="D7345" t="str">
            <v>Chairs</v>
          </cell>
          <cell r="E7345">
            <v>3105525.9479999994</v>
          </cell>
          <cell r="F7345">
            <v>7</v>
          </cell>
        </row>
        <row r="7346">
          <cell r="A7346">
            <v>2019</v>
          </cell>
          <cell r="B7346" t="str">
            <v>Actual</v>
          </cell>
          <cell r="C7346" t="str">
            <v>Jul</v>
          </cell>
          <cell r="D7346" t="str">
            <v>Chairs</v>
          </cell>
          <cell r="E7346">
            <v>1116.1499999999999</v>
          </cell>
          <cell r="F7346">
            <v>7</v>
          </cell>
        </row>
        <row r="7347">
          <cell r="A7347">
            <v>2018</v>
          </cell>
          <cell r="B7347" t="str">
            <v>Budget</v>
          </cell>
          <cell r="C7347" t="str">
            <v>Jul</v>
          </cell>
          <cell r="D7347" t="str">
            <v>Chairs</v>
          </cell>
          <cell r="E7347">
            <v>21394.988999999998</v>
          </cell>
          <cell r="F7347">
            <v>7</v>
          </cell>
        </row>
        <row r="7348">
          <cell r="A7348">
            <v>2018</v>
          </cell>
          <cell r="B7348" t="str">
            <v>Actual</v>
          </cell>
          <cell r="C7348" t="str">
            <v>Jul</v>
          </cell>
          <cell r="D7348" t="str">
            <v>Chairs</v>
          </cell>
          <cell r="E7348">
            <v>77536.381999999998</v>
          </cell>
          <cell r="F7348">
            <v>7</v>
          </cell>
        </row>
        <row r="7349">
          <cell r="A7349">
            <v>2019</v>
          </cell>
          <cell r="B7349" t="str">
            <v>Budget</v>
          </cell>
          <cell r="C7349" t="str">
            <v>Jul</v>
          </cell>
          <cell r="D7349" t="str">
            <v>Chairs</v>
          </cell>
          <cell r="E7349">
            <v>-433038.57799999998</v>
          </cell>
          <cell r="F7349">
            <v>7</v>
          </cell>
        </row>
        <row r="7350">
          <cell r="A7350">
            <v>2019</v>
          </cell>
          <cell r="B7350" t="str">
            <v>Actual</v>
          </cell>
          <cell r="C7350" t="str">
            <v>Jul</v>
          </cell>
          <cell r="D7350" t="str">
            <v>Chairs</v>
          </cell>
          <cell r="E7350">
            <v>1763085.1980000001</v>
          </cell>
          <cell r="F7350">
            <v>7</v>
          </cell>
        </row>
        <row r="7351">
          <cell r="A7351">
            <v>2019</v>
          </cell>
          <cell r="B7351" t="str">
            <v>Budget</v>
          </cell>
          <cell r="C7351" t="str">
            <v>Jul</v>
          </cell>
          <cell r="D7351" t="str">
            <v>Chairs</v>
          </cell>
          <cell r="E7351">
            <v>2020090.723</v>
          </cell>
          <cell r="F7351">
            <v>7</v>
          </cell>
        </row>
        <row r="7352">
          <cell r="A7352">
            <v>2019</v>
          </cell>
          <cell r="B7352" t="str">
            <v>Actual</v>
          </cell>
          <cell r="C7352" t="str">
            <v>Jul</v>
          </cell>
          <cell r="D7352" t="str">
            <v>Chairs</v>
          </cell>
          <cell r="E7352">
            <v>-3161.6339999999996</v>
          </cell>
          <cell r="F7352">
            <v>7</v>
          </cell>
        </row>
        <row r="7353">
          <cell r="A7353">
            <v>2018</v>
          </cell>
          <cell r="B7353" t="str">
            <v>Budget</v>
          </cell>
          <cell r="C7353" t="str">
            <v>Jul</v>
          </cell>
          <cell r="D7353" t="str">
            <v>Chairs</v>
          </cell>
          <cell r="E7353">
            <v>776711.43199999991</v>
          </cell>
          <cell r="F7353">
            <v>7</v>
          </cell>
        </row>
        <row r="7354">
          <cell r="A7354">
            <v>2018</v>
          </cell>
          <cell r="B7354" t="str">
            <v>Actual</v>
          </cell>
          <cell r="C7354" t="str">
            <v>Jul</v>
          </cell>
          <cell r="D7354" t="str">
            <v>Chairs</v>
          </cell>
          <cell r="E7354">
            <v>961271.42999999982</v>
          </cell>
          <cell r="F7354">
            <v>7</v>
          </cell>
        </row>
        <row r="7355">
          <cell r="A7355">
            <v>2019</v>
          </cell>
          <cell r="B7355" t="str">
            <v>Budget</v>
          </cell>
          <cell r="C7355" t="str">
            <v>Jul</v>
          </cell>
          <cell r="D7355" t="str">
            <v>Chairs</v>
          </cell>
          <cell r="E7355">
            <v>55332.724999999999</v>
          </cell>
          <cell r="F7355">
            <v>7</v>
          </cell>
        </row>
        <row r="7356">
          <cell r="A7356">
            <v>2019</v>
          </cell>
          <cell r="B7356" t="str">
            <v>Actual</v>
          </cell>
          <cell r="C7356" t="str">
            <v>Jul</v>
          </cell>
          <cell r="D7356" t="str">
            <v>Chairs</v>
          </cell>
          <cell r="E7356">
            <v>92968.938999999984</v>
          </cell>
          <cell r="F7356">
            <v>7</v>
          </cell>
        </row>
        <row r="7357">
          <cell r="A7357">
            <v>2019</v>
          </cell>
          <cell r="B7357" t="str">
            <v>Budget</v>
          </cell>
          <cell r="C7357" t="str">
            <v>Jul</v>
          </cell>
          <cell r="D7357" t="str">
            <v>Chairs</v>
          </cell>
          <cell r="E7357">
            <v>862550.31099999999</v>
          </cell>
          <cell r="F7357">
            <v>7</v>
          </cell>
        </row>
        <row r="7358">
          <cell r="A7358">
            <v>2018</v>
          </cell>
          <cell r="B7358" t="str">
            <v>Actual</v>
          </cell>
          <cell r="C7358" t="str">
            <v>Jul</v>
          </cell>
          <cell r="D7358" t="str">
            <v>Chairs</v>
          </cell>
          <cell r="E7358">
            <v>1102430.8189999999</v>
          </cell>
          <cell r="F7358">
            <v>7</v>
          </cell>
        </row>
        <row r="7359">
          <cell r="A7359">
            <v>2018</v>
          </cell>
          <cell r="B7359" t="str">
            <v>Budget</v>
          </cell>
          <cell r="C7359" t="str">
            <v>Jul</v>
          </cell>
          <cell r="D7359" t="str">
            <v>Tables</v>
          </cell>
          <cell r="E7359">
            <v>96888.441999999995</v>
          </cell>
          <cell r="F7359">
            <v>7</v>
          </cell>
        </row>
        <row r="7360">
          <cell r="A7360">
            <v>2018</v>
          </cell>
          <cell r="B7360" t="str">
            <v>Actual</v>
          </cell>
          <cell r="C7360" t="str">
            <v>Jul</v>
          </cell>
          <cell r="D7360" t="str">
            <v>Kitchen</v>
          </cell>
          <cell r="E7360">
            <v>119559.28599999999</v>
          </cell>
          <cell r="F7360">
            <v>7</v>
          </cell>
        </row>
        <row r="7361">
          <cell r="A7361">
            <v>2018</v>
          </cell>
          <cell r="B7361" t="str">
            <v>Budget</v>
          </cell>
          <cell r="C7361" t="str">
            <v>Jul</v>
          </cell>
          <cell r="D7361" t="str">
            <v>Chairs</v>
          </cell>
          <cell r="E7361">
            <v>205314.93499999997</v>
          </cell>
          <cell r="F7361">
            <v>7</v>
          </cell>
        </row>
        <row r="7362">
          <cell r="A7362">
            <v>2019</v>
          </cell>
          <cell r="B7362" t="str">
            <v>Actual</v>
          </cell>
          <cell r="C7362" t="str">
            <v>Jul</v>
          </cell>
          <cell r="D7362" t="str">
            <v>Chairs</v>
          </cell>
          <cell r="E7362">
            <v>162950.46599999999</v>
          </cell>
          <cell r="F7362">
            <v>7</v>
          </cell>
        </row>
        <row r="7363">
          <cell r="A7363">
            <v>2019</v>
          </cell>
          <cell r="B7363" t="str">
            <v>Budget</v>
          </cell>
          <cell r="C7363" t="str">
            <v>Jul</v>
          </cell>
          <cell r="D7363" t="str">
            <v>Chairs</v>
          </cell>
          <cell r="E7363">
            <v>1253206.1079999998</v>
          </cell>
          <cell r="F7363">
            <v>7</v>
          </cell>
        </row>
        <row r="7364">
          <cell r="A7364">
            <v>2018</v>
          </cell>
          <cell r="B7364" t="str">
            <v>Actual</v>
          </cell>
          <cell r="C7364" t="str">
            <v>Jul</v>
          </cell>
          <cell r="D7364" t="str">
            <v>Chairs</v>
          </cell>
          <cell r="E7364">
            <v>4544584.1559999995</v>
          </cell>
          <cell r="F7364">
            <v>7</v>
          </cell>
        </row>
        <row r="7365">
          <cell r="A7365">
            <v>2018</v>
          </cell>
          <cell r="B7365" t="str">
            <v>Budget</v>
          </cell>
          <cell r="C7365" t="str">
            <v>Jul</v>
          </cell>
          <cell r="D7365" t="str">
            <v>Chairs</v>
          </cell>
          <cell r="E7365">
            <v>-198980.25699999998</v>
          </cell>
          <cell r="F7365">
            <v>7</v>
          </cell>
        </row>
        <row r="7366">
          <cell r="A7366">
            <v>2018</v>
          </cell>
          <cell r="B7366" t="str">
            <v>Actual</v>
          </cell>
          <cell r="C7366" t="str">
            <v>Jul</v>
          </cell>
          <cell r="D7366" t="str">
            <v>Tables</v>
          </cell>
          <cell r="E7366">
            <v>-22611.399999999998</v>
          </cell>
          <cell r="F7366">
            <v>7</v>
          </cell>
        </row>
        <row r="7367">
          <cell r="A7367">
            <v>2018</v>
          </cell>
          <cell r="B7367" t="str">
            <v>Budget</v>
          </cell>
          <cell r="C7367" t="str">
            <v>Jul</v>
          </cell>
          <cell r="D7367" t="str">
            <v>Kitchen</v>
          </cell>
          <cell r="E7367">
            <v>-113640.086</v>
          </cell>
          <cell r="F7367">
            <v>7</v>
          </cell>
        </row>
        <row r="7368">
          <cell r="A7368">
            <v>2018</v>
          </cell>
          <cell r="B7368" t="str">
            <v>Actual</v>
          </cell>
          <cell r="C7368" t="str">
            <v>Jul</v>
          </cell>
          <cell r="D7368" t="str">
            <v>Chairs</v>
          </cell>
          <cell r="E7368">
            <v>-698720.34400000004</v>
          </cell>
          <cell r="F7368">
            <v>7</v>
          </cell>
        </row>
        <row r="7369">
          <cell r="A7369">
            <v>2018</v>
          </cell>
          <cell r="B7369" t="str">
            <v>Budget</v>
          </cell>
          <cell r="C7369" t="str">
            <v>Jul</v>
          </cell>
          <cell r="D7369" t="str">
            <v>Chairs</v>
          </cell>
          <cell r="E7369">
            <v>2109522.4499999997</v>
          </cell>
          <cell r="F7369">
            <v>7</v>
          </cell>
        </row>
        <row r="7370">
          <cell r="A7370">
            <v>2019</v>
          </cell>
          <cell r="B7370" t="str">
            <v>Actual</v>
          </cell>
          <cell r="C7370" t="str">
            <v>Jul</v>
          </cell>
          <cell r="D7370" t="str">
            <v>Chairs</v>
          </cell>
          <cell r="E7370">
            <v>-1712.8579999999999</v>
          </cell>
          <cell r="F7370">
            <v>7</v>
          </cell>
        </row>
        <row r="7371">
          <cell r="A7371">
            <v>2019</v>
          </cell>
          <cell r="B7371" t="str">
            <v>Budget</v>
          </cell>
          <cell r="C7371" t="str">
            <v>Jul</v>
          </cell>
          <cell r="D7371" t="str">
            <v>Tables</v>
          </cell>
          <cell r="E7371">
            <v>3373945.3369999998</v>
          </cell>
          <cell r="F7371">
            <v>7</v>
          </cell>
        </row>
        <row r="7372">
          <cell r="A7372">
            <v>2019</v>
          </cell>
          <cell r="B7372" t="str">
            <v>Actual</v>
          </cell>
          <cell r="C7372" t="str">
            <v>Jul</v>
          </cell>
          <cell r="D7372" t="str">
            <v>Kitchen</v>
          </cell>
          <cell r="E7372">
            <v>179578.79800000001</v>
          </cell>
          <cell r="F7372">
            <v>7</v>
          </cell>
        </row>
        <row r="7373">
          <cell r="A7373">
            <v>2019</v>
          </cell>
          <cell r="B7373" t="str">
            <v>Budget</v>
          </cell>
          <cell r="C7373" t="str">
            <v>Jul</v>
          </cell>
          <cell r="D7373" t="str">
            <v>Chairs</v>
          </cell>
          <cell r="E7373">
            <v>4001.3539999999998</v>
          </cell>
          <cell r="F7373">
            <v>7</v>
          </cell>
        </row>
        <row r="7374">
          <cell r="A7374">
            <v>2018</v>
          </cell>
          <cell r="B7374" t="str">
            <v>Actual</v>
          </cell>
          <cell r="C7374" t="str">
            <v>Jul</v>
          </cell>
          <cell r="D7374" t="str">
            <v>Chairs</v>
          </cell>
          <cell r="E7374">
            <v>16982.105</v>
          </cell>
          <cell r="F7374">
            <v>7</v>
          </cell>
        </row>
        <row r="7375">
          <cell r="A7375">
            <v>2018</v>
          </cell>
          <cell r="B7375" t="str">
            <v>Budget</v>
          </cell>
          <cell r="C7375" t="str">
            <v>Jul</v>
          </cell>
          <cell r="D7375" t="str">
            <v>Tables</v>
          </cell>
          <cell r="E7375">
            <v>152129.78899999999</v>
          </cell>
          <cell r="F7375">
            <v>7</v>
          </cell>
        </row>
        <row r="7376">
          <cell r="A7376">
            <v>2019</v>
          </cell>
          <cell r="B7376" t="str">
            <v>Actual</v>
          </cell>
          <cell r="C7376" t="str">
            <v>Jul</v>
          </cell>
          <cell r="D7376" t="str">
            <v>Kitchen</v>
          </cell>
          <cell r="E7376">
            <v>318626.15399999998</v>
          </cell>
          <cell r="F7376">
            <v>7</v>
          </cell>
        </row>
        <row r="7377">
          <cell r="A7377">
            <v>2018</v>
          </cell>
          <cell r="B7377" t="str">
            <v>Budget</v>
          </cell>
          <cell r="C7377" t="str">
            <v>Jul</v>
          </cell>
          <cell r="D7377" t="str">
            <v>Chairs</v>
          </cell>
          <cell r="E7377">
            <v>51526.125</v>
          </cell>
          <cell r="F7377">
            <v>7</v>
          </cell>
        </row>
        <row r="7378">
          <cell r="A7378">
            <v>2018</v>
          </cell>
          <cell r="B7378" t="str">
            <v>Actual</v>
          </cell>
          <cell r="C7378" t="str">
            <v>Jul</v>
          </cell>
          <cell r="D7378" t="str">
            <v>Chairs</v>
          </cell>
          <cell r="E7378">
            <v>185114.18100000001</v>
          </cell>
          <cell r="F7378">
            <v>7</v>
          </cell>
        </row>
        <row r="7379">
          <cell r="A7379">
            <v>2018</v>
          </cell>
          <cell r="B7379" t="str">
            <v>Budget</v>
          </cell>
          <cell r="C7379" t="str">
            <v>Jul</v>
          </cell>
          <cell r="D7379" t="str">
            <v>Chairs</v>
          </cell>
          <cell r="E7379">
            <v>192658.83699999997</v>
          </cell>
          <cell r="F7379">
            <v>7</v>
          </cell>
        </row>
        <row r="7380">
          <cell r="A7380">
            <v>2018</v>
          </cell>
          <cell r="B7380" t="str">
            <v>Actual</v>
          </cell>
          <cell r="C7380" t="str">
            <v>Jul</v>
          </cell>
          <cell r="D7380" t="str">
            <v>Tables</v>
          </cell>
          <cell r="E7380">
            <v>137683.95899999997</v>
          </cell>
          <cell r="F7380">
            <v>7</v>
          </cell>
        </row>
        <row r="7381">
          <cell r="A7381">
            <v>2019</v>
          </cell>
          <cell r="B7381" t="str">
            <v>Budget</v>
          </cell>
          <cell r="C7381" t="str">
            <v>Jul</v>
          </cell>
          <cell r="D7381" t="str">
            <v>Kitchen</v>
          </cell>
          <cell r="E7381">
            <v>168997.353</v>
          </cell>
          <cell r="F7381">
            <v>7</v>
          </cell>
        </row>
        <row r="7382">
          <cell r="A7382">
            <v>2018</v>
          </cell>
          <cell r="B7382" t="str">
            <v>Actual</v>
          </cell>
          <cell r="C7382" t="str">
            <v>Jul</v>
          </cell>
          <cell r="D7382" t="str">
            <v>Accessories</v>
          </cell>
          <cell r="E7382">
            <v>41305.963999999993</v>
          </cell>
          <cell r="F7382">
            <v>7</v>
          </cell>
        </row>
        <row r="7383">
          <cell r="A7383">
            <v>2018</v>
          </cell>
          <cell r="B7383" t="str">
            <v>Budget</v>
          </cell>
          <cell r="C7383" t="str">
            <v>Jul</v>
          </cell>
          <cell r="D7383" t="str">
            <v>Chairs</v>
          </cell>
          <cell r="E7383">
            <v>60934.299999999996</v>
          </cell>
          <cell r="F7383">
            <v>7</v>
          </cell>
        </row>
        <row r="7384">
          <cell r="A7384">
            <v>2018</v>
          </cell>
          <cell r="B7384" t="str">
            <v>Actual</v>
          </cell>
          <cell r="C7384" t="str">
            <v>Jul</v>
          </cell>
          <cell r="D7384" t="str">
            <v>Tables</v>
          </cell>
          <cell r="E7384">
            <v>7649.1799999999994</v>
          </cell>
          <cell r="F7384">
            <v>7</v>
          </cell>
        </row>
        <row r="7385">
          <cell r="A7385">
            <v>2018</v>
          </cell>
          <cell r="B7385" t="str">
            <v>Budget</v>
          </cell>
          <cell r="C7385" t="str">
            <v>Jul</v>
          </cell>
          <cell r="D7385" t="str">
            <v>Kitchen</v>
          </cell>
          <cell r="E7385">
            <v>56034.993000000002</v>
          </cell>
          <cell r="F7385">
            <v>7</v>
          </cell>
        </row>
        <row r="7386">
          <cell r="A7386">
            <v>2019</v>
          </cell>
          <cell r="B7386" t="str">
            <v>Actual</v>
          </cell>
          <cell r="C7386" t="str">
            <v>Jul</v>
          </cell>
          <cell r="D7386" t="str">
            <v>Accessories</v>
          </cell>
          <cell r="E7386">
            <v>76094.997999999992</v>
          </cell>
          <cell r="F7386">
            <v>7</v>
          </cell>
        </row>
        <row r="7387">
          <cell r="A7387">
            <v>2018</v>
          </cell>
          <cell r="B7387" t="str">
            <v>Budget</v>
          </cell>
          <cell r="C7387" t="str">
            <v>Jul</v>
          </cell>
          <cell r="D7387" t="str">
            <v>Chairs</v>
          </cell>
          <cell r="E7387">
            <v>68287.008999999991</v>
          </cell>
          <cell r="F7387">
            <v>7</v>
          </cell>
        </row>
        <row r="7388">
          <cell r="A7388">
            <v>2018</v>
          </cell>
          <cell r="B7388" t="str">
            <v>Actual</v>
          </cell>
          <cell r="C7388" t="str">
            <v>Jul</v>
          </cell>
          <cell r="D7388" t="str">
            <v>Tables</v>
          </cell>
          <cell r="E7388">
            <v>268552.03899999999</v>
          </cell>
          <cell r="F7388">
            <v>7</v>
          </cell>
        </row>
        <row r="7389">
          <cell r="A7389">
            <v>2018</v>
          </cell>
          <cell r="B7389" t="str">
            <v>Budget</v>
          </cell>
          <cell r="C7389" t="str">
            <v>Jul</v>
          </cell>
          <cell r="D7389" t="str">
            <v>Kitchen</v>
          </cell>
          <cell r="E7389">
            <v>71171.947</v>
          </cell>
          <cell r="F7389">
            <v>7</v>
          </cell>
        </row>
        <row r="7390">
          <cell r="A7390">
            <v>2019</v>
          </cell>
          <cell r="B7390" t="str">
            <v>Actual</v>
          </cell>
          <cell r="C7390" t="str">
            <v>Jul</v>
          </cell>
          <cell r="D7390" t="str">
            <v>Accessories</v>
          </cell>
          <cell r="E7390">
            <v>223265.76999999996</v>
          </cell>
          <cell r="F7390">
            <v>7</v>
          </cell>
        </row>
        <row r="7391">
          <cell r="A7391">
            <v>2019</v>
          </cell>
          <cell r="B7391" t="str">
            <v>Budget</v>
          </cell>
          <cell r="C7391" t="str">
            <v>Jul</v>
          </cell>
          <cell r="D7391" t="str">
            <v>Chairs</v>
          </cell>
          <cell r="E7391">
            <v>17126.031999999999</v>
          </cell>
          <cell r="F7391">
            <v>7</v>
          </cell>
        </row>
        <row r="7392">
          <cell r="A7392">
            <v>2018</v>
          </cell>
          <cell r="B7392" t="str">
            <v>Actual</v>
          </cell>
          <cell r="C7392" t="str">
            <v>Jul</v>
          </cell>
          <cell r="D7392" t="str">
            <v>Tables</v>
          </cell>
          <cell r="E7392">
            <v>21140.902999999998</v>
          </cell>
          <cell r="F7392">
            <v>7</v>
          </cell>
        </row>
        <row r="7393">
          <cell r="A7393">
            <v>2019</v>
          </cell>
          <cell r="B7393" t="str">
            <v>Budget</v>
          </cell>
          <cell r="C7393" t="str">
            <v>Jul</v>
          </cell>
          <cell r="D7393" t="str">
            <v>Kitchen</v>
          </cell>
          <cell r="E7393">
            <v>113604.295</v>
          </cell>
          <cell r="F7393">
            <v>7</v>
          </cell>
        </row>
        <row r="7394">
          <cell r="A7394">
            <v>2018</v>
          </cell>
          <cell r="B7394" t="str">
            <v>Actual</v>
          </cell>
          <cell r="C7394" t="str">
            <v>Jul</v>
          </cell>
          <cell r="D7394" t="str">
            <v>Accessories</v>
          </cell>
          <cell r="E7394">
            <v>53308.534999999996</v>
          </cell>
          <cell r="F7394">
            <v>7</v>
          </cell>
        </row>
        <row r="7395">
          <cell r="A7395">
            <v>2019</v>
          </cell>
          <cell r="B7395" t="str">
            <v>Budget</v>
          </cell>
          <cell r="C7395" t="str">
            <v>Jul</v>
          </cell>
          <cell r="D7395" t="str">
            <v>Chairs</v>
          </cell>
          <cell r="E7395">
            <v>667851.33799999999</v>
          </cell>
          <cell r="F7395">
            <v>7</v>
          </cell>
        </row>
        <row r="7396">
          <cell r="A7396">
            <v>2018</v>
          </cell>
          <cell r="B7396" t="str">
            <v>Actual</v>
          </cell>
          <cell r="C7396" t="str">
            <v>Jul</v>
          </cell>
          <cell r="D7396" t="str">
            <v>Chairs</v>
          </cell>
          <cell r="E7396">
            <v>256801.06199999998</v>
          </cell>
          <cell r="F7396">
            <v>7</v>
          </cell>
        </row>
        <row r="7397">
          <cell r="A7397">
            <v>2019</v>
          </cell>
          <cell r="B7397" t="str">
            <v>Budget</v>
          </cell>
          <cell r="C7397" t="str">
            <v>Jul</v>
          </cell>
          <cell r="D7397" t="str">
            <v>Tables</v>
          </cell>
          <cell r="E7397">
            <v>827001.875</v>
          </cell>
          <cell r="F7397">
            <v>7</v>
          </cell>
        </row>
        <row r="7398">
          <cell r="A7398">
            <v>2019</v>
          </cell>
          <cell r="B7398" t="str">
            <v>Actual</v>
          </cell>
          <cell r="C7398" t="str">
            <v>Jul</v>
          </cell>
          <cell r="D7398" t="str">
            <v>Kitchen</v>
          </cell>
          <cell r="E7398">
            <v>352163.91</v>
          </cell>
          <cell r="F7398">
            <v>7</v>
          </cell>
        </row>
        <row r="7399">
          <cell r="A7399">
            <v>2018</v>
          </cell>
          <cell r="B7399" t="str">
            <v>Budget</v>
          </cell>
          <cell r="C7399" t="str">
            <v>Jul</v>
          </cell>
          <cell r="D7399" t="str">
            <v>Chairs</v>
          </cell>
          <cell r="E7399">
            <v>340332.06899999996</v>
          </cell>
          <cell r="F7399">
            <v>7</v>
          </cell>
        </row>
        <row r="7400">
          <cell r="A7400">
            <v>2019</v>
          </cell>
          <cell r="B7400" t="str">
            <v>Actual</v>
          </cell>
          <cell r="C7400" t="str">
            <v>Jul</v>
          </cell>
          <cell r="D7400" t="str">
            <v>Tables</v>
          </cell>
          <cell r="E7400">
            <v>310142.18900000001</v>
          </cell>
          <cell r="F7400">
            <v>7</v>
          </cell>
        </row>
        <row r="7401">
          <cell r="A7401">
            <v>2019</v>
          </cell>
          <cell r="B7401" t="str">
            <v>Budget</v>
          </cell>
          <cell r="C7401" t="str">
            <v>Jul</v>
          </cell>
          <cell r="D7401" t="str">
            <v>Kitchen</v>
          </cell>
          <cell r="E7401">
            <v>71358.644</v>
          </cell>
          <cell r="F7401">
            <v>7</v>
          </cell>
        </row>
        <row r="7402">
          <cell r="A7402">
            <v>2019</v>
          </cell>
          <cell r="B7402" t="str">
            <v>Actual</v>
          </cell>
          <cell r="C7402" t="str">
            <v>Jul</v>
          </cell>
          <cell r="D7402" t="str">
            <v>Chairs</v>
          </cell>
          <cell r="E7402">
            <v>52514.322</v>
          </cell>
          <cell r="F7402">
            <v>7</v>
          </cell>
        </row>
        <row r="7403">
          <cell r="A7403">
            <v>2018</v>
          </cell>
          <cell r="B7403" t="str">
            <v>Budget</v>
          </cell>
          <cell r="C7403" t="str">
            <v>Jul</v>
          </cell>
          <cell r="D7403" t="str">
            <v>Tables</v>
          </cell>
          <cell r="E7403">
            <v>291164.26500000001</v>
          </cell>
          <cell r="F7403">
            <v>7</v>
          </cell>
        </row>
        <row r="7404">
          <cell r="A7404">
            <v>2018</v>
          </cell>
          <cell r="B7404" t="str">
            <v>Actual</v>
          </cell>
          <cell r="C7404" t="str">
            <v>Jul</v>
          </cell>
          <cell r="D7404" t="str">
            <v>Kitchen</v>
          </cell>
          <cell r="E7404">
            <v>1574462.3299999998</v>
          </cell>
          <cell r="F7404">
            <v>7</v>
          </cell>
        </row>
        <row r="7405">
          <cell r="A7405">
            <v>2018</v>
          </cell>
          <cell r="B7405" t="str">
            <v>Budget</v>
          </cell>
          <cell r="C7405" t="str">
            <v>Jul</v>
          </cell>
          <cell r="D7405" t="str">
            <v>Chairs</v>
          </cell>
          <cell r="E7405">
            <v>4831983.3870000001</v>
          </cell>
          <cell r="F7405">
            <v>7</v>
          </cell>
        </row>
        <row r="7406">
          <cell r="A7406">
            <v>2019</v>
          </cell>
          <cell r="B7406" t="str">
            <v>Actual</v>
          </cell>
          <cell r="C7406" t="str">
            <v>Jul</v>
          </cell>
          <cell r="D7406" t="str">
            <v>Chairs</v>
          </cell>
          <cell r="E7406">
            <v>861000.88199999998</v>
          </cell>
          <cell r="F7406">
            <v>7</v>
          </cell>
        </row>
        <row r="7407">
          <cell r="A7407">
            <v>2019</v>
          </cell>
          <cell r="B7407" t="str">
            <v>Budget</v>
          </cell>
          <cell r="C7407" t="str">
            <v>Jul</v>
          </cell>
          <cell r="D7407" t="str">
            <v>Chairs</v>
          </cell>
          <cell r="E7407">
            <v>117630.40099999998</v>
          </cell>
          <cell r="F7407">
            <v>7</v>
          </cell>
        </row>
        <row r="7408">
          <cell r="A7408">
            <v>2018</v>
          </cell>
          <cell r="B7408" t="str">
            <v>Actual</v>
          </cell>
          <cell r="C7408" t="str">
            <v>Jul</v>
          </cell>
          <cell r="D7408" t="str">
            <v>Chairs</v>
          </cell>
          <cell r="E7408">
            <v>459016.91499999992</v>
          </cell>
          <cell r="F7408">
            <v>7</v>
          </cell>
        </row>
        <row r="7409">
          <cell r="A7409">
            <v>2018</v>
          </cell>
          <cell r="B7409" t="str">
            <v>Budget</v>
          </cell>
          <cell r="C7409" t="str">
            <v>Jul</v>
          </cell>
          <cell r="D7409" t="str">
            <v>Chairs</v>
          </cell>
          <cell r="E7409">
            <v>144354.49</v>
          </cell>
          <cell r="F7409">
            <v>7</v>
          </cell>
        </row>
        <row r="7410">
          <cell r="A7410">
            <v>2019</v>
          </cell>
          <cell r="B7410" t="str">
            <v>Actual</v>
          </cell>
          <cell r="C7410" t="str">
            <v>Jul</v>
          </cell>
          <cell r="D7410" t="str">
            <v>Chairs</v>
          </cell>
          <cell r="E7410">
            <v>68339.375999999989</v>
          </cell>
          <cell r="F7410">
            <v>7</v>
          </cell>
        </row>
        <row r="7411">
          <cell r="A7411">
            <v>2019</v>
          </cell>
          <cell r="B7411" t="str">
            <v>Budget</v>
          </cell>
          <cell r="C7411" t="str">
            <v>Jul</v>
          </cell>
          <cell r="D7411" t="str">
            <v>Chairs</v>
          </cell>
          <cell r="E7411">
            <v>248081.44199999998</v>
          </cell>
          <cell r="F7411">
            <v>7</v>
          </cell>
        </row>
        <row r="7412">
          <cell r="A7412">
            <v>2018</v>
          </cell>
          <cell r="B7412" t="str">
            <v>Actual</v>
          </cell>
          <cell r="C7412" t="str">
            <v>Jul</v>
          </cell>
          <cell r="D7412" t="str">
            <v>Chairs</v>
          </cell>
          <cell r="E7412">
            <v>180894.448</v>
          </cell>
          <cell r="F7412">
            <v>7</v>
          </cell>
        </row>
        <row r="7413">
          <cell r="A7413">
            <v>2018</v>
          </cell>
          <cell r="B7413" t="str">
            <v>Budget</v>
          </cell>
          <cell r="C7413" t="str">
            <v>Jul</v>
          </cell>
          <cell r="D7413" t="str">
            <v>Chairs</v>
          </cell>
          <cell r="E7413">
            <v>424672.75199999998</v>
          </cell>
          <cell r="F7413">
            <v>7</v>
          </cell>
        </row>
        <row r="7414">
          <cell r="A7414">
            <v>2019</v>
          </cell>
          <cell r="B7414" t="str">
            <v>Actual</v>
          </cell>
          <cell r="C7414" t="str">
            <v>Jul</v>
          </cell>
          <cell r="D7414" t="str">
            <v>Chairs</v>
          </cell>
          <cell r="E7414">
            <v>40920.712</v>
          </cell>
          <cell r="F7414">
            <v>7</v>
          </cell>
        </row>
        <row r="7415">
          <cell r="A7415">
            <v>2019</v>
          </cell>
          <cell r="B7415" t="str">
            <v>Budget</v>
          </cell>
          <cell r="C7415" t="str">
            <v>Jul</v>
          </cell>
          <cell r="D7415" t="str">
            <v>Chairs</v>
          </cell>
          <cell r="E7415">
            <v>109970.553</v>
          </cell>
          <cell r="F7415">
            <v>7</v>
          </cell>
        </row>
        <row r="7416">
          <cell r="A7416">
            <v>2019</v>
          </cell>
          <cell r="B7416" t="str">
            <v>Actual</v>
          </cell>
          <cell r="C7416" t="str">
            <v>Jul</v>
          </cell>
          <cell r="D7416" t="str">
            <v>Chairs</v>
          </cell>
          <cell r="E7416">
            <v>3469229.2039999994</v>
          </cell>
          <cell r="F7416">
            <v>7</v>
          </cell>
        </row>
        <row r="7417">
          <cell r="A7417">
            <v>2019</v>
          </cell>
          <cell r="B7417" t="str">
            <v>Budget</v>
          </cell>
          <cell r="C7417" t="str">
            <v>Jul</v>
          </cell>
          <cell r="D7417" t="str">
            <v>Chairs</v>
          </cell>
          <cell r="E7417">
            <v>34905.268999999993</v>
          </cell>
          <cell r="F7417">
            <v>7</v>
          </cell>
        </row>
        <row r="7418">
          <cell r="A7418">
            <v>2019</v>
          </cell>
          <cell r="B7418" t="str">
            <v>Actual</v>
          </cell>
          <cell r="C7418" t="str">
            <v>Jul</v>
          </cell>
          <cell r="D7418" t="str">
            <v>Chairs</v>
          </cell>
          <cell r="E7418">
            <v>382413.13599999994</v>
          </cell>
          <cell r="F7418">
            <v>7</v>
          </cell>
        </row>
        <row r="7419">
          <cell r="A7419">
            <v>2019</v>
          </cell>
          <cell r="B7419" t="str">
            <v>Budget</v>
          </cell>
          <cell r="C7419" t="str">
            <v>Jul</v>
          </cell>
          <cell r="D7419" t="str">
            <v>Chairs</v>
          </cell>
          <cell r="E7419">
            <v>120714.25099999999</v>
          </cell>
          <cell r="F7419">
            <v>7</v>
          </cell>
        </row>
        <row r="7420">
          <cell r="A7420">
            <v>2018</v>
          </cell>
          <cell r="B7420" t="str">
            <v>Actual</v>
          </cell>
          <cell r="C7420" t="str">
            <v>Jul</v>
          </cell>
          <cell r="D7420" t="str">
            <v>Chairs</v>
          </cell>
          <cell r="E7420">
            <v>414337.88899999997</v>
          </cell>
          <cell r="F7420">
            <v>7</v>
          </cell>
        </row>
        <row r="7421">
          <cell r="A7421">
            <v>2019</v>
          </cell>
          <cell r="B7421" t="str">
            <v>Budget</v>
          </cell>
          <cell r="C7421" t="str">
            <v>Jul</v>
          </cell>
          <cell r="D7421" t="str">
            <v>Chairs</v>
          </cell>
          <cell r="E7421">
            <v>403847.00300000003</v>
          </cell>
          <cell r="F7421">
            <v>7</v>
          </cell>
        </row>
        <row r="7422">
          <cell r="A7422">
            <v>2019</v>
          </cell>
          <cell r="B7422" t="str">
            <v>Actual</v>
          </cell>
          <cell r="C7422" t="str">
            <v>Jul</v>
          </cell>
          <cell r="D7422" t="str">
            <v>Chairs</v>
          </cell>
          <cell r="E7422">
            <v>19230913.505999997</v>
          </cell>
          <cell r="F7422">
            <v>7</v>
          </cell>
        </row>
        <row r="7423">
          <cell r="A7423">
            <v>2019</v>
          </cell>
          <cell r="B7423" t="str">
            <v>Budget</v>
          </cell>
          <cell r="C7423" t="str">
            <v>Jul</v>
          </cell>
          <cell r="D7423" t="str">
            <v>Chairs</v>
          </cell>
          <cell r="E7423">
            <v>107823.19099999999</v>
          </cell>
          <cell r="F7423">
            <v>7</v>
          </cell>
        </row>
        <row r="7424">
          <cell r="A7424">
            <v>2019</v>
          </cell>
          <cell r="B7424" t="str">
            <v>Actual</v>
          </cell>
          <cell r="C7424" t="str">
            <v>Jul</v>
          </cell>
          <cell r="D7424" t="str">
            <v>Chairs</v>
          </cell>
          <cell r="E7424">
            <v>1502138.554</v>
          </cell>
          <cell r="F7424">
            <v>7</v>
          </cell>
        </row>
        <row r="7425">
          <cell r="A7425">
            <v>2018</v>
          </cell>
          <cell r="B7425" t="str">
            <v>Budget</v>
          </cell>
          <cell r="C7425" t="str">
            <v>Jul</v>
          </cell>
          <cell r="D7425" t="str">
            <v>Chairs</v>
          </cell>
          <cell r="E7425">
            <v>5065054.75</v>
          </cell>
          <cell r="F7425">
            <v>7</v>
          </cell>
        </row>
        <row r="7426">
          <cell r="A7426">
            <v>2019</v>
          </cell>
          <cell r="B7426" t="str">
            <v>Actual</v>
          </cell>
          <cell r="C7426" t="str">
            <v>Jul</v>
          </cell>
          <cell r="D7426" t="str">
            <v>Chairs</v>
          </cell>
          <cell r="E7426">
            <v>295133.87400000001</v>
          </cell>
          <cell r="F7426">
            <v>7</v>
          </cell>
        </row>
        <row r="7427">
          <cell r="A7427">
            <v>2018</v>
          </cell>
          <cell r="B7427" t="str">
            <v>Budget</v>
          </cell>
          <cell r="C7427" t="str">
            <v>Jul</v>
          </cell>
          <cell r="D7427" t="str">
            <v>Chairs</v>
          </cell>
          <cell r="E7427">
            <v>195797.59499999997</v>
          </cell>
          <cell r="F7427">
            <v>7</v>
          </cell>
        </row>
        <row r="7428">
          <cell r="A7428">
            <v>2019</v>
          </cell>
          <cell r="B7428" t="str">
            <v>Actual</v>
          </cell>
          <cell r="C7428" t="str">
            <v>Jul</v>
          </cell>
          <cell r="D7428" t="str">
            <v>Chairs</v>
          </cell>
          <cell r="E7428">
            <v>7750613.4579999987</v>
          </cell>
          <cell r="F7428">
            <v>7</v>
          </cell>
        </row>
        <row r="7429">
          <cell r="A7429">
            <v>2018</v>
          </cell>
          <cell r="B7429" t="str">
            <v>Budget</v>
          </cell>
          <cell r="C7429" t="str">
            <v>Jul</v>
          </cell>
          <cell r="D7429" t="str">
            <v>Chairs</v>
          </cell>
          <cell r="E7429">
            <v>4402340.824</v>
          </cell>
          <cell r="F7429">
            <v>7</v>
          </cell>
        </row>
        <row r="7430">
          <cell r="A7430">
            <v>2019</v>
          </cell>
          <cell r="B7430" t="str">
            <v>Actual</v>
          </cell>
          <cell r="C7430" t="str">
            <v>Jul</v>
          </cell>
          <cell r="D7430" t="str">
            <v>Chairs</v>
          </cell>
          <cell r="E7430">
            <v>143431.83399999997</v>
          </cell>
          <cell r="F7430">
            <v>7</v>
          </cell>
        </row>
        <row r="7431">
          <cell r="A7431">
            <v>2018</v>
          </cell>
          <cell r="B7431" t="str">
            <v>Budget</v>
          </cell>
          <cell r="C7431" t="str">
            <v>Jul</v>
          </cell>
          <cell r="D7431" t="str">
            <v>Tables</v>
          </cell>
          <cell r="E7431">
            <v>298393.81599999999</v>
          </cell>
          <cell r="F7431">
            <v>7</v>
          </cell>
        </row>
        <row r="7432">
          <cell r="A7432">
            <v>2019</v>
          </cell>
          <cell r="B7432" t="str">
            <v>Actual</v>
          </cell>
          <cell r="C7432" t="str">
            <v>Jul</v>
          </cell>
          <cell r="D7432" t="str">
            <v>Kitchen</v>
          </cell>
          <cell r="E7432">
            <v>786872.93299999996</v>
          </cell>
          <cell r="F7432">
            <v>7</v>
          </cell>
        </row>
        <row r="7433">
          <cell r="A7433">
            <v>2019</v>
          </cell>
          <cell r="B7433" t="str">
            <v>Budget</v>
          </cell>
          <cell r="C7433" t="str">
            <v>Jul</v>
          </cell>
          <cell r="D7433" t="str">
            <v>Chairs</v>
          </cell>
          <cell r="E7433">
            <v>3081468.25</v>
          </cell>
          <cell r="F7433">
            <v>7</v>
          </cell>
        </row>
        <row r="7434">
          <cell r="A7434">
            <v>2018</v>
          </cell>
          <cell r="B7434" t="str">
            <v>Actual</v>
          </cell>
          <cell r="C7434" t="str">
            <v>Jul</v>
          </cell>
          <cell r="D7434" t="str">
            <v>Chairs</v>
          </cell>
          <cell r="E7434">
            <v>11617.781000000001</v>
          </cell>
          <cell r="F7434">
            <v>7</v>
          </cell>
        </row>
        <row r="7435">
          <cell r="A7435">
            <v>2019</v>
          </cell>
          <cell r="B7435" t="str">
            <v>Budget</v>
          </cell>
          <cell r="C7435" t="str">
            <v>Jul</v>
          </cell>
          <cell r="D7435" t="str">
            <v>Chairs</v>
          </cell>
          <cell r="E7435">
            <v>7633691.142</v>
          </cell>
          <cell r="F7435">
            <v>7</v>
          </cell>
        </row>
        <row r="7436">
          <cell r="A7436">
            <v>2018</v>
          </cell>
          <cell r="B7436" t="str">
            <v>Actual</v>
          </cell>
          <cell r="C7436" t="str">
            <v>Jul</v>
          </cell>
          <cell r="D7436" t="str">
            <v>Chairs</v>
          </cell>
          <cell r="E7436">
            <v>13971791.847999999</v>
          </cell>
          <cell r="F7436">
            <v>7</v>
          </cell>
        </row>
        <row r="7437">
          <cell r="A7437">
            <v>2019</v>
          </cell>
          <cell r="B7437" t="str">
            <v>Budget</v>
          </cell>
          <cell r="C7437" t="str">
            <v>Jul</v>
          </cell>
          <cell r="D7437" t="str">
            <v>Chairs</v>
          </cell>
          <cell r="E7437">
            <v>331950.72399999999</v>
          </cell>
          <cell r="F7437">
            <v>7</v>
          </cell>
        </row>
        <row r="7438">
          <cell r="A7438">
            <v>2018</v>
          </cell>
          <cell r="B7438" t="str">
            <v>Actual</v>
          </cell>
          <cell r="C7438" t="str">
            <v>Jul</v>
          </cell>
          <cell r="D7438" t="str">
            <v>Tables</v>
          </cell>
          <cell r="E7438">
            <v>111199.424</v>
          </cell>
          <cell r="F7438">
            <v>7</v>
          </cell>
        </row>
        <row r="7439">
          <cell r="A7439">
            <v>2019</v>
          </cell>
          <cell r="B7439" t="str">
            <v>Budget</v>
          </cell>
          <cell r="C7439" t="str">
            <v>Jul</v>
          </cell>
          <cell r="D7439" t="str">
            <v>Kitchen</v>
          </cell>
          <cell r="E7439">
            <v>229222.96599999999</v>
          </cell>
          <cell r="F7439">
            <v>7</v>
          </cell>
        </row>
        <row r="7440">
          <cell r="A7440">
            <v>2018</v>
          </cell>
          <cell r="B7440" t="str">
            <v>Actual</v>
          </cell>
          <cell r="C7440" t="str">
            <v>Jul</v>
          </cell>
          <cell r="D7440" t="str">
            <v>Chairs</v>
          </cell>
          <cell r="E7440">
            <v>23004.393999999997</v>
          </cell>
          <cell r="F7440">
            <v>7</v>
          </cell>
        </row>
        <row r="7441">
          <cell r="A7441">
            <v>2019</v>
          </cell>
          <cell r="B7441" t="str">
            <v>Budget</v>
          </cell>
          <cell r="C7441" t="str">
            <v>Jul</v>
          </cell>
          <cell r="D7441" t="str">
            <v>Chairs</v>
          </cell>
          <cell r="E7441">
            <v>799913.73699999985</v>
          </cell>
          <cell r="F7441">
            <v>7</v>
          </cell>
        </row>
        <row r="7442">
          <cell r="A7442">
            <v>2019</v>
          </cell>
          <cell r="B7442" t="str">
            <v>Actual</v>
          </cell>
          <cell r="C7442" t="str">
            <v>Jul</v>
          </cell>
          <cell r="D7442" t="str">
            <v>Chairs</v>
          </cell>
          <cell r="E7442">
            <v>2185300.2919999999</v>
          </cell>
          <cell r="F7442">
            <v>7</v>
          </cell>
        </row>
        <row r="7443">
          <cell r="A7443">
            <v>2019</v>
          </cell>
          <cell r="B7443" t="str">
            <v>Budget</v>
          </cell>
          <cell r="C7443" t="str">
            <v>Jul</v>
          </cell>
          <cell r="D7443" t="str">
            <v>Tables</v>
          </cell>
          <cell r="E7443">
            <v>321699.32899999997</v>
          </cell>
          <cell r="F7443">
            <v>7</v>
          </cell>
        </row>
        <row r="7444">
          <cell r="A7444">
            <v>2019</v>
          </cell>
          <cell r="B7444" t="str">
            <v>Actual</v>
          </cell>
          <cell r="C7444" t="str">
            <v>Jul</v>
          </cell>
          <cell r="D7444" t="str">
            <v>Kitchen</v>
          </cell>
          <cell r="E7444">
            <v>3033941.8969999999</v>
          </cell>
          <cell r="F7444">
            <v>7</v>
          </cell>
        </row>
        <row r="7445">
          <cell r="A7445">
            <v>2018</v>
          </cell>
          <cell r="B7445" t="str">
            <v>Budget</v>
          </cell>
          <cell r="C7445" t="str">
            <v>Jul</v>
          </cell>
          <cell r="D7445" t="str">
            <v>Chairs</v>
          </cell>
          <cell r="E7445">
            <v>235269.77599999998</v>
          </cell>
          <cell r="F7445">
            <v>7</v>
          </cell>
        </row>
        <row r="7446">
          <cell r="A7446">
            <v>2018</v>
          </cell>
          <cell r="B7446" t="str">
            <v>Actual</v>
          </cell>
          <cell r="C7446" t="str">
            <v>Jul</v>
          </cell>
          <cell r="D7446" t="str">
            <v>Chairs</v>
          </cell>
          <cell r="E7446">
            <v>18797.625</v>
          </cell>
          <cell r="F7446">
            <v>7</v>
          </cell>
        </row>
        <row r="7447">
          <cell r="A7447">
            <v>2019</v>
          </cell>
          <cell r="B7447" t="str">
            <v>Budget</v>
          </cell>
          <cell r="C7447" t="str">
            <v>Jul</v>
          </cell>
          <cell r="D7447" t="str">
            <v>Tables</v>
          </cell>
          <cell r="E7447">
            <v>12445842.163999999</v>
          </cell>
          <cell r="F7447">
            <v>7</v>
          </cell>
        </row>
        <row r="7448">
          <cell r="A7448">
            <v>2018</v>
          </cell>
          <cell r="B7448" t="str">
            <v>Actual</v>
          </cell>
          <cell r="C7448" t="str">
            <v>Jul</v>
          </cell>
          <cell r="D7448" t="str">
            <v>Kitchen</v>
          </cell>
          <cell r="E7448">
            <v>4616372.3759999992</v>
          </cell>
          <cell r="F7448">
            <v>7</v>
          </cell>
        </row>
        <row r="7449">
          <cell r="A7449">
            <v>2019</v>
          </cell>
          <cell r="B7449" t="str">
            <v>Budget</v>
          </cell>
          <cell r="C7449" t="str">
            <v>Jul</v>
          </cell>
          <cell r="D7449" t="str">
            <v>Chairs</v>
          </cell>
          <cell r="E7449">
            <v>439663.68599999999</v>
          </cell>
          <cell r="F7449">
            <v>7</v>
          </cell>
        </row>
        <row r="7450">
          <cell r="A7450">
            <v>2018</v>
          </cell>
          <cell r="B7450" t="str">
            <v>Actual</v>
          </cell>
          <cell r="C7450" t="str">
            <v>Jul</v>
          </cell>
          <cell r="D7450" t="str">
            <v>Chairs</v>
          </cell>
          <cell r="E7450">
            <v>25793.067999999996</v>
          </cell>
          <cell r="F7450">
            <v>7</v>
          </cell>
        </row>
        <row r="7451">
          <cell r="A7451">
            <v>2019</v>
          </cell>
          <cell r="B7451" t="str">
            <v>Budget</v>
          </cell>
          <cell r="C7451" t="str">
            <v>Jul</v>
          </cell>
          <cell r="D7451" t="str">
            <v>Chairs</v>
          </cell>
          <cell r="E7451">
            <v>-3060.0989999999997</v>
          </cell>
          <cell r="F7451">
            <v>7</v>
          </cell>
        </row>
        <row r="7452">
          <cell r="A7452">
            <v>2019</v>
          </cell>
          <cell r="B7452" t="str">
            <v>Actual</v>
          </cell>
          <cell r="C7452" t="str">
            <v>Jul</v>
          </cell>
          <cell r="D7452" t="str">
            <v>Tables</v>
          </cell>
          <cell r="E7452">
            <v>1418018.203</v>
          </cell>
          <cell r="F7452">
            <v>7</v>
          </cell>
        </row>
        <row r="7453">
          <cell r="A7453">
            <v>2018</v>
          </cell>
          <cell r="B7453" t="str">
            <v>Budget</v>
          </cell>
          <cell r="C7453" t="str">
            <v>Jul</v>
          </cell>
          <cell r="D7453" t="str">
            <v>Kitchen</v>
          </cell>
          <cell r="E7453">
            <v>642564.97199999995</v>
          </cell>
          <cell r="F7453">
            <v>7</v>
          </cell>
        </row>
        <row r="7454">
          <cell r="A7454">
            <v>2018</v>
          </cell>
          <cell r="B7454" t="str">
            <v>Actual</v>
          </cell>
          <cell r="C7454" t="str">
            <v>Jul</v>
          </cell>
          <cell r="D7454" t="str">
            <v>Accessories</v>
          </cell>
          <cell r="E7454">
            <v>3268502.0270000002</v>
          </cell>
          <cell r="F7454">
            <v>7</v>
          </cell>
        </row>
        <row r="7455">
          <cell r="A7455">
            <v>2019</v>
          </cell>
          <cell r="B7455" t="str">
            <v>Budget</v>
          </cell>
          <cell r="C7455" t="str">
            <v>Jul</v>
          </cell>
          <cell r="D7455" t="str">
            <v>Chairs</v>
          </cell>
          <cell r="E7455">
            <v>1352270.7869999998</v>
          </cell>
          <cell r="F7455">
            <v>7</v>
          </cell>
        </row>
        <row r="7456">
          <cell r="A7456">
            <v>2018</v>
          </cell>
          <cell r="B7456" t="str">
            <v>Actual</v>
          </cell>
          <cell r="C7456" t="str">
            <v>Jul</v>
          </cell>
          <cell r="D7456" t="str">
            <v>Tables</v>
          </cell>
          <cell r="E7456">
            <v>2187140.9909999999</v>
          </cell>
          <cell r="F7456">
            <v>7</v>
          </cell>
        </row>
        <row r="7457">
          <cell r="A7457">
            <v>2018</v>
          </cell>
          <cell r="B7457" t="str">
            <v>Budget</v>
          </cell>
          <cell r="C7457" t="str">
            <v>Jul</v>
          </cell>
          <cell r="D7457" t="str">
            <v>Kitchen</v>
          </cell>
          <cell r="E7457">
            <v>1282156.9179999998</v>
          </cell>
          <cell r="F7457">
            <v>7</v>
          </cell>
        </row>
        <row r="7458">
          <cell r="A7458">
            <v>2019</v>
          </cell>
          <cell r="B7458" t="str">
            <v>Actual</v>
          </cell>
          <cell r="C7458" t="str">
            <v>Jul</v>
          </cell>
          <cell r="D7458" t="str">
            <v>Accessories</v>
          </cell>
          <cell r="E7458">
            <v>6256034.8199999994</v>
          </cell>
          <cell r="F7458">
            <v>7</v>
          </cell>
        </row>
        <row r="7459">
          <cell r="A7459">
            <v>2018</v>
          </cell>
          <cell r="B7459" t="str">
            <v>Budget</v>
          </cell>
          <cell r="C7459" t="str">
            <v>Jul</v>
          </cell>
          <cell r="D7459" t="str">
            <v>Chairs</v>
          </cell>
          <cell r="E7459">
            <v>660246.09</v>
          </cell>
          <cell r="F7459">
            <v>7</v>
          </cell>
        </row>
        <row r="7460">
          <cell r="A7460">
            <v>2018</v>
          </cell>
          <cell r="B7460" t="str">
            <v>Actual</v>
          </cell>
          <cell r="C7460" t="str">
            <v>Jul</v>
          </cell>
          <cell r="D7460" t="str">
            <v>Tables</v>
          </cell>
          <cell r="E7460">
            <v>1255969.9949999999</v>
          </cell>
          <cell r="F7460">
            <v>7</v>
          </cell>
        </row>
        <row r="7461">
          <cell r="A7461">
            <v>2019</v>
          </cell>
          <cell r="B7461" t="str">
            <v>Budget</v>
          </cell>
          <cell r="C7461" t="str">
            <v>Jul</v>
          </cell>
          <cell r="D7461" t="str">
            <v>Kitchen</v>
          </cell>
          <cell r="E7461">
            <v>448615.44699999993</v>
          </cell>
          <cell r="F7461">
            <v>7</v>
          </cell>
        </row>
        <row r="7462">
          <cell r="A7462">
            <v>2018</v>
          </cell>
          <cell r="B7462" t="str">
            <v>Actual</v>
          </cell>
          <cell r="C7462" t="str">
            <v>Jul</v>
          </cell>
          <cell r="D7462" t="str">
            <v>Accessories</v>
          </cell>
          <cell r="E7462">
            <v>1346273.327</v>
          </cell>
          <cell r="F7462">
            <v>7</v>
          </cell>
        </row>
        <row r="7463">
          <cell r="A7463">
            <v>2018</v>
          </cell>
          <cell r="B7463" t="str">
            <v>Budget</v>
          </cell>
          <cell r="C7463" t="str">
            <v>Jul</v>
          </cell>
          <cell r="D7463" t="str">
            <v>Chairs</v>
          </cell>
          <cell r="E7463">
            <v>283331.92300000001</v>
          </cell>
          <cell r="F7463">
            <v>7</v>
          </cell>
        </row>
        <row r="7464">
          <cell r="A7464">
            <v>2019</v>
          </cell>
          <cell r="B7464" t="str">
            <v>Actual</v>
          </cell>
          <cell r="C7464" t="str">
            <v>Jul</v>
          </cell>
          <cell r="D7464" t="str">
            <v>Tables</v>
          </cell>
          <cell r="E7464">
            <v>556651.31200000003</v>
          </cell>
          <cell r="F7464">
            <v>7</v>
          </cell>
        </row>
        <row r="7465">
          <cell r="A7465">
            <v>2018</v>
          </cell>
          <cell r="B7465" t="str">
            <v>Budget</v>
          </cell>
          <cell r="C7465" t="str">
            <v>Jul</v>
          </cell>
          <cell r="D7465" t="str">
            <v>Kitchen</v>
          </cell>
          <cell r="E7465">
            <v>201576.75999999998</v>
          </cell>
          <cell r="F7465">
            <v>7</v>
          </cell>
        </row>
        <row r="7466">
          <cell r="A7466">
            <v>2018</v>
          </cell>
          <cell r="B7466" t="str">
            <v>Actual</v>
          </cell>
          <cell r="C7466" t="str">
            <v>Jul</v>
          </cell>
          <cell r="D7466" t="str">
            <v>Accessories</v>
          </cell>
          <cell r="E7466">
            <v>994550.31199999992</v>
          </cell>
          <cell r="F7466">
            <v>7</v>
          </cell>
        </row>
        <row r="7467">
          <cell r="A7467">
            <v>2018</v>
          </cell>
          <cell r="B7467" t="str">
            <v>Budget</v>
          </cell>
          <cell r="C7467" t="str">
            <v>Jul</v>
          </cell>
          <cell r="D7467" t="str">
            <v>Chairs</v>
          </cell>
          <cell r="E7467">
            <v>10298092.623</v>
          </cell>
          <cell r="F7467">
            <v>7</v>
          </cell>
        </row>
        <row r="7468">
          <cell r="A7468">
            <v>2019</v>
          </cell>
          <cell r="B7468" t="str">
            <v>Actual</v>
          </cell>
          <cell r="C7468" t="str">
            <v>Jul</v>
          </cell>
          <cell r="D7468" t="str">
            <v>Chairs</v>
          </cell>
          <cell r="E7468">
            <v>189.30799999999999</v>
          </cell>
          <cell r="F7468">
            <v>7</v>
          </cell>
        </row>
        <row r="7469">
          <cell r="A7469">
            <v>2019</v>
          </cell>
          <cell r="B7469" t="str">
            <v>Budget</v>
          </cell>
          <cell r="C7469" t="str">
            <v>Jul</v>
          </cell>
          <cell r="D7469" t="str">
            <v>Tables</v>
          </cell>
          <cell r="E7469">
            <v>3507342.0199999996</v>
          </cell>
          <cell r="F7469">
            <v>7</v>
          </cell>
        </row>
        <row r="7470">
          <cell r="A7470">
            <v>2019</v>
          </cell>
          <cell r="B7470" t="str">
            <v>Actual</v>
          </cell>
          <cell r="C7470" t="str">
            <v>Jul</v>
          </cell>
          <cell r="D7470" t="str">
            <v>Kitchen</v>
          </cell>
          <cell r="E7470">
            <v>2317094.395</v>
          </cell>
          <cell r="F7470">
            <v>7</v>
          </cell>
        </row>
        <row r="7471">
          <cell r="A7471">
            <v>2018</v>
          </cell>
          <cell r="B7471" t="str">
            <v>Budget</v>
          </cell>
          <cell r="C7471" t="str">
            <v>Jul</v>
          </cell>
          <cell r="D7471" t="str">
            <v>Chairs</v>
          </cell>
          <cell r="E7471">
            <v>178883.52299999999</v>
          </cell>
          <cell r="F7471">
            <v>7</v>
          </cell>
        </row>
        <row r="7472">
          <cell r="A7472">
            <v>2019</v>
          </cell>
          <cell r="B7472" t="str">
            <v>Actual</v>
          </cell>
          <cell r="C7472" t="str">
            <v>Jul</v>
          </cell>
          <cell r="D7472" t="str">
            <v>Tables</v>
          </cell>
          <cell r="E7472">
            <v>179231.87099999998</v>
          </cell>
          <cell r="F7472">
            <v>7</v>
          </cell>
        </row>
        <row r="7473">
          <cell r="A7473">
            <v>2018</v>
          </cell>
          <cell r="B7473" t="str">
            <v>Budget</v>
          </cell>
          <cell r="C7473" t="str">
            <v>Jul</v>
          </cell>
          <cell r="D7473" t="str">
            <v>Kitchen</v>
          </cell>
          <cell r="E7473">
            <v>289956.87699999998</v>
          </cell>
          <cell r="F7473">
            <v>7</v>
          </cell>
        </row>
        <row r="7474">
          <cell r="A7474">
            <v>2019</v>
          </cell>
          <cell r="B7474" t="str">
            <v>Actual</v>
          </cell>
          <cell r="C7474" t="str">
            <v>Jul</v>
          </cell>
          <cell r="D7474" t="str">
            <v>Chairs</v>
          </cell>
          <cell r="E7474">
            <v>1920397.7799999998</v>
          </cell>
          <cell r="F7474">
            <v>7</v>
          </cell>
        </row>
        <row r="7475">
          <cell r="A7475">
            <v>2019</v>
          </cell>
          <cell r="B7475" t="str">
            <v>Budget</v>
          </cell>
          <cell r="C7475" t="str">
            <v>Jul</v>
          </cell>
          <cell r="D7475" t="str">
            <v>Tables</v>
          </cell>
          <cell r="E7475">
            <v>1456993.3629999999</v>
          </cell>
          <cell r="F7475">
            <v>7</v>
          </cell>
        </row>
        <row r="7476">
          <cell r="A7476">
            <v>2019</v>
          </cell>
          <cell r="B7476" t="str">
            <v>Actual</v>
          </cell>
          <cell r="C7476" t="str">
            <v>Jul</v>
          </cell>
          <cell r="D7476" t="str">
            <v>Kitchen</v>
          </cell>
          <cell r="E7476">
            <v>2120666.7089999998</v>
          </cell>
          <cell r="F7476">
            <v>7</v>
          </cell>
        </row>
        <row r="7477">
          <cell r="A7477">
            <v>2019</v>
          </cell>
          <cell r="B7477" t="str">
            <v>Budget</v>
          </cell>
          <cell r="C7477" t="str">
            <v>Jul</v>
          </cell>
          <cell r="D7477" t="str">
            <v>Chairs</v>
          </cell>
          <cell r="E7477">
            <v>493672.76699999999</v>
          </cell>
          <cell r="F7477">
            <v>7</v>
          </cell>
        </row>
        <row r="7478">
          <cell r="A7478">
            <v>2018</v>
          </cell>
          <cell r="B7478" t="str">
            <v>Actual</v>
          </cell>
          <cell r="C7478" t="str">
            <v>Jul</v>
          </cell>
          <cell r="D7478" t="str">
            <v>Chairs</v>
          </cell>
          <cell r="E7478">
            <v>796286.17599999986</v>
          </cell>
          <cell r="F7478">
            <v>7</v>
          </cell>
        </row>
        <row r="7479">
          <cell r="A7479">
            <v>2018</v>
          </cell>
          <cell r="B7479" t="str">
            <v>Budget</v>
          </cell>
          <cell r="C7479" t="str">
            <v>Jul</v>
          </cell>
          <cell r="D7479" t="str">
            <v>Chairs</v>
          </cell>
          <cell r="E7479">
            <v>120313.45899999999</v>
          </cell>
          <cell r="F7479">
            <v>7</v>
          </cell>
        </row>
        <row r="7480">
          <cell r="A7480">
            <v>2019</v>
          </cell>
          <cell r="B7480" t="str">
            <v>Actual</v>
          </cell>
          <cell r="C7480" t="str">
            <v>Jul</v>
          </cell>
          <cell r="D7480" t="str">
            <v>Chairs</v>
          </cell>
          <cell r="E7480">
            <v>1467568.3119999999</v>
          </cell>
          <cell r="F7480">
            <v>7</v>
          </cell>
        </row>
        <row r="7481">
          <cell r="A7481">
            <v>2018</v>
          </cell>
          <cell r="B7481" t="str">
            <v>Budget</v>
          </cell>
          <cell r="C7481" t="str">
            <v>Jul</v>
          </cell>
          <cell r="D7481" t="str">
            <v>Chairs</v>
          </cell>
          <cell r="E7481">
            <v>636024.16499999992</v>
          </cell>
          <cell r="F7481">
            <v>7</v>
          </cell>
        </row>
        <row r="7482">
          <cell r="A7482">
            <v>2018</v>
          </cell>
          <cell r="B7482" t="str">
            <v>Actual</v>
          </cell>
          <cell r="C7482" t="str">
            <v>Jul</v>
          </cell>
          <cell r="D7482" t="str">
            <v>Chairs</v>
          </cell>
          <cell r="E7482">
            <v>285792.52100000001</v>
          </cell>
          <cell r="F7482">
            <v>7</v>
          </cell>
        </row>
        <row r="7483">
          <cell r="A7483">
            <v>2019</v>
          </cell>
          <cell r="B7483" t="str">
            <v>Budget</v>
          </cell>
          <cell r="C7483" t="str">
            <v>Jul</v>
          </cell>
          <cell r="D7483" t="str">
            <v>Chairs</v>
          </cell>
          <cell r="E7483">
            <v>5928.09</v>
          </cell>
          <cell r="F7483">
            <v>7</v>
          </cell>
        </row>
        <row r="7484">
          <cell r="A7484">
            <v>2019</v>
          </cell>
          <cell r="B7484" t="str">
            <v>Actual</v>
          </cell>
          <cell r="C7484" t="str">
            <v>Jul</v>
          </cell>
          <cell r="D7484" t="str">
            <v>Chairs</v>
          </cell>
          <cell r="E7484">
            <v>102950.56799999998</v>
          </cell>
          <cell r="F7484">
            <v>7</v>
          </cell>
        </row>
        <row r="7485">
          <cell r="A7485">
            <v>2018</v>
          </cell>
          <cell r="B7485" t="str">
            <v>Budget</v>
          </cell>
          <cell r="C7485" t="str">
            <v>Jul</v>
          </cell>
          <cell r="D7485" t="str">
            <v>Chairs</v>
          </cell>
          <cell r="E7485">
            <v>1132210.5689999999</v>
          </cell>
          <cell r="F7485">
            <v>7</v>
          </cell>
        </row>
        <row r="7486">
          <cell r="A7486">
            <v>2019</v>
          </cell>
          <cell r="B7486" t="str">
            <v>Actual</v>
          </cell>
          <cell r="C7486" t="str">
            <v>Jul</v>
          </cell>
          <cell r="D7486" t="str">
            <v>Chairs</v>
          </cell>
          <cell r="E7486">
            <v>122078.70499999999</v>
          </cell>
          <cell r="F7486">
            <v>7</v>
          </cell>
        </row>
        <row r="7487">
          <cell r="A7487">
            <v>2019</v>
          </cell>
          <cell r="B7487" t="str">
            <v>Budget</v>
          </cell>
          <cell r="C7487" t="str">
            <v>Jul</v>
          </cell>
          <cell r="D7487" t="str">
            <v>Chairs</v>
          </cell>
          <cell r="E7487">
            <v>26919.634000000002</v>
          </cell>
          <cell r="F7487">
            <v>7</v>
          </cell>
        </row>
        <row r="7488">
          <cell r="A7488">
            <v>2018</v>
          </cell>
          <cell r="B7488" t="str">
            <v>Actual</v>
          </cell>
          <cell r="C7488" t="str">
            <v>Jul</v>
          </cell>
          <cell r="D7488" t="str">
            <v>Chairs</v>
          </cell>
          <cell r="E7488">
            <v>654615.09400000004</v>
          </cell>
          <cell r="F7488">
            <v>7</v>
          </cell>
        </row>
        <row r="7489">
          <cell r="A7489">
            <v>2018</v>
          </cell>
          <cell r="B7489" t="str">
            <v>Budget</v>
          </cell>
          <cell r="C7489" t="str">
            <v>Jul</v>
          </cell>
          <cell r="D7489" t="str">
            <v>Chairs</v>
          </cell>
          <cell r="E7489">
            <v>326280.67499999999</v>
          </cell>
          <cell r="F7489">
            <v>7</v>
          </cell>
        </row>
        <row r="7490">
          <cell r="A7490">
            <v>2019</v>
          </cell>
          <cell r="B7490" t="str">
            <v>Actual</v>
          </cell>
          <cell r="C7490" t="str">
            <v>Jul</v>
          </cell>
          <cell r="D7490" t="str">
            <v>Chairs</v>
          </cell>
          <cell r="E7490">
            <v>596164.02299999993</v>
          </cell>
          <cell r="F7490">
            <v>7</v>
          </cell>
        </row>
        <row r="7491">
          <cell r="A7491">
            <v>2018</v>
          </cell>
          <cell r="B7491" t="str">
            <v>Budget</v>
          </cell>
          <cell r="C7491" t="str">
            <v>Jul</v>
          </cell>
          <cell r="D7491" t="str">
            <v>Chairs</v>
          </cell>
          <cell r="E7491">
            <v>183909.27100000001</v>
          </cell>
          <cell r="F7491">
            <v>7</v>
          </cell>
        </row>
        <row r="7492">
          <cell r="A7492">
            <v>2018</v>
          </cell>
          <cell r="B7492" t="str">
            <v>Actual</v>
          </cell>
          <cell r="C7492" t="str">
            <v>Jul</v>
          </cell>
          <cell r="D7492" t="str">
            <v>Chairs</v>
          </cell>
          <cell r="E7492">
            <v>147332.003</v>
          </cell>
          <cell r="F7492">
            <v>7</v>
          </cell>
        </row>
        <row r="7493">
          <cell r="A7493">
            <v>2018</v>
          </cell>
          <cell r="B7493" t="str">
            <v>Budget</v>
          </cell>
          <cell r="C7493" t="str">
            <v>Jul</v>
          </cell>
          <cell r="D7493" t="str">
            <v>Chairs</v>
          </cell>
          <cell r="E7493">
            <v>120645.26599999999</v>
          </cell>
          <cell r="F7493">
            <v>7</v>
          </cell>
        </row>
        <row r="7494">
          <cell r="A7494">
            <v>2018</v>
          </cell>
          <cell r="B7494" t="str">
            <v>Actual</v>
          </cell>
          <cell r="C7494" t="str">
            <v>Jul</v>
          </cell>
          <cell r="D7494" t="str">
            <v>Chairs</v>
          </cell>
          <cell r="E7494">
            <v>318561.77499999997</v>
          </cell>
          <cell r="F7494">
            <v>7</v>
          </cell>
        </row>
        <row r="7495">
          <cell r="A7495">
            <v>2018</v>
          </cell>
          <cell r="B7495" t="str">
            <v>Budget</v>
          </cell>
          <cell r="C7495" t="str">
            <v>Jul</v>
          </cell>
          <cell r="D7495" t="str">
            <v>Chairs</v>
          </cell>
          <cell r="E7495">
            <v>305451.74799999996</v>
          </cell>
          <cell r="F7495">
            <v>7</v>
          </cell>
        </row>
        <row r="7496">
          <cell r="A7496">
            <v>2019</v>
          </cell>
          <cell r="B7496" t="str">
            <v>Actual</v>
          </cell>
          <cell r="C7496" t="str">
            <v>Jul</v>
          </cell>
          <cell r="D7496" t="str">
            <v>Chairs</v>
          </cell>
          <cell r="E7496">
            <v>264208.413</v>
          </cell>
          <cell r="F7496">
            <v>7</v>
          </cell>
        </row>
        <row r="7497">
          <cell r="A7497">
            <v>2019</v>
          </cell>
          <cell r="B7497" t="str">
            <v>Budget</v>
          </cell>
          <cell r="C7497" t="str">
            <v>Jul</v>
          </cell>
          <cell r="D7497" t="str">
            <v>Chairs</v>
          </cell>
          <cell r="E7497">
            <v>210813.60299999997</v>
          </cell>
          <cell r="F7497">
            <v>7</v>
          </cell>
        </row>
        <row r="7498">
          <cell r="A7498">
            <v>2019</v>
          </cell>
          <cell r="B7498" t="str">
            <v>Actual</v>
          </cell>
          <cell r="C7498" t="str">
            <v>Jul</v>
          </cell>
          <cell r="D7498" t="str">
            <v>Chairs</v>
          </cell>
          <cell r="E7498">
            <v>344855.30799999996</v>
          </cell>
          <cell r="F7498">
            <v>7</v>
          </cell>
        </row>
        <row r="7499">
          <cell r="A7499">
            <v>2018</v>
          </cell>
          <cell r="B7499" t="str">
            <v>Budget</v>
          </cell>
          <cell r="C7499" t="str">
            <v>Jul</v>
          </cell>
          <cell r="D7499" t="str">
            <v>Chairs</v>
          </cell>
          <cell r="E7499">
            <v>161111.307</v>
          </cell>
          <cell r="F7499">
            <v>7</v>
          </cell>
        </row>
        <row r="7500">
          <cell r="A7500">
            <v>2019</v>
          </cell>
          <cell r="B7500" t="str">
            <v>Actual</v>
          </cell>
          <cell r="C7500" t="str">
            <v>Jul</v>
          </cell>
          <cell r="D7500" t="str">
            <v>Chairs</v>
          </cell>
          <cell r="E7500">
            <v>538976.179</v>
          </cell>
          <cell r="F7500">
            <v>7</v>
          </cell>
        </row>
        <row r="7501">
          <cell r="A7501">
            <v>2018</v>
          </cell>
          <cell r="B7501" t="str">
            <v>Budget</v>
          </cell>
          <cell r="C7501" t="str">
            <v>Jul</v>
          </cell>
          <cell r="D7501" t="str">
            <v>Chairs</v>
          </cell>
          <cell r="E7501">
            <v>405006.54599999997</v>
          </cell>
          <cell r="F7501">
            <v>7</v>
          </cell>
        </row>
        <row r="7502">
          <cell r="A7502">
            <v>2018</v>
          </cell>
          <cell r="B7502" t="str">
            <v>Actual</v>
          </cell>
          <cell r="C7502" t="str">
            <v>Jul</v>
          </cell>
          <cell r="D7502" t="str">
            <v>Chairs</v>
          </cell>
          <cell r="E7502">
            <v>106209.87300000001</v>
          </cell>
          <cell r="F7502">
            <v>7</v>
          </cell>
        </row>
        <row r="7503">
          <cell r="A7503">
            <v>2019</v>
          </cell>
          <cell r="B7503" t="str">
            <v>Budget</v>
          </cell>
          <cell r="C7503" t="str">
            <v>Jul</v>
          </cell>
          <cell r="D7503" t="str">
            <v>Tables</v>
          </cell>
          <cell r="E7503">
            <v>147643.84599999999</v>
          </cell>
          <cell r="F7503">
            <v>7</v>
          </cell>
        </row>
        <row r="7504">
          <cell r="A7504">
            <v>2018</v>
          </cell>
          <cell r="B7504" t="str">
            <v>Actual</v>
          </cell>
          <cell r="C7504" t="str">
            <v>Jul</v>
          </cell>
          <cell r="D7504" t="str">
            <v>Kitchen</v>
          </cell>
          <cell r="E7504">
            <v>1191931.8599999999</v>
          </cell>
          <cell r="F7504">
            <v>7</v>
          </cell>
        </row>
        <row r="7505">
          <cell r="A7505">
            <v>2019</v>
          </cell>
          <cell r="B7505" t="str">
            <v>Budget</v>
          </cell>
          <cell r="C7505" t="str">
            <v>Jul</v>
          </cell>
          <cell r="D7505" t="str">
            <v>Chairs</v>
          </cell>
          <cell r="E7505">
            <v>746692.15599999996</v>
          </cell>
          <cell r="F7505">
            <v>7</v>
          </cell>
        </row>
        <row r="7506">
          <cell r="A7506">
            <v>2019</v>
          </cell>
          <cell r="B7506" t="str">
            <v>Actual</v>
          </cell>
          <cell r="C7506" t="str">
            <v>Jul</v>
          </cell>
          <cell r="D7506" t="str">
            <v>Chairs</v>
          </cell>
          <cell r="E7506">
            <v>227516.34499999997</v>
          </cell>
          <cell r="F7506">
            <v>7</v>
          </cell>
        </row>
        <row r="7507">
          <cell r="A7507">
            <v>2019</v>
          </cell>
          <cell r="B7507" t="str">
            <v>Budget</v>
          </cell>
          <cell r="C7507" t="str">
            <v>Jul</v>
          </cell>
          <cell r="D7507" t="str">
            <v>Chairs</v>
          </cell>
          <cell r="E7507">
            <v>158539.75199999998</v>
          </cell>
          <cell r="F7507">
            <v>7</v>
          </cell>
        </row>
        <row r="7508">
          <cell r="A7508">
            <v>2018</v>
          </cell>
          <cell r="B7508" t="str">
            <v>Actual</v>
          </cell>
          <cell r="C7508" t="str">
            <v>Jul</v>
          </cell>
          <cell r="D7508" t="str">
            <v>Chairs</v>
          </cell>
          <cell r="E7508">
            <v>51034.262999999992</v>
          </cell>
          <cell r="F7508">
            <v>7</v>
          </cell>
        </row>
        <row r="7509">
          <cell r="A7509">
            <v>2018</v>
          </cell>
          <cell r="B7509" t="str">
            <v>Budget</v>
          </cell>
          <cell r="C7509" t="str">
            <v>Jul</v>
          </cell>
          <cell r="D7509" t="str">
            <v>Chairs</v>
          </cell>
          <cell r="E7509">
            <v>245048.97200000001</v>
          </cell>
          <cell r="F7509">
            <v>7</v>
          </cell>
        </row>
        <row r="7510">
          <cell r="A7510">
            <v>2018</v>
          </cell>
          <cell r="B7510" t="str">
            <v>Actual</v>
          </cell>
          <cell r="C7510" t="str">
            <v>Jul</v>
          </cell>
          <cell r="D7510" t="str">
            <v>Tables</v>
          </cell>
          <cell r="E7510">
            <v>488457.07399999991</v>
          </cell>
          <cell r="F7510">
            <v>7</v>
          </cell>
        </row>
        <row r="7511">
          <cell r="A7511">
            <v>2019</v>
          </cell>
          <cell r="B7511" t="str">
            <v>Budget</v>
          </cell>
          <cell r="C7511" t="str">
            <v>Jul</v>
          </cell>
          <cell r="D7511" t="str">
            <v>Kitchen</v>
          </cell>
          <cell r="E7511">
            <v>913360.35</v>
          </cell>
          <cell r="F7511">
            <v>7</v>
          </cell>
        </row>
        <row r="7512">
          <cell r="A7512">
            <v>2019</v>
          </cell>
          <cell r="B7512" t="str">
            <v>Actual</v>
          </cell>
          <cell r="C7512" t="str">
            <v>Jul</v>
          </cell>
          <cell r="D7512" t="str">
            <v>Chairs</v>
          </cell>
          <cell r="E7512">
            <v>333162.592</v>
          </cell>
          <cell r="F7512">
            <v>7</v>
          </cell>
        </row>
        <row r="7513">
          <cell r="A7513">
            <v>2019</v>
          </cell>
          <cell r="B7513" t="str">
            <v>Budget</v>
          </cell>
          <cell r="C7513" t="str">
            <v>Jul</v>
          </cell>
          <cell r="D7513" t="str">
            <v>Chairs</v>
          </cell>
          <cell r="E7513">
            <v>244794.30499999999</v>
          </cell>
          <cell r="F7513">
            <v>7</v>
          </cell>
        </row>
        <row r="7514">
          <cell r="A7514">
            <v>2018</v>
          </cell>
          <cell r="B7514" t="str">
            <v>Actual</v>
          </cell>
          <cell r="C7514" t="str">
            <v>Jul</v>
          </cell>
          <cell r="D7514" t="str">
            <v>Chairs</v>
          </cell>
          <cell r="E7514">
            <v>231155.51899999997</v>
          </cell>
          <cell r="F7514">
            <v>7</v>
          </cell>
        </row>
        <row r="7515">
          <cell r="A7515">
            <v>2019</v>
          </cell>
          <cell r="B7515" t="str">
            <v>Budget</v>
          </cell>
          <cell r="C7515" t="str">
            <v>Jul</v>
          </cell>
          <cell r="D7515" t="str">
            <v>Tables</v>
          </cell>
          <cell r="E7515">
            <v>162628.90700000001</v>
          </cell>
          <cell r="F7515">
            <v>7</v>
          </cell>
        </row>
        <row r="7516">
          <cell r="A7516">
            <v>2018</v>
          </cell>
          <cell r="B7516" t="str">
            <v>Actual</v>
          </cell>
          <cell r="C7516" t="str">
            <v>Jul</v>
          </cell>
          <cell r="D7516" t="str">
            <v>Kitchen</v>
          </cell>
          <cell r="E7516">
            <v>82518.904999999984</v>
          </cell>
          <cell r="F7516">
            <v>7</v>
          </cell>
        </row>
        <row r="7517">
          <cell r="A7517">
            <v>2018</v>
          </cell>
          <cell r="B7517" t="str">
            <v>Budget</v>
          </cell>
          <cell r="C7517" t="str">
            <v>Jul</v>
          </cell>
          <cell r="D7517" t="str">
            <v>Chairs</v>
          </cell>
          <cell r="E7517">
            <v>711410.41999999993</v>
          </cell>
          <cell r="F7517">
            <v>7</v>
          </cell>
        </row>
        <row r="7518">
          <cell r="A7518">
            <v>2019</v>
          </cell>
          <cell r="B7518" t="str">
            <v>Actual</v>
          </cell>
          <cell r="C7518" t="str">
            <v>Jul</v>
          </cell>
          <cell r="D7518" t="str">
            <v>Chairs</v>
          </cell>
          <cell r="E7518">
            <v>32058.564999999995</v>
          </cell>
          <cell r="F7518">
            <v>7</v>
          </cell>
        </row>
        <row r="7519">
          <cell r="A7519">
            <v>2019</v>
          </cell>
          <cell r="B7519" t="str">
            <v>Budget</v>
          </cell>
          <cell r="C7519" t="str">
            <v>Jul</v>
          </cell>
          <cell r="D7519" t="str">
            <v>Tables</v>
          </cell>
          <cell r="E7519">
            <v>2090206.2999999998</v>
          </cell>
          <cell r="F7519">
            <v>7</v>
          </cell>
        </row>
        <row r="7520">
          <cell r="A7520">
            <v>2018</v>
          </cell>
          <cell r="B7520" t="str">
            <v>Actual</v>
          </cell>
          <cell r="C7520" t="str">
            <v>Jul</v>
          </cell>
          <cell r="D7520" t="str">
            <v>Kitchen</v>
          </cell>
          <cell r="E7520">
            <v>1131590.929</v>
          </cell>
          <cell r="F7520">
            <v>7</v>
          </cell>
        </row>
        <row r="7521">
          <cell r="A7521">
            <v>2019</v>
          </cell>
          <cell r="B7521" t="str">
            <v>Budget</v>
          </cell>
          <cell r="C7521" t="str">
            <v>Jul</v>
          </cell>
          <cell r="D7521" t="str">
            <v>Chairs</v>
          </cell>
          <cell r="E7521">
            <v>261383.19899999999</v>
          </cell>
          <cell r="F7521">
            <v>7</v>
          </cell>
        </row>
        <row r="7522">
          <cell r="A7522">
            <v>2019</v>
          </cell>
          <cell r="B7522" t="str">
            <v>Actual</v>
          </cell>
          <cell r="C7522" t="str">
            <v>Jul</v>
          </cell>
          <cell r="D7522" t="str">
            <v>Chairs</v>
          </cell>
          <cell r="E7522">
            <v>340363.55499999999</v>
          </cell>
          <cell r="F7522">
            <v>7</v>
          </cell>
        </row>
        <row r="7523">
          <cell r="A7523">
            <v>2019</v>
          </cell>
          <cell r="B7523" t="str">
            <v>Budget</v>
          </cell>
          <cell r="C7523" t="str">
            <v>Jul</v>
          </cell>
          <cell r="D7523" t="str">
            <v>Chairs</v>
          </cell>
          <cell r="E7523">
            <v>12985.895999999999</v>
          </cell>
          <cell r="F7523">
            <v>7</v>
          </cell>
        </row>
        <row r="7524">
          <cell r="A7524">
            <v>2019</v>
          </cell>
          <cell r="B7524" t="str">
            <v>Actual</v>
          </cell>
          <cell r="C7524" t="str">
            <v>Jul</v>
          </cell>
          <cell r="D7524" t="str">
            <v>Tables</v>
          </cell>
          <cell r="E7524">
            <v>1410198.4119999998</v>
          </cell>
          <cell r="F7524">
            <v>7</v>
          </cell>
        </row>
        <row r="7525">
          <cell r="A7525">
            <v>2019</v>
          </cell>
          <cell r="B7525" t="str">
            <v>Budget</v>
          </cell>
          <cell r="C7525" t="str">
            <v>Jul</v>
          </cell>
          <cell r="D7525" t="str">
            <v>Kitchen</v>
          </cell>
          <cell r="E7525">
            <v>1852288.3189999999</v>
          </cell>
          <cell r="F7525">
            <v>7</v>
          </cell>
        </row>
        <row r="7526">
          <cell r="A7526">
            <v>2019</v>
          </cell>
          <cell r="B7526" t="str">
            <v>Actual</v>
          </cell>
          <cell r="C7526" t="str">
            <v>Jul</v>
          </cell>
          <cell r="D7526" t="str">
            <v>Accessories</v>
          </cell>
          <cell r="E7526">
            <v>422834.47499999998</v>
          </cell>
          <cell r="F7526">
            <v>7</v>
          </cell>
        </row>
        <row r="7527">
          <cell r="A7527">
            <v>2019</v>
          </cell>
          <cell r="B7527" t="str">
            <v>Budget</v>
          </cell>
          <cell r="C7527" t="str">
            <v>Jul</v>
          </cell>
          <cell r="D7527" t="str">
            <v>Chairs</v>
          </cell>
          <cell r="E7527">
            <v>-7246.8129999999992</v>
          </cell>
          <cell r="F7527">
            <v>7</v>
          </cell>
        </row>
        <row r="7528">
          <cell r="A7528">
            <v>2019</v>
          </cell>
          <cell r="B7528" t="str">
            <v>Actual</v>
          </cell>
          <cell r="C7528" t="str">
            <v>Jul</v>
          </cell>
          <cell r="D7528" t="str">
            <v>Tables</v>
          </cell>
          <cell r="E7528">
            <v>26442.268999999997</v>
          </cell>
          <cell r="F7528">
            <v>7</v>
          </cell>
        </row>
        <row r="7529">
          <cell r="A7529">
            <v>2019</v>
          </cell>
          <cell r="B7529" t="str">
            <v>Budget</v>
          </cell>
          <cell r="C7529" t="str">
            <v>Jul</v>
          </cell>
          <cell r="D7529" t="str">
            <v>Kitchen</v>
          </cell>
          <cell r="E7529">
            <v>27788.641999999996</v>
          </cell>
          <cell r="F7529">
            <v>7</v>
          </cell>
        </row>
        <row r="7530">
          <cell r="A7530">
            <v>2018</v>
          </cell>
          <cell r="B7530" t="str">
            <v>Actual</v>
          </cell>
          <cell r="C7530" t="str">
            <v>Jul</v>
          </cell>
          <cell r="D7530" t="str">
            <v>Accessories</v>
          </cell>
          <cell r="E7530">
            <v>227698.46400000001</v>
          </cell>
          <cell r="F7530">
            <v>7</v>
          </cell>
        </row>
        <row r="7531">
          <cell r="A7531">
            <v>2019</v>
          </cell>
          <cell r="B7531" t="str">
            <v>Budget</v>
          </cell>
          <cell r="C7531" t="str">
            <v>Jul</v>
          </cell>
          <cell r="D7531" t="str">
            <v>Chairs</v>
          </cell>
          <cell r="E7531">
            <v>296393.489</v>
          </cell>
          <cell r="F7531">
            <v>7</v>
          </cell>
        </row>
        <row r="7532">
          <cell r="A7532">
            <v>2018</v>
          </cell>
          <cell r="B7532" t="str">
            <v>Actual</v>
          </cell>
          <cell r="C7532" t="str">
            <v>Jul</v>
          </cell>
          <cell r="D7532" t="str">
            <v>Tables</v>
          </cell>
          <cell r="E7532">
            <v>25792.501</v>
          </cell>
          <cell r="F7532">
            <v>7</v>
          </cell>
        </row>
        <row r="7533">
          <cell r="A7533">
            <v>2019</v>
          </cell>
          <cell r="B7533" t="str">
            <v>Budget</v>
          </cell>
          <cell r="C7533" t="str">
            <v>Jul</v>
          </cell>
          <cell r="D7533" t="str">
            <v>Kitchen</v>
          </cell>
          <cell r="E7533">
            <v>309243.01099999994</v>
          </cell>
          <cell r="F7533">
            <v>7</v>
          </cell>
        </row>
        <row r="7534">
          <cell r="A7534">
            <v>2018</v>
          </cell>
          <cell r="B7534" t="str">
            <v>Actual</v>
          </cell>
          <cell r="C7534" t="str">
            <v>Jul</v>
          </cell>
          <cell r="D7534" t="str">
            <v>Accessories</v>
          </cell>
          <cell r="E7534">
            <v>2148389.733</v>
          </cell>
          <cell r="F7534">
            <v>7</v>
          </cell>
        </row>
        <row r="7535">
          <cell r="A7535">
            <v>2019</v>
          </cell>
          <cell r="B7535" t="str">
            <v>Budget</v>
          </cell>
          <cell r="C7535" t="str">
            <v>Jul</v>
          </cell>
          <cell r="D7535" t="str">
            <v>Chairs</v>
          </cell>
          <cell r="E7535">
            <v>144140.99</v>
          </cell>
          <cell r="F7535">
            <v>7</v>
          </cell>
        </row>
        <row r="7536">
          <cell r="A7536">
            <v>2018</v>
          </cell>
          <cell r="B7536" t="str">
            <v>Actual</v>
          </cell>
          <cell r="C7536" t="str">
            <v>Jul</v>
          </cell>
          <cell r="D7536" t="str">
            <v>Tables</v>
          </cell>
          <cell r="E7536">
            <v>45845.953999999998</v>
          </cell>
          <cell r="F7536">
            <v>7</v>
          </cell>
        </row>
        <row r="7537">
          <cell r="A7537">
            <v>2019</v>
          </cell>
          <cell r="B7537" t="str">
            <v>Budget</v>
          </cell>
          <cell r="C7537" t="str">
            <v>Jul</v>
          </cell>
          <cell r="D7537" t="str">
            <v>Kitchen</v>
          </cell>
          <cell r="E7537">
            <v>204527.03599999996</v>
          </cell>
          <cell r="F7537">
            <v>7</v>
          </cell>
        </row>
        <row r="7538">
          <cell r="A7538">
            <v>2018</v>
          </cell>
          <cell r="B7538" t="str">
            <v>Actual</v>
          </cell>
          <cell r="C7538" t="str">
            <v>Jul</v>
          </cell>
          <cell r="D7538" t="str">
            <v>Accessories</v>
          </cell>
          <cell r="E7538">
            <v>1505079.1489999997</v>
          </cell>
          <cell r="F7538">
            <v>7</v>
          </cell>
        </row>
        <row r="7539">
          <cell r="A7539">
            <v>2019</v>
          </cell>
          <cell r="B7539" t="str">
            <v>Budget</v>
          </cell>
          <cell r="C7539" t="str">
            <v>Jul</v>
          </cell>
          <cell r="D7539" t="str">
            <v>Chairs</v>
          </cell>
          <cell r="E7539">
            <v>540820.69299999997</v>
          </cell>
          <cell r="F7539">
            <v>7</v>
          </cell>
        </row>
        <row r="7540">
          <cell r="A7540">
            <v>2018</v>
          </cell>
          <cell r="B7540" t="str">
            <v>Actual</v>
          </cell>
          <cell r="C7540" t="str">
            <v>Jul</v>
          </cell>
          <cell r="D7540" t="str">
            <v>Chairs</v>
          </cell>
          <cell r="E7540">
            <v>535484.40399999998</v>
          </cell>
          <cell r="F7540">
            <v>7</v>
          </cell>
        </row>
        <row r="7541">
          <cell r="A7541">
            <v>2019</v>
          </cell>
          <cell r="B7541" t="str">
            <v>Budget</v>
          </cell>
          <cell r="C7541" t="str">
            <v>Jul</v>
          </cell>
          <cell r="D7541" t="str">
            <v>Tables</v>
          </cell>
          <cell r="E7541">
            <v>374433.36</v>
          </cell>
          <cell r="F7541">
            <v>7</v>
          </cell>
        </row>
        <row r="7542">
          <cell r="A7542">
            <v>2018</v>
          </cell>
          <cell r="B7542" t="str">
            <v>Actual</v>
          </cell>
          <cell r="C7542" t="str">
            <v>Jul</v>
          </cell>
          <cell r="D7542" t="str">
            <v>Kitchen</v>
          </cell>
          <cell r="E7542">
            <v>370718.88</v>
          </cell>
          <cell r="F7542">
            <v>7</v>
          </cell>
        </row>
        <row r="7543">
          <cell r="A7543">
            <v>2018</v>
          </cell>
          <cell r="B7543" t="str">
            <v>Budget</v>
          </cell>
          <cell r="C7543" t="str">
            <v>Jul</v>
          </cell>
          <cell r="D7543" t="str">
            <v>Chairs</v>
          </cell>
          <cell r="E7543">
            <v>44595.298999999999</v>
          </cell>
          <cell r="F7543">
            <v>7</v>
          </cell>
        </row>
        <row r="7544">
          <cell r="A7544">
            <v>2018</v>
          </cell>
          <cell r="B7544" t="str">
            <v>Actual</v>
          </cell>
          <cell r="C7544" t="str">
            <v>Jul</v>
          </cell>
          <cell r="D7544" t="str">
            <v>Tables</v>
          </cell>
          <cell r="E7544">
            <v>5421.0309999999999</v>
          </cell>
          <cell r="F7544">
            <v>7</v>
          </cell>
        </row>
        <row r="7545">
          <cell r="A7545">
            <v>2018</v>
          </cell>
          <cell r="B7545" t="str">
            <v>Budget</v>
          </cell>
          <cell r="C7545" t="str">
            <v>Jul</v>
          </cell>
          <cell r="D7545" t="str">
            <v>Kitchen</v>
          </cell>
          <cell r="E7545">
            <v>83327.614999999991</v>
          </cell>
          <cell r="F7545">
            <v>7</v>
          </cell>
        </row>
        <row r="7546">
          <cell r="A7546">
            <v>2018</v>
          </cell>
          <cell r="B7546" t="str">
            <v>Actual</v>
          </cell>
          <cell r="C7546" t="str">
            <v>Jul</v>
          </cell>
          <cell r="D7546" t="str">
            <v>Chairs</v>
          </cell>
          <cell r="E7546">
            <v>28481.578999999998</v>
          </cell>
          <cell r="F7546">
            <v>7</v>
          </cell>
        </row>
        <row r="7547">
          <cell r="A7547">
            <v>2018</v>
          </cell>
          <cell r="B7547" t="str">
            <v>Budget</v>
          </cell>
          <cell r="C7547" t="str">
            <v>Jul</v>
          </cell>
          <cell r="D7547" t="str">
            <v>Tables</v>
          </cell>
          <cell r="E7547">
            <v>9527.6369999999988</v>
          </cell>
          <cell r="F7547">
            <v>7</v>
          </cell>
        </row>
        <row r="7548">
          <cell r="A7548">
            <v>2018</v>
          </cell>
          <cell r="B7548" t="str">
            <v>Actual</v>
          </cell>
          <cell r="C7548" t="str">
            <v>Jul</v>
          </cell>
          <cell r="D7548" t="str">
            <v>Kitchen</v>
          </cell>
          <cell r="E7548">
            <v>24804.989999999998</v>
          </cell>
          <cell r="F7548">
            <v>7</v>
          </cell>
        </row>
        <row r="7549">
          <cell r="A7549">
            <v>2018</v>
          </cell>
          <cell r="B7549" t="str">
            <v>Budget</v>
          </cell>
          <cell r="C7549" t="str">
            <v>Jul</v>
          </cell>
          <cell r="D7549" t="str">
            <v>Chairs</v>
          </cell>
          <cell r="E7549">
            <v>57998.282999999996</v>
          </cell>
          <cell r="F7549">
            <v>7</v>
          </cell>
        </row>
        <row r="7550">
          <cell r="A7550">
            <v>2019</v>
          </cell>
          <cell r="B7550" t="str">
            <v>Actual</v>
          </cell>
          <cell r="C7550" t="str">
            <v>Jul</v>
          </cell>
          <cell r="D7550" t="str">
            <v>Chairs</v>
          </cell>
          <cell r="E7550">
            <v>84953.728999999992</v>
          </cell>
          <cell r="F7550">
            <v>7</v>
          </cell>
        </row>
        <row r="7551">
          <cell r="A7551">
            <v>2019</v>
          </cell>
          <cell r="B7551" t="str">
            <v>Budget</v>
          </cell>
          <cell r="C7551" t="str">
            <v>Jul</v>
          </cell>
          <cell r="D7551" t="str">
            <v>Chairs</v>
          </cell>
          <cell r="E7551">
            <v>14823.55</v>
          </cell>
          <cell r="F7551">
            <v>7</v>
          </cell>
        </row>
        <row r="7552">
          <cell r="A7552">
            <v>2019</v>
          </cell>
          <cell r="B7552" t="str">
            <v>Actual</v>
          </cell>
          <cell r="C7552" t="str">
            <v>Jul</v>
          </cell>
          <cell r="D7552" t="str">
            <v>Chairs</v>
          </cell>
          <cell r="E7552">
            <v>17842.222999999998</v>
          </cell>
          <cell r="F7552">
            <v>7</v>
          </cell>
        </row>
        <row r="7553">
          <cell r="A7553">
            <v>2018</v>
          </cell>
          <cell r="B7553" t="str">
            <v>Budget</v>
          </cell>
          <cell r="C7553" t="str">
            <v>Jul</v>
          </cell>
          <cell r="D7553" t="str">
            <v>Chairs</v>
          </cell>
          <cell r="E7553">
            <v>20670.664000000001</v>
          </cell>
          <cell r="F7553">
            <v>7</v>
          </cell>
        </row>
        <row r="7554">
          <cell r="A7554">
            <v>2018</v>
          </cell>
          <cell r="B7554" t="str">
            <v>Actual</v>
          </cell>
          <cell r="C7554" t="str">
            <v>Jul</v>
          </cell>
          <cell r="D7554" t="str">
            <v>Chairs</v>
          </cell>
          <cell r="E7554">
            <v>449659.45500000002</v>
          </cell>
          <cell r="F7554">
            <v>7</v>
          </cell>
        </row>
        <row r="7555">
          <cell r="A7555">
            <v>2019</v>
          </cell>
          <cell r="B7555" t="str">
            <v>Budget</v>
          </cell>
          <cell r="C7555" t="str">
            <v>Jul</v>
          </cell>
          <cell r="D7555" t="str">
            <v>Chairs</v>
          </cell>
          <cell r="E7555">
            <v>3274.5230000000001</v>
          </cell>
          <cell r="F7555">
            <v>7</v>
          </cell>
        </row>
        <row r="7556">
          <cell r="A7556">
            <v>2019</v>
          </cell>
          <cell r="B7556" t="str">
            <v>Actual</v>
          </cell>
          <cell r="C7556" t="str">
            <v>Jul</v>
          </cell>
          <cell r="D7556" t="str">
            <v>Chairs</v>
          </cell>
          <cell r="E7556">
            <v>347726.98800000001</v>
          </cell>
          <cell r="F7556">
            <v>7</v>
          </cell>
        </row>
        <row r="7557">
          <cell r="A7557">
            <v>2018</v>
          </cell>
          <cell r="B7557" t="str">
            <v>Budget</v>
          </cell>
          <cell r="C7557" t="str">
            <v>Jul</v>
          </cell>
          <cell r="D7557" t="str">
            <v>Chairs</v>
          </cell>
          <cell r="E7557">
            <v>544923.52599999995</v>
          </cell>
          <cell r="F7557">
            <v>7</v>
          </cell>
        </row>
        <row r="7558">
          <cell r="A7558">
            <v>2018</v>
          </cell>
          <cell r="B7558" t="str">
            <v>Actual</v>
          </cell>
          <cell r="C7558" t="str">
            <v>Jul</v>
          </cell>
          <cell r="D7558" t="str">
            <v>Chairs</v>
          </cell>
          <cell r="E7558">
            <v>99801.70199999999</v>
          </cell>
          <cell r="F7558">
            <v>7</v>
          </cell>
        </row>
        <row r="7559">
          <cell r="A7559">
            <v>2019</v>
          </cell>
          <cell r="B7559" t="str">
            <v>Budget</v>
          </cell>
          <cell r="C7559" t="str">
            <v>Jul</v>
          </cell>
          <cell r="D7559" t="str">
            <v>Chairs</v>
          </cell>
          <cell r="E7559">
            <v>133412.69899999999</v>
          </cell>
          <cell r="F7559">
            <v>7</v>
          </cell>
        </row>
        <row r="7560">
          <cell r="A7560">
            <v>2019</v>
          </cell>
          <cell r="B7560" t="str">
            <v>Actual</v>
          </cell>
          <cell r="C7560" t="str">
            <v>Jul</v>
          </cell>
          <cell r="D7560" t="str">
            <v>Chairs</v>
          </cell>
          <cell r="E7560">
            <v>94336.375</v>
          </cell>
          <cell r="F7560">
            <v>7</v>
          </cell>
        </row>
        <row r="7561">
          <cell r="A7561">
            <v>2018</v>
          </cell>
          <cell r="B7561" t="str">
            <v>Budget</v>
          </cell>
          <cell r="C7561" t="str">
            <v>Jul</v>
          </cell>
          <cell r="D7561" t="str">
            <v>Chairs</v>
          </cell>
          <cell r="E7561">
            <v>39713.540999999997</v>
          </cell>
          <cell r="F7561">
            <v>7</v>
          </cell>
        </row>
        <row r="7562">
          <cell r="A7562">
            <v>2018</v>
          </cell>
          <cell r="B7562" t="str">
            <v>Actual</v>
          </cell>
          <cell r="C7562" t="str">
            <v>Jul</v>
          </cell>
          <cell r="D7562" t="str">
            <v>Chairs</v>
          </cell>
          <cell r="E7562">
            <v>31639.775999999998</v>
          </cell>
          <cell r="F7562">
            <v>7</v>
          </cell>
        </row>
        <row r="7563">
          <cell r="A7563">
            <v>2019</v>
          </cell>
          <cell r="B7563" t="str">
            <v>Budget</v>
          </cell>
          <cell r="C7563" t="str">
            <v>Jul</v>
          </cell>
          <cell r="D7563" t="str">
            <v>Chairs</v>
          </cell>
          <cell r="E7563">
            <v>51655.772000000004</v>
          </cell>
          <cell r="F7563">
            <v>7</v>
          </cell>
        </row>
        <row r="7564">
          <cell r="A7564">
            <v>2019</v>
          </cell>
          <cell r="B7564" t="str">
            <v>Actual</v>
          </cell>
          <cell r="C7564" t="str">
            <v>Jul</v>
          </cell>
          <cell r="D7564" t="str">
            <v>Chairs</v>
          </cell>
          <cell r="E7564">
            <v>5671149.6869999999</v>
          </cell>
          <cell r="F7564">
            <v>7</v>
          </cell>
        </row>
        <row r="7565">
          <cell r="A7565">
            <v>2018</v>
          </cell>
          <cell r="B7565" t="str">
            <v>Budget</v>
          </cell>
          <cell r="C7565" t="str">
            <v>Jul</v>
          </cell>
          <cell r="D7565" t="str">
            <v>Chairs</v>
          </cell>
          <cell r="E7565">
            <v>17107.383999999998</v>
          </cell>
          <cell r="F7565">
            <v>7</v>
          </cell>
        </row>
        <row r="7566">
          <cell r="A7566">
            <v>2019</v>
          </cell>
          <cell r="B7566" t="str">
            <v>Actual</v>
          </cell>
          <cell r="C7566" t="str">
            <v>Jul</v>
          </cell>
          <cell r="D7566" t="str">
            <v>Chairs</v>
          </cell>
          <cell r="E7566">
            <v>19377.084999999999</v>
          </cell>
          <cell r="F7566">
            <v>7</v>
          </cell>
        </row>
        <row r="7567">
          <cell r="A7567">
            <v>2018</v>
          </cell>
          <cell r="B7567" t="str">
            <v>Budget</v>
          </cell>
          <cell r="C7567" t="str">
            <v>Jul</v>
          </cell>
          <cell r="D7567" t="str">
            <v>Chairs</v>
          </cell>
          <cell r="E7567">
            <v>17034.940999999999</v>
          </cell>
          <cell r="F7567">
            <v>7</v>
          </cell>
        </row>
        <row r="7568">
          <cell r="A7568">
            <v>2018</v>
          </cell>
          <cell r="B7568" t="str">
            <v>Actual</v>
          </cell>
          <cell r="C7568" t="str">
            <v>Jul</v>
          </cell>
          <cell r="D7568" t="str">
            <v>Chairs</v>
          </cell>
          <cell r="E7568">
            <v>99061.381999999998</v>
          </cell>
          <cell r="F7568">
            <v>7</v>
          </cell>
        </row>
        <row r="7569">
          <cell r="A7569">
            <v>2018</v>
          </cell>
          <cell r="B7569" t="str">
            <v>Budget</v>
          </cell>
          <cell r="C7569" t="str">
            <v>Jul</v>
          </cell>
          <cell r="D7569" t="str">
            <v>Chairs</v>
          </cell>
          <cell r="E7569">
            <v>45446.218999999997</v>
          </cell>
          <cell r="F7569">
            <v>7</v>
          </cell>
        </row>
        <row r="7570">
          <cell r="A7570">
            <v>2018</v>
          </cell>
          <cell r="B7570" t="str">
            <v>Actual</v>
          </cell>
          <cell r="C7570" t="str">
            <v>Jul</v>
          </cell>
          <cell r="D7570" t="str">
            <v>Chairs</v>
          </cell>
          <cell r="E7570">
            <v>222132.31599999999</v>
          </cell>
          <cell r="F7570">
            <v>7</v>
          </cell>
        </row>
        <row r="7571">
          <cell r="A7571">
            <v>2019</v>
          </cell>
          <cell r="B7571" t="str">
            <v>Budget</v>
          </cell>
          <cell r="C7571" t="str">
            <v>Jul</v>
          </cell>
          <cell r="D7571" t="str">
            <v>Chairs</v>
          </cell>
          <cell r="E7571">
            <v>79184.846999999994</v>
          </cell>
          <cell r="F7571">
            <v>7</v>
          </cell>
        </row>
        <row r="7572">
          <cell r="A7572">
            <v>2018</v>
          </cell>
          <cell r="B7572" t="str">
            <v>Actual</v>
          </cell>
          <cell r="C7572" t="str">
            <v>Jul</v>
          </cell>
          <cell r="D7572" t="str">
            <v>Chairs</v>
          </cell>
          <cell r="E7572">
            <v>89610.633000000002</v>
          </cell>
          <cell r="F7572">
            <v>7</v>
          </cell>
        </row>
        <row r="7573">
          <cell r="A7573">
            <v>2019</v>
          </cell>
          <cell r="B7573" t="str">
            <v>Budget</v>
          </cell>
          <cell r="C7573" t="str">
            <v>Jul</v>
          </cell>
          <cell r="D7573" t="str">
            <v>Chairs</v>
          </cell>
          <cell r="E7573">
            <v>1928263.0499999998</v>
          </cell>
          <cell r="F7573">
            <v>7</v>
          </cell>
        </row>
        <row r="7574">
          <cell r="A7574">
            <v>2019</v>
          </cell>
          <cell r="B7574" t="str">
            <v>Actual</v>
          </cell>
          <cell r="C7574" t="str">
            <v>Jul</v>
          </cell>
          <cell r="D7574" t="str">
            <v>Chairs</v>
          </cell>
          <cell r="E7574">
            <v>134843.98899999997</v>
          </cell>
          <cell r="F7574">
            <v>7</v>
          </cell>
        </row>
        <row r="7575">
          <cell r="A7575">
            <v>2018</v>
          </cell>
          <cell r="B7575" t="str">
            <v>Budget</v>
          </cell>
          <cell r="C7575" t="str">
            <v>Jul</v>
          </cell>
          <cell r="D7575" t="str">
            <v>Tables</v>
          </cell>
          <cell r="E7575">
            <v>223774.94999999998</v>
          </cell>
          <cell r="F7575">
            <v>7</v>
          </cell>
        </row>
        <row r="7576">
          <cell r="A7576">
            <v>2019</v>
          </cell>
          <cell r="B7576" t="str">
            <v>Actual</v>
          </cell>
          <cell r="C7576" t="str">
            <v>Jul</v>
          </cell>
          <cell r="D7576" t="str">
            <v>Kitchen</v>
          </cell>
          <cell r="E7576">
            <v>-10922.743999999999</v>
          </cell>
          <cell r="F7576">
            <v>7</v>
          </cell>
        </row>
        <row r="7577">
          <cell r="A7577">
            <v>2018</v>
          </cell>
          <cell r="B7577" t="str">
            <v>Budget</v>
          </cell>
          <cell r="C7577" t="str">
            <v>Jul</v>
          </cell>
          <cell r="D7577" t="str">
            <v>Chairs</v>
          </cell>
          <cell r="E7577">
            <v>15114.728999999999</v>
          </cell>
          <cell r="F7577">
            <v>7</v>
          </cell>
        </row>
        <row r="7578">
          <cell r="A7578">
            <v>2019</v>
          </cell>
          <cell r="B7578" t="str">
            <v>Actual</v>
          </cell>
          <cell r="C7578" t="str">
            <v>Jul</v>
          </cell>
          <cell r="D7578" t="str">
            <v>Chairs</v>
          </cell>
          <cell r="E7578">
            <v>-242999.45600000001</v>
          </cell>
          <cell r="F7578">
            <v>7</v>
          </cell>
        </row>
        <row r="7579">
          <cell r="A7579">
            <v>2019</v>
          </cell>
          <cell r="B7579" t="str">
            <v>Budget</v>
          </cell>
          <cell r="C7579" t="str">
            <v>Jul</v>
          </cell>
          <cell r="D7579" t="str">
            <v>Chairs</v>
          </cell>
          <cell r="E7579">
            <v>1007170.2899999999</v>
          </cell>
          <cell r="F7579">
            <v>7</v>
          </cell>
        </row>
        <row r="7580">
          <cell r="A7580">
            <v>2019</v>
          </cell>
          <cell r="B7580" t="str">
            <v>Actual</v>
          </cell>
          <cell r="C7580" t="str">
            <v>Jul</v>
          </cell>
          <cell r="D7580" t="str">
            <v>Chairs</v>
          </cell>
          <cell r="E7580">
            <v>1252478.5489999999</v>
          </cell>
          <cell r="F7580">
            <v>7</v>
          </cell>
        </row>
        <row r="7581">
          <cell r="A7581">
            <v>2019</v>
          </cell>
          <cell r="B7581" t="str">
            <v>Budget</v>
          </cell>
          <cell r="C7581" t="str">
            <v>Jul</v>
          </cell>
          <cell r="D7581" t="str">
            <v>Chairs</v>
          </cell>
          <cell r="E7581">
            <v>137123.44099999999</v>
          </cell>
          <cell r="F7581">
            <v>7</v>
          </cell>
        </row>
        <row r="7582">
          <cell r="A7582">
            <v>2019</v>
          </cell>
          <cell r="B7582" t="str">
            <v>Actual</v>
          </cell>
          <cell r="C7582" t="str">
            <v>Jul</v>
          </cell>
          <cell r="D7582" t="str">
            <v>Tables</v>
          </cell>
          <cell r="E7582">
            <v>1066191.084</v>
          </cell>
          <cell r="F7582">
            <v>7</v>
          </cell>
        </row>
        <row r="7583">
          <cell r="A7583">
            <v>2018</v>
          </cell>
          <cell r="B7583" t="str">
            <v>Budget</v>
          </cell>
          <cell r="C7583" t="str">
            <v>Jul</v>
          </cell>
          <cell r="D7583" t="str">
            <v>Kitchen</v>
          </cell>
          <cell r="E7583">
            <v>526735.04099999997</v>
          </cell>
          <cell r="F7583">
            <v>7</v>
          </cell>
        </row>
        <row r="7584">
          <cell r="A7584">
            <v>2018</v>
          </cell>
          <cell r="B7584" t="str">
            <v>Actual</v>
          </cell>
          <cell r="C7584" t="str">
            <v>Jul</v>
          </cell>
          <cell r="D7584" t="str">
            <v>Chairs</v>
          </cell>
          <cell r="E7584">
            <v>980235.71799999988</v>
          </cell>
          <cell r="F7584">
            <v>7</v>
          </cell>
        </row>
        <row r="7585">
          <cell r="A7585">
            <v>2019</v>
          </cell>
          <cell r="B7585" t="str">
            <v>Budget</v>
          </cell>
          <cell r="C7585" t="str">
            <v>Jul</v>
          </cell>
          <cell r="D7585" t="str">
            <v>Chairs</v>
          </cell>
          <cell r="E7585">
            <v>1546010.851</v>
          </cell>
          <cell r="F7585">
            <v>7</v>
          </cell>
        </row>
        <row r="7586">
          <cell r="A7586">
            <v>2019</v>
          </cell>
          <cell r="B7586" t="str">
            <v>Actual</v>
          </cell>
          <cell r="C7586" t="str">
            <v>Jul</v>
          </cell>
          <cell r="D7586" t="str">
            <v>Chairs</v>
          </cell>
          <cell r="E7586">
            <v>187559.74299999999</v>
          </cell>
          <cell r="F7586">
            <v>7</v>
          </cell>
        </row>
        <row r="7587">
          <cell r="A7587">
            <v>2019</v>
          </cell>
          <cell r="B7587" t="str">
            <v>Budget</v>
          </cell>
          <cell r="C7587" t="str">
            <v>Jul</v>
          </cell>
          <cell r="D7587" t="str">
            <v>Tables</v>
          </cell>
          <cell r="E7587">
            <v>597820.81099999999</v>
          </cell>
          <cell r="F7587">
            <v>7</v>
          </cell>
        </row>
        <row r="7588">
          <cell r="A7588">
            <v>2019</v>
          </cell>
          <cell r="B7588" t="str">
            <v>Actual</v>
          </cell>
          <cell r="C7588" t="str">
            <v>Jul</v>
          </cell>
          <cell r="D7588" t="str">
            <v>Kitchen</v>
          </cell>
          <cell r="E7588">
            <v>766167.66099999996</v>
          </cell>
          <cell r="F7588">
            <v>7</v>
          </cell>
        </row>
        <row r="7589">
          <cell r="A7589">
            <v>2019</v>
          </cell>
          <cell r="B7589" t="str">
            <v>Budget</v>
          </cell>
          <cell r="C7589" t="str">
            <v>Jul</v>
          </cell>
          <cell r="D7589" t="str">
            <v>Chairs</v>
          </cell>
          <cell r="E7589">
            <v>327310.12299999996</v>
          </cell>
          <cell r="F7589">
            <v>7</v>
          </cell>
        </row>
        <row r="7590">
          <cell r="A7590">
            <v>2019</v>
          </cell>
          <cell r="B7590" t="str">
            <v>Actual</v>
          </cell>
          <cell r="C7590" t="str">
            <v>Jul</v>
          </cell>
          <cell r="D7590" t="str">
            <v>Chairs</v>
          </cell>
          <cell r="E7590">
            <v>91764.19</v>
          </cell>
          <cell r="F7590">
            <v>7</v>
          </cell>
        </row>
        <row r="7591">
          <cell r="A7591">
            <v>2018</v>
          </cell>
          <cell r="B7591" t="str">
            <v>Budget</v>
          </cell>
          <cell r="C7591" t="str">
            <v>Jul</v>
          </cell>
          <cell r="D7591" t="str">
            <v>Tables</v>
          </cell>
          <cell r="E7591">
            <v>270652.36799999996</v>
          </cell>
          <cell r="F7591">
            <v>7</v>
          </cell>
        </row>
        <row r="7592">
          <cell r="A7592">
            <v>2019</v>
          </cell>
          <cell r="B7592" t="str">
            <v>Actual</v>
          </cell>
          <cell r="C7592" t="str">
            <v>Jul</v>
          </cell>
          <cell r="D7592" t="str">
            <v>Kitchen</v>
          </cell>
          <cell r="E7592">
            <v>135811.00399999999</v>
          </cell>
          <cell r="F7592">
            <v>7</v>
          </cell>
        </row>
        <row r="7593">
          <cell r="A7593">
            <v>2018</v>
          </cell>
          <cell r="B7593" t="str">
            <v>Budget</v>
          </cell>
          <cell r="C7593" t="str">
            <v>Jul</v>
          </cell>
          <cell r="D7593" t="str">
            <v>Chairs</v>
          </cell>
          <cell r="E7593">
            <v>95228.273000000001</v>
          </cell>
          <cell r="F7593">
            <v>7</v>
          </cell>
        </row>
        <row r="7594">
          <cell r="A7594">
            <v>2019</v>
          </cell>
          <cell r="B7594" t="str">
            <v>Actual</v>
          </cell>
          <cell r="C7594" t="str">
            <v>Jul</v>
          </cell>
          <cell r="D7594" t="str">
            <v>Chairs</v>
          </cell>
          <cell r="E7594">
            <v>258925.38</v>
          </cell>
          <cell r="F7594">
            <v>7</v>
          </cell>
        </row>
        <row r="7595">
          <cell r="A7595">
            <v>2018</v>
          </cell>
          <cell r="B7595" t="str">
            <v>Budget</v>
          </cell>
          <cell r="C7595" t="str">
            <v>Jul</v>
          </cell>
          <cell r="D7595" t="str">
            <v>Tables</v>
          </cell>
          <cell r="E7595">
            <v>308002.19799999997</v>
          </cell>
          <cell r="F7595">
            <v>7</v>
          </cell>
        </row>
        <row r="7596">
          <cell r="A7596">
            <v>2018</v>
          </cell>
          <cell r="B7596" t="str">
            <v>Actual</v>
          </cell>
          <cell r="C7596" t="str">
            <v>Jul</v>
          </cell>
          <cell r="D7596" t="str">
            <v>Kitchen</v>
          </cell>
          <cell r="E7596">
            <v>494064.79499999993</v>
          </cell>
          <cell r="F7596">
            <v>7</v>
          </cell>
        </row>
        <row r="7597">
          <cell r="A7597">
            <v>2018</v>
          </cell>
          <cell r="B7597" t="str">
            <v>Budget</v>
          </cell>
          <cell r="C7597" t="str">
            <v>Jul</v>
          </cell>
          <cell r="D7597" t="str">
            <v>Accessories</v>
          </cell>
          <cell r="E7597">
            <v>307159.20899999997</v>
          </cell>
          <cell r="F7597">
            <v>7</v>
          </cell>
        </row>
        <row r="7598">
          <cell r="A7598">
            <v>2018</v>
          </cell>
          <cell r="B7598" t="str">
            <v>Actual</v>
          </cell>
          <cell r="C7598" t="str">
            <v>Jul</v>
          </cell>
          <cell r="D7598" t="str">
            <v>Chairs</v>
          </cell>
          <cell r="E7598">
            <v>155652.80499999999</v>
          </cell>
          <cell r="F7598">
            <v>7</v>
          </cell>
        </row>
        <row r="7599">
          <cell r="A7599">
            <v>2018</v>
          </cell>
          <cell r="B7599" t="str">
            <v>Budget</v>
          </cell>
          <cell r="C7599" t="str">
            <v>Jul</v>
          </cell>
          <cell r="D7599" t="str">
            <v>Tables</v>
          </cell>
          <cell r="E7599">
            <v>154911.883</v>
          </cell>
          <cell r="F7599">
            <v>7</v>
          </cell>
        </row>
        <row r="7600">
          <cell r="A7600">
            <v>2018</v>
          </cell>
          <cell r="B7600" t="str">
            <v>Actual</v>
          </cell>
          <cell r="C7600" t="str">
            <v>Jul</v>
          </cell>
          <cell r="D7600" t="str">
            <v>Kitchen</v>
          </cell>
          <cell r="E7600">
            <v>81644.668000000005</v>
          </cell>
          <cell r="F7600">
            <v>7</v>
          </cell>
        </row>
        <row r="7601">
          <cell r="A7601">
            <v>2018</v>
          </cell>
          <cell r="B7601" t="str">
            <v>Budget</v>
          </cell>
          <cell r="C7601" t="str">
            <v>Jul</v>
          </cell>
          <cell r="D7601" t="str">
            <v>Accessories</v>
          </cell>
          <cell r="E7601">
            <v>113693.853</v>
          </cell>
          <cell r="F7601">
            <v>7</v>
          </cell>
        </row>
        <row r="7602">
          <cell r="A7602">
            <v>2018</v>
          </cell>
          <cell r="B7602" t="str">
            <v>Actual</v>
          </cell>
          <cell r="C7602" t="str">
            <v>Jul</v>
          </cell>
          <cell r="D7602" t="str">
            <v>Chairs</v>
          </cell>
          <cell r="E7602">
            <v>12168.596999999998</v>
          </cell>
          <cell r="F7602">
            <v>7</v>
          </cell>
        </row>
        <row r="7603">
          <cell r="A7603">
            <v>2018</v>
          </cell>
          <cell r="B7603" t="str">
            <v>Budget</v>
          </cell>
          <cell r="C7603" t="str">
            <v>Jul</v>
          </cell>
          <cell r="D7603" t="str">
            <v>Tables</v>
          </cell>
          <cell r="E7603">
            <v>71655.583999999988</v>
          </cell>
          <cell r="F7603">
            <v>7</v>
          </cell>
        </row>
        <row r="7604">
          <cell r="A7604">
            <v>2018</v>
          </cell>
          <cell r="B7604" t="str">
            <v>Actual</v>
          </cell>
          <cell r="C7604" t="str">
            <v>Jul</v>
          </cell>
          <cell r="D7604" t="str">
            <v>Kitchen</v>
          </cell>
          <cell r="E7604">
            <v>110418.67199999999</v>
          </cell>
          <cell r="F7604">
            <v>7</v>
          </cell>
        </row>
        <row r="7605">
          <cell r="A7605">
            <v>2018</v>
          </cell>
          <cell r="B7605" t="str">
            <v>Budget</v>
          </cell>
          <cell r="C7605" t="str">
            <v>Jul</v>
          </cell>
          <cell r="D7605" t="str">
            <v>Accessories</v>
          </cell>
          <cell r="E7605">
            <v>354380.59299999999</v>
          </cell>
          <cell r="F7605">
            <v>7</v>
          </cell>
        </row>
        <row r="7606">
          <cell r="A7606">
            <v>2018</v>
          </cell>
          <cell r="B7606" t="str">
            <v>Actual</v>
          </cell>
          <cell r="C7606" t="str">
            <v>Jul</v>
          </cell>
          <cell r="D7606" t="str">
            <v>Chairs</v>
          </cell>
          <cell r="E7606">
            <v>26579.987000000001</v>
          </cell>
          <cell r="F7606">
            <v>7</v>
          </cell>
        </row>
        <row r="7607">
          <cell r="A7607">
            <v>2019</v>
          </cell>
          <cell r="B7607" t="str">
            <v>Budget</v>
          </cell>
          <cell r="C7607" t="str">
            <v>Jul</v>
          </cell>
          <cell r="D7607" t="str">
            <v>Tables</v>
          </cell>
          <cell r="E7607">
            <v>15448.733999999999</v>
          </cell>
          <cell r="F7607">
            <v>7</v>
          </cell>
        </row>
        <row r="7608">
          <cell r="A7608">
            <v>2018</v>
          </cell>
          <cell r="B7608" t="str">
            <v>Actual</v>
          </cell>
          <cell r="C7608" t="str">
            <v>Jul</v>
          </cell>
          <cell r="D7608" t="str">
            <v>Kitchen</v>
          </cell>
          <cell r="E7608">
            <v>40835.815999999999</v>
          </cell>
          <cell r="F7608">
            <v>7</v>
          </cell>
        </row>
        <row r="7609">
          <cell r="A7609">
            <v>2019</v>
          </cell>
          <cell r="B7609" t="str">
            <v>Budget</v>
          </cell>
          <cell r="C7609" t="str">
            <v>Jul</v>
          </cell>
          <cell r="D7609" t="str">
            <v>Accessories</v>
          </cell>
          <cell r="E7609">
            <v>1993.152</v>
          </cell>
          <cell r="F7609">
            <v>7</v>
          </cell>
        </row>
        <row r="7610">
          <cell r="A7610">
            <v>2018</v>
          </cell>
          <cell r="B7610" t="str">
            <v>Actual</v>
          </cell>
          <cell r="C7610" t="str">
            <v>Jul</v>
          </cell>
          <cell r="D7610" t="str">
            <v>Chairs</v>
          </cell>
          <cell r="E7610">
            <v>681646.11199999996</v>
          </cell>
          <cell r="F7610">
            <v>7</v>
          </cell>
        </row>
        <row r="7611">
          <cell r="A7611">
            <v>2018</v>
          </cell>
          <cell r="B7611" t="str">
            <v>Budget</v>
          </cell>
          <cell r="C7611" t="str">
            <v>Jul</v>
          </cell>
          <cell r="D7611" t="str">
            <v>Tables</v>
          </cell>
          <cell r="E7611">
            <v>148823.80799999999</v>
          </cell>
          <cell r="F7611">
            <v>7</v>
          </cell>
        </row>
        <row r="7612">
          <cell r="A7612">
            <v>2018</v>
          </cell>
          <cell r="B7612" t="str">
            <v>Actual</v>
          </cell>
          <cell r="C7612" t="str">
            <v>Jul</v>
          </cell>
          <cell r="D7612" t="str">
            <v>Kitchen</v>
          </cell>
          <cell r="E7612">
            <v>229470.83599999998</v>
          </cell>
          <cell r="F7612">
            <v>7</v>
          </cell>
        </row>
        <row r="7613">
          <cell r="A7613">
            <v>2018</v>
          </cell>
          <cell r="B7613" t="str">
            <v>Budget</v>
          </cell>
          <cell r="C7613" t="str">
            <v>Jul</v>
          </cell>
          <cell r="D7613" t="str">
            <v>Accessories</v>
          </cell>
          <cell r="E7613">
            <v>38769.044999999998</v>
          </cell>
          <cell r="F7613">
            <v>7</v>
          </cell>
        </row>
        <row r="7614">
          <cell r="A7614">
            <v>2019</v>
          </cell>
          <cell r="B7614" t="str">
            <v>Actual</v>
          </cell>
          <cell r="C7614" t="str">
            <v>Jul</v>
          </cell>
          <cell r="D7614" t="str">
            <v>Chairs</v>
          </cell>
          <cell r="E7614">
            <v>341060.11099999998</v>
          </cell>
          <cell r="F7614">
            <v>7</v>
          </cell>
        </row>
        <row r="7615">
          <cell r="A7615">
            <v>2018</v>
          </cell>
          <cell r="B7615" t="str">
            <v>Budget</v>
          </cell>
          <cell r="C7615" t="str">
            <v>Jul</v>
          </cell>
          <cell r="D7615" t="str">
            <v>Chairs</v>
          </cell>
          <cell r="E7615">
            <v>67838.014999999999</v>
          </cell>
          <cell r="F7615">
            <v>7</v>
          </cell>
        </row>
        <row r="7616">
          <cell r="A7616">
            <v>2019</v>
          </cell>
          <cell r="B7616" t="str">
            <v>Actual</v>
          </cell>
          <cell r="C7616" t="str">
            <v>Jul</v>
          </cell>
          <cell r="D7616" t="str">
            <v>Tables</v>
          </cell>
          <cell r="E7616">
            <v>65197.796999999999</v>
          </cell>
          <cell r="F7616">
            <v>7</v>
          </cell>
        </row>
        <row r="7617">
          <cell r="A7617">
            <v>2018</v>
          </cell>
          <cell r="B7617" t="str">
            <v>Budget</v>
          </cell>
          <cell r="C7617" t="str">
            <v>Jul</v>
          </cell>
          <cell r="D7617" t="str">
            <v>Kitchen</v>
          </cell>
          <cell r="E7617">
            <v>62656.124999999993</v>
          </cell>
          <cell r="F7617">
            <v>7</v>
          </cell>
        </row>
        <row r="7618">
          <cell r="A7618">
            <v>2019</v>
          </cell>
          <cell r="B7618" t="str">
            <v>Actual</v>
          </cell>
          <cell r="C7618" t="str">
            <v>Jul</v>
          </cell>
          <cell r="D7618" t="str">
            <v>Chairs</v>
          </cell>
          <cell r="E7618">
            <v>1119197.3729999999</v>
          </cell>
          <cell r="F7618">
            <v>7</v>
          </cell>
        </row>
        <row r="7619">
          <cell r="A7619">
            <v>2018</v>
          </cell>
          <cell r="B7619" t="str">
            <v>Budget</v>
          </cell>
          <cell r="C7619" t="str">
            <v>Jul</v>
          </cell>
          <cell r="D7619" t="str">
            <v>Tables</v>
          </cell>
          <cell r="E7619">
            <v>233425.27599999998</v>
          </cell>
          <cell r="F7619">
            <v>7</v>
          </cell>
        </row>
        <row r="7620">
          <cell r="A7620">
            <v>2018</v>
          </cell>
          <cell r="B7620" t="str">
            <v>Actual</v>
          </cell>
          <cell r="C7620" t="str">
            <v>Jul</v>
          </cell>
          <cell r="D7620" t="str">
            <v>Kitchen</v>
          </cell>
          <cell r="E7620">
            <v>114472.83399999999</v>
          </cell>
          <cell r="F7620">
            <v>7</v>
          </cell>
        </row>
        <row r="7621">
          <cell r="A7621">
            <v>2018</v>
          </cell>
          <cell r="B7621" t="str">
            <v>Budget</v>
          </cell>
          <cell r="C7621" t="str">
            <v>Jul</v>
          </cell>
          <cell r="D7621" t="str">
            <v>Chairs</v>
          </cell>
          <cell r="E7621">
            <v>148623.42599999998</v>
          </cell>
          <cell r="F7621">
            <v>7</v>
          </cell>
        </row>
        <row r="7622">
          <cell r="A7622">
            <v>2019</v>
          </cell>
          <cell r="B7622" t="str">
            <v>Actual</v>
          </cell>
          <cell r="C7622" t="str">
            <v>Jul</v>
          </cell>
          <cell r="D7622" t="str">
            <v>Tables</v>
          </cell>
          <cell r="E7622">
            <v>13128.576999999999</v>
          </cell>
          <cell r="F7622">
            <v>7</v>
          </cell>
        </row>
        <row r="7623">
          <cell r="A7623">
            <v>2019</v>
          </cell>
          <cell r="B7623" t="str">
            <v>Budget</v>
          </cell>
          <cell r="C7623" t="str">
            <v>Jul</v>
          </cell>
          <cell r="D7623" t="str">
            <v>Kitchen</v>
          </cell>
          <cell r="E7623">
            <v>65627.394</v>
          </cell>
          <cell r="F7623">
            <v>7</v>
          </cell>
        </row>
        <row r="7624">
          <cell r="A7624">
            <v>2019</v>
          </cell>
          <cell r="B7624" t="str">
            <v>Actual</v>
          </cell>
          <cell r="C7624" t="str">
            <v>Jul</v>
          </cell>
          <cell r="D7624" t="str">
            <v>Chairs</v>
          </cell>
          <cell r="E7624">
            <v>53440.772000000004</v>
          </cell>
          <cell r="F7624">
            <v>7</v>
          </cell>
        </row>
        <row r="7625">
          <cell r="A7625">
            <v>2018</v>
          </cell>
          <cell r="B7625" t="str">
            <v>Budget</v>
          </cell>
          <cell r="C7625" t="str">
            <v>Jul</v>
          </cell>
          <cell r="D7625" t="str">
            <v>Chairs</v>
          </cell>
          <cell r="E7625">
            <v>653134.46799999999</v>
          </cell>
          <cell r="F7625">
            <v>7</v>
          </cell>
        </row>
        <row r="7626">
          <cell r="A7626">
            <v>2018</v>
          </cell>
          <cell r="B7626" t="str">
            <v>Actual</v>
          </cell>
          <cell r="C7626" t="str">
            <v>Jul</v>
          </cell>
          <cell r="D7626" t="str">
            <v>Chairs</v>
          </cell>
          <cell r="E7626">
            <v>237860.62299999999</v>
          </cell>
          <cell r="F7626">
            <v>7</v>
          </cell>
        </row>
        <row r="7627">
          <cell r="A7627">
            <v>2018</v>
          </cell>
          <cell r="B7627" t="str">
            <v>Budget</v>
          </cell>
          <cell r="C7627" t="str">
            <v>Jul</v>
          </cell>
          <cell r="D7627" t="str">
            <v>Chairs</v>
          </cell>
          <cell r="E7627">
            <v>6421.45</v>
          </cell>
          <cell r="F7627">
            <v>7</v>
          </cell>
        </row>
        <row r="7628">
          <cell r="A7628">
            <v>2019</v>
          </cell>
          <cell r="B7628" t="str">
            <v>Actual</v>
          </cell>
          <cell r="C7628" t="str">
            <v>Jul</v>
          </cell>
          <cell r="D7628" t="str">
            <v>Chairs</v>
          </cell>
          <cell r="E7628">
            <v>29459.716999999997</v>
          </cell>
          <cell r="F7628">
            <v>7</v>
          </cell>
        </row>
        <row r="7629">
          <cell r="A7629">
            <v>2019</v>
          </cell>
          <cell r="B7629" t="str">
            <v>Budget</v>
          </cell>
          <cell r="C7629" t="str">
            <v>Jul</v>
          </cell>
          <cell r="D7629" t="str">
            <v>Chairs</v>
          </cell>
          <cell r="E7629">
            <v>9270.5549999999985</v>
          </cell>
          <cell r="F7629">
            <v>7</v>
          </cell>
        </row>
        <row r="7630">
          <cell r="A7630">
            <v>2019</v>
          </cell>
          <cell r="B7630" t="str">
            <v>Actual</v>
          </cell>
          <cell r="C7630" t="str">
            <v>Jul</v>
          </cell>
          <cell r="D7630" t="str">
            <v>Chairs</v>
          </cell>
          <cell r="E7630">
            <v>1078085.3299999998</v>
          </cell>
          <cell r="F7630">
            <v>7</v>
          </cell>
        </row>
        <row r="7631">
          <cell r="A7631">
            <v>2018</v>
          </cell>
          <cell r="B7631" t="str">
            <v>Budget</v>
          </cell>
          <cell r="C7631" t="str">
            <v>Jul</v>
          </cell>
          <cell r="D7631" t="str">
            <v>Chairs</v>
          </cell>
          <cell r="E7631">
            <v>33098.387000000002</v>
          </cell>
          <cell r="F7631">
            <v>7</v>
          </cell>
        </row>
        <row r="7632">
          <cell r="A7632">
            <v>2019</v>
          </cell>
          <cell r="B7632" t="str">
            <v>Actual</v>
          </cell>
          <cell r="C7632" t="str">
            <v>Jul</v>
          </cell>
          <cell r="D7632" t="str">
            <v>Chairs</v>
          </cell>
          <cell r="E7632">
            <v>186698.29499999998</v>
          </cell>
          <cell r="F7632">
            <v>7</v>
          </cell>
        </row>
        <row r="7633">
          <cell r="A7633">
            <v>2018</v>
          </cell>
          <cell r="B7633" t="str">
            <v>Budget</v>
          </cell>
          <cell r="C7633" t="str">
            <v>Jul</v>
          </cell>
          <cell r="D7633" t="str">
            <v>Chairs</v>
          </cell>
          <cell r="E7633">
            <v>842360.06400000001</v>
          </cell>
          <cell r="F7633">
            <v>7</v>
          </cell>
        </row>
        <row r="7634">
          <cell r="A7634">
            <v>2019</v>
          </cell>
          <cell r="B7634" t="str">
            <v>Actual</v>
          </cell>
          <cell r="C7634" t="str">
            <v>Jul</v>
          </cell>
          <cell r="D7634" t="str">
            <v>Chairs</v>
          </cell>
          <cell r="E7634">
            <v>1545181.834</v>
          </cell>
          <cell r="F7634">
            <v>7</v>
          </cell>
        </row>
        <row r="7635">
          <cell r="A7635">
            <v>2019</v>
          </cell>
          <cell r="B7635" t="str">
            <v>Budget</v>
          </cell>
          <cell r="C7635" t="str">
            <v>Jul</v>
          </cell>
          <cell r="D7635" t="str">
            <v>Chairs</v>
          </cell>
          <cell r="E7635">
            <v>142734.17199999999</v>
          </cell>
          <cell r="F7635">
            <v>7</v>
          </cell>
        </row>
        <row r="7636">
          <cell r="A7636">
            <v>2018</v>
          </cell>
          <cell r="B7636" t="str">
            <v>Actual</v>
          </cell>
          <cell r="C7636" t="str">
            <v>Jul</v>
          </cell>
          <cell r="D7636" t="str">
            <v>Chairs</v>
          </cell>
          <cell r="E7636">
            <v>274874.08199999999</v>
          </cell>
          <cell r="F7636">
            <v>7</v>
          </cell>
        </row>
        <row r="7637">
          <cell r="A7637">
            <v>2019</v>
          </cell>
          <cell r="B7637" t="str">
            <v>Budget</v>
          </cell>
          <cell r="C7637" t="str">
            <v>Jul</v>
          </cell>
          <cell r="D7637" t="str">
            <v>Chairs</v>
          </cell>
          <cell r="E7637">
            <v>275949.723</v>
          </cell>
          <cell r="F7637">
            <v>7</v>
          </cell>
        </row>
        <row r="7638">
          <cell r="A7638">
            <v>2018</v>
          </cell>
          <cell r="B7638" t="str">
            <v>Actual</v>
          </cell>
          <cell r="C7638" t="str">
            <v>Jul</v>
          </cell>
          <cell r="D7638" t="str">
            <v>Chairs</v>
          </cell>
          <cell r="E7638">
            <v>-1075.662</v>
          </cell>
          <cell r="F7638">
            <v>7</v>
          </cell>
        </row>
        <row r="7639">
          <cell r="A7639">
            <v>2019</v>
          </cell>
          <cell r="B7639" t="str">
            <v>Budget</v>
          </cell>
          <cell r="C7639" t="str">
            <v>Jul</v>
          </cell>
          <cell r="D7639" t="str">
            <v>Chairs</v>
          </cell>
          <cell r="E7639">
            <v>157099.25</v>
          </cell>
          <cell r="F7639">
            <v>7</v>
          </cell>
        </row>
        <row r="7640">
          <cell r="A7640">
            <v>2019</v>
          </cell>
          <cell r="B7640" t="str">
            <v>Actual</v>
          </cell>
          <cell r="C7640" t="str">
            <v>Jul</v>
          </cell>
          <cell r="D7640" t="str">
            <v>Chairs</v>
          </cell>
          <cell r="E7640">
            <v>248244.15</v>
          </cell>
          <cell r="F7640">
            <v>7</v>
          </cell>
        </row>
        <row r="7641">
          <cell r="A7641">
            <v>2019</v>
          </cell>
          <cell r="B7641" t="str">
            <v>Budget</v>
          </cell>
          <cell r="C7641" t="str">
            <v>Jul</v>
          </cell>
          <cell r="D7641" t="str">
            <v>Chairs</v>
          </cell>
          <cell r="E7641">
            <v>401803.34600000002</v>
          </cell>
          <cell r="F7641">
            <v>7</v>
          </cell>
        </row>
        <row r="7642">
          <cell r="A7642">
            <v>2018</v>
          </cell>
          <cell r="B7642" t="str">
            <v>Actual</v>
          </cell>
          <cell r="C7642" t="str">
            <v>Jul</v>
          </cell>
          <cell r="D7642" t="str">
            <v>Chairs</v>
          </cell>
          <cell r="E7642">
            <v>-28954.421999999999</v>
          </cell>
          <cell r="F7642">
            <v>7</v>
          </cell>
        </row>
        <row r="7643">
          <cell r="A7643">
            <v>2019</v>
          </cell>
          <cell r="B7643" t="str">
            <v>Budget</v>
          </cell>
          <cell r="C7643" t="str">
            <v>Jul</v>
          </cell>
          <cell r="D7643" t="str">
            <v>Chairs</v>
          </cell>
          <cell r="E7643">
            <v>-23817.927</v>
          </cell>
          <cell r="F7643">
            <v>7</v>
          </cell>
        </row>
        <row r="7644">
          <cell r="A7644">
            <v>2018</v>
          </cell>
          <cell r="B7644" t="str">
            <v>Actual</v>
          </cell>
          <cell r="C7644" t="str">
            <v>Jul</v>
          </cell>
          <cell r="D7644" t="str">
            <v>Chairs</v>
          </cell>
          <cell r="E7644">
            <v>-21158.76</v>
          </cell>
          <cell r="F7644">
            <v>7</v>
          </cell>
        </row>
        <row r="7645">
          <cell r="A7645">
            <v>2018</v>
          </cell>
          <cell r="B7645" t="str">
            <v>Budget</v>
          </cell>
          <cell r="C7645" t="str">
            <v>Jul</v>
          </cell>
          <cell r="D7645" t="str">
            <v>Chairs</v>
          </cell>
          <cell r="E7645">
            <v>647160.05199999991</v>
          </cell>
          <cell r="F7645">
            <v>7</v>
          </cell>
        </row>
        <row r="7646">
          <cell r="A7646">
            <v>2018</v>
          </cell>
          <cell r="B7646" t="str">
            <v>Actual</v>
          </cell>
          <cell r="C7646" t="str">
            <v>Jul</v>
          </cell>
          <cell r="D7646" t="str">
            <v>Chairs</v>
          </cell>
          <cell r="E7646">
            <v>2789510.2969999998</v>
          </cell>
          <cell r="F7646">
            <v>7</v>
          </cell>
        </row>
        <row r="7647">
          <cell r="A7647">
            <v>2019</v>
          </cell>
          <cell r="B7647" t="str">
            <v>Budget</v>
          </cell>
          <cell r="C7647" t="str">
            <v>Jul</v>
          </cell>
          <cell r="D7647" t="str">
            <v>Chairs</v>
          </cell>
          <cell r="E7647">
            <v>5990131.7350000003</v>
          </cell>
          <cell r="F7647">
            <v>7</v>
          </cell>
        </row>
        <row r="7648">
          <cell r="A7648">
            <v>2019</v>
          </cell>
          <cell r="B7648" t="str">
            <v>Actual</v>
          </cell>
          <cell r="C7648" t="str">
            <v>Jul</v>
          </cell>
          <cell r="D7648" t="str">
            <v>Chairs</v>
          </cell>
          <cell r="E7648">
            <v>3723041.0559999999</v>
          </cell>
          <cell r="F7648">
            <v>7</v>
          </cell>
        </row>
        <row r="7649">
          <cell r="A7649">
            <v>2019</v>
          </cell>
          <cell r="B7649" t="str">
            <v>Budget</v>
          </cell>
          <cell r="C7649" t="str">
            <v>Jul</v>
          </cell>
          <cell r="D7649" t="str">
            <v>Chairs</v>
          </cell>
          <cell r="E7649">
            <v>1593480.4129999997</v>
          </cell>
          <cell r="F7649">
            <v>7</v>
          </cell>
        </row>
        <row r="7650">
          <cell r="A7650">
            <v>2018</v>
          </cell>
          <cell r="B7650" t="str">
            <v>Actual</v>
          </cell>
          <cell r="C7650" t="str">
            <v>Jul</v>
          </cell>
          <cell r="D7650" t="str">
            <v>Tables</v>
          </cell>
          <cell r="E7650">
            <v>2545.5009999999997</v>
          </cell>
          <cell r="F7650">
            <v>7</v>
          </cell>
        </row>
        <row r="7651">
          <cell r="A7651">
            <v>2018</v>
          </cell>
          <cell r="B7651" t="str">
            <v>Budget</v>
          </cell>
          <cell r="C7651" t="str">
            <v>Jul</v>
          </cell>
          <cell r="D7651" t="str">
            <v>Kitchen</v>
          </cell>
          <cell r="E7651">
            <v>277485.83799999999</v>
          </cell>
          <cell r="F7651">
            <v>7</v>
          </cell>
        </row>
        <row r="7652">
          <cell r="A7652">
            <v>2018</v>
          </cell>
          <cell r="B7652" t="str">
            <v>Actual</v>
          </cell>
          <cell r="C7652" t="str">
            <v>Jul</v>
          </cell>
          <cell r="D7652" t="str">
            <v>Chairs</v>
          </cell>
          <cell r="E7652">
            <v>18041.120999999999</v>
          </cell>
          <cell r="F7652">
            <v>7</v>
          </cell>
        </row>
        <row r="7653">
          <cell r="A7653">
            <v>2019</v>
          </cell>
          <cell r="B7653" t="str">
            <v>Budget</v>
          </cell>
          <cell r="C7653" t="str">
            <v>Jul</v>
          </cell>
          <cell r="D7653" t="str">
            <v>Chairs</v>
          </cell>
          <cell r="E7653">
            <v>79188.801999999996</v>
          </cell>
          <cell r="F7653">
            <v>7</v>
          </cell>
        </row>
        <row r="7654">
          <cell r="A7654">
            <v>2018</v>
          </cell>
          <cell r="B7654" t="str">
            <v>Actual</v>
          </cell>
          <cell r="C7654" t="str">
            <v>Jul</v>
          </cell>
          <cell r="D7654" t="str">
            <v>Chairs</v>
          </cell>
          <cell r="E7654">
            <v>83068.376999999993</v>
          </cell>
          <cell r="F7654">
            <v>7</v>
          </cell>
        </row>
        <row r="7655">
          <cell r="A7655">
            <v>2019</v>
          </cell>
          <cell r="B7655" t="str">
            <v>Budget</v>
          </cell>
          <cell r="C7655" t="str">
            <v>Jul</v>
          </cell>
          <cell r="D7655" t="str">
            <v>Chairs</v>
          </cell>
          <cell r="E7655">
            <v>30961.776999999998</v>
          </cell>
          <cell r="F7655">
            <v>7</v>
          </cell>
        </row>
        <row r="7656">
          <cell r="A7656">
            <v>2019</v>
          </cell>
          <cell r="B7656" t="str">
            <v>Actual</v>
          </cell>
          <cell r="C7656" t="str">
            <v>Jul</v>
          </cell>
          <cell r="D7656" t="str">
            <v>Chairs</v>
          </cell>
          <cell r="E7656">
            <v>14717.64</v>
          </cell>
          <cell r="F7656">
            <v>7</v>
          </cell>
        </row>
        <row r="7657">
          <cell r="A7657">
            <v>2018</v>
          </cell>
          <cell r="B7657" t="str">
            <v>Budget</v>
          </cell>
          <cell r="C7657" t="str">
            <v>Jul</v>
          </cell>
          <cell r="D7657" t="str">
            <v>Tables</v>
          </cell>
          <cell r="E7657">
            <v>38388.405999999995</v>
          </cell>
          <cell r="F7657">
            <v>7</v>
          </cell>
        </row>
        <row r="7658">
          <cell r="A7658">
            <v>2018</v>
          </cell>
          <cell r="B7658" t="str">
            <v>Actual</v>
          </cell>
          <cell r="C7658" t="str">
            <v>Jul</v>
          </cell>
          <cell r="D7658" t="str">
            <v>Kitchen</v>
          </cell>
          <cell r="E7658">
            <v>246512.658</v>
          </cell>
          <cell r="F7658">
            <v>7</v>
          </cell>
        </row>
        <row r="7659">
          <cell r="A7659">
            <v>2018</v>
          </cell>
          <cell r="B7659" t="str">
            <v>Budget</v>
          </cell>
          <cell r="C7659" t="str">
            <v>Jul</v>
          </cell>
          <cell r="D7659" t="str">
            <v>Chairs</v>
          </cell>
          <cell r="E7659">
            <v>30785.040999999997</v>
          </cell>
          <cell r="F7659">
            <v>7</v>
          </cell>
        </row>
        <row r="7660">
          <cell r="A7660">
            <v>2018</v>
          </cell>
          <cell r="B7660" t="str">
            <v>Actual</v>
          </cell>
          <cell r="C7660" t="str">
            <v>Jul</v>
          </cell>
          <cell r="D7660" t="str">
            <v>Chairs</v>
          </cell>
          <cell r="E7660">
            <v>87249.61</v>
          </cell>
          <cell r="F7660">
            <v>7</v>
          </cell>
        </row>
        <row r="7661">
          <cell r="A7661">
            <v>2019</v>
          </cell>
          <cell r="B7661" t="str">
            <v>Budget</v>
          </cell>
          <cell r="C7661" t="str">
            <v>Jul</v>
          </cell>
          <cell r="D7661" t="str">
            <v>Chairs</v>
          </cell>
          <cell r="E7661">
            <v>411961.326</v>
          </cell>
          <cell r="F7661">
            <v>7</v>
          </cell>
        </row>
        <row r="7662">
          <cell r="A7662">
            <v>2018</v>
          </cell>
          <cell r="B7662" t="str">
            <v>Actual</v>
          </cell>
          <cell r="C7662" t="str">
            <v>Jul</v>
          </cell>
          <cell r="D7662" t="str">
            <v>Tables</v>
          </cell>
          <cell r="E7662">
            <v>410837.00699999998</v>
          </cell>
          <cell r="F7662">
            <v>7</v>
          </cell>
        </row>
        <row r="7663">
          <cell r="A7663">
            <v>2018</v>
          </cell>
          <cell r="B7663" t="str">
            <v>Budget</v>
          </cell>
          <cell r="C7663" t="str">
            <v>Jul</v>
          </cell>
          <cell r="D7663" t="str">
            <v>Kitchen</v>
          </cell>
          <cell r="E7663">
            <v>36487.926999999996</v>
          </cell>
          <cell r="F7663">
            <v>7</v>
          </cell>
        </row>
        <row r="7664">
          <cell r="A7664">
            <v>2019</v>
          </cell>
          <cell r="B7664" t="str">
            <v>Actual</v>
          </cell>
          <cell r="C7664" t="str">
            <v>Jul</v>
          </cell>
          <cell r="D7664" t="str">
            <v>Chairs</v>
          </cell>
          <cell r="E7664">
            <v>2807220.031</v>
          </cell>
          <cell r="F7664">
            <v>7</v>
          </cell>
        </row>
        <row r="7665">
          <cell r="A7665">
            <v>2018</v>
          </cell>
          <cell r="B7665" t="str">
            <v>Budget</v>
          </cell>
          <cell r="C7665" t="str">
            <v>Jul</v>
          </cell>
          <cell r="D7665" t="str">
            <v>Chairs</v>
          </cell>
          <cell r="E7665">
            <v>291847.21999999997</v>
          </cell>
          <cell r="F7665">
            <v>7</v>
          </cell>
        </row>
        <row r="7666">
          <cell r="A7666">
            <v>2019</v>
          </cell>
          <cell r="B7666" t="str">
            <v>Actual</v>
          </cell>
          <cell r="C7666" t="str">
            <v>Jul</v>
          </cell>
          <cell r="D7666" t="str">
            <v>Tables</v>
          </cell>
          <cell r="E7666">
            <v>78791.125</v>
          </cell>
          <cell r="F7666">
            <v>7</v>
          </cell>
        </row>
        <row r="7667">
          <cell r="A7667">
            <v>2019</v>
          </cell>
          <cell r="B7667" t="str">
            <v>Budget</v>
          </cell>
          <cell r="C7667" t="str">
            <v>Jul</v>
          </cell>
          <cell r="D7667" t="str">
            <v>Kitchen</v>
          </cell>
          <cell r="E7667">
            <v>87472.244999999995</v>
          </cell>
          <cell r="F7667">
            <v>7</v>
          </cell>
        </row>
        <row r="7668">
          <cell r="A7668">
            <v>2019</v>
          </cell>
          <cell r="B7668" t="str">
            <v>Actual</v>
          </cell>
          <cell r="C7668" t="str">
            <v>Jul</v>
          </cell>
          <cell r="D7668" t="str">
            <v>Chairs</v>
          </cell>
          <cell r="E7668">
            <v>147051.492</v>
          </cell>
          <cell r="F7668">
            <v>7</v>
          </cell>
        </row>
        <row r="7669">
          <cell r="A7669">
            <v>2019</v>
          </cell>
          <cell r="B7669" t="str">
            <v>Budget</v>
          </cell>
          <cell r="C7669" t="str">
            <v>Jul</v>
          </cell>
          <cell r="D7669" t="str">
            <v>Chairs</v>
          </cell>
          <cell r="E7669">
            <v>112677.85199999998</v>
          </cell>
          <cell r="F7669">
            <v>7</v>
          </cell>
        </row>
        <row r="7670">
          <cell r="A7670">
            <v>2019</v>
          </cell>
          <cell r="B7670" t="str">
            <v>Actual</v>
          </cell>
          <cell r="C7670" t="str">
            <v>Jul</v>
          </cell>
          <cell r="D7670" t="str">
            <v>Tables</v>
          </cell>
          <cell r="E7670">
            <v>72951.962999999989</v>
          </cell>
          <cell r="F7670">
            <v>7</v>
          </cell>
        </row>
        <row r="7671">
          <cell r="A7671">
            <v>2019</v>
          </cell>
          <cell r="B7671" t="str">
            <v>Budget</v>
          </cell>
          <cell r="C7671" t="str">
            <v>Jul</v>
          </cell>
          <cell r="D7671" t="str">
            <v>Chairs</v>
          </cell>
          <cell r="E7671">
            <v>60542.691999999995</v>
          </cell>
          <cell r="F7671">
            <v>7</v>
          </cell>
        </row>
        <row r="7672">
          <cell r="A7672">
            <v>2018</v>
          </cell>
          <cell r="B7672" t="str">
            <v>Actual</v>
          </cell>
          <cell r="C7672" t="str">
            <v>Jul</v>
          </cell>
          <cell r="D7672" t="str">
            <v>Tables</v>
          </cell>
          <cell r="E7672">
            <v>101010.76299999999</v>
          </cell>
          <cell r="F7672">
            <v>7</v>
          </cell>
        </row>
        <row r="7673">
          <cell r="A7673">
            <v>2018</v>
          </cell>
          <cell r="B7673" t="str">
            <v>Budget</v>
          </cell>
          <cell r="C7673" t="str">
            <v>Jul</v>
          </cell>
          <cell r="D7673" t="str">
            <v>Kitchen</v>
          </cell>
          <cell r="E7673">
            <v>92797.67</v>
          </cell>
          <cell r="F7673">
            <v>7</v>
          </cell>
        </row>
        <row r="7674">
          <cell r="A7674">
            <v>2019</v>
          </cell>
          <cell r="B7674" t="str">
            <v>Actual</v>
          </cell>
          <cell r="C7674" t="str">
            <v>Jul</v>
          </cell>
          <cell r="D7674" t="str">
            <v>Accessories</v>
          </cell>
          <cell r="E7674">
            <v>118902.12599999999</v>
          </cell>
          <cell r="F7674">
            <v>7</v>
          </cell>
        </row>
        <row r="7675">
          <cell r="A7675">
            <v>2019</v>
          </cell>
          <cell r="B7675" t="str">
            <v>Budget</v>
          </cell>
          <cell r="C7675" t="str">
            <v>Jul</v>
          </cell>
          <cell r="D7675" t="str">
            <v>Chairs</v>
          </cell>
          <cell r="E7675">
            <v>2003044.0499999998</v>
          </cell>
          <cell r="F7675">
            <v>7</v>
          </cell>
        </row>
        <row r="7676">
          <cell r="A7676">
            <v>2018</v>
          </cell>
          <cell r="B7676" t="str">
            <v>Actual</v>
          </cell>
          <cell r="C7676" t="str">
            <v>Jul</v>
          </cell>
          <cell r="D7676" t="str">
            <v>Tables</v>
          </cell>
          <cell r="E7676">
            <v>2433557.3499999996</v>
          </cell>
          <cell r="F7676">
            <v>7</v>
          </cell>
        </row>
        <row r="7677">
          <cell r="A7677">
            <v>2018</v>
          </cell>
          <cell r="B7677" t="str">
            <v>Budget</v>
          </cell>
          <cell r="C7677" t="str">
            <v>Jul</v>
          </cell>
          <cell r="D7677" t="str">
            <v>Kitchen</v>
          </cell>
          <cell r="E7677">
            <v>250159.76300000001</v>
          </cell>
          <cell r="F7677">
            <v>7</v>
          </cell>
        </row>
        <row r="7678">
          <cell r="A7678">
            <v>2018</v>
          </cell>
          <cell r="B7678" t="str">
            <v>Actual</v>
          </cell>
          <cell r="C7678" t="str">
            <v>Jul</v>
          </cell>
          <cell r="D7678" t="str">
            <v>Accessories</v>
          </cell>
          <cell r="E7678">
            <v>398875.05</v>
          </cell>
          <cell r="F7678">
            <v>7</v>
          </cell>
        </row>
        <row r="7679">
          <cell r="A7679">
            <v>2019</v>
          </cell>
          <cell r="B7679" t="str">
            <v>Budget</v>
          </cell>
          <cell r="C7679" t="str">
            <v>Jul</v>
          </cell>
          <cell r="D7679" t="str">
            <v>Chairs</v>
          </cell>
          <cell r="E7679">
            <v>42515.430999999997</v>
          </cell>
          <cell r="F7679">
            <v>7</v>
          </cell>
        </row>
        <row r="7680">
          <cell r="A7680">
            <v>2018</v>
          </cell>
          <cell r="B7680" t="str">
            <v>Actual</v>
          </cell>
          <cell r="C7680" t="str">
            <v>Jul</v>
          </cell>
          <cell r="D7680" t="str">
            <v>Tables</v>
          </cell>
          <cell r="E7680">
            <v>55739.858999999997</v>
          </cell>
          <cell r="F7680">
            <v>7</v>
          </cell>
        </row>
        <row r="7681">
          <cell r="A7681">
            <v>2018</v>
          </cell>
          <cell r="B7681" t="str">
            <v>Budget</v>
          </cell>
          <cell r="C7681" t="str">
            <v>Jul</v>
          </cell>
          <cell r="D7681" t="str">
            <v>Kitchen</v>
          </cell>
          <cell r="E7681">
            <v>30798.963999999996</v>
          </cell>
          <cell r="F7681">
            <v>7</v>
          </cell>
        </row>
        <row r="7682">
          <cell r="A7682">
            <v>2018</v>
          </cell>
          <cell r="B7682" t="str">
            <v>Actual</v>
          </cell>
          <cell r="C7682" t="str">
            <v>Jul</v>
          </cell>
          <cell r="D7682" t="str">
            <v>Accessories</v>
          </cell>
          <cell r="E7682">
            <v>158618.18700000001</v>
          </cell>
          <cell r="F7682">
            <v>7</v>
          </cell>
        </row>
        <row r="7683">
          <cell r="A7683">
            <v>2018</v>
          </cell>
          <cell r="B7683" t="str">
            <v>Budget</v>
          </cell>
          <cell r="C7683" t="str">
            <v>Jul</v>
          </cell>
          <cell r="D7683" t="str">
            <v>Chairs</v>
          </cell>
          <cell r="E7683">
            <v>313988.185</v>
          </cell>
          <cell r="F7683">
            <v>7</v>
          </cell>
        </row>
        <row r="7684">
          <cell r="A7684">
            <v>2019</v>
          </cell>
          <cell r="B7684" t="str">
            <v>Actual</v>
          </cell>
          <cell r="C7684" t="str">
            <v>Jul</v>
          </cell>
          <cell r="D7684" t="str">
            <v>Tables</v>
          </cell>
          <cell r="E7684">
            <v>121194.787</v>
          </cell>
          <cell r="F7684">
            <v>7</v>
          </cell>
        </row>
        <row r="7685">
          <cell r="A7685">
            <v>2019</v>
          </cell>
          <cell r="B7685" t="str">
            <v>Budget</v>
          </cell>
          <cell r="C7685" t="str">
            <v>Jul</v>
          </cell>
          <cell r="D7685" t="str">
            <v>Kitchen</v>
          </cell>
          <cell r="E7685">
            <v>153150.74599999998</v>
          </cell>
          <cell r="F7685">
            <v>7</v>
          </cell>
        </row>
        <row r="7686">
          <cell r="A7686">
            <v>2018</v>
          </cell>
          <cell r="B7686" t="str">
            <v>Actual</v>
          </cell>
          <cell r="C7686" t="str">
            <v>Jul</v>
          </cell>
          <cell r="D7686" t="str">
            <v>Accessories</v>
          </cell>
          <cell r="E7686">
            <v>97888.230999999985</v>
          </cell>
          <cell r="F7686">
            <v>7</v>
          </cell>
        </row>
        <row r="7687">
          <cell r="A7687">
            <v>2018</v>
          </cell>
          <cell r="B7687" t="str">
            <v>Budget</v>
          </cell>
          <cell r="C7687" t="str">
            <v>Jul</v>
          </cell>
          <cell r="D7687" t="str">
            <v>Chairs</v>
          </cell>
          <cell r="E7687">
            <v>399182.58099999995</v>
          </cell>
          <cell r="F7687">
            <v>7</v>
          </cell>
        </row>
        <row r="7688">
          <cell r="A7688">
            <v>2019</v>
          </cell>
          <cell r="B7688" t="str">
            <v>Actual</v>
          </cell>
          <cell r="C7688" t="str">
            <v>Jul</v>
          </cell>
          <cell r="D7688" t="str">
            <v>Chairs</v>
          </cell>
          <cell r="E7688">
            <v>112656.978</v>
          </cell>
          <cell r="F7688">
            <v>7</v>
          </cell>
        </row>
        <row r="7689">
          <cell r="A7689">
            <v>2019</v>
          </cell>
          <cell r="B7689" t="str">
            <v>Budget</v>
          </cell>
          <cell r="C7689" t="str">
            <v>Jul</v>
          </cell>
          <cell r="D7689" t="str">
            <v>Tables</v>
          </cell>
          <cell r="E7689">
            <v>118873.769</v>
          </cell>
          <cell r="F7689">
            <v>7</v>
          </cell>
        </row>
        <row r="7690">
          <cell r="A7690">
            <v>2019</v>
          </cell>
          <cell r="B7690" t="str">
            <v>Actual</v>
          </cell>
          <cell r="C7690" t="str">
            <v>Jul</v>
          </cell>
          <cell r="D7690" t="str">
            <v>Kitchen</v>
          </cell>
          <cell r="E7690">
            <v>102910.84299999999</v>
          </cell>
          <cell r="F7690">
            <v>7</v>
          </cell>
        </row>
        <row r="7691">
          <cell r="A7691">
            <v>2018</v>
          </cell>
          <cell r="B7691" t="str">
            <v>Budget</v>
          </cell>
          <cell r="C7691" t="str">
            <v>Jul</v>
          </cell>
          <cell r="D7691" t="str">
            <v>Chairs</v>
          </cell>
          <cell r="E7691">
            <v>54957343.434</v>
          </cell>
          <cell r="F7691">
            <v>7</v>
          </cell>
        </row>
        <row r="7692">
          <cell r="A7692">
            <v>2018</v>
          </cell>
          <cell r="B7692" t="str">
            <v>Actual</v>
          </cell>
          <cell r="C7692" t="str">
            <v>Jul</v>
          </cell>
          <cell r="D7692" t="str">
            <v>Tables</v>
          </cell>
          <cell r="E7692">
            <v>65340.043999999994</v>
          </cell>
          <cell r="F7692">
            <v>7</v>
          </cell>
        </row>
        <row r="7693">
          <cell r="A7693">
            <v>2019</v>
          </cell>
          <cell r="B7693" t="str">
            <v>Budget</v>
          </cell>
          <cell r="C7693" t="str">
            <v>Jul</v>
          </cell>
          <cell r="D7693" t="str">
            <v>Kitchen</v>
          </cell>
          <cell r="E7693">
            <v>16409.54</v>
          </cell>
          <cell r="F7693">
            <v>7</v>
          </cell>
        </row>
        <row r="7694">
          <cell r="A7694">
            <v>2019</v>
          </cell>
          <cell r="B7694" t="str">
            <v>Actual</v>
          </cell>
          <cell r="C7694" t="str">
            <v>Jul</v>
          </cell>
          <cell r="D7694" t="str">
            <v>Chairs</v>
          </cell>
          <cell r="E7694">
            <v>60477.872000000003</v>
          </cell>
          <cell r="F7694">
            <v>7</v>
          </cell>
        </row>
        <row r="7695">
          <cell r="A7695">
            <v>2019</v>
          </cell>
          <cell r="B7695" t="str">
            <v>Budget</v>
          </cell>
          <cell r="C7695" t="str">
            <v>Jul</v>
          </cell>
          <cell r="D7695" t="str">
            <v>Tables</v>
          </cell>
          <cell r="E7695">
            <v>-21805.706999999999</v>
          </cell>
          <cell r="F7695">
            <v>7</v>
          </cell>
        </row>
        <row r="7696">
          <cell r="A7696">
            <v>2018</v>
          </cell>
          <cell r="B7696" t="str">
            <v>Actual</v>
          </cell>
          <cell r="C7696" t="str">
            <v>Jul</v>
          </cell>
          <cell r="D7696" t="str">
            <v>Kitchen</v>
          </cell>
          <cell r="E7696">
            <v>169228.40899999999</v>
          </cell>
          <cell r="F7696">
            <v>7</v>
          </cell>
        </row>
        <row r="7697">
          <cell r="A7697">
            <v>2019</v>
          </cell>
          <cell r="B7697" t="str">
            <v>Budget</v>
          </cell>
          <cell r="C7697" t="str">
            <v>Jul</v>
          </cell>
          <cell r="D7697" t="str">
            <v>Chairs</v>
          </cell>
          <cell r="E7697">
            <v>236016.27699999997</v>
          </cell>
          <cell r="F7697">
            <v>7</v>
          </cell>
        </row>
        <row r="7698">
          <cell r="A7698">
            <v>2018</v>
          </cell>
          <cell r="B7698" t="str">
            <v>Actual</v>
          </cell>
          <cell r="C7698" t="str">
            <v>Jul</v>
          </cell>
          <cell r="D7698" t="str">
            <v>Chairs</v>
          </cell>
          <cell r="E7698">
            <v>64423.050999999992</v>
          </cell>
          <cell r="F7698">
            <v>7</v>
          </cell>
        </row>
        <row r="7699">
          <cell r="A7699">
            <v>2018</v>
          </cell>
          <cell r="B7699" t="str">
            <v>Budget</v>
          </cell>
          <cell r="C7699" t="str">
            <v>Jul</v>
          </cell>
          <cell r="D7699" t="str">
            <v>Chairs</v>
          </cell>
          <cell r="E7699">
            <v>41686.735999999997</v>
          </cell>
          <cell r="F7699">
            <v>7</v>
          </cell>
        </row>
        <row r="7700">
          <cell r="A7700">
            <v>2018</v>
          </cell>
          <cell r="B7700" t="str">
            <v>Actual</v>
          </cell>
          <cell r="C7700" t="str">
            <v>Jul</v>
          </cell>
          <cell r="D7700" t="str">
            <v>Chairs</v>
          </cell>
          <cell r="E7700">
            <v>4971.1899999999996</v>
          </cell>
          <cell r="F7700">
            <v>7</v>
          </cell>
        </row>
        <row r="7701">
          <cell r="A7701">
            <v>2018</v>
          </cell>
          <cell r="B7701" t="str">
            <v>Budget</v>
          </cell>
          <cell r="C7701" t="str">
            <v>Jul</v>
          </cell>
          <cell r="D7701" t="str">
            <v>Chairs</v>
          </cell>
          <cell r="E7701">
            <v>109011.98699999999</v>
          </cell>
          <cell r="F7701">
            <v>7</v>
          </cell>
        </row>
        <row r="7702">
          <cell r="A7702">
            <v>2018</v>
          </cell>
          <cell r="B7702" t="str">
            <v>Actual</v>
          </cell>
          <cell r="C7702" t="str">
            <v>Jul</v>
          </cell>
          <cell r="D7702" t="str">
            <v>Chairs</v>
          </cell>
          <cell r="E7702">
            <v>15593.325999999999</v>
          </cell>
          <cell r="F7702">
            <v>7</v>
          </cell>
        </row>
        <row r="7703">
          <cell r="A7703">
            <v>2019</v>
          </cell>
          <cell r="B7703" t="str">
            <v>Budget</v>
          </cell>
          <cell r="C7703" t="str">
            <v>Jul</v>
          </cell>
          <cell r="D7703" t="str">
            <v>Chairs</v>
          </cell>
          <cell r="E7703">
            <v>38355.078999999998</v>
          </cell>
          <cell r="F7703">
            <v>7</v>
          </cell>
        </row>
        <row r="7704">
          <cell r="A7704">
            <v>2019</v>
          </cell>
          <cell r="B7704" t="str">
            <v>Actual</v>
          </cell>
          <cell r="C7704" t="str">
            <v>Jul</v>
          </cell>
          <cell r="D7704" t="str">
            <v>Chairs</v>
          </cell>
          <cell r="E7704">
            <v>1286.4949999999999</v>
          </cell>
          <cell r="F7704">
            <v>7</v>
          </cell>
        </row>
        <row r="7705">
          <cell r="A7705">
            <v>2018</v>
          </cell>
          <cell r="B7705" t="str">
            <v>Budget</v>
          </cell>
          <cell r="C7705" t="str">
            <v>Jul</v>
          </cell>
          <cell r="D7705" t="str">
            <v>Chairs</v>
          </cell>
          <cell r="E7705">
            <v>13059.753000000001</v>
          </cell>
          <cell r="F7705">
            <v>7</v>
          </cell>
        </row>
        <row r="7706">
          <cell r="A7706">
            <v>2019</v>
          </cell>
          <cell r="B7706" t="str">
            <v>Actual</v>
          </cell>
          <cell r="C7706" t="str">
            <v>Jul</v>
          </cell>
          <cell r="D7706" t="str">
            <v>Chairs</v>
          </cell>
          <cell r="E7706">
            <v>31849.062000000002</v>
          </cell>
          <cell r="F7706">
            <v>7</v>
          </cell>
        </row>
        <row r="7707">
          <cell r="A7707">
            <v>2019</v>
          </cell>
          <cell r="B7707" t="str">
            <v>Budget</v>
          </cell>
          <cell r="C7707" t="str">
            <v>Jul</v>
          </cell>
          <cell r="D7707" t="str">
            <v>Chairs</v>
          </cell>
          <cell r="E7707">
            <v>298454.35199999996</v>
          </cell>
          <cell r="F7707">
            <v>7</v>
          </cell>
        </row>
        <row r="7708">
          <cell r="A7708">
            <v>2019</v>
          </cell>
          <cell r="B7708" t="str">
            <v>Actual</v>
          </cell>
          <cell r="C7708" t="str">
            <v>Jul</v>
          </cell>
          <cell r="D7708" t="str">
            <v>Chairs</v>
          </cell>
          <cell r="E7708">
            <v>124268.54299999999</v>
          </cell>
          <cell r="F7708">
            <v>7</v>
          </cell>
        </row>
        <row r="7709">
          <cell r="A7709">
            <v>2019</v>
          </cell>
          <cell r="B7709" t="str">
            <v>Budget</v>
          </cell>
          <cell r="C7709" t="str">
            <v>Jul</v>
          </cell>
          <cell r="D7709" t="str">
            <v>Chairs</v>
          </cell>
          <cell r="E7709">
            <v>235673.40999999997</v>
          </cell>
          <cell r="F7709">
            <v>7</v>
          </cell>
        </row>
        <row r="7710">
          <cell r="A7710">
            <v>2019</v>
          </cell>
          <cell r="B7710" t="str">
            <v>Actual</v>
          </cell>
          <cell r="C7710" t="str">
            <v>Jul</v>
          </cell>
          <cell r="D7710" t="str">
            <v>Chairs</v>
          </cell>
          <cell r="E7710">
            <v>52956.938999999998</v>
          </cell>
          <cell r="F7710">
            <v>7</v>
          </cell>
        </row>
        <row r="7711">
          <cell r="A7711">
            <v>2018</v>
          </cell>
          <cell r="B7711" t="str">
            <v>Budget</v>
          </cell>
          <cell r="C7711" t="str">
            <v>Jul</v>
          </cell>
          <cell r="D7711" t="str">
            <v>Chairs</v>
          </cell>
          <cell r="E7711">
            <v>32333061.725999996</v>
          </cell>
          <cell r="F7711">
            <v>7</v>
          </cell>
        </row>
        <row r="7712">
          <cell r="A7712">
            <v>2019</v>
          </cell>
          <cell r="B7712" t="str">
            <v>Actual</v>
          </cell>
          <cell r="C7712" t="str">
            <v>Jul</v>
          </cell>
          <cell r="D7712" t="str">
            <v>Chairs</v>
          </cell>
          <cell r="E7712">
            <v>26326.600999999999</v>
          </cell>
          <cell r="F7712">
            <v>7</v>
          </cell>
        </row>
        <row r="7713">
          <cell r="A7713">
            <v>2018</v>
          </cell>
          <cell r="B7713" t="str">
            <v>Budget</v>
          </cell>
          <cell r="C7713" t="str">
            <v>Jul</v>
          </cell>
          <cell r="D7713" t="str">
            <v>Chairs</v>
          </cell>
          <cell r="E7713">
            <v>10032.267</v>
          </cell>
          <cell r="F7713">
            <v>7</v>
          </cell>
        </row>
        <row r="7714">
          <cell r="A7714">
            <v>2018</v>
          </cell>
          <cell r="B7714" t="str">
            <v>Actual</v>
          </cell>
          <cell r="C7714" t="str">
            <v>Jul</v>
          </cell>
          <cell r="D7714" t="str">
            <v>Chairs</v>
          </cell>
          <cell r="E7714">
            <v>5883.6329999999998</v>
          </cell>
          <cell r="F7714">
            <v>7</v>
          </cell>
        </row>
        <row r="7715">
          <cell r="A7715">
            <v>2018</v>
          </cell>
          <cell r="B7715" t="str">
            <v>Budget</v>
          </cell>
          <cell r="C7715" t="str">
            <v>Jul</v>
          </cell>
          <cell r="D7715" t="str">
            <v>Chairs</v>
          </cell>
          <cell r="E7715">
            <v>58126.186999999998</v>
          </cell>
          <cell r="F7715">
            <v>7</v>
          </cell>
        </row>
        <row r="7716">
          <cell r="A7716">
            <v>2019</v>
          </cell>
          <cell r="B7716" t="str">
            <v>Actual</v>
          </cell>
          <cell r="C7716" t="str">
            <v>Jul</v>
          </cell>
          <cell r="D7716" t="str">
            <v>Chairs</v>
          </cell>
          <cell r="E7716">
            <v>400787.95399999997</v>
          </cell>
          <cell r="F7716">
            <v>7</v>
          </cell>
        </row>
        <row r="7717">
          <cell r="A7717">
            <v>2018</v>
          </cell>
          <cell r="B7717" t="str">
            <v>Budget</v>
          </cell>
          <cell r="C7717" t="str">
            <v>Jul</v>
          </cell>
          <cell r="D7717" t="str">
            <v>Chairs</v>
          </cell>
          <cell r="E7717">
            <v>1289972.9849999999</v>
          </cell>
          <cell r="F7717">
            <v>7</v>
          </cell>
        </row>
        <row r="7718">
          <cell r="A7718">
            <v>2018</v>
          </cell>
          <cell r="B7718" t="str">
            <v>Actual</v>
          </cell>
          <cell r="C7718" t="str">
            <v>Jul</v>
          </cell>
          <cell r="D7718" t="str">
            <v>Chairs</v>
          </cell>
          <cell r="E7718">
            <v>78499.616999999998</v>
          </cell>
          <cell r="F7718">
            <v>7</v>
          </cell>
        </row>
        <row r="7719">
          <cell r="A7719">
            <v>2019</v>
          </cell>
          <cell r="B7719" t="str">
            <v>Budget</v>
          </cell>
          <cell r="C7719" t="str">
            <v>Jul</v>
          </cell>
          <cell r="D7719" t="str">
            <v>Chairs</v>
          </cell>
          <cell r="E7719">
            <v>32366.677</v>
          </cell>
          <cell r="F7719">
            <v>7</v>
          </cell>
        </row>
        <row r="7720">
          <cell r="A7720">
            <v>2018</v>
          </cell>
          <cell r="B7720" t="str">
            <v>Actual</v>
          </cell>
          <cell r="C7720" t="str">
            <v>Jul</v>
          </cell>
          <cell r="D7720" t="str">
            <v>Chairs</v>
          </cell>
          <cell r="E7720">
            <v>54211.087</v>
          </cell>
          <cell r="F7720">
            <v>7</v>
          </cell>
        </row>
        <row r="7721">
          <cell r="A7721">
            <v>2019</v>
          </cell>
          <cell r="B7721" t="str">
            <v>Budget</v>
          </cell>
          <cell r="C7721" t="str">
            <v>Jul</v>
          </cell>
          <cell r="D7721" t="str">
            <v>Chairs</v>
          </cell>
          <cell r="E7721">
            <v>7480.1579999999994</v>
          </cell>
          <cell r="F7721">
            <v>7</v>
          </cell>
        </row>
        <row r="7722">
          <cell r="A7722">
            <v>2018</v>
          </cell>
          <cell r="B7722" t="str">
            <v>Actual</v>
          </cell>
          <cell r="C7722" t="str">
            <v>Jul</v>
          </cell>
          <cell r="D7722" t="str">
            <v>Chairs</v>
          </cell>
          <cell r="E7722">
            <v>9853.4659999999985</v>
          </cell>
          <cell r="F7722">
            <v>7</v>
          </cell>
        </row>
        <row r="7723">
          <cell r="A7723">
            <v>2018</v>
          </cell>
          <cell r="B7723" t="str">
            <v>Budget</v>
          </cell>
          <cell r="C7723" t="str">
            <v>Jul</v>
          </cell>
          <cell r="D7723" t="str">
            <v>Tables</v>
          </cell>
          <cell r="E7723">
            <v>7871.1149999999998</v>
          </cell>
          <cell r="F7723">
            <v>7</v>
          </cell>
        </row>
        <row r="7724">
          <cell r="A7724">
            <v>2018</v>
          </cell>
          <cell r="B7724" t="str">
            <v>Actual</v>
          </cell>
          <cell r="C7724" t="str">
            <v>Jul</v>
          </cell>
          <cell r="D7724" t="str">
            <v>Kitchen</v>
          </cell>
          <cell r="E7724">
            <v>45981.291999999994</v>
          </cell>
          <cell r="F7724">
            <v>7</v>
          </cell>
        </row>
        <row r="7725">
          <cell r="A7725">
            <v>2018</v>
          </cell>
          <cell r="B7725" t="str">
            <v>Budget</v>
          </cell>
          <cell r="C7725" t="str">
            <v>Jul</v>
          </cell>
          <cell r="D7725" t="str">
            <v>Chairs</v>
          </cell>
          <cell r="E7725">
            <v>44680.237000000001</v>
          </cell>
          <cell r="F7725">
            <v>7</v>
          </cell>
        </row>
        <row r="7726">
          <cell r="A7726">
            <v>2018</v>
          </cell>
          <cell r="B7726" t="str">
            <v>Actual</v>
          </cell>
          <cell r="C7726" t="str">
            <v>Jul</v>
          </cell>
          <cell r="D7726" t="str">
            <v>Chairs</v>
          </cell>
          <cell r="E7726">
            <v>17778.508999999998</v>
          </cell>
          <cell r="F7726">
            <v>7</v>
          </cell>
        </row>
        <row r="7727">
          <cell r="A7727">
            <v>2019</v>
          </cell>
          <cell r="B7727" t="str">
            <v>Budget</v>
          </cell>
          <cell r="C7727" t="str">
            <v>Jul</v>
          </cell>
          <cell r="D7727" t="str">
            <v>Chairs</v>
          </cell>
          <cell r="E7727">
            <v>4713.0369999999994</v>
          </cell>
          <cell r="F7727">
            <v>7</v>
          </cell>
        </row>
        <row r="7728">
          <cell r="A7728">
            <v>2018</v>
          </cell>
          <cell r="B7728" t="str">
            <v>Actual</v>
          </cell>
          <cell r="C7728" t="str">
            <v>Jul</v>
          </cell>
          <cell r="D7728" t="str">
            <v>Chairs</v>
          </cell>
          <cell r="E7728">
            <v>63867.782999999996</v>
          </cell>
          <cell r="F7728">
            <v>7</v>
          </cell>
        </row>
        <row r="7729">
          <cell r="A7729">
            <v>2019</v>
          </cell>
          <cell r="B7729" t="str">
            <v>Budget</v>
          </cell>
          <cell r="C7729" t="str">
            <v>Jul</v>
          </cell>
          <cell r="D7729" t="str">
            <v>Chairs</v>
          </cell>
          <cell r="E7729">
            <v>44896.977999999996</v>
          </cell>
          <cell r="F7729">
            <v>7</v>
          </cell>
        </row>
        <row r="7730">
          <cell r="A7730">
            <v>2019</v>
          </cell>
          <cell r="B7730" t="str">
            <v>Actual</v>
          </cell>
          <cell r="C7730" t="str">
            <v>Jul</v>
          </cell>
          <cell r="D7730" t="str">
            <v>Tables</v>
          </cell>
          <cell r="E7730">
            <v>11898.886999999999</v>
          </cell>
          <cell r="F7730">
            <v>7</v>
          </cell>
        </row>
        <row r="7731">
          <cell r="A7731">
            <v>2019</v>
          </cell>
          <cell r="B7731" t="str">
            <v>Budget</v>
          </cell>
          <cell r="C7731" t="str">
            <v>Jul</v>
          </cell>
          <cell r="D7731" t="str">
            <v>Kitchen</v>
          </cell>
          <cell r="E7731">
            <v>742.32899999999995</v>
          </cell>
          <cell r="F7731">
            <v>7</v>
          </cell>
        </row>
        <row r="7732">
          <cell r="A7732">
            <v>2019</v>
          </cell>
          <cell r="B7732" t="str">
            <v>Actual</v>
          </cell>
          <cell r="C7732" t="str">
            <v>Jul</v>
          </cell>
          <cell r="D7732" t="str">
            <v>Chairs</v>
          </cell>
          <cell r="E7732">
            <v>46518.289999999994</v>
          </cell>
          <cell r="F7732">
            <v>7</v>
          </cell>
        </row>
        <row r="7733">
          <cell r="A7733">
            <v>2018</v>
          </cell>
          <cell r="B7733" t="str">
            <v>Budget</v>
          </cell>
          <cell r="C7733" t="str">
            <v>Jul</v>
          </cell>
          <cell r="D7733" t="str">
            <v>Chairs</v>
          </cell>
          <cell r="E7733">
            <v>120236.648</v>
          </cell>
          <cell r="F7733">
            <v>7</v>
          </cell>
        </row>
        <row r="7734">
          <cell r="A7734">
            <v>2018</v>
          </cell>
          <cell r="B7734" t="str">
            <v>Actual</v>
          </cell>
          <cell r="C7734" t="str">
            <v>Jul</v>
          </cell>
          <cell r="D7734" t="str">
            <v>Chairs</v>
          </cell>
          <cell r="E7734">
            <v>268479.484</v>
          </cell>
          <cell r="F7734">
            <v>7</v>
          </cell>
        </row>
        <row r="7735">
          <cell r="A7735">
            <v>2018</v>
          </cell>
          <cell r="B7735" t="str">
            <v>Budget</v>
          </cell>
          <cell r="C7735" t="str">
            <v>Jul</v>
          </cell>
          <cell r="D7735" t="str">
            <v>Tables</v>
          </cell>
          <cell r="E7735">
            <v>43813935.003999993</v>
          </cell>
          <cell r="F7735">
            <v>7</v>
          </cell>
        </row>
        <row r="7736">
          <cell r="A7736">
            <v>2018</v>
          </cell>
          <cell r="B7736" t="str">
            <v>Actual</v>
          </cell>
          <cell r="C7736" t="str">
            <v>Jul</v>
          </cell>
          <cell r="D7736" t="str">
            <v>Kitchen</v>
          </cell>
          <cell r="E7736">
            <v>10263418.682999998</v>
          </cell>
          <cell r="F7736">
            <v>7</v>
          </cell>
        </row>
        <row r="7737">
          <cell r="A7737">
            <v>2019</v>
          </cell>
          <cell r="B7737" t="str">
            <v>Budget</v>
          </cell>
          <cell r="C7737" t="str">
            <v>Jul</v>
          </cell>
          <cell r="D7737" t="str">
            <v>Chairs</v>
          </cell>
          <cell r="E7737">
            <v>67337.921000000002</v>
          </cell>
          <cell r="F7737">
            <v>7</v>
          </cell>
        </row>
        <row r="7738">
          <cell r="A7738">
            <v>2019</v>
          </cell>
          <cell r="B7738" t="str">
            <v>Actual</v>
          </cell>
          <cell r="C7738" t="str">
            <v>Jul</v>
          </cell>
          <cell r="D7738" t="str">
            <v>Chairs</v>
          </cell>
          <cell r="E7738">
            <v>-82.215000000000003</v>
          </cell>
          <cell r="F7738">
            <v>7</v>
          </cell>
        </row>
        <row r="7739">
          <cell r="A7739">
            <v>2018</v>
          </cell>
          <cell r="B7739" t="str">
            <v>Budget</v>
          </cell>
          <cell r="C7739" t="str">
            <v>Jul</v>
          </cell>
          <cell r="D7739" t="str">
            <v>Tables</v>
          </cell>
          <cell r="E7739">
            <v>580731.88599999994</v>
          </cell>
          <cell r="F7739">
            <v>7</v>
          </cell>
        </row>
        <row r="7740">
          <cell r="A7740">
            <v>2019</v>
          </cell>
          <cell r="B7740" t="str">
            <v>Actual</v>
          </cell>
          <cell r="C7740" t="str">
            <v>Jul</v>
          </cell>
          <cell r="D7740" t="str">
            <v>Kitchen</v>
          </cell>
          <cell r="E7740">
            <v>40612.907999999996</v>
          </cell>
          <cell r="F7740">
            <v>7</v>
          </cell>
        </row>
        <row r="7741">
          <cell r="A7741">
            <v>2018</v>
          </cell>
          <cell r="B7741" t="str">
            <v>Budget</v>
          </cell>
          <cell r="C7741" t="str">
            <v>Jul</v>
          </cell>
          <cell r="D7741" t="str">
            <v>Chairs</v>
          </cell>
          <cell r="E7741">
            <v>63011.458999999995</v>
          </cell>
          <cell r="F7741">
            <v>7</v>
          </cell>
        </row>
        <row r="7742">
          <cell r="A7742">
            <v>2018</v>
          </cell>
          <cell r="B7742" t="str">
            <v>Actual</v>
          </cell>
          <cell r="C7742" t="str">
            <v>Jul</v>
          </cell>
          <cell r="D7742" t="str">
            <v>Chairs</v>
          </cell>
          <cell r="E7742">
            <v>210399.67199999999</v>
          </cell>
          <cell r="F7742">
            <v>7</v>
          </cell>
        </row>
        <row r="7743">
          <cell r="A7743">
            <v>2019</v>
          </cell>
          <cell r="B7743" t="str">
            <v>Budget</v>
          </cell>
          <cell r="C7743" t="str">
            <v>Jul</v>
          </cell>
          <cell r="D7743" t="str">
            <v>Chairs</v>
          </cell>
          <cell r="E7743">
            <v>346964.96099999995</v>
          </cell>
          <cell r="F7743">
            <v>7</v>
          </cell>
        </row>
        <row r="7744">
          <cell r="A7744">
            <v>2019</v>
          </cell>
          <cell r="B7744" t="str">
            <v>Actual</v>
          </cell>
          <cell r="C7744" t="str">
            <v>Jul</v>
          </cell>
          <cell r="D7744" t="str">
            <v>Tables</v>
          </cell>
          <cell r="E7744">
            <v>367779.489</v>
          </cell>
          <cell r="F7744">
            <v>7</v>
          </cell>
        </row>
        <row r="7745">
          <cell r="A7745">
            <v>2018</v>
          </cell>
          <cell r="B7745" t="str">
            <v>Budget</v>
          </cell>
          <cell r="C7745" t="str">
            <v>Jul</v>
          </cell>
          <cell r="D7745" t="str">
            <v>Kitchen</v>
          </cell>
          <cell r="E7745">
            <v>-98112.224000000002</v>
          </cell>
          <cell r="F7745">
            <v>7</v>
          </cell>
        </row>
        <row r="7746">
          <cell r="A7746">
            <v>2018</v>
          </cell>
          <cell r="B7746" t="str">
            <v>Actual</v>
          </cell>
          <cell r="C7746" t="str">
            <v>Jul</v>
          </cell>
          <cell r="D7746" t="str">
            <v>Accessories</v>
          </cell>
          <cell r="E7746">
            <v>715797.05399999989</v>
          </cell>
          <cell r="F7746">
            <v>7</v>
          </cell>
        </row>
        <row r="7747">
          <cell r="A7747">
            <v>2018</v>
          </cell>
          <cell r="B7747" t="str">
            <v>Budget</v>
          </cell>
          <cell r="C7747" t="str">
            <v>Jul</v>
          </cell>
          <cell r="D7747" t="str">
            <v>Chairs</v>
          </cell>
          <cell r="E7747">
            <v>21921.48</v>
          </cell>
          <cell r="F7747">
            <v>7</v>
          </cell>
        </row>
        <row r="7748">
          <cell r="A7748">
            <v>2018</v>
          </cell>
          <cell r="B7748" t="str">
            <v>Actual</v>
          </cell>
          <cell r="C7748" t="str">
            <v>Jul</v>
          </cell>
          <cell r="D7748" t="str">
            <v>Tables</v>
          </cell>
          <cell r="E7748">
            <v>6816.9919999999993</v>
          </cell>
          <cell r="F7748">
            <v>7</v>
          </cell>
        </row>
        <row r="7749">
          <cell r="A7749">
            <v>2019</v>
          </cell>
          <cell r="B7749" t="str">
            <v>Budget</v>
          </cell>
          <cell r="C7749" t="str">
            <v>Jul</v>
          </cell>
          <cell r="D7749" t="str">
            <v>Kitchen</v>
          </cell>
          <cell r="E7749">
            <v>367282.321</v>
          </cell>
          <cell r="F7749">
            <v>7</v>
          </cell>
        </row>
        <row r="7750">
          <cell r="A7750">
            <v>2019</v>
          </cell>
          <cell r="B7750" t="str">
            <v>Actual</v>
          </cell>
          <cell r="C7750" t="str">
            <v>Jul</v>
          </cell>
          <cell r="D7750" t="str">
            <v>Accessories</v>
          </cell>
          <cell r="E7750">
            <v>-2280.2009999999996</v>
          </cell>
          <cell r="F7750">
            <v>7</v>
          </cell>
        </row>
        <row r="7751">
          <cell r="A7751">
            <v>2018</v>
          </cell>
          <cell r="B7751" t="str">
            <v>Budget</v>
          </cell>
          <cell r="C7751" t="str">
            <v>Jul</v>
          </cell>
          <cell r="D7751" t="str">
            <v>Chairs</v>
          </cell>
          <cell r="E7751">
            <v>603491.16799999995</v>
          </cell>
          <cell r="F7751">
            <v>7</v>
          </cell>
        </row>
        <row r="7752">
          <cell r="A7752">
            <v>2018</v>
          </cell>
          <cell r="B7752" t="str">
            <v>Actual</v>
          </cell>
          <cell r="C7752" t="str">
            <v>Jul</v>
          </cell>
          <cell r="D7752" t="str">
            <v>Tables</v>
          </cell>
          <cell r="E7752">
            <v>74015.689999999988</v>
          </cell>
          <cell r="F7752">
            <v>7</v>
          </cell>
        </row>
        <row r="7753">
          <cell r="A7753">
            <v>2018</v>
          </cell>
          <cell r="B7753" t="str">
            <v>Budget</v>
          </cell>
          <cell r="C7753" t="str">
            <v>Jul</v>
          </cell>
          <cell r="D7753" t="str">
            <v>Kitchen</v>
          </cell>
          <cell r="E7753">
            <v>46685.743999999999</v>
          </cell>
          <cell r="F7753">
            <v>7</v>
          </cell>
        </row>
        <row r="7754">
          <cell r="A7754">
            <v>2019</v>
          </cell>
          <cell r="B7754" t="str">
            <v>Actual</v>
          </cell>
          <cell r="C7754" t="str">
            <v>Jul</v>
          </cell>
          <cell r="D7754" t="str">
            <v>Accessories</v>
          </cell>
          <cell r="E7754">
            <v>346994.50099999999</v>
          </cell>
          <cell r="F7754">
            <v>7</v>
          </cell>
        </row>
        <row r="7755">
          <cell r="A7755">
            <v>2018</v>
          </cell>
          <cell r="B7755" t="str">
            <v>Budget</v>
          </cell>
          <cell r="C7755" t="str">
            <v>Jul</v>
          </cell>
          <cell r="D7755" t="str">
            <v>Chairs</v>
          </cell>
          <cell r="E7755">
            <v>1929121.2919999999</v>
          </cell>
          <cell r="F7755">
            <v>7</v>
          </cell>
        </row>
        <row r="7756">
          <cell r="A7756">
            <v>2018</v>
          </cell>
          <cell r="B7756" t="str">
            <v>Actual</v>
          </cell>
          <cell r="C7756" t="str">
            <v>Jul</v>
          </cell>
          <cell r="D7756" t="str">
            <v>Tables</v>
          </cell>
          <cell r="E7756">
            <v>502227.57199999993</v>
          </cell>
          <cell r="F7756">
            <v>7</v>
          </cell>
        </row>
        <row r="7757">
          <cell r="A7757">
            <v>2018</v>
          </cell>
          <cell r="B7757" t="str">
            <v>Budget</v>
          </cell>
          <cell r="C7757" t="str">
            <v>Jul</v>
          </cell>
          <cell r="D7757" t="str">
            <v>Kitchen</v>
          </cell>
          <cell r="E7757">
            <v>284571.06300000002</v>
          </cell>
          <cell r="F7757">
            <v>7</v>
          </cell>
        </row>
        <row r="7758">
          <cell r="A7758">
            <v>2018</v>
          </cell>
          <cell r="B7758" t="str">
            <v>Actual</v>
          </cell>
          <cell r="C7758" t="str">
            <v>Jul</v>
          </cell>
          <cell r="D7758" t="str">
            <v>Accessories</v>
          </cell>
          <cell r="E7758">
            <v>32124.238999999994</v>
          </cell>
          <cell r="F7758">
            <v>7</v>
          </cell>
        </row>
        <row r="7759">
          <cell r="A7759">
            <v>2019</v>
          </cell>
          <cell r="B7759" t="str">
            <v>Budget</v>
          </cell>
          <cell r="C7759" t="str">
            <v>Jul</v>
          </cell>
          <cell r="D7759" t="str">
            <v>Chairs</v>
          </cell>
          <cell r="E7759">
            <v>11388.096999999998</v>
          </cell>
          <cell r="F7759">
            <v>7</v>
          </cell>
        </row>
        <row r="7760">
          <cell r="A7760">
            <v>2018</v>
          </cell>
          <cell r="B7760" t="str">
            <v>Actual</v>
          </cell>
          <cell r="C7760" t="str">
            <v>Jul</v>
          </cell>
          <cell r="D7760" t="str">
            <v>Chairs</v>
          </cell>
          <cell r="E7760">
            <v>11244.281999999999</v>
          </cell>
          <cell r="F7760">
            <v>7</v>
          </cell>
        </row>
        <row r="7761">
          <cell r="A7761">
            <v>2018</v>
          </cell>
          <cell r="B7761" t="str">
            <v>Budget</v>
          </cell>
          <cell r="C7761" t="str">
            <v>Jul</v>
          </cell>
          <cell r="D7761" t="str">
            <v>Tables</v>
          </cell>
          <cell r="E7761">
            <v>246083.55799999999</v>
          </cell>
          <cell r="F7761">
            <v>7</v>
          </cell>
        </row>
        <row r="7762">
          <cell r="A7762">
            <v>2018</v>
          </cell>
          <cell r="B7762" t="str">
            <v>Actual</v>
          </cell>
          <cell r="C7762" t="str">
            <v>Jul</v>
          </cell>
          <cell r="D7762" t="str">
            <v>Kitchen</v>
          </cell>
          <cell r="E7762">
            <v>42504.707000000002</v>
          </cell>
          <cell r="F7762">
            <v>7</v>
          </cell>
        </row>
        <row r="7763">
          <cell r="A7763">
            <v>2018</v>
          </cell>
          <cell r="B7763" t="str">
            <v>Budget</v>
          </cell>
          <cell r="C7763" t="str">
            <v>Jul</v>
          </cell>
          <cell r="D7763" t="str">
            <v>Chairs</v>
          </cell>
          <cell r="E7763">
            <v>17760.210999999999</v>
          </cell>
          <cell r="F7763">
            <v>7</v>
          </cell>
        </row>
        <row r="7764">
          <cell r="A7764">
            <v>2019</v>
          </cell>
          <cell r="B7764" t="str">
            <v>Actual</v>
          </cell>
          <cell r="C7764" t="str">
            <v>Jul</v>
          </cell>
          <cell r="D7764" t="str">
            <v>Tables</v>
          </cell>
          <cell r="E7764">
            <v>248185.80499999999</v>
          </cell>
          <cell r="F7764">
            <v>7</v>
          </cell>
        </row>
        <row r="7765">
          <cell r="A7765">
            <v>2018</v>
          </cell>
          <cell r="B7765" t="str">
            <v>Budget</v>
          </cell>
          <cell r="C7765" t="str">
            <v>Jul</v>
          </cell>
          <cell r="D7765" t="str">
            <v>Kitchen</v>
          </cell>
          <cell r="E7765">
            <v>141670.48699999999</v>
          </cell>
          <cell r="F7765">
            <v>7</v>
          </cell>
        </row>
        <row r="7766">
          <cell r="A7766">
            <v>2019</v>
          </cell>
          <cell r="B7766" t="str">
            <v>Actual</v>
          </cell>
          <cell r="C7766" t="str">
            <v>Jul</v>
          </cell>
          <cell r="D7766" t="str">
            <v>Chairs</v>
          </cell>
          <cell r="E7766">
            <v>103696.18699999999</v>
          </cell>
          <cell r="F7766">
            <v>7</v>
          </cell>
        </row>
        <row r="7767">
          <cell r="A7767">
            <v>2019</v>
          </cell>
          <cell r="B7767" t="str">
            <v>Budget</v>
          </cell>
          <cell r="C7767" t="str">
            <v>Jul</v>
          </cell>
          <cell r="D7767" t="str">
            <v>Tables</v>
          </cell>
          <cell r="E7767">
            <v>11923.106999999998</v>
          </cell>
          <cell r="F7767">
            <v>7</v>
          </cell>
        </row>
        <row r="7768">
          <cell r="A7768">
            <v>2018</v>
          </cell>
          <cell r="B7768" t="str">
            <v>Actual</v>
          </cell>
          <cell r="C7768" t="str">
            <v>Jul</v>
          </cell>
          <cell r="D7768" t="str">
            <v>Kitchen</v>
          </cell>
          <cell r="E7768">
            <v>1659686.9450000001</v>
          </cell>
          <cell r="F7768">
            <v>7</v>
          </cell>
        </row>
        <row r="7769">
          <cell r="A7769">
            <v>2019</v>
          </cell>
          <cell r="B7769" t="str">
            <v>Budget</v>
          </cell>
          <cell r="C7769" t="str">
            <v>Jul</v>
          </cell>
          <cell r="D7769" t="str">
            <v>Chairs</v>
          </cell>
          <cell r="E7769">
            <v>445390.19699999993</v>
          </cell>
          <cell r="F7769">
            <v>7</v>
          </cell>
        </row>
        <row r="7770">
          <cell r="A7770">
            <v>2019</v>
          </cell>
          <cell r="B7770" t="str">
            <v>Actual</v>
          </cell>
          <cell r="C7770" t="str">
            <v>Jul</v>
          </cell>
          <cell r="D7770" t="str">
            <v>Chairs</v>
          </cell>
          <cell r="E7770">
            <v>170343.47399999999</v>
          </cell>
          <cell r="F7770">
            <v>7</v>
          </cell>
        </row>
        <row r="7771">
          <cell r="A7771">
            <v>2018</v>
          </cell>
          <cell r="B7771" t="str">
            <v>Budget</v>
          </cell>
          <cell r="C7771" t="str">
            <v>Jul</v>
          </cell>
          <cell r="D7771" t="str">
            <v>Chairs</v>
          </cell>
          <cell r="E7771">
            <v>64677.997999999992</v>
          </cell>
          <cell r="F7771">
            <v>7</v>
          </cell>
        </row>
        <row r="7772">
          <cell r="A7772">
            <v>2018</v>
          </cell>
          <cell r="B7772" t="str">
            <v>Actual</v>
          </cell>
          <cell r="C7772" t="str">
            <v>Jul</v>
          </cell>
          <cell r="D7772" t="str">
            <v>Chairs</v>
          </cell>
          <cell r="E7772">
            <v>55272.993999999999</v>
          </cell>
          <cell r="F7772">
            <v>7</v>
          </cell>
        </row>
        <row r="7773">
          <cell r="A7773">
            <v>2018</v>
          </cell>
          <cell r="B7773" t="str">
            <v>Budget</v>
          </cell>
          <cell r="C7773" t="str">
            <v>Jul</v>
          </cell>
          <cell r="D7773" t="str">
            <v>Chairs</v>
          </cell>
          <cell r="E7773">
            <v>94445.294999999998</v>
          </cell>
          <cell r="F7773">
            <v>7</v>
          </cell>
        </row>
        <row r="7774">
          <cell r="A7774">
            <v>2018</v>
          </cell>
          <cell r="B7774" t="str">
            <v>Actual</v>
          </cell>
          <cell r="C7774" t="str">
            <v>Jul</v>
          </cell>
          <cell r="D7774" t="str">
            <v>Chairs</v>
          </cell>
          <cell r="E7774">
            <v>111361.45299999999</v>
          </cell>
          <cell r="F7774">
            <v>7</v>
          </cell>
        </row>
        <row r="7775">
          <cell r="A7775">
            <v>2019</v>
          </cell>
          <cell r="B7775" t="str">
            <v>Budget</v>
          </cell>
          <cell r="C7775" t="str">
            <v>Jul</v>
          </cell>
          <cell r="D7775" t="str">
            <v>Chairs</v>
          </cell>
          <cell r="E7775">
            <v>57222.703999999998</v>
          </cell>
          <cell r="F7775">
            <v>7</v>
          </cell>
        </row>
        <row r="7776">
          <cell r="A7776">
            <v>2018</v>
          </cell>
          <cell r="B7776" t="str">
            <v>Actual</v>
          </cell>
          <cell r="C7776" t="str">
            <v>Jul</v>
          </cell>
          <cell r="D7776" t="str">
            <v>Chairs</v>
          </cell>
          <cell r="E7776">
            <v>566687.26099999994</v>
          </cell>
          <cell r="F7776">
            <v>7</v>
          </cell>
        </row>
        <row r="7777">
          <cell r="A7777">
            <v>2019</v>
          </cell>
          <cell r="B7777" t="str">
            <v>Budget</v>
          </cell>
          <cell r="C7777" t="str">
            <v>Jul</v>
          </cell>
          <cell r="D7777" t="str">
            <v>Chairs</v>
          </cell>
          <cell r="E7777">
            <v>72063.732999999993</v>
          </cell>
          <cell r="F7777">
            <v>7</v>
          </cell>
        </row>
        <row r="7778">
          <cell r="A7778">
            <v>2018</v>
          </cell>
          <cell r="B7778" t="str">
            <v>Actual</v>
          </cell>
          <cell r="C7778" t="str">
            <v>Jul</v>
          </cell>
          <cell r="D7778" t="str">
            <v>Chairs</v>
          </cell>
          <cell r="E7778">
            <v>86159.044999999998</v>
          </cell>
          <cell r="F7778">
            <v>7</v>
          </cell>
        </row>
        <row r="7779">
          <cell r="A7779">
            <v>2019</v>
          </cell>
          <cell r="B7779" t="str">
            <v>Budget</v>
          </cell>
          <cell r="C7779" t="str">
            <v>Jul</v>
          </cell>
          <cell r="D7779" t="str">
            <v>Chairs</v>
          </cell>
          <cell r="E7779">
            <v>746753.08400000003</v>
          </cell>
          <cell r="F7779">
            <v>7</v>
          </cell>
        </row>
        <row r="7780">
          <cell r="A7780">
            <v>2019</v>
          </cell>
          <cell r="B7780" t="str">
            <v>Actual</v>
          </cell>
          <cell r="C7780" t="str">
            <v>Jul</v>
          </cell>
          <cell r="D7780" t="str">
            <v>Chairs</v>
          </cell>
          <cell r="E7780">
            <v>2049560.898</v>
          </cell>
          <cell r="F7780">
            <v>7</v>
          </cell>
        </row>
        <row r="7781">
          <cell r="A7781">
            <v>2018</v>
          </cell>
          <cell r="B7781" t="str">
            <v>Budget</v>
          </cell>
          <cell r="C7781" t="str">
            <v>Jul</v>
          </cell>
          <cell r="D7781" t="str">
            <v>Chairs</v>
          </cell>
          <cell r="E7781">
            <v>5176044.9159999993</v>
          </cell>
          <cell r="F7781">
            <v>7</v>
          </cell>
        </row>
        <row r="7782">
          <cell r="A7782">
            <v>2018</v>
          </cell>
          <cell r="B7782" t="str">
            <v>Actual</v>
          </cell>
          <cell r="C7782" t="str">
            <v>Jul</v>
          </cell>
          <cell r="D7782" t="str">
            <v>Chairs</v>
          </cell>
          <cell r="E7782">
            <v>6158158.2089999989</v>
          </cell>
          <cell r="F7782">
            <v>7</v>
          </cell>
        </row>
        <row r="7783">
          <cell r="A7783">
            <v>2018</v>
          </cell>
          <cell r="B7783" t="str">
            <v>Budget</v>
          </cell>
          <cell r="C7783" t="str">
            <v>Jul</v>
          </cell>
          <cell r="D7783" t="str">
            <v>Chairs</v>
          </cell>
          <cell r="E7783">
            <v>5177469.2409999995</v>
          </cell>
          <cell r="F7783">
            <v>7</v>
          </cell>
        </row>
        <row r="7784">
          <cell r="A7784">
            <v>2019</v>
          </cell>
          <cell r="B7784" t="str">
            <v>Actual</v>
          </cell>
          <cell r="C7784" t="str">
            <v>Jul</v>
          </cell>
          <cell r="D7784" t="str">
            <v>Chairs</v>
          </cell>
          <cell r="E7784">
            <v>2786388.1359999999</v>
          </cell>
          <cell r="F7784">
            <v>7</v>
          </cell>
        </row>
        <row r="7785">
          <cell r="A7785">
            <v>2019</v>
          </cell>
          <cell r="B7785" t="str">
            <v>Budget</v>
          </cell>
          <cell r="C7785" t="str">
            <v>Jul</v>
          </cell>
          <cell r="D7785" t="str">
            <v>Chairs</v>
          </cell>
          <cell r="E7785">
            <v>40742881.052999996</v>
          </cell>
          <cell r="F7785">
            <v>7</v>
          </cell>
        </row>
        <row r="7786">
          <cell r="A7786">
            <v>2018</v>
          </cell>
          <cell r="B7786" t="str">
            <v>Actual</v>
          </cell>
          <cell r="C7786" t="str">
            <v>Jul</v>
          </cell>
          <cell r="D7786" t="str">
            <v>Chairs</v>
          </cell>
          <cell r="E7786">
            <v>23428748.202999998</v>
          </cell>
          <cell r="F7786">
            <v>7</v>
          </cell>
        </row>
        <row r="7787">
          <cell r="A7787">
            <v>2018</v>
          </cell>
          <cell r="B7787" t="str">
            <v>Budget</v>
          </cell>
          <cell r="C7787" t="str">
            <v>Jul</v>
          </cell>
          <cell r="D7787" t="str">
            <v>Chairs</v>
          </cell>
          <cell r="E7787">
            <v>330528.26799999998</v>
          </cell>
          <cell r="F7787">
            <v>7</v>
          </cell>
        </row>
        <row r="7788">
          <cell r="A7788">
            <v>2018</v>
          </cell>
          <cell r="B7788" t="str">
            <v>Actual</v>
          </cell>
          <cell r="C7788" t="str">
            <v>Jul</v>
          </cell>
          <cell r="D7788" t="str">
            <v>Chairs</v>
          </cell>
          <cell r="E7788">
            <v>281771.76999999996</v>
          </cell>
          <cell r="F7788">
            <v>7</v>
          </cell>
        </row>
        <row r="7789">
          <cell r="A7789">
            <v>2018</v>
          </cell>
          <cell r="B7789" t="str">
            <v>Budget</v>
          </cell>
          <cell r="C7789" t="str">
            <v>Jul</v>
          </cell>
          <cell r="D7789" t="str">
            <v>Chairs</v>
          </cell>
          <cell r="E7789">
            <v>36678859.020999998</v>
          </cell>
          <cell r="F7789">
            <v>7</v>
          </cell>
        </row>
        <row r="7790">
          <cell r="A7790">
            <v>2018</v>
          </cell>
          <cell r="B7790" t="str">
            <v>Actual</v>
          </cell>
          <cell r="C7790" t="str">
            <v>Jul</v>
          </cell>
          <cell r="D7790" t="str">
            <v>Chairs</v>
          </cell>
          <cell r="E7790">
            <v>3999282.5460000001</v>
          </cell>
          <cell r="F7790">
            <v>7</v>
          </cell>
        </row>
        <row r="7791">
          <cell r="A7791">
            <v>2018</v>
          </cell>
          <cell r="B7791" t="str">
            <v>Budget</v>
          </cell>
          <cell r="C7791" t="str">
            <v>Jul</v>
          </cell>
          <cell r="D7791" t="str">
            <v>Chairs</v>
          </cell>
          <cell r="E7791">
            <v>781902.04399999988</v>
          </cell>
          <cell r="F7791">
            <v>7</v>
          </cell>
        </row>
        <row r="7792">
          <cell r="A7792">
            <v>2019</v>
          </cell>
          <cell r="B7792" t="str">
            <v>Actual</v>
          </cell>
          <cell r="C7792" t="str">
            <v>Jul</v>
          </cell>
          <cell r="D7792" t="str">
            <v>Chairs</v>
          </cell>
          <cell r="E7792">
            <v>702458.34400000004</v>
          </cell>
          <cell r="F7792">
            <v>7</v>
          </cell>
        </row>
        <row r="7793">
          <cell r="A7793">
            <v>2018</v>
          </cell>
          <cell r="B7793" t="str">
            <v>Budget</v>
          </cell>
          <cell r="C7793" t="str">
            <v>Jul</v>
          </cell>
          <cell r="D7793" t="str">
            <v>Chairs</v>
          </cell>
          <cell r="E7793">
            <v>16189164.067999998</v>
          </cell>
          <cell r="F7793">
            <v>7</v>
          </cell>
        </row>
        <row r="7794">
          <cell r="A7794">
            <v>2018</v>
          </cell>
          <cell r="B7794" t="str">
            <v>Actual</v>
          </cell>
          <cell r="C7794" t="str">
            <v>Jul</v>
          </cell>
          <cell r="D7794" t="str">
            <v>Chairs</v>
          </cell>
          <cell r="E7794">
            <v>2426055.52</v>
          </cell>
          <cell r="F7794">
            <v>7</v>
          </cell>
        </row>
        <row r="7795">
          <cell r="A7795">
            <v>2018</v>
          </cell>
          <cell r="B7795" t="str">
            <v>Budget</v>
          </cell>
          <cell r="C7795" t="str">
            <v>Jul</v>
          </cell>
          <cell r="D7795" t="str">
            <v>Tables</v>
          </cell>
          <cell r="E7795">
            <v>6165882.0159999998</v>
          </cell>
          <cell r="F7795">
            <v>7</v>
          </cell>
        </row>
        <row r="7796">
          <cell r="A7796">
            <v>2019</v>
          </cell>
          <cell r="B7796" t="str">
            <v>Actual</v>
          </cell>
          <cell r="C7796" t="str">
            <v>Jul</v>
          </cell>
          <cell r="D7796" t="str">
            <v>Kitchen</v>
          </cell>
          <cell r="E7796">
            <v>3033633.162</v>
          </cell>
          <cell r="F7796">
            <v>7</v>
          </cell>
        </row>
        <row r="7797">
          <cell r="A7797">
            <v>2019</v>
          </cell>
          <cell r="B7797" t="str">
            <v>Budget</v>
          </cell>
          <cell r="C7797" t="str">
            <v>Jul</v>
          </cell>
          <cell r="D7797" t="str">
            <v>Chairs</v>
          </cell>
          <cell r="E7797">
            <v>7717017.0350000001</v>
          </cell>
          <cell r="F7797">
            <v>7</v>
          </cell>
        </row>
        <row r="7798">
          <cell r="A7798">
            <v>2019</v>
          </cell>
          <cell r="B7798" t="str">
            <v>Actual</v>
          </cell>
          <cell r="C7798" t="str">
            <v>Jul</v>
          </cell>
          <cell r="D7798" t="str">
            <v>Chairs</v>
          </cell>
          <cell r="E7798">
            <v>13566793.197999999</v>
          </cell>
          <cell r="F7798">
            <v>7</v>
          </cell>
        </row>
        <row r="7799">
          <cell r="A7799">
            <v>2018</v>
          </cell>
          <cell r="B7799" t="str">
            <v>Budget</v>
          </cell>
          <cell r="C7799" t="str">
            <v>Jul</v>
          </cell>
          <cell r="D7799" t="str">
            <v>Chairs</v>
          </cell>
          <cell r="E7799">
            <v>13325238.612</v>
          </cell>
          <cell r="F7799">
            <v>7</v>
          </cell>
        </row>
        <row r="7800">
          <cell r="A7800">
            <v>2019</v>
          </cell>
          <cell r="B7800" t="str">
            <v>Actual</v>
          </cell>
          <cell r="C7800" t="str">
            <v>Jul</v>
          </cell>
          <cell r="D7800" t="str">
            <v>Chairs</v>
          </cell>
          <cell r="E7800">
            <v>17757451.697999999</v>
          </cell>
          <cell r="F7800">
            <v>7</v>
          </cell>
        </row>
        <row r="7801">
          <cell r="A7801">
            <v>2018</v>
          </cell>
          <cell r="B7801" t="str">
            <v>Budget</v>
          </cell>
          <cell r="C7801" t="str">
            <v>Jul</v>
          </cell>
          <cell r="D7801" t="str">
            <v>Chairs</v>
          </cell>
          <cell r="E7801">
            <v>1577732.2609999999</v>
          </cell>
          <cell r="F7801">
            <v>7</v>
          </cell>
        </row>
        <row r="7802">
          <cell r="A7802">
            <v>2018</v>
          </cell>
          <cell r="B7802" t="str">
            <v>Actual</v>
          </cell>
          <cell r="C7802" t="str">
            <v>Jul</v>
          </cell>
          <cell r="D7802" t="str">
            <v>Tables</v>
          </cell>
          <cell r="E7802">
            <v>714486.60499999998</v>
          </cell>
          <cell r="F7802">
            <v>7</v>
          </cell>
        </row>
        <row r="7803">
          <cell r="A7803">
            <v>2019</v>
          </cell>
          <cell r="B7803" t="str">
            <v>Budget</v>
          </cell>
          <cell r="C7803" t="str">
            <v>Jul</v>
          </cell>
          <cell r="D7803" t="str">
            <v>Kitchen</v>
          </cell>
          <cell r="E7803">
            <v>1418123.777</v>
          </cell>
          <cell r="F7803">
            <v>7</v>
          </cell>
        </row>
        <row r="7804">
          <cell r="A7804">
            <v>2018</v>
          </cell>
          <cell r="B7804" t="str">
            <v>Actual</v>
          </cell>
          <cell r="C7804" t="str">
            <v>Jul</v>
          </cell>
          <cell r="D7804" t="str">
            <v>Chairs</v>
          </cell>
          <cell r="E7804">
            <v>357226.59700000001</v>
          </cell>
          <cell r="F7804">
            <v>7</v>
          </cell>
        </row>
        <row r="7805">
          <cell r="A7805">
            <v>2019</v>
          </cell>
          <cell r="B7805" t="str">
            <v>Budget</v>
          </cell>
          <cell r="C7805" t="str">
            <v>Jul</v>
          </cell>
          <cell r="D7805" t="str">
            <v>Chairs</v>
          </cell>
          <cell r="E7805">
            <v>282897.63599999994</v>
          </cell>
          <cell r="F7805">
            <v>7</v>
          </cell>
        </row>
        <row r="7806">
          <cell r="A7806">
            <v>2018</v>
          </cell>
          <cell r="B7806" t="str">
            <v>Actual</v>
          </cell>
          <cell r="C7806" t="str">
            <v>Jul</v>
          </cell>
          <cell r="D7806" t="str">
            <v>Chairs</v>
          </cell>
          <cell r="E7806">
            <v>2055585.784</v>
          </cell>
          <cell r="F7806">
            <v>7</v>
          </cell>
        </row>
        <row r="7807">
          <cell r="A7807">
            <v>2019</v>
          </cell>
          <cell r="B7807" t="str">
            <v>Budget</v>
          </cell>
          <cell r="C7807" t="str">
            <v>Jul</v>
          </cell>
          <cell r="D7807" t="str">
            <v>Tables</v>
          </cell>
          <cell r="E7807">
            <v>834996.16199999989</v>
          </cell>
          <cell r="F7807">
            <v>7</v>
          </cell>
        </row>
        <row r="7808">
          <cell r="A7808">
            <v>2019</v>
          </cell>
          <cell r="B7808" t="str">
            <v>Actual</v>
          </cell>
          <cell r="C7808" t="str">
            <v>Jul</v>
          </cell>
          <cell r="D7808" t="str">
            <v>Kitchen</v>
          </cell>
          <cell r="E7808">
            <v>107256.55499999999</v>
          </cell>
          <cell r="F7808">
            <v>7</v>
          </cell>
        </row>
        <row r="7809">
          <cell r="A7809">
            <v>2019</v>
          </cell>
          <cell r="B7809" t="str">
            <v>Budget</v>
          </cell>
          <cell r="C7809" t="str">
            <v>Jul</v>
          </cell>
          <cell r="D7809" t="str">
            <v>Chairs</v>
          </cell>
          <cell r="E7809">
            <v>136919.69199999998</v>
          </cell>
          <cell r="F7809">
            <v>7</v>
          </cell>
        </row>
        <row r="7810">
          <cell r="A7810">
            <v>2019</v>
          </cell>
          <cell r="B7810" t="str">
            <v>Actual</v>
          </cell>
          <cell r="C7810" t="str">
            <v>Jul</v>
          </cell>
          <cell r="D7810" t="str">
            <v>Chairs</v>
          </cell>
          <cell r="E7810">
            <v>301211.36499999999</v>
          </cell>
          <cell r="F7810">
            <v>7</v>
          </cell>
        </row>
        <row r="7811">
          <cell r="A7811">
            <v>2018</v>
          </cell>
          <cell r="B7811" t="str">
            <v>Budget</v>
          </cell>
          <cell r="C7811" t="str">
            <v>Jul</v>
          </cell>
          <cell r="D7811" t="str">
            <v>Tables</v>
          </cell>
          <cell r="E7811">
            <v>534940.86800000002</v>
          </cell>
          <cell r="F7811">
            <v>7</v>
          </cell>
        </row>
        <row r="7812">
          <cell r="A7812">
            <v>2019</v>
          </cell>
          <cell r="B7812" t="str">
            <v>Actual</v>
          </cell>
          <cell r="C7812" t="str">
            <v>Jul</v>
          </cell>
          <cell r="D7812" t="str">
            <v>Kitchen</v>
          </cell>
          <cell r="E7812">
            <v>447151.99200000003</v>
          </cell>
          <cell r="F7812">
            <v>7</v>
          </cell>
        </row>
        <row r="7813">
          <cell r="A7813">
            <v>2018</v>
          </cell>
          <cell r="B7813" t="str">
            <v>Budget</v>
          </cell>
          <cell r="C7813" t="str">
            <v>Jul</v>
          </cell>
          <cell r="D7813" t="str">
            <v>Chairs</v>
          </cell>
          <cell r="E7813">
            <v>21586.844999999998</v>
          </cell>
          <cell r="F7813">
            <v>7</v>
          </cell>
        </row>
        <row r="7814">
          <cell r="A7814">
            <v>2018</v>
          </cell>
          <cell r="B7814" t="str">
            <v>Actual</v>
          </cell>
          <cell r="C7814" t="str">
            <v>Jul</v>
          </cell>
          <cell r="D7814" t="str">
            <v>Chairs</v>
          </cell>
          <cell r="E7814">
            <v>546459.56400000001</v>
          </cell>
          <cell r="F7814">
            <v>7</v>
          </cell>
        </row>
        <row r="7815">
          <cell r="A7815">
            <v>2018</v>
          </cell>
          <cell r="B7815" t="str">
            <v>Budget</v>
          </cell>
          <cell r="C7815" t="str">
            <v>Jul</v>
          </cell>
          <cell r="D7815" t="str">
            <v>Chairs</v>
          </cell>
          <cell r="E7815">
            <v>489376.46099999995</v>
          </cell>
          <cell r="F7815">
            <v>7</v>
          </cell>
        </row>
        <row r="7816">
          <cell r="A7816">
            <v>2018</v>
          </cell>
          <cell r="B7816" t="str">
            <v>Actual</v>
          </cell>
          <cell r="C7816" t="str">
            <v>Jul</v>
          </cell>
          <cell r="D7816" t="str">
            <v>Tables</v>
          </cell>
          <cell r="E7816">
            <v>3711111.3129999996</v>
          </cell>
          <cell r="F7816">
            <v>7</v>
          </cell>
        </row>
        <row r="7817">
          <cell r="A7817">
            <v>2018</v>
          </cell>
          <cell r="B7817" t="str">
            <v>Budget</v>
          </cell>
          <cell r="C7817" t="str">
            <v>Jul</v>
          </cell>
          <cell r="D7817" t="str">
            <v>Kitchen</v>
          </cell>
          <cell r="E7817">
            <v>479819.15799999994</v>
          </cell>
          <cell r="F7817">
            <v>7</v>
          </cell>
        </row>
        <row r="7818">
          <cell r="A7818">
            <v>2019</v>
          </cell>
          <cell r="B7818" t="str">
            <v>Actual</v>
          </cell>
          <cell r="C7818" t="str">
            <v>Jul</v>
          </cell>
          <cell r="D7818" t="str">
            <v>Accessories</v>
          </cell>
          <cell r="E7818">
            <v>1878499.3430000001</v>
          </cell>
          <cell r="F7818">
            <v>7</v>
          </cell>
        </row>
        <row r="7819">
          <cell r="A7819">
            <v>2018</v>
          </cell>
          <cell r="B7819" t="str">
            <v>Budget</v>
          </cell>
          <cell r="C7819" t="str">
            <v>Jul</v>
          </cell>
          <cell r="D7819" t="str">
            <v>Chairs</v>
          </cell>
          <cell r="E7819">
            <v>1598698.8569999998</v>
          </cell>
          <cell r="F7819">
            <v>7</v>
          </cell>
        </row>
        <row r="7820">
          <cell r="A7820">
            <v>2018</v>
          </cell>
          <cell r="B7820" t="str">
            <v>Actual</v>
          </cell>
          <cell r="C7820" t="str">
            <v>Jul</v>
          </cell>
          <cell r="D7820" t="str">
            <v>Tables</v>
          </cell>
          <cell r="E7820">
            <v>153461.42699999997</v>
          </cell>
          <cell r="F7820">
            <v>7</v>
          </cell>
        </row>
        <row r="7821">
          <cell r="A7821">
            <v>2018</v>
          </cell>
          <cell r="B7821" t="str">
            <v>Budget</v>
          </cell>
          <cell r="C7821" t="str">
            <v>Jul</v>
          </cell>
          <cell r="D7821" t="str">
            <v>Kitchen</v>
          </cell>
          <cell r="E7821">
            <v>913348.74399999995</v>
          </cell>
          <cell r="F7821">
            <v>7</v>
          </cell>
        </row>
        <row r="7822">
          <cell r="A7822">
            <v>2018</v>
          </cell>
          <cell r="B7822" t="str">
            <v>Actual</v>
          </cell>
          <cell r="C7822" t="str">
            <v>Jul</v>
          </cell>
          <cell r="D7822" t="str">
            <v>Accessories</v>
          </cell>
          <cell r="E7822">
            <v>2403012.1359999999</v>
          </cell>
          <cell r="F7822">
            <v>7</v>
          </cell>
        </row>
        <row r="7823">
          <cell r="A7823">
            <v>2018</v>
          </cell>
          <cell r="B7823" t="str">
            <v>Budget</v>
          </cell>
          <cell r="C7823" t="str">
            <v>Jul</v>
          </cell>
          <cell r="D7823" t="str">
            <v>Chairs</v>
          </cell>
          <cell r="E7823">
            <v>1611322.9650000001</v>
          </cell>
          <cell r="F7823">
            <v>7</v>
          </cell>
        </row>
        <row r="7824">
          <cell r="A7824">
            <v>2018</v>
          </cell>
          <cell r="B7824" t="str">
            <v>Actual</v>
          </cell>
          <cell r="C7824" t="str">
            <v>Jul</v>
          </cell>
          <cell r="D7824" t="str">
            <v>Tables</v>
          </cell>
          <cell r="E7824">
            <v>192685.633</v>
          </cell>
          <cell r="F7824">
            <v>7</v>
          </cell>
        </row>
        <row r="7825">
          <cell r="A7825">
            <v>2018</v>
          </cell>
          <cell r="B7825" t="str">
            <v>Budget</v>
          </cell>
          <cell r="C7825" t="str">
            <v>Jul</v>
          </cell>
          <cell r="D7825" t="str">
            <v>Kitchen</v>
          </cell>
          <cell r="E7825">
            <v>36172.716999999997</v>
          </cell>
          <cell r="F7825">
            <v>7</v>
          </cell>
        </row>
        <row r="7826">
          <cell r="A7826">
            <v>2019</v>
          </cell>
          <cell r="B7826" t="str">
            <v>Actual</v>
          </cell>
          <cell r="C7826" t="str">
            <v>Jul</v>
          </cell>
          <cell r="D7826" t="str">
            <v>Accessories</v>
          </cell>
          <cell r="E7826">
            <v>1458109.7159999998</v>
          </cell>
          <cell r="F7826">
            <v>7</v>
          </cell>
        </row>
        <row r="7827">
          <cell r="A7827">
            <v>2018</v>
          </cell>
          <cell r="B7827" t="str">
            <v>Budget</v>
          </cell>
          <cell r="C7827" t="str">
            <v>Jul</v>
          </cell>
          <cell r="D7827" t="str">
            <v>Chairs</v>
          </cell>
          <cell r="E7827">
            <v>70444730.552000001</v>
          </cell>
          <cell r="F7827">
            <v>7</v>
          </cell>
        </row>
        <row r="7828">
          <cell r="A7828">
            <v>2018</v>
          </cell>
          <cell r="B7828" t="str">
            <v>Actual</v>
          </cell>
          <cell r="C7828" t="str">
            <v>Jul</v>
          </cell>
          <cell r="D7828" t="str">
            <v>Tables</v>
          </cell>
          <cell r="E7828">
            <v>1205723.6869999999</v>
          </cell>
          <cell r="F7828">
            <v>7</v>
          </cell>
        </row>
        <row r="7829">
          <cell r="A7829">
            <v>2018</v>
          </cell>
          <cell r="B7829" t="str">
            <v>Budget</v>
          </cell>
          <cell r="C7829" t="str">
            <v>Jul</v>
          </cell>
          <cell r="D7829" t="str">
            <v>Kitchen</v>
          </cell>
          <cell r="E7829">
            <v>5935163.8360000001</v>
          </cell>
          <cell r="F7829">
            <v>7</v>
          </cell>
        </row>
        <row r="7830">
          <cell r="A7830">
            <v>2019</v>
          </cell>
          <cell r="B7830" t="str">
            <v>Actual</v>
          </cell>
          <cell r="C7830" t="str">
            <v>Jul</v>
          </cell>
          <cell r="D7830" t="str">
            <v>Accessories</v>
          </cell>
          <cell r="E7830">
            <v>17150045.149999999</v>
          </cell>
          <cell r="F7830">
            <v>7</v>
          </cell>
        </row>
        <row r="7831">
          <cell r="A7831">
            <v>2018</v>
          </cell>
          <cell r="B7831" t="str">
            <v>Budget</v>
          </cell>
          <cell r="C7831" t="str">
            <v>Jul</v>
          </cell>
          <cell r="D7831" t="str">
            <v>Chairs</v>
          </cell>
          <cell r="E7831">
            <v>7196497.8889999995</v>
          </cell>
          <cell r="F7831">
            <v>7</v>
          </cell>
        </row>
        <row r="7832">
          <cell r="A7832">
            <v>2018</v>
          </cell>
          <cell r="B7832" t="str">
            <v>Actual</v>
          </cell>
          <cell r="C7832" t="str">
            <v>Jul</v>
          </cell>
          <cell r="D7832" t="str">
            <v>Chairs</v>
          </cell>
          <cell r="E7832">
            <v>4708107.6069999998</v>
          </cell>
          <cell r="F7832">
            <v>7</v>
          </cell>
        </row>
        <row r="7833">
          <cell r="A7833">
            <v>2018</v>
          </cell>
          <cell r="B7833" t="str">
            <v>Budget</v>
          </cell>
          <cell r="C7833" t="str">
            <v>Jul</v>
          </cell>
          <cell r="D7833" t="str">
            <v>Tables</v>
          </cell>
          <cell r="E7833">
            <v>5327759.9619999994</v>
          </cell>
          <cell r="F7833">
            <v>7</v>
          </cell>
        </row>
        <row r="7834">
          <cell r="A7834">
            <v>2018</v>
          </cell>
          <cell r="B7834" t="str">
            <v>Actual</v>
          </cell>
          <cell r="C7834" t="str">
            <v>Jul</v>
          </cell>
          <cell r="D7834" t="str">
            <v>Kitchen</v>
          </cell>
          <cell r="E7834">
            <v>42331585.253999993</v>
          </cell>
          <cell r="F7834">
            <v>7</v>
          </cell>
        </row>
        <row r="7835">
          <cell r="A7835">
            <v>2019</v>
          </cell>
          <cell r="B7835" t="str">
            <v>Budget</v>
          </cell>
          <cell r="C7835" t="str">
            <v>Jul</v>
          </cell>
          <cell r="D7835" t="str">
            <v>Chairs</v>
          </cell>
          <cell r="E7835">
            <v>9677283.4550000001</v>
          </cell>
          <cell r="F7835">
            <v>7</v>
          </cell>
        </row>
        <row r="7836">
          <cell r="A7836">
            <v>2018</v>
          </cell>
          <cell r="B7836" t="str">
            <v>Actual</v>
          </cell>
          <cell r="C7836" t="str">
            <v>Jul</v>
          </cell>
          <cell r="D7836" t="str">
            <v>Tables</v>
          </cell>
          <cell r="E7836">
            <v>22464600.913999997</v>
          </cell>
          <cell r="F7836">
            <v>7</v>
          </cell>
        </row>
        <row r="7837">
          <cell r="A7837">
            <v>2018</v>
          </cell>
          <cell r="B7837" t="str">
            <v>Budget</v>
          </cell>
          <cell r="C7837" t="str">
            <v>Jul</v>
          </cell>
          <cell r="D7837" t="str">
            <v>Kitchen</v>
          </cell>
          <cell r="E7837">
            <v>5658376.8289999999</v>
          </cell>
          <cell r="F7837">
            <v>7</v>
          </cell>
        </row>
        <row r="7838">
          <cell r="A7838">
            <v>2018</v>
          </cell>
          <cell r="B7838" t="str">
            <v>Actual</v>
          </cell>
          <cell r="C7838" t="str">
            <v>Jul</v>
          </cell>
          <cell r="D7838" t="str">
            <v>Chairs</v>
          </cell>
          <cell r="E7838">
            <v>35889959.776999995</v>
          </cell>
          <cell r="F7838">
            <v>7</v>
          </cell>
        </row>
        <row r="7839">
          <cell r="A7839">
            <v>2019</v>
          </cell>
          <cell r="B7839" t="str">
            <v>Budget</v>
          </cell>
          <cell r="C7839" t="str">
            <v>Aug</v>
          </cell>
          <cell r="D7839" t="str">
            <v>Tables</v>
          </cell>
          <cell r="E7839">
            <v>151180.554</v>
          </cell>
          <cell r="F7839">
            <v>8</v>
          </cell>
        </row>
        <row r="7840">
          <cell r="A7840">
            <v>2018</v>
          </cell>
          <cell r="B7840" t="str">
            <v>Actual</v>
          </cell>
          <cell r="C7840" t="str">
            <v>Aug</v>
          </cell>
          <cell r="D7840" t="str">
            <v>Kitchen</v>
          </cell>
          <cell r="E7840">
            <v>246687.98</v>
          </cell>
          <cell r="F7840">
            <v>8</v>
          </cell>
        </row>
        <row r="7841">
          <cell r="A7841">
            <v>2019</v>
          </cell>
          <cell r="B7841" t="str">
            <v>Budget</v>
          </cell>
          <cell r="C7841" t="str">
            <v>Aug</v>
          </cell>
          <cell r="D7841" t="str">
            <v>Chairs</v>
          </cell>
          <cell r="E7841">
            <v>1484954.4849999999</v>
          </cell>
          <cell r="F7841">
            <v>8</v>
          </cell>
        </row>
        <row r="7842">
          <cell r="A7842">
            <v>2019</v>
          </cell>
          <cell r="B7842" t="str">
            <v>Actual</v>
          </cell>
          <cell r="C7842" t="str">
            <v>Aug</v>
          </cell>
          <cell r="D7842" t="str">
            <v>Chairs</v>
          </cell>
          <cell r="E7842">
            <v>398491.00899999996</v>
          </cell>
          <cell r="F7842">
            <v>8</v>
          </cell>
        </row>
        <row r="7843">
          <cell r="A7843">
            <v>2018</v>
          </cell>
          <cell r="B7843" t="str">
            <v>Budget</v>
          </cell>
          <cell r="C7843" t="str">
            <v>Aug</v>
          </cell>
          <cell r="D7843" t="str">
            <v>Chairs</v>
          </cell>
          <cell r="E7843">
            <v>216391.59499999997</v>
          </cell>
          <cell r="F7843">
            <v>8</v>
          </cell>
        </row>
        <row r="7844">
          <cell r="A7844">
            <v>2018</v>
          </cell>
          <cell r="B7844" t="str">
            <v>Actual</v>
          </cell>
          <cell r="C7844" t="str">
            <v>Aug</v>
          </cell>
          <cell r="D7844" t="str">
            <v>Chairs</v>
          </cell>
          <cell r="E7844">
            <v>1409453.99</v>
          </cell>
          <cell r="F7844">
            <v>8</v>
          </cell>
        </row>
        <row r="7845">
          <cell r="A7845">
            <v>2019</v>
          </cell>
          <cell r="B7845" t="str">
            <v>Budget</v>
          </cell>
          <cell r="C7845" t="str">
            <v>Aug</v>
          </cell>
          <cell r="D7845" t="str">
            <v>Chairs</v>
          </cell>
          <cell r="E7845">
            <v>5666018.5609999998</v>
          </cell>
          <cell r="F7845">
            <v>8</v>
          </cell>
        </row>
        <row r="7846">
          <cell r="A7846">
            <v>2019</v>
          </cell>
          <cell r="B7846" t="str">
            <v>Actual</v>
          </cell>
          <cell r="C7846" t="str">
            <v>Aug</v>
          </cell>
          <cell r="D7846" t="str">
            <v>Chairs</v>
          </cell>
          <cell r="E7846">
            <v>-1293.6139999999998</v>
          </cell>
          <cell r="F7846">
            <v>8</v>
          </cell>
        </row>
        <row r="7847">
          <cell r="A7847">
            <v>2019</v>
          </cell>
          <cell r="B7847" t="str">
            <v>Budget</v>
          </cell>
          <cell r="C7847" t="str">
            <v>Aug</v>
          </cell>
          <cell r="D7847" t="str">
            <v>Chairs</v>
          </cell>
          <cell r="E7847">
            <v>-8618.3580000000002</v>
          </cell>
          <cell r="F7847">
            <v>8</v>
          </cell>
        </row>
        <row r="7848">
          <cell r="A7848">
            <v>2019</v>
          </cell>
          <cell r="B7848" t="str">
            <v>Actual</v>
          </cell>
          <cell r="C7848" t="str">
            <v>Aug</v>
          </cell>
          <cell r="D7848" t="str">
            <v>Chairs</v>
          </cell>
          <cell r="E7848">
            <v>1655284.568</v>
          </cell>
          <cell r="F7848">
            <v>8</v>
          </cell>
        </row>
        <row r="7849">
          <cell r="A7849">
            <v>2018</v>
          </cell>
          <cell r="B7849" t="str">
            <v>Budget</v>
          </cell>
          <cell r="C7849" t="str">
            <v>Aug</v>
          </cell>
          <cell r="D7849" t="str">
            <v>Chairs</v>
          </cell>
          <cell r="E7849">
            <v>692110.74099999992</v>
          </cell>
          <cell r="F7849">
            <v>8</v>
          </cell>
        </row>
        <row r="7850">
          <cell r="A7850">
            <v>2019</v>
          </cell>
          <cell r="B7850" t="str">
            <v>Actual</v>
          </cell>
          <cell r="C7850" t="str">
            <v>Aug</v>
          </cell>
          <cell r="D7850" t="str">
            <v>Chairs</v>
          </cell>
          <cell r="E7850">
            <v>1189720.9309999999</v>
          </cell>
          <cell r="F7850">
            <v>8</v>
          </cell>
        </row>
        <row r="7851">
          <cell r="A7851">
            <v>2019</v>
          </cell>
          <cell r="B7851" t="str">
            <v>Budget</v>
          </cell>
          <cell r="C7851" t="str">
            <v>Aug</v>
          </cell>
          <cell r="D7851" t="str">
            <v>Chairs</v>
          </cell>
          <cell r="E7851">
            <v>-5325.915</v>
          </cell>
          <cell r="F7851">
            <v>8</v>
          </cell>
        </row>
        <row r="7852">
          <cell r="A7852">
            <v>2018</v>
          </cell>
          <cell r="B7852" t="str">
            <v>Actual</v>
          </cell>
          <cell r="C7852" t="str">
            <v>Aug</v>
          </cell>
          <cell r="D7852" t="str">
            <v>Chairs</v>
          </cell>
          <cell r="E7852">
            <v>-665.74900000000002</v>
          </cell>
          <cell r="F7852">
            <v>8</v>
          </cell>
        </row>
        <row r="7853">
          <cell r="A7853">
            <v>2018</v>
          </cell>
          <cell r="B7853" t="str">
            <v>Budget</v>
          </cell>
          <cell r="C7853" t="str">
            <v>Aug</v>
          </cell>
          <cell r="D7853" t="str">
            <v>Chairs</v>
          </cell>
          <cell r="E7853">
            <v>-15996.182999999997</v>
          </cell>
          <cell r="F7853">
            <v>8</v>
          </cell>
        </row>
        <row r="7854">
          <cell r="A7854">
            <v>2019</v>
          </cell>
          <cell r="B7854" t="str">
            <v>Actual</v>
          </cell>
          <cell r="C7854" t="str">
            <v>Aug</v>
          </cell>
          <cell r="D7854" t="str">
            <v>Chairs</v>
          </cell>
          <cell r="E7854">
            <v>716166.2969999999</v>
          </cell>
          <cell r="F7854">
            <v>8</v>
          </cell>
        </row>
        <row r="7855">
          <cell r="A7855">
            <v>2019</v>
          </cell>
          <cell r="B7855" t="str">
            <v>Budget</v>
          </cell>
          <cell r="C7855" t="str">
            <v>Aug</v>
          </cell>
          <cell r="D7855" t="str">
            <v>Chairs</v>
          </cell>
          <cell r="E7855">
            <v>-36902.957000000002</v>
          </cell>
          <cell r="F7855">
            <v>8</v>
          </cell>
        </row>
        <row r="7856">
          <cell r="A7856">
            <v>2019</v>
          </cell>
          <cell r="B7856" t="str">
            <v>Actual</v>
          </cell>
          <cell r="C7856" t="str">
            <v>Aug</v>
          </cell>
          <cell r="D7856" t="str">
            <v>Chairs</v>
          </cell>
          <cell r="E7856">
            <v>1488672.1849999998</v>
          </cell>
          <cell r="F7856">
            <v>8</v>
          </cell>
        </row>
        <row r="7857">
          <cell r="A7857">
            <v>2019</v>
          </cell>
          <cell r="B7857" t="str">
            <v>Budget</v>
          </cell>
          <cell r="C7857" t="str">
            <v>Aug</v>
          </cell>
          <cell r="D7857" t="str">
            <v>Chairs</v>
          </cell>
          <cell r="E7857">
            <v>67419.45</v>
          </cell>
          <cell r="F7857">
            <v>8</v>
          </cell>
        </row>
        <row r="7858">
          <cell r="A7858">
            <v>2019</v>
          </cell>
          <cell r="B7858" t="str">
            <v>Actual</v>
          </cell>
          <cell r="C7858" t="str">
            <v>Aug</v>
          </cell>
          <cell r="D7858" t="str">
            <v>Chairs</v>
          </cell>
          <cell r="E7858">
            <v>23206.876</v>
          </cell>
          <cell r="F7858">
            <v>8</v>
          </cell>
        </row>
        <row r="7859">
          <cell r="A7859">
            <v>2019</v>
          </cell>
          <cell r="B7859" t="str">
            <v>Budget</v>
          </cell>
          <cell r="C7859" t="str">
            <v>Aug</v>
          </cell>
          <cell r="D7859" t="str">
            <v>Chairs</v>
          </cell>
          <cell r="E7859">
            <v>492774.42899999995</v>
          </cell>
          <cell r="F7859">
            <v>8</v>
          </cell>
        </row>
        <row r="7860">
          <cell r="A7860">
            <v>2018</v>
          </cell>
          <cell r="B7860" t="str">
            <v>Actual</v>
          </cell>
          <cell r="C7860" t="str">
            <v>Aug</v>
          </cell>
          <cell r="D7860" t="str">
            <v>Chairs</v>
          </cell>
          <cell r="E7860">
            <v>-4161.3950000000004</v>
          </cell>
          <cell r="F7860">
            <v>8</v>
          </cell>
        </row>
        <row r="7861">
          <cell r="A7861">
            <v>2018</v>
          </cell>
          <cell r="B7861" t="str">
            <v>Budget</v>
          </cell>
          <cell r="C7861" t="str">
            <v>Aug</v>
          </cell>
          <cell r="D7861" t="str">
            <v>Chairs</v>
          </cell>
          <cell r="E7861">
            <v>495120.24099999998</v>
          </cell>
          <cell r="F7861">
            <v>8</v>
          </cell>
        </row>
        <row r="7862">
          <cell r="A7862">
            <v>2019</v>
          </cell>
          <cell r="B7862" t="str">
            <v>Actual</v>
          </cell>
          <cell r="C7862" t="str">
            <v>Aug</v>
          </cell>
          <cell r="D7862" t="str">
            <v>Chairs</v>
          </cell>
          <cell r="E7862">
            <v>66693.962999999989</v>
          </cell>
          <cell r="F7862">
            <v>8</v>
          </cell>
        </row>
        <row r="7863">
          <cell r="A7863">
            <v>2019</v>
          </cell>
          <cell r="B7863" t="str">
            <v>Budget</v>
          </cell>
          <cell r="C7863" t="str">
            <v>Aug</v>
          </cell>
          <cell r="D7863" t="str">
            <v>Chairs</v>
          </cell>
          <cell r="E7863">
            <v>729509.87199999997</v>
          </cell>
          <cell r="F7863">
            <v>8</v>
          </cell>
        </row>
        <row r="7864">
          <cell r="A7864">
            <v>2019</v>
          </cell>
          <cell r="B7864" t="str">
            <v>Actual</v>
          </cell>
          <cell r="C7864" t="str">
            <v>Aug</v>
          </cell>
          <cell r="D7864" t="str">
            <v>Chairs</v>
          </cell>
          <cell r="E7864">
            <v>116413.64</v>
          </cell>
          <cell r="F7864">
            <v>8</v>
          </cell>
        </row>
        <row r="7865">
          <cell r="A7865">
            <v>2019</v>
          </cell>
          <cell r="B7865" t="str">
            <v>Budget</v>
          </cell>
          <cell r="C7865" t="str">
            <v>Aug</v>
          </cell>
          <cell r="D7865" t="str">
            <v>Chairs</v>
          </cell>
          <cell r="E7865">
            <v>378.42</v>
          </cell>
          <cell r="F7865">
            <v>8</v>
          </cell>
        </row>
        <row r="7866">
          <cell r="A7866">
            <v>2019</v>
          </cell>
          <cell r="B7866" t="str">
            <v>Actual</v>
          </cell>
          <cell r="C7866" t="str">
            <v>Aug</v>
          </cell>
          <cell r="D7866" t="str">
            <v>Chairs</v>
          </cell>
          <cell r="E7866">
            <v>71257.262999999992</v>
          </cell>
          <cell r="F7866">
            <v>8</v>
          </cell>
        </row>
        <row r="7867">
          <cell r="A7867">
            <v>2018</v>
          </cell>
          <cell r="B7867" t="str">
            <v>Budget</v>
          </cell>
          <cell r="C7867" t="str">
            <v>Aug</v>
          </cell>
          <cell r="D7867" t="str">
            <v>Tables</v>
          </cell>
          <cell r="E7867">
            <v>-3006.5209999999997</v>
          </cell>
          <cell r="F7867">
            <v>8</v>
          </cell>
        </row>
        <row r="7868">
          <cell r="A7868">
            <v>2019</v>
          </cell>
          <cell r="B7868" t="str">
            <v>Actual</v>
          </cell>
          <cell r="C7868" t="str">
            <v>Aug</v>
          </cell>
          <cell r="D7868" t="str">
            <v>Kitchen</v>
          </cell>
          <cell r="E7868">
            <v>156485.11199999999</v>
          </cell>
          <cell r="F7868">
            <v>8</v>
          </cell>
        </row>
        <row r="7869">
          <cell r="A7869">
            <v>2018</v>
          </cell>
          <cell r="B7869" t="str">
            <v>Budget</v>
          </cell>
          <cell r="C7869" t="str">
            <v>Aug</v>
          </cell>
          <cell r="D7869" t="str">
            <v>Chairs</v>
          </cell>
          <cell r="E7869">
            <v>149560.992</v>
          </cell>
          <cell r="F7869">
            <v>8</v>
          </cell>
        </row>
        <row r="7870">
          <cell r="A7870">
            <v>2018</v>
          </cell>
          <cell r="B7870" t="str">
            <v>Actual</v>
          </cell>
          <cell r="C7870" t="str">
            <v>Aug</v>
          </cell>
          <cell r="D7870" t="str">
            <v>Chairs</v>
          </cell>
          <cell r="E7870">
            <v>74590.55799999999</v>
          </cell>
          <cell r="F7870">
            <v>8</v>
          </cell>
        </row>
        <row r="7871">
          <cell r="A7871">
            <v>2019</v>
          </cell>
          <cell r="B7871" t="str">
            <v>Budget</v>
          </cell>
          <cell r="C7871" t="str">
            <v>Aug</v>
          </cell>
          <cell r="D7871" t="str">
            <v>Chairs</v>
          </cell>
          <cell r="E7871">
            <v>21966.076999999997</v>
          </cell>
          <cell r="F7871">
            <v>8</v>
          </cell>
        </row>
        <row r="7872">
          <cell r="A7872">
            <v>2019</v>
          </cell>
          <cell r="B7872" t="str">
            <v>Actual</v>
          </cell>
          <cell r="C7872" t="str">
            <v>Aug</v>
          </cell>
          <cell r="D7872" t="str">
            <v>Chairs</v>
          </cell>
          <cell r="E7872">
            <v>53496.827999999994</v>
          </cell>
          <cell r="F7872">
            <v>8</v>
          </cell>
        </row>
        <row r="7873">
          <cell r="A7873">
            <v>2018</v>
          </cell>
          <cell r="B7873" t="str">
            <v>Budget</v>
          </cell>
          <cell r="C7873" t="str">
            <v>Aug</v>
          </cell>
          <cell r="D7873" t="str">
            <v>Chairs</v>
          </cell>
          <cell r="E7873">
            <v>66892.308000000005</v>
          </cell>
          <cell r="F7873">
            <v>8</v>
          </cell>
        </row>
        <row r="7874">
          <cell r="A7874">
            <v>2019</v>
          </cell>
          <cell r="B7874" t="str">
            <v>Actual</v>
          </cell>
          <cell r="C7874" t="str">
            <v>Aug</v>
          </cell>
          <cell r="D7874" t="str">
            <v>Tables</v>
          </cell>
          <cell r="E7874">
            <v>58154.733</v>
          </cell>
          <cell r="F7874">
            <v>8</v>
          </cell>
        </row>
        <row r="7875">
          <cell r="A7875">
            <v>2018</v>
          </cell>
          <cell r="B7875" t="str">
            <v>Budget</v>
          </cell>
          <cell r="C7875" t="str">
            <v>Aug</v>
          </cell>
          <cell r="D7875" t="str">
            <v>Kitchen</v>
          </cell>
          <cell r="E7875">
            <v>60274.514999999992</v>
          </cell>
          <cell r="F7875">
            <v>8</v>
          </cell>
        </row>
        <row r="7876">
          <cell r="A7876">
            <v>2018</v>
          </cell>
          <cell r="B7876" t="str">
            <v>Actual</v>
          </cell>
          <cell r="C7876" t="str">
            <v>Aug</v>
          </cell>
          <cell r="D7876" t="str">
            <v>Chairs</v>
          </cell>
          <cell r="E7876">
            <v>13410.823999999999</v>
          </cell>
          <cell r="F7876">
            <v>8</v>
          </cell>
        </row>
        <row r="7877">
          <cell r="A7877">
            <v>2019</v>
          </cell>
          <cell r="B7877" t="str">
            <v>Budget</v>
          </cell>
          <cell r="C7877" t="str">
            <v>Aug</v>
          </cell>
          <cell r="D7877" t="str">
            <v>Chairs</v>
          </cell>
          <cell r="E7877">
            <v>58144.1</v>
          </cell>
          <cell r="F7877">
            <v>8</v>
          </cell>
        </row>
        <row r="7878">
          <cell r="A7878">
            <v>2019</v>
          </cell>
          <cell r="B7878" t="str">
            <v>Actual</v>
          </cell>
          <cell r="C7878" t="str">
            <v>Aug</v>
          </cell>
          <cell r="D7878" t="str">
            <v>Chairs</v>
          </cell>
          <cell r="E7878">
            <v>81670.952999999994</v>
          </cell>
          <cell r="F7878">
            <v>8</v>
          </cell>
        </row>
        <row r="7879">
          <cell r="A7879">
            <v>2019</v>
          </cell>
          <cell r="B7879" t="str">
            <v>Budget</v>
          </cell>
          <cell r="C7879" t="str">
            <v>Aug</v>
          </cell>
          <cell r="D7879" t="str">
            <v>Tables</v>
          </cell>
          <cell r="E7879">
            <v>115905.503</v>
          </cell>
          <cell r="F7879">
            <v>8</v>
          </cell>
        </row>
        <row r="7880">
          <cell r="A7880">
            <v>2019</v>
          </cell>
          <cell r="B7880" t="str">
            <v>Actual</v>
          </cell>
          <cell r="C7880" t="str">
            <v>Aug</v>
          </cell>
          <cell r="D7880" t="str">
            <v>Kitchen</v>
          </cell>
          <cell r="E7880">
            <v>104396.08199999999</v>
          </cell>
          <cell r="F7880">
            <v>8</v>
          </cell>
        </row>
        <row r="7881">
          <cell r="A7881">
            <v>2018</v>
          </cell>
          <cell r="B7881" t="str">
            <v>Budget</v>
          </cell>
          <cell r="C7881" t="str">
            <v>Aug</v>
          </cell>
          <cell r="D7881" t="str">
            <v>Chairs</v>
          </cell>
          <cell r="E7881">
            <v>11294.870999999999</v>
          </cell>
          <cell r="F7881">
            <v>8</v>
          </cell>
        </row>
        <row r="7882">
          <cell r="A7882">
            <v>2019</v>
          </cell>
          <cell r="B7882" t="str">
            <v>Actual</v>
          </cell>
          <cell r="C7882" t="str">
            <v>Aug</v>
          </cell>
          <cell r="D7882" t="str">
            <v>Chairs</v>
          </cell>
          <cell r="E7882">
            <v>600.572</v>
          </cell>
          <cell r="F7882">
            <v>8</v>
          </cell>
        </row>
        <row r="7883">
          <cell r="A7883">
            <v>2018</v>
          </cell>
          <cell r="B7883" t="str">
            <v>Budget</v>
          </cell>
          <cell r="C7883" t="str">
            <v>Aug</v>
          </cell>
          <cell r="D7883" t="str">
            <v>Tables</v>
          </cell>
          <cell r="E7883">
            <v>23191.300999999999</v>
          </cell>
          <cell r="F7883">
            <v>8</v>
          </cell>
        </row>
        <row r="7884">
          <cell r="A7884">
            <v>2019</v>
          </cell>
          <cell r="B7884" t="str">
            <v>Actual</v>
          </cell>
          <cell r="C7884" t="str">
            <v>Aug</v>
          </cell>
          <cell r="D7884" t="str">
            <v>Kitchen</v>
          </cell>
          <cell r="E7884">
            <v>23281.712999999996</v>
          </cell>
          <cell r="F7884">
            <v>8</v>
          </cell>
        </row>
        <row r="7885">
          <cell r="A7885">
            <v>2019</v>
          </cell>
          <cell r="B7885" t="str">
            <v>Budget</v>
          </cell>
          <cell r="C7885" t="str">
            <v>Aug</v>
          </cell>
          <cell r="D7885" t="str">
            <v>Chairs</v>
          </cell>
          <cell r="E7885">
            <v>21995.967000000001</v>
          </cell>
          <cell r="F7885">
            <v>8</v>
          </cell>
        </row>
        <row r="7886">
          <cell r="A7886">
            <v>2019</v>
          </cell>
          <cell r="B7886" t="str">
            <v>Actual</v>
          </cell>
          <cell r="C7886" t="str">
            <v>Aug</v>
          </cell>
          <cell r="D7886" t="str">
            <v>Chairs</v>
          </cell>
          <cell r="E7886">
            <v>50766.897999999994</v>
          </cell>
          <cell r="F7886">
            <v>8</v>
          </cell>
        </row>
        <row r="7887">
          <cell r="A7887">
            <v>2018</v>
          </cell>
          <cell r="B7887" t="str">
            <v>Budget</v>
          </cell>
          <cell r="C7887" t="str">
            <v>Aug</v>
          </cell>
          <cell r="D7887" t="str">
            <v>Chairs</v>
          </cell>
          <cell r="E7887">
            <v>28066.262000000002</v>
          </cell>
          <cell r="F7887">
            <v>8</v>
          </cell>
        </row>
        <row r="7888">
          <cell r="A7888">
            <v>2018</v>
          </cell>
          <cell r="B7888" t="str">
            <v>Actual</v>
          </cell>
          <cell r="C7888" t="str">
            <v>Aug</v>
          </cell>
          <cell r="D7888" t="str">
            <v>Tables</v>
          </cell>
          <cell r="E7888">
            <v>515802.14699999994</v>
          </cell>
          <cell r="F7888">
            <v>8</v>
          </cell>
        </row>
        <row r="7889">
          <cell r="A7889">
            <v>2019</v>
          </cell>
          <cell r="B7889" t="str">
            <v>Budget</v>
          </cell>
          <cell r="C7889" t="str">
            <v>Aug</v>
          </cell>
          <cell r="D7889" t="str">
            <v>Kitchen</v>
          </cell>
          <cell r="E7889">
            <v>66305.372000000003</v>
          </cell>
          <cell r="F7889">
            <v>8</v>
          </cell>
        </row>
        <row r="7890">
          <cell r="A7890">
            <v>2018</v>
          </cell>
          <cell r="B7890" t="str">
            <v>Actual</v>
          </cell>
          <cell r="C7890" t="str">
            <v>Aug</v>
          </cell>
          <cell r="D7890" t="str">
            <v>Accessories</v>
          </cell>
          <cell r="E7890">
            <v>143693.56399999998</v>
          </cell>
          <cell r="F7890">
            <v>8</v>
          </cell>
        </row>
        <row r="7891">
          <cell r="A7891">
            <v>2018</v>
          </cell>
          <cell r="B7891" t="str">
            <v>Budget</v>
          </cell>
          <cell r="C7891" t="str">
            <v>Aug</v>
          </cell>
          <cell r="D7891" t="str">
            <v>Chairs</v>
          </cell>
          <cell r="E7891">
            <v>28525.916999999998</v>
          </cell>
          <cell r="F7891">
            <v>8</v>
          </cell>
        </row>
        <row r="7892">
          <cell r="A7892">
            <v>2019</v>
          </cell>
          <cell r="B7892" t="str">
            <v>Actual</v>
          </cell>
          <cell r="C7892" t="str">
            <v>Aug</v>
          </cell>
          <cell r="D7892" t="str">
            <v>Tables</v>
          </cell>
          <cell r="E7892">
            <v>77569.827999999994</v>
          </cell>
          <cell r="F7892">
            <v>8</v>
          </cell>
        </row>
        <row r="7893">
          <cell r="A7893">
            <v>2018</v>
          </cell>
          <cell r="B7893" t="str">
            <v>Budget</v>
          </cell>
          <cell r="C7893" t="str">
            <v>Aug</v>
          </cell>
          <cell r="D7893" t="str">
            <v>Kitchen</v>
          </cell>
          <cell r="E7893">
            <v>70217.895999999993</v>
          </cell>
          <cell r="F7893">
            <v>8</v>
          </cell>
        </row>
        <row r="7894">
          <cell r="A7894">
            <v>2019</v>
          </cell>
          <cell r="B7894" t="str">
            <v>Actual</v>
          </cell>
          <cell r="C7894" t="str">
            <v>Aug</v>
          </cell>
          <cell r="D7894" t="str">
            <v>Accessories</v>
          </cell>
          <cell r="E7894">
            <v>99415.938999999984</v>
          </cell>
          <cell r="F7894">
            <v>8</v>
          </cell>
        </row>
        <row r="7895">
          <cell r="A7895">
            <v>2018</v>
          </cell>
          <cell r="B7895" t="str">
            <v>Budget</v>
          </cell>
          <cell r="C7895" t="str">
            <v>Aug</v>
          </cell>
          <cell r="D7895" t="str">
            <v>Chairs</v>
          </cell>
          <cell r="E7895">
            <v>83223.7</v>
          </cell>
          <cell r="F7895">
            <v>8</v>
          </cell>
        </row>
        <row r="7896">
          <cell r="A7896">
            <v>2018</v>
          </cell>
          <cell r="B7896" t="str">
            <v>Actual</v>
          </cell>
          <cell r="C7896" t="str">
            <v>Aug</v>
          </cell>
          <cell r="D7896" t="str">
            <v>Tables</v>
          </cell>
          <cell r="E7896">
            <v>44339.175999999999</v>
          </cell>
          <cell r="F7896">
            <v>8</v>
          </cell>
        </row>
        <row r="7897">
          <cell r="A7897">
            <v>2018</v>
          </cell>
          <cell r="B7897" t="str">
            <v>Budget</v>
          </cell>
          <cell r="C7897" t="str">
            <v>Aug</v>
          </cell>
          <cell r="D7897" t="str">
            <v>Kitchen</v>
          </cell>
          <cell r="E7897">
            <v>323930.299</v>
          </cell>
          <cell r="F7897">
            <v>8</v>
          </cell>
        </row>
        <row r="7898">
          <cell r="A7898">
            <v>2018</v>
          </cell>
          <cell r="B7898" t="str">
            <v>Actual</v>
          </cell>
          <cell r="C7898" t="str">
            <v>Aug</v>
          </cell>
          <cell r="D7898" t="str">
            <v>Accessories</v>
          </cell>
          <cell r="E7898">
            <v>50448.874000000003</v>
          </cell>
          <cell r="F7898">
            <v>8</v>
          </cell>
        </row>
        <row r="7899">
          <cell r="A7899">
            <v>2018</v>
          </cell>
          <cell r="B7899" t="str">
            <v>Budget</v>
          </cell>
          <cell r="C7899" t="str">
            <v>Aug</v>
          </cell>
          <cell r="D7899" t="str">
            <v>Chairs</v>
          </cell>
          <cell r="E7899">
            <v>52801.797999999995</v>
          </cell>
          <cell r="F7899">
            <v>8</v>
          </cell>
        </row>
        <row r="7900">
          <cell r="A7900">
            <v>2019</v>
          </cell>
          <cell r="B7900" t="str">
            <v>Actual</v>
          </cell>
          <cell r="C7900" t="str">
            <v>Aug</v>
          </cell>
          <cell r="D7900" t="str">
            <v>Tables</v>
          </cell>
          <cell r="E7900">
            <v>75024.291999999987</v>
          </cell>
          <cell r="F7900">
            <v>8</v>
          </cell>
        </row>
        <row r="7901">
          <cell r="A7901">
            <v>2018</v>
          </cell>
          <cell r="B7901" t="str">
            <v>Budget</v>
          </cell>
          <cell r="C7901" t="str">
            <v>Aug</v>
          </cell>
          <cell r="D7901" t="str">
            <v>Kitchen</v>
          </cell>
          <cell r="E7901">
            <v>80394.194999999992</v>
          </cell>
          <cell r="F7901">
            <v>8</v>
          </cell>
        </row>
        <row r="7902">
          <cell r="A7902">
            <v>2018</v>
          </cell>
          <cell r="B7902" t="str">
            <v>Actual</v>
          </cell>
          <cell r="C7902" t="str">
            <v>Aug</v>
          </cell>
          <cell r="D7902" t="str">
            <v>Accessories</v>
          </cell>
          <cell r="E7902">
            <v>39834.248999999996</v>
          </cell>
          <cell r="F7902">
            <v>8</v>
          </cell>
        </row>
        <row r="7903">
          <cell r="A7903">
            <v>2019</v>
          </cell>
          <cell r="B7903" t="str">
            <v>Budget</v>
          </cell>
          <cell r="C7903" t="str">
            <v>Aug</v>
          </cell>
          <cell r="D7903" t="str">
            <v>Chairs</v>
          </cell>
          <cell r="E7903">
            <v>78324.379000000001</v>
          </cell>
          <cell r="F7903">
            <v>8</v>
          </cell>
        </row>
        <row r="7904">
          <cell r="A7904">
            <v>2019</v>
          </cell>
          <cell r="B7904" t="str">
            <v>Actual</v>
          </cell>
          <cell r="C7904" t="str">
            <v>Aug</v>
          </cell>
          <cell r="D7904" t="str">
            <v>Chairs</v>
          </cell>
          <cell r="E7904">
            <v>88866.841</v>
          </cell>
          <cell r="F7904">
            <v>8</v>
          </cell>
        </row>
        <row r="7905">
          <cell r="A7905">
            <v>2018</v>
          </cell>
          <cell r="B7905" t="str">
            <v>Budget</v>
          </cell>
          <cell r="C7905" t="str">
            <v>Aug</v>
          </cell>
          <cell r="D7905" t="str">
            <v>Tables</v>
          </cell>
          <cell r="E7905">
            <v>101459.379</v>
          </cell>
          <cell r="F7905">
            <v>8</v>
          </cell>
        </row>
        <row r="7906">
          <cell r="A7906">
            <v>2018</v>
          </cell>
          <cell r="B7906" t="str">
            <v>Actual</v>
          </cell>
          <cell r="C7906" t="str">
            <v>Aug</v>
          </cell>
          <cell r="D7906" t="str">
            <v>Kitchen</v>
          </cell>
          <cell r="E7906">
            <v>4651176.5089999996</v>
          </cell>
          <cell r="F7906">
            <v>8</v>
          </cell>
        </row>
        <row r="7907">
          <cell r="A7907">
            <v>2018</v>
          </cell>
          <cell r="B7907" t="str">
            <v>Budget</v>
          </cell>
          <cell r="C7907" t="str">
            <v>Aug</v>
          </cell>
          <cell r="D7907" t="str">
            <v>Chairs</v>
          </cell>
          <cell r="E7907">
            <v>29486.414999999997</v>
          </cell>
          <cell r="F7907">
            <v>8</v>
          </cell>
        </row>
        <row r="7908">
          <cell r="A7908">
            <v>2019</v>
          </cell>
          <cell r="B7908" t="str">
            <v>Actual</v>
          </cell>
          <cell r="C7908" t="str">
            <v>Aug</v>
          </cell>
          <cell r="D7908" t="str">
            <v>Tables</v>
          </cell>
          <cell r="E7908">
            <v>498.87599999999992</v>
          </cell>
          <cell r="F7908">
            <v>8</v>
          </cell>
        </row>
        <row r="7909">
          <cell r="A7909">
            <v>2019</v>
          </cell>
          <cell r="B7909" t="str">
            <v>Budget</v>
          </cell>
          <cell r="C7909" t="str">
            <v>Aug</v>
          </cell>
          <cell r="D7909" t="str">
            <v>Kitchen</v>
          </cell>
          <cell r="E7909">
            <v>-6702.5770000000002</v>
          </cell>
          <cell r="F7909">
            <v>8</v>
          </cell>
        </row>
        <row r="7910">
          <cell r="A7910">
            <v>2019</v>
          </cell>
          <cell r="B7910" t="str">
            <v>Actual</v>
          </cell>
          <cell r="C7910" t="str">
            <v>Aug</v>
          </cell>
          <cell r="D7910" t="str">
            <v>Chairs</v>
          </cell>
          <cell r="E7910">
            <v>9655.5059999999994</v>
          </cell>
          <cell r="F7910">
            <v>8</v>
          </cell>
        </row>
        <row r="7911">
          <cell r="A7911">
            <v>2018</v>
          </cell>
          <cell r="B7911" t="str">
            <v>Budget</v>
          </cell>
          <cell r="C7911" t="str">
            <v>Aug</v>
          </cell>
          <cell r="D7911" t="str">
            <v>Tables</v>
          </cell>
          <cell r="E7911">
            <v>140215.54399999999</v>
          </cell>
          <cell r="F7911">
            <v>8</v>
          </cell>
        </row>
        <row r="7912">
          <cell r="A7912">
            <v>2018</v>
          </cell>
          <cell r="B7912" t="str">
            <v>Actual</v>
          </cell>
          <cell r="C7912" t="str">
            <v>Aug</v>
          </cell>
          <cell r="D7912" t="str">
            <v>Kitchen</v>
          </cell>
          <cell r="E7912">
            <v>24098.858</v>
          </cell>
          <cell r="F7912">
            <v>8</v>
          </cell>
        </row>
        <row r="7913">
          <cell r="A7913">
            <v>2019</v>
          </cell>
          <cell r="B7913" t="str">
            <v>Budget</v>
          </cell>
          <cell r="C7913" t="str">
            <v>Aug</v>
          </cell>
          <cell r="D7913" t="str">
            <v>Chairs</v>
          </cell>
          <cell r="E7913">
            <v>-1631.896</v>
          </cell>
          <cell r="F7913">
            <v>8</v>
          </cell>
        </row>
        <row r="7914">
          <cell r="A7914">
            <v>2019</v>
          </cell>
          <cell r="B7914" t="str">
            <v>Actual</v>
          </cell>
          <cell r="C7914" t="str">
            <v>Aug</v>
          </cell>
          <cell r="D7914" t="str">
            <v>Chairs</v>
          </cell>
          <cell r="E7914">
            <v>296780.20399999997</v>
          </cell>
          <cell r="F7914">
            <v>8</v>
          </cell>
        </row>
        <row r="7915">
          <cell r="A7915">
            <v>2019</v>
          </cell>
          <cell r="B7915" t="str">
            <v>Budget</v>
          </cell>
          <cell r="C7915" t="str">
            <v>Aug</v>
          </cell>
          <cell r="D7915" t="str">
            <v>Chairs</v>
          </cell>
          <cell r="E7915">
            <v>149276.141</v>
          </cell>
          <cell r="F7915">
            <v>8</v>
          </cell>
        </row>
        <row r="7916">
          <cell r="A7916">
            <v>2018</v>
          </cell>
          <cell r="B7916" t="str">
            <v>Actual</v>
          </cell>
          <cell r="C7916" t="str">
            <v>Aug</v>
          </cell>
          <cell r="D7916" t="str">
            <v>Chairs</v>
          </cell>
          <cell r="E7916">
            <v>364289.8</v>
          </cell>
          <cell r="F7916">
            <v>8</v>
          </cell>
        </row>
        <row r="7917">
          <cell r="A7917">
            <v>2018</v>
          </cell>
          <cell r="B7917" t="str">
            <v>Budget</v>
          </cell>
          <cell r="C7917" t="str">
            <v>Aug</v>
          </cell>
          <cell r="D7917" t="str">
            <v>Chairs</v>
          </cell>
          <cell r="E7917">
            <v>17183.746999999999</v>
          </cell>
          <cell r="F7917">
            <v>8</v>
          </cell>
        </row>
        <row r="7918">
          <cell r="A7918">
            <v>2018</v>
          </cell>
          <cell r="B7918" t="str">
            <v>Actual</v>
          </cell>
          <cell r="C7918" t="str">
            <v>Aug</v>
          </cell>
          <cell r="D7918" t="str">
            <v>Chairs</v>
          </cell>
          <cell r="E7918">
            <v>105618.46399999999</v>
          </cell>
          <cell r="F7918">
            <v>8</v>
          </cell>
        </row>
        <row r="7919">
          <cell r="A7919">
            <v>2018</v>
          </cell>
          <cell r="B7919" t="str">
            <v>Budget</v>
          </cell>
          <cell r="C7919" t="str">
            <v>Aug</v>
          </cell>
          <cell r="D7919" t="str">
            <v>Chairs</v>
          </cell>
          <cell r="E7919">
            <v>240617.622</v>
          </cell>
          <cell r="F7919">
            <v>8</v>
          </cell>
        </row>
        <row r="7920">
          <cell r="A7920">
            <v>2018</v>
          </cell>
          <cell r="B7920" t="str">
            <v>Actual</v>
          </cell>
          <cell r="C7920" t="str">
            <v>Aug</v>
          </cell>
          <cell r="D7920" t="str">
            <v>Chairs</v>
          </cell>
          <cell r="E7920">
            <v>16234.806</v>
          </cell>
          <cell r="F7920">
            <v>8</v>
          </cell>
        </row>
        <row r="7921">
          <cell r="A7921">
            <v>2019</v>
          </cell>
          <cell r="B7921" t="str">
            <v>Budget</v>
          </cell>
          <cell r="C7921" t="str">
            <v>Aug</v>
          </cell>
          <cell r="D7921" t="str">
            <v>Chairs</v>
          </cell>
          <cell r="E7921">
            <v>12758.388999999999</v>
          </cell>
          <cell r="F7921">
            <v>8</v>
          </cell>
        </row>
        <row r="7922">
          <cell r="A7922">
            <v>2019</v>
          </cell>
          <cell r="B7922" t="str">
            <v>Actual</v>
          </cell>
          <cell r="C7922" t="str">
            <v>Aug</v>
          </cell>
          <cell r="D7922" t="str">
            <v>Chairs</v>
          </cell>
          <cell r="E7922">
            <v>-1768.8019999999999</v>
          </cell>
          <cell r="F7922">
            <v>8</v>
          </cell>
        </row>
        <row r="7923">
          <cell r="A7923">
            <v>2018</v>
          </cell>
          <cell r="B7923" t="str">
            <v>Budget</v>
          </cell>
          <cell r="C7923" t="str">
            <v>Aug</v>
          </cell>
          <cell r="D7923" t="str">
            <v>Chairs</v>
          </cell>
          <cell r="E7923">
            <v>11104.793</v>
          </cell>
          <cell r="F7923">
            <v>8</v>
          </cell>
        </row>
        <row r="7924">
          <cell r="A7924">
            <v>2018</v>
          </cell>
          <cell r="B7924" t="str">
            <v>Actual</v>
          </cell>
          <cell r="C7924" t="str">
            <v>Aug</v>
          </cell>
          <cell r="D7924" t="str">
            <v>Chairs</v>
          </cell>
          <cell r="E7924">
            <v>-3507.2239999999997</v>
          </cell>
          <cell r="F7924">
            <v>8</v>
          </cell>
        </row>
        <row r="7925">
          <cell r="A7925">
            <v>2018</v>
          </cell>
          <cell r="B7925" t="str">
            <v>Budget</v>
          </cell>
          <cell r="C7925" t="str">
            <v>Aug</v>
          </cell>
          <cell r="D7925" t="str">
            <v>Chairs</v>
          </cell>
          <cell r="E7925">
            <v>-8617.8819999999996</v>
          </cell>
          <cell r="F7925">
            <v>8</v>
          </cell>
        </row>
        <row r="7926">
          <cell r="A7926">
            <v>2018</v>
          </cell>
          <cell r="B7926" t="str">
            <v>Actual</v>
          </cell>
          <cell r="C7926" t="str">
            <v>Aug</v>
          </cell>
          <cell r="D7926" t="str">
            <v>Chairs</v>
          </cell>
          <cell r="E7926">
            <v>118805.43499999998</v>
          </cell>
          <cell r="F7926">
            <v>8</v>
          </cell>
        </row>
        <row r="7927">
          <cell r="A7927">
            <v>2019</v>
          </cell>
          <cell r="B7927" t="str">
            <v>Budget</v>
          </cell>
          <cell r="C7927" t="str">
            <v>Aug</v>
          </cell>
          <cell r="D7927" t="str">
            <v>Chairs</v>
          </cell>
          <cell r="E7927">
            <v>33941.648999999998</v>
          </cell>
          <cell r="F7927">
            <v>8</v>
          </cell>
        </row>
        <row r="7928">
          <cell r="A7928">
            <v>2018</v>
          </cell>
          <cell r="B7928" t="str">
            <v>Actual</v>
          </cell>
          <cell r="C7928" t="str">
            <v>Aug</v>
          </cell>
          <cell r="D7928" t="str">
            <v>Chairs</v>
          </cell>
          <cell r="E7928">
            <v>83840.084999999992</v>
          </cell>
          <cell r="F7928">
            <v>8</v>
          </cell>
        </row>
        <row r="7929">
          <cell r="A7929">
            <v>2018</v>
          </cell>
          <cell r="B7929" t="str">
            <v>Budget</v>
          </cell>
          <cell r="C7929" t="str">
            <v>Aug</v>
          </cell>
          <cell r="D7929" t="str">
            <v>Chairs</v>
          </cell>
          <cell r="E7929">
            <v>1294225.6529999999</v>
          </cell>
          <cell r="F7929">
            <v>8</v>
          </cell>
        </row>
        <row r="7930">
          <cell r="A7930">
            <v>2018</v>
          </cell>
          <cell r="B7930" t="str">
            <v>Actual</v>
          </cell>
          <cell r="C7930" t="str">
            <v>Aug</v>
          </cell>
          <cell r="D7930" t="str">
            <v>Chairs</v>
          </cell>
          <cell r="E7930">
            <v>404587.435</v>
          </cell>
          <cell r="F7930">
            <v>8</v>
          </cell>
        </row>
        <row r="7931">
          <cell r="A7931">
            <v>2019</v>
          </cell>
          <cell r="B7931" t="str">
            <v>Budget</v>
          </cell>
          <cell r="C7931" t="str">
            <v>Aug</v>
          </cell>
          <cell r="D7931" t="str">
            <v>Chairs</v>
          </cell>
          <cell r="E7931">
            <v>126294.51799999998</v>
          </cell>
          <cell r="F7931">
            <v>8</v>
          </cell>
        </row>
        <row r="7932">
          <cell r="A7932">
            <v>2019</v>
          </cell>
          <cell r="B7932" t="str">
            <v>Actual</v>
          </cell>
          <cell r="C7932" t="str">
            <v>Aug</v>
          </cell>
          <cell r="D7932" t="str">
            <v>Chairs</v>
          </cell>
          <cell r="E7932">
            <v>102067.77699999999</v>
          </cell>
          <cell r="F7932">
            <v>8</v>
          </cell>
        </row>
        <row r="7933">
          <cell r="A7933">
            <v>2019</v>
          </cell>
          <cell r="B7933" t="str">
            <v>Budget</v>
          </cell>
          <cell r="C7933" t="str">
            <v>Aug</v>
          </cell>
          <cell r="D7933" t="str">
            <v>Chairs</v>
          </cell>
          <cell r="E7933">
            <v>35516.53</v>
          </cell>
          <cell r="F7933">
            <v>8</v>
          </cell>
        </row>
        <row r="7934">
          <cell r="A7934">
            <v>2019</v>
          </cell>
          <cell r="B7934" t="str">
            <v>Actual</v>
          </cell>
          <cell r="C7934" t="str">
            <v>Aug</v>
          </cell>
          <cell r="D7934" t="str">
            <v>Chairs</v>
          </cell>
          <cell r="E7934">
            <v>851079.0469999999</v>
          </cell>
          <cell r="F7934">
            <v>8</v>
          </cell>
        </row>
        <row r="7935">
          <cell r="A7935">
            <v>2019</v>
          </cell>
          <cell r="B7935" t="str">
            <v>Budget</v>
          </cell>
          <cell r="C7935" t="str">
            <v>Aug</v>
          </cell>
          <cell r="D7935" t="str">
            <v>Chairs</v>
          </cell>
          <cell r="E7935">
            <v>2162.2019999999998</v>
          </cell>
          <cell r="F7935">
            <v>8</v>
          </cell>
        </row>
        <row r="7936">
          <cell r="A7936">
            <v>2018</v>
          </cell>
          <cell r="B7936" t="str">
            <v>Actual</v>
          </cell>
          <cell r="C7936" t="str">
            <v>Aug</v>
          </cell>
          <cell r="D7936" t="str">
            <v>Chairs</v>
          </cell>
          <cell r="E7936">
            <v>5406046.9819999998</v>
          </cell>
          <cell r="F7936">
            <v>8</v>
          </cell>
        </row>
        <row r="7937">
          <cell r="A7937">
            <v>2019</v>
          </cell>
          <cell r="B7937" t="str">
            <v>Budget</v>
          </cell>
          <cell r="C7937" t="str">
            <v>Aug</v>
          </cell>
          <cell r="D7937" t="str">
            <v>Chairs</v>
          </cell>
          <cell r="E7937">
            <v>882394.21899999992</v>
          </cell>
          <cell r="F7937">
            <v>8</v>
          </cell>
        </row>
        <row r="7938">
          <cell r="A7938">
            <v>2018</v>
          </cell>
          <cell r="B7938" t="str">
            <v>Actual</v>
          </cell>
          <cell r="C7938" t="str">
            <v>Aug</v>
          </cell>
          <cell r="D7938" t="str">
            <v>Chairs</v>
          </cell>
          <cell r="E7938">
            <v>869196.08299999987</v>
          </cell>
          <cell r="F7938">
            <v>8</v>
          </cell>
        </row>
        <row r="7939">
          <cell r="A7939">
            <v>2019</v>
          </cell>
          <cell r="B7939" t="str">
            <v>Budget</v>
          </cell>
          <cell r="C7939" t="str">
            <v>Aug</v>
          </cell>
          <cell r="D7939" t="str">
            <v>Tables</v>
          </cell>
          <cell r="E7939">
            <v>1915873.162</v>
          </cell>
          <cell r="F7939">
            <v>8</v>
          </cell>
        </row>
        <row r="7940">
          <cell r="A7940">
            <v>2018</v>
          </cell>
          <cell r="B7940" t="str">
            <v>Actual</v>
          </cell>
          <cell r="C7940" t="str">
            <v>Aug</v>
          </cell>
          <cell r="D7940" t="str">
            <v>Kitchen</v>
          </cell>
          <cell r="E7940">
            <v>865521.75499999989</v>
          </cell>
          <cell r="F7940">
            <v>8</v>
          </cell>
        </row>
        <row r="7941">
          <cell r="A7941">
            <v>2018</v>
          </cell>
          <cell r="B7941" t="str">
            <v>Budget</v>
          </cell>
          <cell r="C7941" t="str">
            <v>Aug</v>
          </cell>
          <cell r="D7941" t="str">
            <v>Chairs</v>
          </cell>
          <cell r="E7941">
            <v>52729.397000000004</v>
          </cell>
          <cell r="F7941">
            <v>8</v>
          </cell>
        </row>
        <row r="7942">
          <cell r="A7942">
            <v>2018</v>
          </cell>
          <cell r="B7942" t="str">
            <v>Actual</v>
          </cell>
          <cell r="C7942" t="str">
            <v>Aug</v>
          </cell>
          <cell r="D7942" t="str">
            <v>Chairs</v>
          </cell>
          <cell r="E7942">
            <v>143366.66399999999</v>
          </cell>
          <cell r="F7942">
            <v>8</v>
          </cell>
        </row>
        <row r="7943">
          <cell r="A7943">
            <v>2019</v>
          </cell>
          <cell r="B7943" t="str">
            <v>Budget</v>
          </cell>
          <cell r="C7943" t="str">
            <v>Aug</v>
          </cell>
          <cell r="D7943" t="str">
            <v>Chairs</v>
          </cell>
          <cell r="E7943">
            <v>909033.66399999999</v>
          </cell>
          <cell r="F7943">
            <v>8</v>
          </cell>
        </row>
        <row r="7944">
          <cell r="A7944">
            <v>2018</v>
          </cell>
          <cell r="B7944" t="str">
            <v>Actual</v>
          </cell>
          <cell r="C7944" t="str">
            <v>Aug</v>
          </cell>
          <cell r="D7944" t="str">
            <v>Chairs</v>
          </cell>
          <cell r="E7944">
            <v>289129.37199999997</v>
          </cell>
          <cell r="F7944">
            <v>8</v>
          </cell>
        </row>
        <row r="7945">
          <cell r="A7945">
            <v>2018</v>
          </cell>
          <cell r="B7945" t="str">
            <v>Budget</v>
          </cell>
          <cell r="C7945" t="str">
            <v>Aug</v>
          </cell>
          <cell r="D7945" t="str">
            <v>Chairs</v>
          </cell>
          <cell r="E7945">
            <v>144663.64499999999</v>
          </cell>
          <cell r="F7945">
            <v>8</v>
          </cell>
        </row>
        <row r="7946">
          <cell r="A7946">
            <v>2018</v>
          </cell>
          <cell r="B7946" t="str">
            <v>Actual</v>
          </cell>
          <cell r="C7946" t="str">
            <v>Aug</v>
          </cell>
          <cell r="D7946" t="str">
            <v>Tables</v>
          </cell>
          <cell r="E7946">
            <v>151612.51699999999</v>
          </cell>
          <cell r="F7946">
            <v>8</v>
          </cell>
        </row>
        <row r="7947">
          <cell r="A7947">
            <v>2019</v>
          </cell>
          <cell r="B7947" t="str">
            <v>Budget</v>
          </cell>
          <cell r="C7947" t="str">
            <v>Aug</v>
          </cell>
          <cell r="D7947" t="str">
            <v>Kitchen</v>
          </cell>
          <cell r="E7947">
            <v>419603.66000000003</v>
          </cell>
          <cell r="F7947">
            <v>8</v>
          </cell>
        </row>
        <row r="7948">
          <cell r="A7948">
            <v>2019</v>
          </cell>
          <cell r="B7948" t="str">
            <v>Actual</v>
          </cell>
          <cell r="C7948" t="str">
            <v>Aug</v>
          </cell>
          <cell r="D7948" t="str">
            <v>Chairs</v>
          </cell>
          <cell r="E7948">
            <v>3178.3849999999998</v>
          </cell>
          <cell r="F7948">
            <v>8</v>
          </cell>
        </row>
        <row r="7949">
          <cell r="A7949">
            <v>2019</v>
          </cell>
          <cell r="B7949" t="str">
            <v>Budget</v>
          </cell>
          <cell r="C7949" t="str">
            <v>Aug</v>
          </cell>
          <cell r="D7949" t="str">
            <v>Chairs</v>
          </cell>
          <cell r="E7949">
            <v>15654.905000000001</v>
          </cell>
          <cell r="F7949">
            <v>8</v>
          </cell>
        </row>
        <row r="7950">
          <cell r="A7950">
            <v>2019</v>
          </cell>
          <cell r="B7950" t="str">
            <v>Actual</v>
          </cell>
          <cell r="C7950" t="str">
            <v>Aug</v>
          </cell>
          <cell r="D7950" t="str">
            <v>Chairs</v>
          </cell>
          <cell r="E7950">
            <v>315570.84999999998</v>
          </cell>
          <cell r="F7950">
            <v>8</v>
          </cell>
        </row>
        <row r="7951">
          <cell r="A7951">
            <v>2018</v>
          </cell>
          <cell r="B7951" t="str">
            <v>Budget</v>
          </cell>
          <cell r="C7951" t="str">
            <v>Aug</v>
          </cell>
          <cell r="D7951" t="str">
            <v>Tables</v>
          </cell>
          <cell r="E7951">
            <v>61436.220999999998</v>
          </cell>
          <cell r="F7951">
            <v>8</v>
          </cell>
        </row>
        <row r="7952">
          <cell r="A7952">
            <v>2018</v>
          </cell>
          <cell r="B7952" t="str">
            <v>Actual</v>
          </cell>
          <cell r="C7952" t="str">
            <v>Aug</v>
          </cell>
          <cell r="D7952" t="str">
            <v>Kitchen</v>
          </cell>
          <cell r="E7952">
            <v>120903.77599999998</v>
          </cell>
          <cell r="F7952">
            <v>8</v>
          </cell>
        </row>
        <row r="7953">
          <cell r="A7953">
            <v>2018</v>
          </cell>
          <cell r="B7953" t="str">
            <v>Budget</v>
          </cell>
          <cell r="C7953" t="str">
            <v>Aug</v>
          </cell>
          <cell r="D7953" t="str">
            <v>Chairs</v>
          </cell>
          <cell r="E7953">
            <v>1442.0279999999998</v>
          </cell>
          <cell r="F7953">
            <v>8</v>
          </cell>
        </row>
        <row r="7954">
          <cell r="A7954">
            <v>2019</v>
          </cell>
          <cell r="B7954" t="str">
            <v>Actual</v>
          </cell>
          <cell r="C7954" t="str">
            <v>Aug</v>
          </cell>
          <cell r="D7954" t="str">
            <v>Chairs</v>
          </cell>
          <cell r="E7954">
            <v>-5577.6419999999998</v>
          </cell>
          <cell r="F7954">
            <v>8</v>
          </cell>
        </row>
        <row r="7955">
          <cell r="A7955">
            <v>2018</v>
          </cell>
          <cell r="B7955" t="str">
            <v>Budget</v>
          </cell>
          <cell r="C7955" t="str">
            <v>Aug</v>
          </cell>
          <cell r="D7955" t="str">
            <v>Tables</v>
          </cell>
          <cell r="E7955">
            <v>154726.81699999998</v>
          </cell>
          <cell r="F7955">
            <v>8</v>
          </cell>
        </row>
        <row r="7956">
          <cell r="A7956">
            <v>2019</v>
          </cell>
          <cell r="B7956" t="str">
            <v>Actual</v>
          </cell>
          <cell r="C7956" t="str">
            <v>Aug</v>
          </cell>
          <cell r="D7956" t="str">
            <v>Kitchen</v>
          </cell>
          <cell r="E7956">
            <v>96813.899000000005</v>
          </cell>
          <cell r="F7956">
            <v>8</v>
          </cell>
        </row>
        <row r="7957">
          <cell r="A7957">
            <v>2019</v>
          </cell>
          <cell r="B7957" t="str">
            <v>Budget</v>
          </cell>
          <cell r="C7957" t="str">
            <v>Aug</v>
          </cell>
          <cell r="D7957" t="str">
            <v>Chairs</v>
          </cell>
          <cell r="E7957">
            <v>3198.8179999999998</v>
          </cell>
          <cell r="F7957">
            <v>8</v>
          </cell>
        </row>
        <row r="7958">
          <cell r="A7958">
            <v>2018</v>
          </cell>
          <cell r="B7958" t="str">
            <v>Actual</v>
          </cell>
          <cell r="C7958" t="str">
            <v>Aug</v>
          </cell>
          <cell r="D7958" t="str">
            <v>Chairs</v>
          </cell>
          <cell r="E7958">
            <v>4798.5420000000004</v>
          </cell>
          <cell r="F7958">
            <v>8</v>
          </cell>
        </row>
        <row r="7959">
          <cell r="A7959">
            <v>2018</v>
          </cell>
          <cell r="B7959" t="str">
            <v>Budget</v>
          </cell>
          <cell r="C7959" t="str">
            <v>Aug</v>
          </cell>
          <cell r="D7959" t="str">
            <v>Chairs</v>
          </cell>
          <cell r="E7959">
            <v>24032.770999999997</v>
          </cell>
          <cell r="F7959">
            <v>8</v>
          </cell>
        </row>
        <row r="7960">
          <cell r="A7960">
            <v>2018</v>
          </cell>
          <cell r="B7960" t="str">
            <v>Actual</v>
          </cell>
          <cell r="C7960" t="str">
            <v>Aug</v>
          </cell>
          <cell r="D7960" t="str">
            <v>Tables</v>
          </cell>
          <cell r="E7960">
            <v>33334.896000000001</v>
          </cell>
          <cell r="F7960">
            <v>8</v>
          </cell>
        </row>
        <row r="7961">
          <cell r="A7961">
            <v>2019</v>
          </cell>
          <cell r="B7961" t="str">
            <v>Budget</v>
          </cell>
          <cell r="C7961" t="str">
            <v>Aug</v>
          </cell>
          <cell r="D7961" t="str">
            <v>Kitchen</v>
          </cell>
          <cell r="E7961">
            <v>49408.953999999998</v>
          </cell>
          <cell r="F7961">
            <v>8</v>
          </cell>
        </row>
        <row r="7962">
          <cell r="A7962">
            <v>2019</v>
          </cell>
          <cell r="B7962" t="str">
            <v>Actual</v>
          </cell>
          <cell r="C7962" t="str">
            <v>Aug</v>
          </cell>
          <cell r="D7962" t="str">
            <v>Accessories</v>
          </cell>
          <cell r="E7962">
            <v>19236.825999999997</v>
          </cell>
          <cell r="F7962">
            <v>8</v>
          </cell>
        </row>
        <row r="7963">
          <cell r="A7963">
            <v>2019</v>
          </cell>
          <cell r="B7963" t="str">
            <v>Budget</v>
          </cell>
          <cell r="C7963" t="str">
            <v>Aug</v>
          </cell>
          <cell r="D7963" t="str">
            <v>Chairs</v>
          </cell>
          <cell r="E7963">
            <v>24491.228999999999</v>
          </cell>
          <cell r="F7963">
            <v>8</v>
          </cell>
        </row>
        <row r="7964">
          <cell r="A7964">
            <v>2018</v>
          </cell>
          <cell r="B7964" t="str">
            <v>Actual</v>
          </cell>
          <cell r="C7964" t="str">
            <v>Aug</v>
          </cell>
          <cell r="D7964" t="str">
            <v>Tables</v>
          </cell>
          <cell r="E7964">
            <v>26328.728999999999</v>
          </cell>
          <cell r="F7964">
            <v>8</v>
          </cell>
        </row>
        <row r="7965">
          <cell r="A7965">
            <v>2018</v>
          </cell>
          <cell r="B7965" t="str">
            <v>Budget</v>
          </cell>
          <cell r="C7965" t="str">
            <v>Aug</v>
          </cell>
          <cell r="D7965" t="str">
            <v>Kitchen</v>
          </cell>
          <cell r="E7965">
            <v>12713.469999999998</v>
          </cell>
          <cell r="F7965">
            <v>8</v>
          </cell>
        </row>
        <row r="7966">
          <cell r="A7966">
            <v>2019</v>
          </cell>
          <cell r="B7966" t="str">
            <v>Actual</v>
          </cell>
          <cell r="C7966" t="str">
            <v>Aug</v>
          </cell>
          <cell r="D7966" t="str">
            <v>Accessories</v>
          </cell>
          <cell r="E7966">
            <v>82743.758999999991</v>
          </cell>
          <cell r="F7966">
            <v>8</v>
          </cell>
        </row>
        <row r="7967">
          <cell r="A7967">
            <v>2019</v>
          </cell>
          <cell r="B7967" t="str">
            <v>Budget</v>
          </cell>
          <cell r="C7967" t="str">
            <v>Aug</v>
          </cell>
          <cell r="D7967" t="str">
            <v>Chairs</v>
          </cell>
          <cell r="E7967">
            <v>14995.357999999998</v>
          </cell>
          <cell r="F7967">
            <v>8</v>
          </cell>
        </row>
        <row r="7968">
          <cell r="A7968">
            <v>2019</v>
          </cell>
          <cell r="B7968" t="str">
            <v>Actual</v>
          </cell>
          <cell r="C7968" t="str">
            <v>Aug</v>
          </cell>
          <cell r="D7968" t="str">
            <v>Tables</v>
          </cell>
          <cell r="E7968">
            <v>13891.115</v>
          </cell>
          <cell r="F7968">
            <v>8</v>
          </cell>
        </row>
        <row r="7969">
          <cell r="A7969">
            <v>2019</v>
          </cell>
          <cell r="B7969" t="str">
            <v>Budget</v>
          </cell>
          <cell r="C7969" t="str">
            <v>Aug</v>
          </cell>
          <cell r="D7969" t="str">
            <v>Kitchen</v>
          </cell>
          <cell r="E7969">
            <v>40059.46</v>
          </cell>
          <cell r="F7969">
            <v>8</v>
          </cell>
        </row>
        <row r="7970">
          <cell r="A7970">
            <v>2019</v>
          </cell>
          <cell r="B7970" t="str">
            <v>Actual</v>
          </cell>
          <cell r="C7970" t="str">
            <v>Aug</v>
          </cell>
          <cell r="D7970" t="str">
            <v>Accessories</v>
          </cell>
          <cell r="E7970">
            <v>35193.094999999994</v>
          </cell>
          <cell r="F7970">
            <v>8</v>
          </cell>
        </row>
        <row r="7971">
          <cell r="A7971">
            <v>2019</v>
          </cell>
          <cell r="B7971" t="str">
            <v>Budget</v>
          </cell>
          <cell r="C7971" t="str">
            <v>Aug</v>
          </cell>
          <cell r="D7971" t="str">
            <v>Chairs</v>
          </cell>
          <cell r="E7971">
            <v>36290.967999999993</v>
          </cell>
          <cell r="F7971">
            <v>8</v>
          </cell>
        </row>
        <row r="7972">
          <cell r="A7972">
            <v>2019</v>
          </cell>
          <cell r="B7972" t="str">
            <v>Actual</v>
          </cell>
          <cell r="C7972" t="str">
            <v>Aug</v>
          </cell>
          <cell r="D7972" t="str">
            <v>Tables</v>
          </cell>
          <cell r="E7972">
            <v>50134.399000000005</v>
          </cell>
          <cell r="F7972">
            <v>8</v>
          </cell>
        </row>
        <row r="7973">
          <cell r="A7973">
            <v>2018</v>
          </cell>
          <cell r="B7973" t="str">
            <v>Budget</v>
          </cell>
          <cell r="C7973" t="str">
            <v>Aug</v>
          </cell>
          <cell r="D7973" t="str">
            <v>Kitchen</v>
          </cell>
          <cell r="E7973">
            <v>156106.59400000001</v>
          </cell>
          <cell r="F7973">
            <v>8</v>
          </cell>
        </row>
        <row r="7974">
          <cell r="A7974">
            <v>2018</v>
          </cell>
          <cell r="B7974" t="str">
            <v>Actual</v>
          </cell>
          <cell r="C7974" t="str">
            <v>Aug</v>
          </cell>
          <cell r="D7974" t="str">
            <v>Accessories</v>
          </cell>
          <cell r="E7974">
            <v>2794681.1129999999</v>
          </cell>
          <cell r="F7974">
            <v>8</v>
          </cell>
        </row>
        <row r="7975">
          <cell r="A7975">
            <v>2019</v>
          </cell>
          <cell r="B7975" t="str">
            <v>Budget</v>
          </cell>
          <cell r="C7975" t="str">
            <v>Aug</v>
          </cell>
          <cell r="D7975" t="str">
            <v>Chairs</v>
          </cell>
          <cell r="E7975">
            <v>802675.55200000003</v>
          </cell>
          <cell r="F7975">
            <v>8</v>
          </cell>
        </row>
        <row r="7976">
          <cell r="A7976">
            <v>2019</v>
          </cell>
          <cell r="B7976" t="str">
            <v>Actual</v>
          </cell>
          <cell r="C7976" t="str">
            <v>Aug</v>
          </cell>
          <cell r="D7976" t="str">
            <v>Chairs</v>
          </cell>
          <cell r="E7976">
            <v>21020.138999999999</v>
          </cell>
          <cell r="F7976">
            <v>8</v>
          </cell>
        </row>
        <row r="7977">
          <cell r="A7977">
            <v>2019</v>
          </cell>
          <cell r="B7977" t="str">
            <v>Budget</v>
          </cell>
          <cell r="C7977" t="str">
            <v>Aug</v>
          </cell>
          <cell r="D7977" t="str">
            <v>Tables</v>
          </cell>
          <cell r="E7977">
            <v>16092.187999999998</v>
          </cell>
          <cell r="F7977">
            <v>8</v>
          </cell>
        </row>
        <row r="7978">
          <cell r="A7978">
            <v>2019</v>
          </cell>
          <cell r="B7978" t="str">
            <v>Actual</v>
          </cell>
          <cell r="C7978" t="str">
            <v>Aug</v>
          </cell>
          <cell r="D7978" t="str">
            <v>Kitchen</v>
          </cell>
          <cell r="E7978">
            <v>197302.84</v>
          </cell>
          <cell r="F7978">
            <v>8</v>
          </cell>
        </row>
        <row r="7979">
          <cell r="A7979">
            <v>2018</v>
          </cell>
          <cell r="B7979" t="str">
            <v>Budget</v>
          </cell>
          <cell r="C7979" t="str">
            <v>Aug</v>
          </cell>
          <cell r="D7979" t="str">
            <v>Chairs</v>
          </cell>
          <cell r="E7979">
            <v>229656.27299999999</v>
          </cell>
          <cell r="F7979">
            <v>8</v>
          </cell>
        </row>
        <row r="7980">
          <cell r="A7980">
            <v>2018</v>
          </cell>
          <cell r="B7980" t="str">
            <v>Actual</v>
          </cell>
          <cell r="C7980" t="str">
            <v>Aug</v>
          </cell>
          <cell r="D7980" t="str">
            <v>Tables</v>
          </cell>
          <cell r="E7980">
            <v>118036.87699999998</v>
          </cell>
          <cell r="F7980">
            <v>8</v>
          </cell>
        </row>
        <row r="7981">
          <cell r="A7981">
            <v>2018</v>
          </cell>
          <cell r="B7981" t="str">
            <v>Budget</v>
          </cell>
          <cell r="C7981" t="str">
            <v>Aug</v>
          </cell>
          <cell r="D7981" t="str">
            <v>Kitchen</v>
          </cell>
          <cell r="E7981">
            <v>97646.115000000005</v>
          </cell>
          <cell r="F7981">
            <v>8</v>
          </cell>
        </row>
        <row r="7982">
          <cell r="A7982">
            <v>2019</v>
          </cell>
          <cell r="B7982" t="str">
            <v>Actual</v>
          </cell>
          <cell r="C7982" t="str">
            <v>Aug</v>
          </cell>
          <cell r="D7982" t="str">
            <v>Chairs</v>
          </cell>
          <cell r="E7982">
            <v>47820.555999999997</v>
          </cell>
          <cell r="F7982">
            <v>8</v>
          </cell>
        </row>
        <row r="7983">
          <cell r="A7983">
            <v>2018</v>
          </cell>
          <cell r="B7983" t="str">
            <v>Budget</v>
          </cell>
          <cell r="C7983" t="str">
            <v>Aug</v>
          </cell>
          <cell r="D7983" t="str">
            <v>Tables</v>
          </cell>
          <cell r="E7983">
            <v>4111.2609999999995</v>
          </cell>
          <cell r="F7983">
            <v>8</v>
          </cell>
        </row>
        <row r="7984">
          <cell r="A7984">
            <v>2018</v>
          </cell>
          <cell r="B7984" t="str">
            <v>Actual</v>
          </cell>
          <cell r="C7984" t="str">
            <v>Aug</v>
          </cell>
          <cell r="D7984" t="str">
            <v>Kitchen</v>
          </cell>
          <cell r="E7984">
            <v>176277.283</v>
          </cell>
          <cell r="F7984">
            <v>8</v>
          </cell>
        </row>
        <row r="7985">
          <cell r="A7985">
            <v>2018</v>
          </cell>
          <cell r="B7985" t="str">
            <v>Budget</v>
          </cell>
          <cell r="C7985" t="str">
            <v>Aug</v>
          </cell>
          <cell r="D7985" t="str">
            <v>Chairs</v>
          </cell>
          <cell r="E7985">
            <v>202976.46599999999</v>
          </cell>
          <cell r="F7985">
            <v>8</v>
          </cell>
        </row>
        <row r="7986">
          <cell r="A7986">
            <v>2018</v>
          </cell>
          <cell r="B7986" t="str">
            <v>Actual</v>
          </cell>
          <cell r="C7986" t="str">
            <v>Aug</v>
          </cell>
          <cell r="D7986" t="str">
            <v>Chairs</v>
          </cell>
          <cell r="E7986">
            <v>171721.87199999997</v>
          </cell>
          <cell r="F7986">
            <v>8</v>
          </cell>
        </row>
        <row r="7987">
          <cell r="A7987">
            <v>2019</v>
          </cell>
          <cell r="B7987" t="str">
            <v>Budget</v>
          </cell>
          <cell r="C7987" t="str">
            <v>Aug</v>
          </cell>
          <cell r="D7987" t="str">
            <v>Chairs</v>
          </cell>
          <cell r="E7987">
            <v>2578933.9029999999</v>
          </cell>
          <cell r="F7987">
            <v>8</v>
          </cell>
        </row>
        <row r="7988">
          <cell r="A7988">
            <v>2018</v>
          </cell>
          <cell r="B7988" t="str">
            <v>Actual</v>
          </cell>
          <cell r="C7988" t="str">
            <v>Aug</v>
          </cell>
          <cell r="D7988" t="str">
            <v>Chairs</v>
          </cell>
          <cell r="E7988">
            <v>-986389.92899999989</v>
          </cell>
          <cell r="F7988">
            <v>8</v>
          </cell>
        </row>
        <row r="7989">
          <cell r="A7989">
            <v>2018</v>
          </cell>
          <cell r="B7989" t="str">
            <v>Budget</v>
          </cell>
          <cell r="C7989" t="str">
            <v>Aug</v>
          </cell>
          <cell r="D7989" t="str">
            <v>Chairs</v>
          </cell>
          <cell r="E7989">
            <v>283377.45799999998</v>
          </cell>
          <cell r="F7989">
            <v>8</v>
          </cell>
        </row>
        <row r="7990">
          <cell r="A7990">
            <v>2019</v>
          </cell>
          <cell r="B7990" t="str">
            <v>Actual</v>
          </cell>
          <cell r="C7990" t="str">
            <v>Aug</v>
          </cell>
          <cell r="D7990" t="str">
            <v>Chairs</v>
          </cell>
          <cell r="E7990">
            <v>147889.098</v>
          </cell>
          <cell r="F7990">
            <v>8</v>
          </cell>
        </row>
        <row r="7991">
          <cell r="A7991">
            <v>2018</v>
          </cell>
          <cell r="B7991" t="str">
            <v>Budget</v>
          </cell>
          <cell r="C7991" t="str">
            <v>Aug</v>
          </cell>
          <cell r="D7991" t="str">
            <v>Chairs</v>
          </cell>
          <cell r="E7991">
            <v>690043.60599999991</v>
          </cell>
          <cell r="F7991">
            <v>8</v>
          </cell>
        </row>
        <row r="7992">
          <cell r="A7992">
            <v>2019</v>
          </cell>
          <cell r="B7992" t="str">
            <v>Actual</v>
          </cell>
          <cell r="C7992" t="str">
            <v>Aug</v>
          </cell>
          <cell r="D7992" t="str">
            <v>Chairs</v>
          </cell>
          <cell r="E7992">
            <v>1394970.0799999998</v>
          </cell>
          <cell r="F7992">
            <v>8</v>
          </cell>
        </row>
        <row r="7993">
          <cell r="A7993">
            <v>2018</v>
          </cell>
          <cell r="B7993" t="str">
            <v>Budget</v>
          </cell>
          <cell r="C7993" t="str">
            <v>Aug</v>
          </cell>
          <cell r="D7993" t="str">
            <v>Chairs</v>
          </cell>
          <cell r="E7993">
            <v>2092164.7249999999</v>
          </cell>
          <cell r="F7993">
            <v>8</v>
          </cell>
        </row>
        <row r="7994">
          <cell r="A7994">
            <v>2019</v>
          </cell>
          <cell r="B7994" t="str">
            <v>Actual</v>
          </cell>
          <cell r="C7994" t="str">
            <v>Aug</v>
          </cell>
          <cell r="D7994" t="str">
            <v>Chairs</v>
          </cell>
          <cell r="E7994">
            <v>763474.01199999987</v>
          </cell>
          <cell r="F7994">
            <v>8</v>
          </cell>
        </row>
        <row r="7995">
          <cell r="A7995">
            <v>2019</v>
          </cell>
          <cell r="B7995" t="str">
            <v>Budget</v>
          </cell>
          <cell r="C7995" t="str">
            <v>Aug</v>
          </cell>
          <cell r="D7995" t="str">
            <v>Chairs</v>
          </cell>
          <cell r="E7995">
            <v>512900.32499999995</v>
          </cell>
          <cell r="F7995">
            <v>8</v>
          </cell>
        </row>
        <row r="7996">
          <cell r="A7996">
            <v>2019</v>
          </cell>
          <cell r="B7996" t="str">
            <v>Actual</v>
          </cell>
          <cell r="C7996" t="str">
            <v>Aug</v>
          </cell>
          <cell r="D7996" t="str">
            <v>Chairs</v>
          </cell>
          <cell r="E7996">
            <v>320526.26199999999</v>
          </cell>
          <cell r="F7996">
            <v>8</v>
          </cell>
        </row>
        <row r="7997">
          <cell r="A7997">
            <v>2018</v>
          </cell>
          <cell r="B7997" t="str">
            <v>Budget</v>
          </cell>
          <cell r="C7997" t="str">
            <v>Aug</v>
          </cell>
          <cell r="D7997" t="str">
            <v>Chairs</v>
          </cell>
          <cell r="E7997">
            <v>10367.041999999999</v>
          </cell>
          <cell r="F7997">
            <v>8</v>
          </cell>
        </row>
        <row r="7998">
          <cell r="A7998">
            <v>2019</v>
          </cell>
          <cell r="B7998" t="str">
            <v>Actual</v>
          </cell>
          <cell r="C7998" t="str">
            <v>Aug</v>
          </cell>
          <cell r="D7998" t="str">
            <v>Chairs</v>
          </cell>
          <cell r="E7998">
            <v>417274.70399999997</v>
          </cell>
          <cell r="F7998">
            <v>8</v>
          </cell>
        </row>
        <row r="7999">
          <cell r="A7999">
            <v>2018</v>
          </cell>
          <cell r="B7999" t="str">
            <v>Budget</v>
          </cell>
          <cell r="C7999" t="str">
            <v>Aug</v>
          </cell>
          <cell r="D7999" t="str">
            <v>Chairs</v>
          </cell>
          <cell r="E7999">
            <v>61560.155999999995</v>
          </cell>
          <cell r="F7999">
            <v>8</v>
          </cell>
        </row>
        <row r="8000">
          <cell r="A8000">
            <v>2019</v>
          </cell>
          <cell r="B8000" t="str">
            <v>Actual</v>
          </cell>
          <cell r="C8000" t="str">
            <v>Aug</v>
          </cell>
          <cell r="D8000" t="str">
            <v>Chairs</v>
          </cell>
          <cell r="E8000">
            <v>651212.73699999996</v>
          </cell>
          <cell r="F8000">
            <v>8</v>
          </cell>
        </row>
        <row r="8001">
          <cell r="A8001">
            <v>2019</v>
          </cell>
          <cell r="B8001" t="str">
            <v>Budget</v>
          </cell>
          <cell r="C8001" t="str">
            <v>Aug</v>
          </cell>
          <cell r="D8001" t="str">
            <v>Chairs</v>
          </cell>
          <cell r="E8001">
            <v>156823.99599999998</v>
          </cell>
          <cell r="F8001">
            <v>8</v>
          </cell>
        </row>
        <row r="8002">
          <cell r="A8002">
            <v>2018</v>
          </cell>
          <cell r="B8002" t="str">
            <v>Actual</v>
          </cell>
          <cell r="C8002" t="str">
            <v>Aug</v>
          </cell>
          <cell r="D8002" t="str">
            <v>Chairs</v>
          </cell>
          <cell r="E8002">
            <v>1182140.7779999999</v>
          </cell>
          <cell r="F8002">
            <v>8</v>
          </cell>
        </row>
        <row r="8003">
          <cell r="A8003">
            <v>2019</v>
          </cell>
          <cell r="B8003" t="str">
            <v>Budget</v>
          </cell>
          <cell r="C8003" t="str">
            <v>Aug</v>
          </cell>
          <cell r="D8003" t="str">
            <v>Chairs</v>
          </cell>
          <cell r="E8003">
            <v>39751.270999999993</v>
          </cell>
          <cell r="F8003">
            <v>8</v>
          </cell>
        </row>
        <row r="8004">
          <cell r="A8004">
            <v>2018</v>
          </cell>
          <cell r="B8004" t="str">
            <v>Actual</v>
          </cell>
          <cell r="C8004" t="str">
            <v>Aug</v>
          </cell>
          <cell r="D8004" t="str">
            <v>Chairs</v>
          </cell>
          <cell r="E8004">
            <v>106050.76299999999</v>
          </cell>
          <cell r="F8004">
            <v>8</v>
          </cell>
        </row>
        <row r="8005">
          <cell r="A8005">
            <v>2018</v>
          </cell>
          <cell r="B8005" t="str">
            <v>Budget</v>
          </cell>
          <cell r="C8005" t="str">
            <v>Aug</v>
          </cell>
          <cell r="D8005" t="str">
            <v>Chairs</v>
          </cell>
          <cell r="E8005">
            <v>226422.51799999998</v>
          </cell>
          <cell r="F8005">
            <v>8</v>
          </cell>
        </row>
        <row r="8006">
          <cell r="A8006">
            <v>2018</v>
          </cell>
          <cell r="B8006" t="str">
            <v>Actual</v>
          </cell>
          <cell r="C8006" t="str">
            <v>Aug</v>
          </cell>
          <cell r="D8006" t="str">
            <v>Chairs</v>
          </cell>
          <cell r="E8006">
            <v>78665.817999999999</v>
          </cell>
          <cell r="F8006">
            <v>8</v>
          </cell>
        </row>
        <row r="8007">
          <cell r="A8007">
            <v>2019</v>
          </cell>
          <cell r="B8007" t="str">
            <v>Budget</v>
          </cell>
          <cell r="C8007" t="str">
            <v>Aug</v>
          </cell>
          <cell r="D8007" t="str">
            <v>Chairs</v>
          </cell>
          <cell r="E8007">
            <v>65293.654999999992</v>
          </cell>
          <cell r="F8007">
            <v>8</v>
          </cell>
        </row>
        <row r="8008">
          <cell r="A8008">
            <v>2019</v>
          </cell>
          <cell r="B8008" t="str">
            <v>Actual</v>
          </cell>
          <cell r="C8008" t="str">
            <v>Aug</v>
          </cell>
          <cell r="D8008" t="str">
            <v>Chairs</v>
          </cell>
          <cell r="E8008">
            <v>597749.71199999994</v>
          </cell>
          <cell r="F8008">
            <v>8</v>
          </cell>
        </row>
        <row r="8009">
          <cell r="A8009">
            <v>2019</v>
          </cell>
          <cell r="B8009" t="str">
            <v>Budget</v>
          </cell>
          <cell r="C8009" t="str">
            <v>Aug</v>
          </cell>
          <cell r="D8009" t="str">
            <v>Chairs</v>
          </cell>
          <cell r="E8009">
            <v>239917.04799999998</v>
          </cell>
          <cell r="F8009">
            <v>8</v>
          </cell>
        </row>
        <row r="8010">
          <cell r="A8010">
            <v>2019</v>
          </cell>
          <cell r="B8010" t="str">
            <v>Actual</v>
          </cell>
          <cell r="C8010" t="str">
            <v>Aug</v>
          </cell>
          <cell r="D8010" t="str">
            <v>Chairs</v>
          </cell>
          <cell r="E8010">
            <v>2278.0449999999996</v>
          </cell>
          <cell r="F8010">
            <v>8</v>
          </cell>
        </row>
        <row r="8011">
          <cell r="A8011">
            <v>2018</v>
          </cell>
          <cell r="B8011" t="str">
            <v>Budget</v>
          </cell>
          <cell r="C8011" t="str">
            <v>Aug</v>
          </cell>
          <cell r="D8011" t="str">
            <v>Tables</v>
          </cell>
          <cell r="E8011">
            <v>530260.61199999996</v>
          </cell>
          <cell r="F8011">
            <v>8</v>
          </cell>
        </row>
        <row r="8012">
          <cell r="A8012">
            <v>2018</v>
          </cell>
          <cell r="B8012" t="str">
            <v>Actual</v>
          </cell>
          <cell r="C8012" t="str">
            <v>Aug</v>
          </cell>
          <cell r="D8012" t="str">
            <v>Kitchen</v>
          </cell>
          <cell r="E8012">
            <v>136390.33799999999</v>
          </cell>
          <cell r="F8012">
            <v>8</v>
          </cell>
        </row>
        <row r="8013">
          <cell r="A8013">
            <v>2018</v>
          </cell>
          <cell r="B8013" t="str">
            <v>Budget</v>
          </cell>
          <cell r="C8013" t="str">
            <v>Aug</v>
          </cell>
          <cell r="D8013" t="str">
            <v>Chairs</v>
          </cell>
          <cell r="E8013">
            <v>163774.79999999999</v>
          </cell>
          <cell r="F8013">
            <v>8</v>
          </cell>
        </row>
        <row r="8014">
          <cell r="A8014">
            <v>2018</v>
          </cell>
          <cell r="B8014" t="str">
            <v>Actual</v>
          </cell>
          <cell r="C8014" t="str">
            <v>Aug</v>
          </cell>
          <cell r="D8014" t="str">
            <v>Chairs</v>
          </cell>
          <cell r="E8014">
            <v>102610.144</v>
          </cell>
          <cell r="F8014">
            <v>8</v>
          </cell>
        </row>
        <row r="8015">
          <cell r="A8015">
            <v>2018</v>
          </cell>
          <cell r="B8015" t="str">
            <v>Budget</v>
          </cell>
          <cell r="C8015" t="str">
            <v>Aug</v>
          </cell>
          <cell r="D8015" t="str">
            <v>Chairs</v>
          </cell>
          <cell r="E8015">
            <v>43962.477999999996</v>
          </cell>
          <cell r="F8015">
            <v>8</v>
          </cell>
        </row>
        <row r="8016">
          <cell r="A8016">
            <v>2019</v>
          </cell>
          <cell r="B8016" t="str">
            <v>Actual</v>
          </cell>
          <cell r="C8016" t="str">
            <v>Aug</v>
          </cell>
          <cell r="D8016" t="str">
            <v>Chairs</v>
          </cell>
          <cell r="E8016">
            <v>19906.361999999997</v>
          </cell>
          <cell r="F8016">
            <v>8</v>
          </cell>
        </row>
        <row r="8017">
          <cell r="A8017">
            <v>2018</v>
          </cell>
          <cell r="B8017" t="str">
            <v>Budget</v>
          </cell>
          <cell r="C8017" t="str">
            <v>Aug</v>
          </cell>
          <cell r="D8017" t="str">
            <v>Chairs</v>
          </cell>
          <cell r="E8017">
            <v>67601.87</v>
          </cell>
          <cell r="F8017">
            <v>8</v>
          </cell>
        </row>
        <row r="8018">
          <cell r="A8018">
            <v>2018</v>
          </cell>
          <cell r="B8018" t="str">
            <v>Actual</v>
          </cell>
          <cell r="C8018" t="str">
            <v>Aug</v>
          </cell>
          <cell r="D8018" t="str">
            <v>Tables</v>
          </cell>
          <cell r="E8018">
            <v>323594.54399999999</v>
          </cell>
          <cell r="F8018">
            <v>8</v>
          </cell>
        </row>
        <row r="8019">
          <cell r="A8019">
            <v>2018</v>
          </cell>
          <cell r="B8019" t="str">
            <v>Budget</v>
          </cell>
          <cell r="C8019" t="str">
            <v>Aug</v>
          </cell>
          <cell r="D8019" t="str">
            <v>Kitchen</v>
          </cell>
          <cell r="E8019">
            <v>534725.723</v>
          </cell>
          <cell r="F8019">
            <v>8</v>
          </cell>
        </row>
        <row r="8020">
          <cell r="A8020">
            <v>2019</v>
          </cell>
          <cell r="B8020" t="str">
            <v>Actual</v>
          </cell>
          <cell r="C8020" t="str">
            <v>Aug</v>
          </cell>
          <cell r="D8020" t="str">
            <v>Chairs</v>
          </cell>
          <cell r="E8020">
            <v>199235.12699999998</v>
          </cell>
          <cell r="F8020">
            <v>8</v>
          </cell>
        </row>
        <row r="8021">
          <cell r="A8021">
            <v>2019</v>
          </cell>
          <cell r="B8021" t="str">
            <v>Budget</v>
          </cell>
          <cell r="C8021" t="str">
            <v>Aug</v>
          </cell>
          <cell r="D8021" t="str">
            <v>Chairs</v>
          </cell>
          <cell r="E8021">
            <v>119764.39299999998</v>
          </cell>
          <cell r="F8021">
            <v>8</v>
          </cell>
        </row>
        <row r="8022">
          <cell r="A8022">
            <v>2019</v>
          </cell>
          <cell r="B8022" t="str">
            <v>Actual</v>
          </cell>
          <cell r="C8022" t="str">
            <v>Aug</v>
          </cell>
          <cell r="D8022" t="str">
            <v>Chairs</v>
          </cell>
          <cell r="E8022">
            <v>1913760.9609999999</v>
          </cell>
          <cell r="F8022">
            <v>8</v>
          </cell>
        </row>
        <row r="8023">
          <cell r="A8023">
            <v>2019</v>
          </cell>
          <cell r="B8023" t="str">
            <v>Budget</v>
          </cell>
          <cell r="C8023" t="str">
            <v>Aug</v>
          </cell>
          <cell r="D8023" t="str">
            <v>Tables</v>
          </cell>
          <cell r="E8023">
            <v>1366923.4249999998</v>
          </cell>
          <cell r="F8023">
            <v>8</v>
          </cell>
        </row>
        <row r="8024">
          <cell r="A8024">
            <v>2019</v>
          </cell>
          <cell r="B8024" t="str">
            <v>Actual</v>
          </cell>
          <cell r="C8024" t="str">
            <v>Aug</v>
          </cell>
          <cell r="D8024" t="str">
            <v>Kitchen</v>
          </cell>
          <cell r="E8024">
            <v>24683.994999999999</v>
          </cell>
          <cell r="F8024">
            <v>8</v>
          </cell>
        </row>
        <row r="8025">
          <cell r="A8025">
            <v>2018</v>
          </cell>
          <cell r="B8025" t="str">
            <v>Budget</v>
          </cell>
          <cell r="C8025" t="str">
            <v>Aug</v>
          </cell>
          <cell r="D8025" t="str">
            <v>Chairs</v>
          </cell>
          <cell r="E8025">
            <v>45397.190999999999</v>
          </cell>
          <cell r="F8025">
            <v>8</v>
          </cell>
        </row>
        <row r="8026">
          <cell r="A8026">
            <v>2018</v>
          </cell>
          <cell r="B8026" t="str">
            <v>Actual</v>
          </cell>
          <cell r="C8026" t="str">
            <v>Aug</v>
          </cell>
          <cell r="D8026" t="str">
            <v>Chairs</v>
          </cell>
          <cell r="E8026">
            <v>77641.787999999986</v>
          </cell>
          <cell r="F8026">
            <v>8</v>
          </cell>
        </row>
        <row r="8027">
          <cell r="A8027">
            <v>2018</v>
          </cell>
          <cell r="B8027" t="str">
            <v>Budget</v>
          </cell>
          <cell r="C8027" t="str">
            <v>Aug</v>
          </cell>
          <cell r="D8027" t="str">
            <v>Tables</v>
          </cell>
          <cell r="E8027">
            <v>58395.903999999995</v>
          </cell>
          <cell r="F8027">
            <v>8</v>
          </cell>
        </row>
        <row r="8028">
          <cell r="A8028">
            <v>2018</v>
          </cell>
          <cell r="B8028" t="str">
            <v>Actual</v>
          </cell>
          <cell r="C8028" t="str">
            <v>Aug</v>
          </cell>
          <cell r="D8028" t="str">
            <v>Kitchen</v>
          </cell>
          <cell r="E8028">
            <v>132481.60800000001</v>
          </cell>
          <cell r="F8028">
            <v>8</v>
          </cell>
        </row>
        <row r="8029">
          <cell r="A8029">
            <v>2019</v>
          </cell>
          <cell r="B8029" t="str">
            <v>Budget</v>
          </cell>
          <cell r="C8029" t="str">
            <v>Aug</v>
          </cell>
          <cell r="D8029" t="str">
            <v>Chairs</v>
          </cell>
          <cell r="E8029">
            <v>378650.755</v>
          </cell>
          <cell r="F8029">
            <v>8</v>
          </cell>
        </row>
        <row r="8030">
          <cell r="A8030">
            <v>2019</v>
          </cell>
          <cell r="B8030" t="str">
            <v>Actual</v>
          </cell>
          <cell r="C8030" t="str">
            <v>Aug</v>
          </cell>
          <cell r="D8030" t="str">
            <v>Chairs</v>
          </cell>
          <cell r="E8030">
            <v>181598.21399999998</v>
          </cell>
          <cell r="F8030">
            <v>8</v>
          </cell>
        </row>
        <row r="8031">
          <cell r="A8031">
            <v>2018</v>
          </cell>
          <cell r="B8031" t="str">
            <v>Budget</v>
          </cell>
          <cell r="C8031" t="str">
            <v>Aug</v>
          </cell>
          <cell r="D8031" t="str">
            <v>Chairs</v>
          </cell>
          <cell r="E8031">
            <v>96117.38499999998</v>
          </cell>
          <cell r="F8031">
            <v>8</v>
          </cell>
        </row>
        <row r="8032">
          <cell r="A8032">
            <v>2019</v>
          </cell>
          <cell r="B8032" t="str">
            <v>Actual</v>
          </cell>
          <cell r="C8032" t="str">
            <v>Aug</v>
          </cell>
          <cell r="D8032" t="str">
            <v>Tables</v>
          </cell>
          <cell r="E8032">
            <v>37273.508999999998</v>
          </cell>
          <cell r="F8032">
            <v>8</v>
          </cell>
        </row>
        <row r="8033">
          <cell r="A8033">
            <v>2019</v>
          </cell>
          <cell r="B8033" t="str">
            <v>Budget</v>
          </cell>
          <cell r="C8033" t="str">
            <v>Aug</v>
          </cell>
          <cell r="D8033" t="str">
            <v>Kitchen</v>
          </cell>
          <cell r="E8033">
            <v>40764.381000000001</v>
          </cell>
          <cell r="F8033">
            <v>8</v>
          </cell>
        </row>
        <row r="8034">
          <cell r="A8034">
            <v>2019</v>
          </cell>
          <cell r="B8034" t="str">
            <v>Actual</v>
          </cell>
          <cell r="C8034" t="str">
            <v>Aug</v>
          </cell>
          <cell r="D8034" t="str">
            <v>Accessories</v>
          </cell>
          <cell r="E8034">
            <v>39500.971999999994</v>
          </cell>
          <cell r="F8034">
            <v>8</v>
          </cell>
        </row>
        <row r="8035">
          <cell r="A8035">
            <v>2018</v>
          </cell>
          <cell r="B8035" t="str">
            <v>Budget</v>
          </cell>
          <cell r="C8035" t="str">
            <v>Aug</v>
          </cell>
          <cell r="D8035" t="str">
            <v>Chairs</v>
          </cell>
          <cell r="E8035">
            <v>178978.772</v>
          </cell>
          <cell r="F8035">
            <v>8</v>
          </cell>
        </row>
        <row r="8036">
          <cell r="A8036">
            <v>2019</v>
          </cell>
          <cell r="B8036" t="str">
            <v>Actual</v>
          </cell>
          <cell r="C8036" t="str">
            <v>Aug</v>
          </cell>
          <cell r="D8036" t="str">
            <v>Tables</v>
          </cell>
          <cell r="E8036">
            <v>24358.502</v>
          </cell>
          <cell r="F8036">
            <v>8</v>
          </cell>
        </row>
        <row r="8037">
          <cell r="A8037">
            <v>2018</v>
          </cell>
          <cell r="B8037" t="str">
            <v>Budget</v>
          </cell>
          <cell r="C8037" t="str">
            <v>Aug</v>
          </cell>
          <cell r="D8037" t="str">
            <v>Kitchen</v>
          </cell>
          <cell r="E8037">
            <v>178510.696</v>
          </cell>
          <cell r="F8037">
            <v>8</v>
          </cell>
        </row>
        <row r="8038">
          <cell r="A8038">
            <v>2018</v>
          </cell>
          <cell r="B8038" t="str">
            <v>Actual</v>
          </cell>
          <cell r="C8038" t="str">
            <v>Aug</v>
          </cell>
          <cell r="D8038" t="str">
            <v>Accessories</v>
          </cell>
          <cell r="E8038">
            <v>151394.35499999998</v>
          </cell>
          <cell r="F8038">
            <v>8</v>
          </cell>
        </row>
        <row r="8039">
          <cell r="A8039">
            <v>2018</v>
          </cell>
          <cell r="B8039" t="str">
            <v>Budget</v>
          </cell>
          <cell r="C8039" t="str">
            <v>Aug</v>
          </cell>
          <cell r="D8039" t="str">
            <v>Chairs</v>
          </cell>
          <cell r="E8039">
            <v>811965.37099999993</v>
          </cell>
          <cell r="F8039">
            <v>8</v>
          </cell>
        </row>
        <row r="8040">
          <cell r="A8040">
            <v>2019</v>
          </cell>
          <cell r="B8040" t="str">
            <v>Actual</v>
          </cell>
          <cell r="C8040" t="str">
            <v>Aug</v>
          </cell>
          <cell r="D8040" t="str">
            <v>Tables</v>
          </cell>
          <cell r="E8040">
            <v>4358710.1039999994</v>
          </cell>
          <cell r="F8040">
            <v>8</v>
          </cell>
        </row>
        <row r="8041">
          <cell r="A8041">
            <v>2019</v>
          </cell>
          <cell r="B8041" t="str">
            <v>Budget</v>
          </cell>
          <cell r="C8041" t="str">
            <v>Aug</v>
          </cell>
          <cell r="D8041" t="str">
            <v>Kitchen</v>
          </cell>
          <cell r="E8041">
            <v>233227.39299999998</v>
          </cell>
          <cell r="F8041">
            <v>8</v>
          </cell>
        </row>
        <row r="8042">
          <cell r="A8042">
            <v>2018</v>
          </cell>
          <cell r="B8042" t="str">
            <v>Actual</v>
          </cell>
          <cell r="C8042" t="str">
            <v>Aug</v>
          </cell>
          <cell r="D8042" t="str">
            <v>Accessories</v>
          </cell>
          <cell r="E8042">
            <v>252815.88499999998</v>
          </cell>
          <cell r="F8042">
            <v>8</v>
          </cell>
        </row>
        <row r="8043">
          <cell r="A8043">
            <v>2019</v>
          </cell>
          <cell r="B8043" t="str">
            <v>Budget</v>
          </cell>
          <cell r="C8043" t="str">
            <v>Aug</v>
          </cell>
          <cell r="D8043" t="str">
            <v>Chairs</v>
          </cell>
          <cell r="E8043">
            <v>79305.547999999995</v>
          </cell>
          <cell r="F8043">
            <v>8</v>
          </cell>
        </row>
        <row r="8044">
          <cell r="A8044">
            <v>2018</v>
          </cell>
          <cell r="B8044" t="str">
            <v>Actual</v>
          </cell>
          <cell r="C8044" t="str">
            <v>Aug</v>
          </cell>
          <cell r="D8044" t="str">
            <v>Tables</v>
          </cell>
          <cell r="E8044">
            <v>112830.599</v>
          </cell>
          <cell r="F8044">
            <v>8</v>
          </cell>
        </row>
        <row r="8045">
          <cell r="A8045">
            <v>2018</v>
          </cell>
          <cell r="B8045" t="str">
            <v>Budget</v>
          </cell>
          <cell r="C8045" t="str">
            <v>Aug</v>
          </cell>
          <cell r="D8045" t="str">
            <v>Kitchen</v>
          </cell>
          <cell r="E8045">
            <v>2831432.3099999996</v>
          </cell>
          <cell r="F8045">
            <v>8</v>
          </cell>
        </row>
        <row r="8046">
          <cell r="A8046">
            <v>2019</v>
          </cell>
          <cell r="B8046" t="str">
            <v>Actual</v>
          </cell>
          <cell r="C8046" t="str">
            <v>Aug</v>
          </cell>
          <cell r="D8046" t="str">
            <v>Accessories</v>
          </cell>
          <cell r="E8046">
            <v>230918.77899999995</v>
          </cell>
          <cell r="F8046">
            <v>8</v>
          </cell>
        </row>
        <row r="8047">
          <cell r="A8047">
            <v>2019</v>
          </cell>
          <cell r="B8047" t="str">
            <v>Budget</v>
          </cell>
          <cell r="C8047" t="str">
            <v>Aug</v>
          </cell>
          <cell r="D8047" t="str">
            <v>Chairs</v>
          </cell>
          <cell r="E8047">
            <v>1299047.96</v>
          </cell>
          <cell r="F8047">
            <v>8</v>
          </cell>
        </row>
        <row r="8048">
          <cell r="A8048">
            <v>2019</v>
          </cell>
          <cell r="B8048" t="str">
            <v>Actual</v>
          </cell>
          <cell r="C8048" t="str">
            <v>Aug</v>
          </cell>
          <cell r="D8048" t="str">
            <v>Chairs</v>
          </cell>
          <cell r="E8048">
            <v>645565.5149999999</v>
          </cell>
          <cell r="F8048">
            <v>8</v>
          </cell>
        </row>
        <row r="8049">
          <cell r="A8049">
            <v>2018</v>
          </cell>
          <cell r="B8049" t="str">
            <v>Budget</v>
          </cell>
          <cell r="C8049" t="str">
            <v>Aug</v>
          </cell>
          <cell r="D8049" t="str">
            <v>Tables</v>
          </cell>
          <cell r="E8049">
            <v>486027.80099999998</v>
          </cell>
          <cell r="F8049">
            <v>8</v>
          </cell>
        </row>
        <row r="8050">
          <cell r="A8050">
            <v>2018</v>
          </cell>
          <cell r="B8050" t="str">
            <v>Actual</v>
          </cell>
          <cell r="C8050" t="str">
            <v>Aug</v>
          </cell>
          <cell r="D8050" t="str">
            <v>Kitchen</v>
          </cell>
          <cell r="E8050">
            <v>99040.857999999993</v>
          </cell>
          <cell r="F8050">
            <v>8</v>
          </cell>
        </row>
        <row r="8051">
          <cell r="A8051">
            <v>2018</v>
          </cell>
          <cell r="B8051" t="str">
            <v>Budget</v>
          </cell>
          <cell r="C8051" t="str">
            <v>Aug</v>
          </cell>
          <cell r="D8051" t="str">
            <v>Chairs</v>
          </cell>
          <cell r="E8051">
            <v>251867.26599999997</v>
          </cell>
          <cell r="F8051">
            <v>8</v>
          </cell>
        </row>
        <row r="8052">
          <cell r="A8052">
            <v>2018</v>
          </cell>
          <cell r="B8052" t="str">
            <v>Actual</v>
          </cell>
          <cell r="C8052" t="str">
            <v>Aug</v>
          </cell>
          <cell r="D8052" t="str">
            <v>Tables</v>
          </cell>
          <cell r="E8052">
            <v>685257.51</v>
          </cell>
          <cell r="F8052">
            <v>8</v>
          </cell>
        </row>
        <row r="8053">
          <cell r="A8053">
            <v>2019</v>
          </cell>
          <cell r="B8053" t="str">
            <v>Budget</v>
          </cell>
          <cell r="C8053" t="str">
            <v>Aug</v>
          </cell>
          <cell r="D8053" t="str">
            <v>Kitchen</v>
          </cell>
          <cell r="E8053">
            <v>56279.733999999997</v>
          </cell>
          <cell r="F8053">
            <v>8</v>
          </cell>
        </row>
        <row r="8054">
          <cell r="A8054">
            <v>2019</v>
          </cell>
          <cell r="B8054" t="str">
            <v>Actual</v>
          </cell>
          <cell r="C8054" t="str">
            <v>Aug</v>
          </cell>
          <cell r="D8054" t="str">
            <v>Chairs</v>
          </cell>
          <cell r="E8054">
            <v>124490.961</v>
          </cell>
          <cell r="F8054">
            <v>8</v>
          </cell>
        </row>
        <row r="8055">
          <cell r="A8055">
            <v>2018</v>
          </cell>
          <cell r="B8055" t="str">
            <v>Budget</v>
          </cell>
          <cell r="C8055" t="str">
            <v>Aug</v>
          </cell>
          <cell r="D8055" t="str">
            <v>Tables</v>
          </cell>
          <cell r="E8055">
            <v>298059.20899999997</v>
          </cell>
          <cell r="F8055">
            <v>8</v>
          </cell>
        </row>
        <row r="8056">
          <cell r="A8056">
            <v>2019</v>
          </cell>
          <cell r="B8056" t="str">
            <v>Actual</v>
          </cell>
          <cell r="C8056" t="str">
            <v>Aug</v>
          </cell>
          <cell r="D8056" t="str">
            <v>Kitchen</v>
          </cell>
          <cell r="E8056">
            <v>457748.86499999993</v>
          </cell>
          <cell r="F8056">
            <v>8</v>
          </cell>
        </row>
        <row r="8057">
          <cell r="A8057">
            <v>2018</v>
          </cell>
          <cell r="B8057" t="str">
            <v>Budget</v>
          </cell>
          <cell r="C8057" t="str">
            <v>Aug</v>
          </cell>
          <cell r="D8057" t="str">
            <v>Chairs</v>
          </cell>
          <cell r="E8057">
            <v>206548.321</v>
          </cell>
          <cell r="F8057">
            <v>8</v>
          </cell>
        </row>
        <row r="8058">
          <cell r="A8058">
            <v>2019</v>
          </cell>
          <cell r="B8058" t="str">
            <v>Actual</v>
          </cell>
          <cell r="C8058" t="str">
            <v>Aug</v>
          </cell>
          <cell r="D8058" t="str">
            <v>Chairs</v>
          </cell>
          <cell r="E8058">
            <v>204184.86199999996</v>
          </cell>
          <cell r="F8058">
            <v>8</v>
          </cell>
        </row>
        <row r="8059">
          <cell r="A8059">
            <v>2018</v>
          </cell>
          <cell r="B8059" t="str">
            <v>Budget</v>
          </cell>
          <cell r="C8059" t="str">
            <v>Aug</v>
          </cell>
          <cell r="D8059" t="str">
            <v>Chairs</v>
          </cell>
          <cell r="E8059">
            <v>69390.873999999996</v>
          </cell>
          <cell r="F8059">
            <v>8</v>
          </cell>
        </row>
        <row r="8060">
          <cell r="A8060">
            <v>2018</v>
          </cell>
          <cell r="B8060" t="str">
            <v>Actual</v>
          </cell>
          <cell r="C8060" t="str">
            <v>Aug</v>
          </cell>
          <cell r="D8060" t="str">
            <v>Chairs</v>
          </cell>
          <cell r="E8060">
            <v>130606.7</v>
          </cell>
          <cell r="F8060">
            <v>8</v>
          </cell>
        </row>
        <row r="8061">
          <cell r="A8061">
            <v>2019</v>
          </cell>
          <cell r="B8061" t="str">
            <v>Budget</v>
          </cell>
          <cell r="C8061" t="str">
            <v>Aug</v>
          </cell>
          <cell r="D8061" t="str">
            <v>Chairs</v>
          </cell>
          <cell r="E8061">
            <v>14758.212</v>
          </cell>
          <cell r="F8061">
            <v>8</v>
          </cell>
        </row>
        <row r="8062">
          <cell r="A8062">
            <v>2019</v>
          </cell>
          <cell r="B8062" t="str">
            <v>Actual</v>
          </cell>
          <cell r="C8062" t="str">
            <v>Aug</v>
          </cell>
          <cell r="D8062" t="str">
            <v>Chairs</v>
          </cell>
          <cell r="E8062">
            <v>157159.296</v>
          </cell>
          <cell r="F8062">
            <v>8</v>
          </cell>
        </row>
        <row r="8063">
          <cell r="A8063">
            <v>2018</v>
          </cell>
          <cell r="B8063" t="str">
            <v>Budget</v>
          </cell>
          <cell r="C8063" t="str">
            <v>Aug</v>
          </cell>
          <cell r="D8063" t="str">
            <v>Chairs</v>
          </cell>
          <cell r="E8063">
            <v>56128.345000000001</v>
          </cell>
          <cell r="F8063">
            <v>8</v>
          </cell>
        </row>
        <row r="8064">
          <cell r="A8064">
            <v>2019</v>
          </cell>
          <cell r="B8064" t="str">
            <v>Actual</v>
          </cell>
          <cell r="C8064" t="str">
            <v>Aug</v>
          </cell>
          <cell r="D8064" t="str">
            <v>Chairs</v>
          </cell>
          <cell r="E8064">
            <v>200288.30499999999</v>
          </cell>
          <cell r="F8064">
            <v>8</v>
          </cell>
        </row>
        <row r="8065">
          <cell r="A8065">
            <v>2018</v>
          </cell>
          <cell r="B8065" t="str">
            <v>Budget</v>
          </cell>
          <cell r="C8065" t="str">
            <v>Aug</v>
          </cell>
          <cell r="D8065" t="str">
            <v>Chairs</v>
          </cell>
          <cell r="E8065">
            <v>598497.99099999992</v>
          </cell>
          <cell r="F8065">
            <v>8</v>
          </cell>
        </row>
        <row r="8066">
          <cell r="A8066">
            <v>2019</v>
          </cell>
          <cell r="B8066" t="str">
            <v>Actual</v>
          </cell>
          <cell r="C8066" t="str">
            <v>Aug</v>
          </cell>
          <cell r="D8066" t="str">
            <v>Chairs</v>
          </cell>
          <cell r="E8066">
            <v>85244.516000000003</v>
          </cell>
          <cell r="F8066">
            <v>8</v>
          </cell>
        </row>
        <row r="8067">
          <cell r="A8067">
            <v>2019</v>
          </cell>
          <cell r="B8067" t="str">
            <v>Budget</v>
          </cell>
          <cell r="C8067" t="str">
            <v>Aug</v>
          </cell>
          <cell r="D8067" t="str">
            <v>Chairs</v>
          </cell>
          <cell r="E8067">
            <v>299247.30499999999</v>
          </cell>
          <cell r="F8067">
            <v>8</v>
          </cell>
        </row>
        <row r="8068">
          <cell r="A8068">
            <v>2018</v>
          </cell>
          <cell r="B8068" t="str">
            <v>Actual</v>
          </cell>
          <cell r="C8068" t="str">
            <v>Aug</v>
          </cell>
          <cell r="D8068" t="str">
            <v>Chairs</v>
          </cell>
          <cell r="E8068">
            <v>589704.97600000002</v>
          </cell>
          <cell r="F8068">
            <v>8</v>
          </cell>
        </row>
        <row r="8069">
          <cell r="A8069">
            <v>2019</v>
          </cell>
          <cell r="B8069" t="str">
            <v>Budget</v>
          </cell>
          <cell r="C8069" t="str">
            <v>Aug</v>
          </cell>
          <cell r="D8069" t="str">
            <v>Chairs</v>
          </cell>
          <cell r="E8069">
            <v>46629.729999999996</v>
          </cell>
          <cell r="F8069">
            <v>8</v>
          </cell>
        </row>
        <row r="8070">
          <cell r="A8070">
            <v>2019</v>
          </cell>
          <cell r="B8070" t="str">
            <v>Actual</v>
          </cell>
          <cell r="C8070" t="str">
            <v>Aug</v>
          </cell>
          <cell r="D8070" t="str">
            <v>Chairs</v>
          </cell>
          <cell r="E8070">
            <v>2934.8619999999996</v>
          </cell>
          <cell r="F8070">
            <v>8</v>
          </cell>
        </row>
        <row r="8071">
          <cell r="A8071">
            <v>2018</v>
          </cell>
          <cell r="B8071" t="str">
            <v>Budget</v>
          </cell>
          <cell r="C8071" t="str">
            <v>Aug</v>
          </cell>
          <cell r="D8071" t="str">
            <v>Chairs</v>
          </cell>
          <cell r="E8071">
            <v>380454.82299999997</v>
          </cell>
          <cell r="F8071">
            <v>8</v>
          </cell>
        </row>
        <row r="8072">
          <cell r="A8072">
            <v>2018</v>
          </cell>
          <cell r="B8072" t="str">
            <v>Actual</v>
          </cell>
          <cell r="C8072" t="str">
            <v>Aug</v>
          </cell>
          <cell r="D8072" t="str">
            <v>Chairs</v>
          </cell>
          <cell r="E8072">
            <v>7474809.4189999998</v>
          </cell>
          <cell r="F8072">
            <v>8</v>
          </cell>
        </row>
        <row r="8073">
          <cell r="A8073">
            <v>2018</v>
          </cell>
          <cell r="B8073" t="str">
            <v>Budget</v>
          </cell>
          <cell r="C8073" t="str">
            <v>Aug</v>
          </cell>
          <cell r="D8073" t="str">
            <v>Chairs</v>
          </cell>
          <cell r="E8073">
            <v>224225.666</v>
          </cell>
          <cell r="F8073">
            <v>8</v>
          </cell>
        </row>
        <row r="8074">
          <cell r="A8074">
            <v>2018</v>
          </cell>
          <cell r="B8074" t="str">
            <v>Actual</v>
          </cell>
          <cell r="C8074" t="str">
            <v>Aug</v>
          </cell>
          <cell r="D8074" t="str">
            <v>Chairs</v>
          </cell>
          <cell r="E8074">
            <v>200258.94700000001</v>
          </cell>
          <cell r="F8074">
            <v>8</v>
          </cell>
        </row>
        <row r="8075">
          <cell r="A8075">
            <v>2018</v>
          </cell>
          <cell r="B8075" t="str">
            <v>Budget</v>
          </cell>
          <cell r="C8075" t="str">
            <v>Aug</v>
          </cell>
          <cell r="D8075" t="str">
            <v>Chairs</v>
          </cell>
          <cell r="E8075">
            <v>172533.641</v>
          </cell>
          <cell r="F8075">
            <v>8</v>
          </cell>
        </row>
        <row r="8076">
          <cell r="A8076">
            <v>2018</v>
          </cell>
          <cell r="B8076" t="str">
            <v>Actual</v>
          </cell>
          <cell r="C8076" t="str">
            <v>Aug</v>
          </cell>
          <cell r="D8076" t="str">
            <v>Chairs</v>
          </cell>
          <cell r="E8076">
            <v>15374.260999999999</v>
          </cell>
          <cell r="F8076">
            <v>8</v>
          </cell>
        </row>
        <row r="8077">
          <cell r="A8077">
            <v>2018</v>
          </cell>
          <cell r="B8077" t="str">
            <v>Budget</v>
          </cell>
          <cell r="C8077" t="str">
            <v>Aug</v>
          </cell>
          <cell r="D8077" t="str">
            <v>Chairs</v>
          </cell>
          <cell r="E8077">
            <v>95285.512000000002</v>
          </cell>
          <cell r="F8077">
            <v>8</v>
          </cell>
        </row>
        <row r="8078">
          <cell r="A8078">
            <v>2018</v>
          </cell>
          <cell r="B8078" t="str">
            <v>Actual</v>
          </cell>
          <cell r="C8078" t="str">
            <v>Aug</v>
          </cell>
          <cell r="D8078" t="str">
            <v>Chairs</v>
          </cell>
          <cell r="E8078">
            <v>509351.46499999991</v>
          </cell>
          <cell r="F8078">
            <v>8</v>
          </cell>
        </row>
        <row r="8079">
          <cell r="A8079">
            <v>2019</v>
          </cell>
          <cell r="B8079" t="str">
            <v>Budget</v>
          </cell>
          <cell r="C8079" t="str">
            <v>Aug</v>
          </cell>
          <cell r="D8079" t="str">
            <v>Chairs</v>
          </cell>
          <cell r="E8079">
            <v>384015.54800000001</v>
          </cell>
          <cell r="F8079">
            <v>8</v>
          </cell>
        </row>
        <row r="8080">
          <cell r="A8080">
            <v>2018</v>
          </cell>
          <cell r="B8080" t="str">
            <v>Actual</v>
          </cell>
          <cell r="C8080" t="str">
            <v>Aug</v>
          </cell>
          <cell r="D8080" t="str">
            <v>Chairs</v>
          </cell>
          <cell r="E8080">
            <v>91023.435999999987</v>
          </cell>
          <cell r="F8080">
            <v>8</v>
          </cell>
        </row>
        <row r="8081">
          <cell r="A8081">
            <v>2018</v>
          </cell>
          <cell r="B8081" t="str">
            <v>Budget</v>
          </cell>
          <cell r="C8081" t="str">
            <v>Aug</v>
          </cell>
          <cell r="D8081" t="str">
            <v>Chairs</v>
          </cell>
          <cell r="E8081">
            <v>333411.92499999999</v>
          </cell>
          <cell r="F8081">
            <v>8</v>
          </cell>
        </row>
        <row r="8082">
          <cell r="A8082">
            <v>2019</v>
          </cell>
          <cell r="B8082" t="str">
            <v>Actual</v>
          </cell>
          <cell r="C8082" t="str">
            <v>Aug</v>
          </cell>
          <cell r="D8082" t="str">
            <v>Chairs</v>
          </cell>
          <cell r="E8082">
            <v>22060.884999999998</v>
          </cell>
          <cell r="F8082">
            <v>8</v>
          </cell>
        </row>
        <row r="8083">
          <cell r="A8083">
            <v>2018</v>
          </cell>
          <cell r="B8083" t="str">
            <v>Budget</v>
          </cell>
          <cell r="C8083" t="str">
            <v>Aug</v>
          </cell>
          <cell r="D8083" t="str">
            <v>Tables</v>
          </cell>
          <cell r="E8083">
            <v>32653.844999999998</v>
          </cell>
          <cell r="F8083">
            <v>8</v>
          </cell>
        </row>
        <row r="8084">
          <cell r="A8084">
            <v>2019</v>
          </cell>
          <cell r="B8084" t="str">
            <v>Actual</v>
          </cell>
          <cell r="C8084" t="str">
            <v>Aug</v>
          </cell>
          <cell r="D8084" t="str">
            <v>Kitchen</v>
          </cell>
          <cell r="E8084">
            <v>822018.81299999997</v>
          </cell>
          <cell r="F8084">
            <v>8</v>
          </cell>
        </row>
        <row r="8085">
          <cell r="A8085">
            <v>2018</v>
          </cell>
          <cell r="B8085" t="str">
            <v>Budget</v>
          </cell>
          <cell r="C8085" t="str">
            <v>Aug</v>
          </cell>
          <cell r="D8085" t="str">
            <v>Chairs</v>
          </cell>
          <cell r="E8085">
            <v>5796330.8059999999</v>
          </cell>
          <cell r="F8085">
            <v>8</v>
          </cell>
        </row>
        <row r="8086">
          <cell r="A8086">
            <v>2018</v>
          </cell>
          <cell r="B8086" t="str">
            <v>Actual</v>
          </cell>
          <cell r="C8086" t="str">
            <v>Aug</v>
          </cell>
          <cell r="D8086" t="str">
            <v>Chairs</v>
          </cell>
          <cell r="E8086">
            <v>175943.59999999998</v>
          </cell>
          <cell r="F8086">
            <v>8</v>
          </cell>
        </row>
        <row r="8087">
          <cell r="A8087">
            <v>2019</v>
          </cell>
          <cell r="B8087" t="str">
            <v>Budget</v>
          </cell>
          <cell r="C8087" t="str">
            <v>Aug</v>
          </cell>
          <cell r="D8087" t="str">
            <v>Chairs</v>
          </cell>
          <cell r="E8087">
            <v>1343150.7179999999</v>
          </cell>
          <cell r="F8087">
            <v>8</v>
          </cell>
        </row>
        <row r="8088">
          <cell r="A8088">
            <v>2018</v>
          </cell>
          <cell r="B8088" t="str">
            <v>Actual</v>
          </cell>
          <cell r="C8088" t="str">
            <v>Aug</v>
          </cell>
          <cell r="D8088" t="str">
            <v>Chairs</v>
          </cell>
          <cell r="E8088">
            <v>140700.98699999999</v>
          </cell>
          <cell r="F8088">
            <v>8</v>
          </cell>
        </row>
        <row r="8089">
          <cell r="A8089">
            <v>2019</v>
          </cell>
          <cell r="B8089" t="str">
            <v>Budget</v>
          </cell>
          <cell r="C8089" t="str">
            <v>Aug</v>
          </cell>
          <cell r="D8089" t="str">
            <v>Chairs</v>
          </cell>
          <cell r="E8089">
            <v>592643.83499999996</v>
          </cell>
          <cell r="F8089">
            <v>8</v>
          </cell>
        </row>
        <row r="8090">
          <cell r="A8090">
            <v>2019</v>
          </cell>
          <cell r="B8090" t="str">
            <v>Actual</v>
          </cell>
          <cell r="C8090" t="str">
            <v>Aug</v>
          </cell>
          <cell r="D8090" t="str">
            <v>Tables</v>
          </cell>
          <cell r="E8090">
            <v>44518.383000000002</v>
          </cell>
          <cell r="F8090">
            <v>8</v>
          </cell>
        </row>
        <row r="8091">
          <cell r="A8091">
            <v>2019</v>
          </cell>
          <cell r="B8091" t="str">
            <v>Budget</v>
          </cell>
          <cell r="C8091" t="str">
            <v>Aug</v>
          </cell>
          <cell r="D8091" t="str">
            <v>Kitchen</v>
          </cell>
          <cell r="E8091">
            <v>257845.25899999999</v>
          </cell>
          <cell r="F8091">
            <v>8</v>
          </cell>
        </row>
        <row r="8092">
          <cell r="A8092">
            <v>2019</v>
          </cell>
          <cell r="B8092" t="str">
            <v>Actual</v>
          </cell>
          <cell r="C8092" t="str">
            <v>Aug</v>
          </cell>
          <cell r="D8092" t="str">
            <v>Chairs</v>
          </cell>
          <cell r="E8092">
            <v>4009783.6099999994</v>
          </cell>
          <cell r="F8092">
            <v>8</v>
          </cell>
        </row>
        <row r="8093">
          <cell r="A8093">
            <v>2018</v>
          </cell>
          <cell r="B8093" t="str">
            <v>Budget</v>
          </cell>
          <cell r="C8093" t="str">
            <v>Aug</v>
          </cell>
          <cell r="D8093" t="str">
            <v>Chairs</v>
          </cell>
          <cell r="E8093">
            <v>1116538.3740000001</v>
          </cell>
          <cell r="F8093">
            <v>8</v>
          </cell>
        </row>
        <row r="8094">
          <cell r="A8094">
            <v>2019</v>
          </cell>
          <cell r="B8094" t="str">
            <v>Actual</v>
          </cell>
          <cell r="C8094" t="str">
            <v>Aug</v>
          </cell>
          <cell r="D8094" t="str">
            <v>Chairs</v>
          </cell>
          <cell r="E8094">
            <v>1478902.4109999998</v>
          </cell>
          <cell r="F8094">
            <v>8</v>
          </cell>
        </row>
        <row r="8095">
          <cell r="A8095">
            <v>2018</v>
          </cell>
          <cell r="B8095" t="str">
            <v>Budget</v>
          </cell>
          <cell r="C8095" t="str">
            <v>Aug</v>
          </cell>
          <cell r="D8095" t="str">
            <v>Tables</v>
          </cell>
          <cell r="E8095">
            <v>802607.87599999993</v>
          </cell>
          <cell r="F8095">
            <v>8</v>
          </cell>
        </row>
        <row r="8096">
          <cell r="A8096">
            <v>2019</v>
          </cell>
          <cell r="B8096" t="str">
            <v>Actual</v>
          </cell>
          <cell r="C8096" t="str">
            <v>Aug</v>
          </cell>
          <cell r="D8096" t="str">
            <v>Kitchen</v>
          </cell>
          <cell r="E8096">
            <v>429268.99400000001</v>
          </cell>
          <cell r="F8096">
            <v>8</v>
          </cell>
        </row>
        <row r="8097">
          <cell r="A8097">
            <v>2019</v>
          </cell>
          <cell r="B8097" t="str">
            <v>Budget</v>
          </cell>
          <cell r="C8097" t="str">
            <v>Aug</v>
          </cell>
          <cell r="D8097" t="str">
            <v>Chairs</v>
          </cell>
          <cell r="E8097">
            <v>834293.56499999994</v>
          </cell>
          <cell r="F8097">
            <v>8</v>
          </cell>
        </row>
        <row r="8098">
          <cell r="A8098">
            <v>2019</v>
          </cell>
          <cell r="B8098" t="str">
            <v>Actual</v>
          </cell>
          <cell r="C8098" t="str">
            <v>Aug</v>
          </cell>
          <cell r="D8098" t="str">
            <v>Chairs</v>
          </cell>
          <cell r="E8098">
            <v>1407381.4649999999</v>
          </cell>
          <cell r="F8098">
            <v>8</v>
          </cell>
        </row>
        <row r="8099">
          <cell r="A8099">
            <v>2018</v>
          </cell>
          <cell r="B8099" t="str">
            <v>Budget</v>
          </cell>
          <cell r="C8099" t="str">
            <v>Aug</v>
          </cell>
          <cell r="D8099" t="str">
            <v>Tables</v>
          </cell>
          <cell r="E8099">
            <v>17210166.638</v>
          </cell>
          <cell r="F8099">
            <v>8</v>
          </cell>
        </row>
        <row r="8100">
          <cell r="A8100">
            <v>2019</v>
          </cell>
          <cell r="B8100" t="str">
            <v>Actual</v>
          </cell>
          <cell r="C8100" t="str">
            <v>Aug</v>
          </cell>
          <cell r="D8100" t="str">
            <v>Kitchen</v>
          </cell>
          <cell r="E8100">
            <v>1087302.23</v>
          </cell>
          <cell r="F8100">
            <v>8</v>
          </cell>
        </row>
        <row r="8101">
          <cell r="A8101">
            <v>2019</v>
          </cell>
          <cell r="B8101" t="str">
            <v>Budget</v>
          </cell>
          <cell r="C8101" t="str">
            <v>Aug</v>
          </cell>
          <cell r="D8101" t="str">
            <v>Chairs</v>
          </cell>
          <cell r="E8101">
            <v>4794424.9289999995</v>
          </cell>
          <cell r="F8101">
            <v>8</v>
          </cell>
        </row>
        <row r="8102">
          <cell r="A8102">
            <v>2018</v>
          </cell>
          <cell r="B8102" t="str">
            <v>Actual</v>
          </cell>
          <cell r="C8102" t="str">
            <v>Aug</v>
          </cell>
          <cell r="D8102" t="str">
            <v>Chairs</v>
          </cell>
          <cell r="E8102">
            <v>1090895.7709999999</v>
          </cell>
          <cell r="F8102">
            <v>8</v>
          </cell>
        </row>
        <row r="8103">
          <cell r="A8103">
            <v>2018</v>
          </cell>
          <cell r="B8103" t="str">
            <v>Budget</v>
          </cell>
          <cell r="C8103" t="str">
            <v>Aug</v>
          </cell>
          <cell r="D8103" t="str">
            <v>Chairs</v>
          </cell>
          <cell r="E8103">
            <v>1803395.9719999998</v>
          </cell>
          <cell r="F8103">
            <v>8</v>
          </cell>
        </row>
        <row r="8104">
          <cell r="A8104">
            <v>2018</v>
          </cell>
          <cell r="B8104" t="str">
            <v>Actual</v>
          </cell>
          <cell r="C8104" t="str">
            <v>Aug</v>
          </cell>
          <cell r="D8104" t="str">
            <v>Tables</v>
          </cell>
          <cell r="E8104">
            <v>932881.41099999996</v>
          </cell>
          <cell r="F8104">
            <v>8</v>
          </cell>
        </row>
        <row r="8105">
          <cell r="A8105">
            <v>2019</v>
          </cell>
          <cell r="B8105" t="str">
            <v>Budget</v>
          </cell>
          <cell r="C8105" t="str">
            <v>Aug</v>
          </cell>
          <cell r="D8105" t="str">
            <v>Kitchen</v>
          </cell>
          <cell r="E8105">
            <v>16949.38</v>
          </cell>
          <cell r="F8105">
            <v>8</v>
          </cell>
        </row>
        <row r="8106">
          <cell r="A8106">
            <v>2019</v>
          </cell>
          <cell r="B8106" t="str">
            <v>Actual</v>
          </cell>
          <cell r="C8106" t="str">
            <v>Aug</v>
          </cell>
          <cell r="D8106" t="str">
            <v>Accessories</v>
          </cell>
          <cell r="E8106">
            <v>1458872.702</v>
          </cell>
          <cell r="F8106">
            <v>8</v>
          </cell>
        </row>
        <row r="8107">
          <cell r="A8107">
            <v>2019</v>
          </cell>
          <cell r="B8107" t="str">
            <v>Budget</v>
          </cell>
          <cell r="C8107" t="str">
            <v>Aug</v>
          </cell>
          <cell r="D8107" t="str">
            <v>Chairs</v>
          </cell>
          <cell r="E8107">
            <v>2313797.3810000001</v>
          </cell>
          <cell r="F8107">
            <v>8</v>
          </cell>
        </row>
        <row r="8108">
          <cell r="A8108">
            <v>2018</v>
          </cell>
          <cell r="B8108" t="str">
            <v>Actual</v>
          </cell>
          <cell r="C8108" t="str">
            <v>Aug</v>
          </cell>
          <cell r="D8108" t="str">
            <v>Tables</v>
          </cell>
          <cell r="E8108">
            <v>109394.432</v>
          </cell>
          <cell r="F8108">
            <v>8</v>
          </cell>
        </row>
        <row r="8109">
          <cell r="A8109">
            <v>2019</v>
          </cell>
          <cell r="B8109" t="str">
            <v>Budget</v>
          </cell>
          <cell r="C8109" t="str">
            <v>Aug</v>
          </cell>
          <cell r="D8109" t="str">
            <v>Kitchen</v>
          </cell>
          <cell r="E8109">
            <v>1029342.2649999999</v>
          </cell>
          <cell r="F8109">
            <v>8</v>
          </cell>
        </row>
        <row r="8110">
          <cell r="A8110">
            <v>2018</v>
          </cell>
          <cell r="B8110" t="str">
            <v>Actual</v>
          </cell>
          <cell r="C8110" t="str">
            <v>Aug</v>
          </cell>
          <cell r="D8110" t="str">
            <v>Accessories</v>
          </cell>
          <cell r="E8110">
            <v>487498.06</v>
          </cell>
          <cell r="F8110">
            <v>8</v>
          </cell>
        </row>
        <row r="8111">
          <cell r="A8111">
            <v>2018</v>
          </cell>
          <cell r="B8111" t="str">
            <v>Budget</v>
          </cell>
          <cell r="C8111" t="str">
            <v>Aug</v>
          </cell>
          <cell r="D8111" t="str">
            <v>Chairs</v>
          </cell>
          <cell r="E8111">
            <v>2407439.79</v>
          </cell>
          <cell r="F8111">
            <v>8</v>
          </cell>
        </row>
        <row r="8112">
          <cell r="A8112">
            <v>2018</v>
          </cell>
          <cell r="B8112" t="str">
            <v>Actual</v>
          </cell>
          <cell r="C8112" t="str">
            <v>Aug</v>
          </cell>
          <cell r="D8112" t="str">
            <v>Tables</v>
          </cell>
          <cell r="E8112">
            <v>607758.20699999994</v>
          </cell>
          <cell r="F8112">
            <v>8</v>
          </cell>
        </row>
        <row r="8113">
          <cell r="A8113">
            <v>2019</v>
          </cell>
          <cell r="B8113" t="str">
            <v>Budget</v>
          </cell>
          <cell r="C8113" t="str">
            <v>Aug</v>
          </cell>
          <cell r="D8113" t="str">
            <v>Kitchen</v>
          </cell>
          <cell r="E8113">
            <v>407866.15100000001</v>
          </cell>
          <cell r="F8113">
            <v>8</v>
          </cell>
        </row>
        <row r="8114">
          <cell r="A8114">
            <v>2018</v>
          </cell>
          <cell r="B8114" t="str">
            <v>Actual</v>
          </cell>
          <cell r="C8114" t="str">
            <v>Aug</v>
          </cell>
          <cell r="D8114" t="str">
            <v>Accessories</v>
          </cell>
          <cell r="E8114">
            <v>1688341.0739999998</v>
          </cell>
          <cell r="F8114">
            <v>8</v>
          </cell>
        </row>
        <row r="8115">
          <cell r="A8115">
            <v>2018</v>
          </cell>
          <cell r="B8115" t="str">
            <v>Budget</v>
          </cell>
          <cell r="C8115" t="str">
            <v>Aug</v>
          </cell>
          <cell r="D8115" t="str">
            <v>Chairs</v>
          </cell>
          <cell r="E8115">
            <v>531172.33399999992</v>
          </cell>
          <cell r="F8115">
            <v>8</v>
          </cell>
        </row>
        <row r="8116">
          <cell r="A8116">
            <v>2018</v>
          </cell>
          <cell r="B8116" t="str">
            <v>Actual</v>
          </cell>
          <cell r="C8116" t="str">
            <v>Aug</v>
          </cell>
          <cell r="D8116" t="str">
            <v>Tables</v>
          </cell>
          <cell r="E8116">
            <v>1512686.1400000001</v>
          </cell>
          <cell r="F8116">
            <v>8</v>
          </cell>
        </row>
        <row r="8117">
          <cell r="A8117">
            <v>2018</v>
          </cell>
          <cell r="B8117" t="str">
            <v>Budget</v>
          </cell>
          <cell r="C8117" t="str">
            <v>Aug</v>
          </cell>
          <cell r="D8117" t="str">
            <v>Kitchen</v>
          </cell>
          <cell r="E8117">
            <v>1821351.476</v>
          </cell>
          <cell r="F8117">
            <v>8</v>
          </cell>
        </row>
        <row r="8118">
          <cell r="A8118">
            <v>2018</v>
          </cell>
          <cell r="B8118" t="str">
            <v>Actual</v>
          </cell>
          <cell r="C8118" t="str">
            <v>Aug</v>
          </cell>
          <cell r="D8118" t="str">
            <v>Accessories</v>
          </cell>
          <cell r="E8118">
            <v>125125.966</v>
          </cell>
          <cell r="F8118">
            <v>8</v>
          </cell>
        </row>
        <row r="8119">
          <cell r="A8119">
            <v>2018</v>
          </cell>
          <cell r="B8119" t="str">
            <v>Budget</v>
          </cell>
          <cell r="C8119" t="str">
            <v>Aug</v>
          </cell>
          <cell r="D8119" t="str">
            <v>Chairs</v>
          </cell>
          <cell r="E8119">
            <v>3680314.4629999995</v>
          </cell>
          <cell r="F8119">
            <v>8</v>
          </cell>
        </row>
        <row r="8120">
          <cell r="A8120">
            <v>2018</v>
          </cell>
          <cell r="B8120" t="str">
            <v>Actual</v>
          </cell>
          <cell r="C8120" t="str">
            <v>Aug</v>
          </cell>
          <cell r="D8120" t="str">
            <v>Chairs</v>
          </cell>
          <cell r="E8120">
            <v>1390497.4439999999</v>
          </cell>
          <cell r="F8120">
            <v>8</v>
          </cell>
        </row>
        <row r="8121">
          <cell r="A8121">
            <v>2019</v>
          </cell>
          <cell r="B8121" t="str">
            <v>Budget</v>
          </cell>
          <cell r="C8121" t="str">
            <v>Aug</v>
          </cell>
          <cell r="D8121" t="str">
            <v>Tables</v>
          </cell>
          <cell r="E8121">
            <v>607587.87600000005</v>
          </cell>
          <cell r="F8121">
            <v>8</v>
          </cell>
        </row>
        <row r="8122">
          <cell r="A8122">
            <v>2018</v>
          </cell>
          <cell r="B8122" t="str">
            <v>Actual</v>
          </cell>
          <cell r="C8122" t="str">
            <v>Aug</v>
          </cell>
          <cell r="D8122" t="str">
            <v>Kitchen</v>
          </cell>
          <cell r="E8122">
            <v>1134498.3089999999</v>
          </cell>
          <cell r="F8122">
            <v>8</v>
          </cell>
        </row>
        <row r="8123">
          <cell r="A8123">
            <v>2018</v>
          </cell>
          <cell r="B8123" t="str">
            <v>Budget</v>
          </cell>
          <cell r="C8123" t="str">
            <v>Aug</v>
          </cell>
          <cell r="D8123" t="str">
            <v>Chairs</v>
          </cell>
          <cell r="E8123">
            <v>122597.99999999999</v>
          </cell>
          <cell r="F8123">
            <v>8</v>
          </cell>
        </row>
        <row r="8124">
          <cell r="A8124">
            <v>2018</v>
          </cell>
          <cell r="B8124" t="str">
            <v>Actual</v>
          </cell>
          <cell r="C8124" t="str">
            <v>Aug</v>
          </cell>
          <cell r="D8124" t="str">
            <v>Tables</v>
          </cell>
          <cell r="E8124">
            <v>351059.65299999999</v>
          </cell>
          <cell r="F8124">
            <v>8</v>
          </cell>
        </row>
        <row r="8125">
          <cell r="A8125">
            <v>2019</v>
          </cell>
          <cell r="B8125" t="str">
            <v>Budget</v>
          </cell>
          <cell r="C8125" t="str">
            <v>Aug</v>
          </cell>
          <cell r="D8125" t="str">
            <v>Kitchen</v>
          </cell>
          <cell r="E8125">
            <v>776380.45099999988</v>
          </cell>
          <cell r="F8125">
            <v>8</v>
          </cell>
        </row>
        <row r="8126">
          <cell r="A8126">
            <v>2018</v>
          </cell>
          <cell r="B8126" t="str">
            <v>Actual</v>
          </cell>
          <cell r="C8126" t="str">
            <v>Aug</v>
          </cell>
          <cell r="D8126" t="str">
            <v>Chairs</v>
          </cell>
          <cell r="E8126">
            <v>246500.09999999998</v>
          </cell>
          <cell r="F8126">
            <v>8</v>
          </cell>
        </row>
        <row r="8127">
          <cell r="A8127">
            <v>2019</v>
          </cell>
          <cell r="B8127" t="str">
            <v>Budget</v>
          </cell>
          <cell r="C8127" t="str">
            <v>Aug</v>
          </cell>
          <cell r="D8127" t="str">
            <v>Tables</v>
          </cell>
          <cell r="E8127">
            <v>2349496.926</v>
          </cell>
          <cell r="F8127">
            <v>8</v>
          </cell>
        </row>
        <row r="8128">
          <cell r="A8128">
            <v>2018</v>
          </cell>
          <cell r="B8128" t="str">
            <v>Actual</v>
          </cell>
          <cell r="C8128" t="str">
            <v>Aug</v>
          </cell>
          <cell r="D8128" t="str">
            <v>Kitchen</v>
          </cell>
          <cell r="E8128">
            <v>2570270.6119999997</v>
          </cell>
          <cell r="F8128">
            <v>8</v>
          </cell>
        </row>
        <row r="8129">
          <cell r="A8129">
            <v>2018</v>
          </cell>
          <cell r="B8129" t="str">
            <v>Budget</v>
          </cell>
          <cell r="C8129" t="str">
            <v>Aug</v>
          </cell>
          <cell r="D8129" t="str">
            <v>Chairs</v>
          </cell>
          <cell r="E8129">
            <v>367879.28799999994</v>
          </cell>
          <cell r="F8129">
            <v>8</v>
          </cell>
        </row>
        <row r="8130">
          <cell r="A8130">
            <v>2018</v>
          </cell>
          <cell r="B8130" t="str">
            <v>Actual</v>
          </cell>
          <cell r="C8130" t="str">
            <v>Aug</v>
          </cell>
          <cell r="D8130" t="str">
            <v>Chairs</v>
          </cell>
          <cell r="E8130">
            <v>686067.14399999997</v>
          </cell>
          <cell r="F8130">
            <v>8</v>
          </cell>
        </row>
        <row r="8131">
          <cell r="A8131">
            <v>2018</v>
          </cell>
          <cell r="B8131" t="str">
            <v>Budget</v>
          </cell>
          <cell r="C8131" t="str">
            <v>Aug</v>
          </cell>
          <cell r="D8131" t="str">
            <v>Chairs</v>
          </cell>
          <cell r="E8131">
            <v>1327306.26</v>
          </cell>
          <cell r="F8131">
            <v>8</v>
          </cell>
        </row>
        <row r="8132">
          <cell r="A8132">
            <v>2019</v>
          </cell>
          <cell r="B8132" t="str">
            <v>Actual</v>
          </cell>
          <cell r="C8132" t="str">
            <v>Aug</v>
          </cell>
          <cell r="D8132" t="str">
            <v>Chairs</v>
          </cell>
          <cell r="E8132">
            <v>5837911.5269999998</v>
          </cell>
          <cell r="F8132">
            <v>8</v>
          </cell>
        </row>
        <row r="8133">
          <cell r="A8133">
            <v>2019</v>
          </cell>
          <cell r="B8133" t="str">
            <v>Budget</v>
          </cell>
          <cell r="C8133" t="str">
            <v>Aug</v>
          </cell>
          <cell r="D8133" t="str">
            <v>Chairs</v>
          </cell>
          <cell r="E8133">
            <v>25237.359</v>
          </cell>
          <cell r="F8133">
            <v>8</v>
          </cell>
        </row>
        <row r="8134">
          <cell r="A8134">
            <v>2019</v>
          </cell>
          <cell r="B8134" t="str">
            <v>Actual</v>
          </cell>
          <cell r="C8134" t="str">
            <v>Aug</v>
          </cell>
          <cell r="D8134" t="str">
            <v>Chairs</v>
          </cell>
          <cell r="E8134">
            <v>1612840.7609999999</v>
          </cell>
          <cell r="F8134">
            <v>8</v>
          </cell>
        </row>
        <row r="8135">
          <cell r="A8135">
            <v>2018</v>
          </cell>
          <cell r="B8135" t="str">
            <v>Budget</v>
          </cell>
          <cell r="C8135" t="str">
            <v>Aug</v>
          </cell>
          <cell r="D8135" t="str">
            <v>Chairs</v>
          </cell>
          <cell r="E8135">
            <v>3971567.8379999995</v>
          </cell>
          <cell r="F8135">
            <v>8</v>
          </cell>
        </row>
        <row r="8136">
          <cell r="A8136">
            <v>2018</v>
          </cell>
          <cell r="B8136" t="str">
            <v>Actual</v>
          </cell>
          <cell r="C8136" t="str">
            <v>Aug</v>
          </cell>
          <cell r="D8136" t="str">
            <v>Chairs</v>
          </cell>
          <cell r="E8136">
            <v>6233247.8109999998</v>
          </cell>
          <cell r="F8136">
            <v>8</v>
          </cell>
        </row>
        <row r="8137">
          <cell r="A8137">
            <v>2019</v>
          </cell>
          <cell r="B8137" t="str">
            <v>Budget</v>
          </cell>
          <cell r="C8137" t="str">
            <v>Aug</v>
          </cell>
          <cell r="D8137" t="str">
            <v>Chairs</v>
          </cell>
          <cell r="E8137">
            <v>130590.22899999999</v>
          </cell>
          <cell r="F8137">
            <v>8</v>
          </cell>
        </row>
        <row r="8138">
          <cell r="A8138">
            <v>2018</v>
          </cell>
          <cell r="B8138" t="str">
            <v>Actual</v>
          </cell>
          <cell r="C8138" t="str">
            <v>Aug</v>
          </cell>
          <cell r="D8138" t="str">
            <v>Chairs</v>
          </cell>
          <cell r="E8138">
            <v>433610.58999999997</v>
          </cell>
          <cell r="F8138">
            <v>8</v>
          </cell>
        </row>
        <row r="8139">
          <cell r="A8139">
            <v>2018</v>
          </cell>
          <cell r="B8139" t="str">
            <v>Budget</v>
          </cell>
          <cell r="C8139" t="str">
            <v>Aug</v>
          </cell>
          <cell r="D8139" t="str">
            <v>Chairs</v>
          </cell>
          <cell r="E8139">
            <v>52108.993999999999</v>
          </cell>
          <cell r="F8139">
            <v>8</v>
          </cell>
        </row>
        <row r="8140">
          <cell r="A8140">
            <v>2019</v>
          </cell>
          <cell r="B8140" t="str">
            <v>Actual</v>
          </cell>
          <cell r="C8140" t="str">
            <v>Aug</v>
          </cell>
          <cell r="D8140" t="str">
            <v>Chairs</v>
          </cell>
          <cell r="E8140">
            <v>68434.582999999999</v>
          </cell>
          <cell r="F8140">
            <v>8</v>
          </cell>
        </row>
        <row r="8141">
          <cell r="A8141">
            <v>2019</v>
          </cell>
          <cell r="B8141" t="str">
            <v>Budget</v>
          </cell>
          <cell r="C8141" t="str">
            <v>Aug</v>
          </cell>
          <cell r="D8141" t="str">
            <v>Chairs</v>
          </cell>
          <cell r="E8141">
            <v>50974.104999999996</v>
          </cell>
          <cell r="F8141">
            <v>8</v>
          </cell>
        </row>
        <row r="8142">
          <cell r="A8142">
            <v>2018</v>
          </cell>
          <cell r="B8142" t="str">
            <v>Actual</v>
          </cell>
          <cell r="C8142" t="str">
            <v>Aug</v>
          </cell>
          <cell r="D8142" t="str">
            <v>Chairs</v>
          </cell>
          <cell r="E8142">
            <v>1283443.7419999999</v>
          </cell>
          <cell r="F8142">
            <v>8</v>
          </cell>
        </row>
        <row r="8143">
          <cell r="A8143">
            <v>2019</v>
          </cell>
          <cell r="B8143" t="str">
            <v>Budget</v>
          </cell>
          <cell r="C8143" t="str">
            <v>Aug</v>
          </cell>
          <cell r="D8143" t="str">
            <v>Chairs</v>
          </cell>
          <cell r="E8143">
            <v>3352225.5969999996</v>
          </cell>
          <cell r="F8143">
            <v>8</v>
          </cell>
        </row>
        <row r="8144">
          <cell r="A8144">
            <v>2018</v>
          </cell>
          <cell r="B8144" t="str">
            <v>Actual</v>
          </cell>
          <cell r="C8144" t="str">
            <v>Aug</v>
          </cell>
          <cell r="D8144" t="str">
            <v>Chairs</v>
          </cell>
          <cell r="E8144">
            <v>112603.95299999999</v>
          </cell>
          <cell r="F8144">
            <v>8</v>
          </cell>
        </row>
        <row r="8145">
          <cell r="A8145">
            <v>2018</v>
          </cell>
          <cell r="B8145" t="str">
            <v>Budget</v>
          </cell>
          <cell r="C8145" t="str">
            <v>Aug</v>
          </cell>
          <cell r="D8145" t="str">
            <v>Chairs</v>
          </cell>
          <cell r="E8145">
            <v>451261.30699999997</v>
          </cell>
          <cell r="F8145">
            <v>8</v>
          </cell>
        </row>
        <row r="8146">
          <cell r="A8146">
            <v>2018</v>
          </cell>
          <cell r="B8146" t="str">
            <v>Actual</v>
          </cell>
          <cell r="C8146" t="str">
            <v>Aug</v>
          </cell>
          <cell r="D8146" t="str">
            <v>Chairs</v>
          </cell>
          <cell r="E8146">
            <v>38380.832000000002</v>
          </cell>
          <cell r="F8146">
            <v>8</v>
          </cell>
        </row>
        <row r="8147">
          <cell r="A8147">
            <v>2019</v>
          </cell>
          <cell r="B8147" t="str">
            <v>Budget</v>
          </cell>
          <cell r="C8147" t="str">
            <v>Aug</v>
          </cell>
          <cell r="D8147" t="str">
            <v>Chairs</v>
          </cell>
          <cell r="E8147">
            <v>99659.875</v>
          </cell>
          <cell r="F8147">
            <v>8</v>
          </cell>
        </row>
        <row r="8148">
          <cell r="A8148">
            <v>2018</v>
          </cell>
          <cell r="B8148" t="str">
            <v>Actual</v>
          </cell>
          <cell r="C8148" t="str">
            <v>Aug</v>
          </cell>
          <cell r="D8148" t="str">
            <v>Chairs</v>
          </cell>
          <cell r="E8148">
            <v>207195.905</v>
          </cell>
          <cell r="F8148">
            <v>8</v>
          </cell>
        </row>
        <row r="8149">
          <cell r="A8149">
            <v>2018</v>
          </cell>
          <cell r="B8149" t="str">
            <v>Budget</v>
          </cell>
          <cell r="C8149" t="str">
            <v>Aug</v>
          </cell>
          <cell r="D8149" t="str">
            <v>Chairs</v>
          </cell>
          <cell r="E8149">
            <v>1225748.2649999999</v>
          </cell>
          <cell r="F8149">
            <v>8</v>
          </cell>
        </row>
        <row r="8150">
          <cell r="A8150">
            <v>2018</v>
          </cell>
          <cell r="B8150" t="str">
            <v>Actual</v>
          </cell>
          <cell r="C8150" t="str">
            <v>Aug</v>
          </cell>
          <cell r="D8150" t="str">
            <v>Chairs</v>
          </cell>
          <cell r="E8150">
            <v>409978.05799999996</v>
          </cell>
          <cell r="F8150">
            <v>8</v>
          </cell>
        </row>
        <row r="8151">
          <cell r="A8151">
            <v>2019</v>
          </cell>
          <cell r="B8151" t="str">
            <v>Budget</v>
          </cell>
          <cell r="C8151" t="str">
            <v>Aug</v>
          </cell>
          <cell r="D8151" t="str">
            <v>Chairs</v>
          </cell>
          <cell r="E8151">
            <v>31129.545999999998</v>
          </cell>
          <cell r="F8151">
            <v>8</v>
          </cell>
        </row>
        <row r="8152">
          <cell r="A8152">
            <v>2019</v>
          </cell>
          <cell r="B8152" t="str">
            <v>Actual</v>
          </cell>
          <cell r="C8152" t="str">
            <v>Aug</v>
          </cell>
          <cell r="D8152" t="str">
            <v>Chairs</v>
          </cell>
          <cell r="E8152">
            <v>85993.754000000001</v>
          </cell>
          <cell r="F8152">
            <v>8</v>
          </cell>
        </row>
        <row r="8153">
          <cell r="A8153">
            <v>2019</v>
          </cell>
          <cell r="B8153" t="str">
            <v>Budget</v>
          </cell>
          <cell r="C8153" t="str">
            <v>Aug</v>
          </cell>
          <cell r="D8153" t="str">
            <v>Chairs</v>
          </cell>
          <cell r="E8153">
            <v>544.08199999999999</v>
          </cell>
          <cell r="F8153">
            <v>8</v>
          </cell>
        </row>
        <row r="8154">
          <cell r="A8154">
            <v>2019</v>
          </cell>
          <cell r="B8154" t="str">
            <v>Actual</v>
          </cell>
          <cell r="C8154" t="str">
            <v>Aug</v>
          </cell>
          <cell r="D8154" t="str">
            <v>Chairs</v>
          </cell>
          <cell r="E8154">
            <v>27886.704999999998</v>
          </cell>
          <cell r="F8154">
            <v>8</v>
          </cell>
        </row>
        <row r="8155">
          <cell r="A8155">
            <v>2018</v>
          </cell>
          <cell r="B8155" t="str">
            <v>Budget</v>
          </cell>
          <cell r="C8155" t="str">
            <v>Aug</v>
          </cell>
          <cell r="D8155" t="str">
            <v>Tables</v>
          </cell>
          <cell r="E8155">
            <v>56056.447999999997</v>
          </cell>
          <cell r="F8155">
            <v>8</v>
          </cell>
        </row>
        <row r="8156">
          <cell r="A8156">
            <v>2019</v>
          </cell>
          <cell r="B8156" t="str">
            <v>Actual</v>
          </cell>
          <cell r="C8156" t="str">
            <v>Aug</v>
          </cell>
          <cell r="D8156" t="str">
            <v>Kitchen</v>
          </cell>
          <cell r="E8156">
            <v>19202.001</v>
          </cell>
          <cell r="F8156">
            <v>8</v>
          </cell>
        </row>
        <row r="8157">
          <cell r="A8157">
            <v>2019</v>
          </cell>
          <cell r="B8157" t="str">
            <v>Budget</v>
          </cell>
          <cell r="C8157" t="str">
            <v>Aug</v>
          </cell>
          <cell r="D8157" t="str">
            <v>Chairs</v>
          </cell>
          <cell r="E8157">
            <v>51164.553999999996</v>
          </cell>
          <cell r="F8157">
            <v>8</v>
          </cell>
        </row>
        <row r="8158">
          <cell r="A8158">
            <v>2019</v>
          </cell>
          <cell r="B8158" t="str">
            <v>Actual</v>
          </cell>
          <cell r="C8158" t="str">
            <v>Aug</v>
          </cell>
          <cell r="D8158" t="str">
            <v>Chairs</v>
          </cell>
          <cell r="E8158">
            <v>118650.728</v>
          </cell>
          <cell r="F8158">
            <v>8</v>
          </cell>
        </row>
        <row r="8159">
          <cell r="A8159">
            <v>2018</v>
          </cell>
          <cell r="B8159" t="str">
            <v>Budget</v>
          </cell>
          <cell r="C8159" t="str">
            <v>Aug</v>
          </cell>
          <cell r="D8159" t="str">
            <v>Chairs</v>
          </cell>
          <cell r="E8159">
            <v>111892.41699999999</v>
          </cell>
          <cell r="F8159">
            <v>8</v>
          </cell>
        </row>
        <row r="8160">
          <cell r="A8160">
            <v>2018</v>
          </cell>
          <cell r="B8160" t="str">
            <v>Actual</v>
          </cell>
          <cell r="C8160" t="str">
            <v>Aug</v>
          </cell>
          <cell r="D8160" t="str">
            <v>Chairs</v>
          </cell>
          <cell r="E8160">
            <v>44393.559000000001</v>
          </cell>
          <cell r="F8160">
            <v>8</v>
          </cell>
        </row>
        <row r="8161">
          <cell r="A8161">
            <v>2019</v>
          </cell>
          <cell r="B8161" t="str">
            <v>Budget</v>
          </cell>
          <cell r="C8161" t="str">
            <v>Aug</v>
          </cell>
          <cell r="D8161" t="str">
            <v>Chairs</v>
          </cell>
          <cell r="E8161">
            <v>1807.3019999999999</v>
          </cell>
          <cell r="F8161">
            <v>8</v>
          </cell>
        </row>
        <row r="8162">
          <cell r="A8162">
            <v>2018</v>
          </cell>
          <cell r="B8162" t="str">
            <v>Actual</v>
          </cell>
          <cell r="C8162" t="str">
            <v>Aug</v>
          </cell>
          <cell r="D8162" t="str">
            <v>Tables</v>
          </cell>
          <cell r="E8162">
            <v>112206.66799999999</v>
          </cell>
          <cell r="F8162">
            <v>8</v>
          </cell>
        </row>
        <row r="8163">
          <cell r="A8163">
            <v>2019</v>
          </cell>
          <cell r="B8163" t="str">
            <v>Budget</v>
          </cell>
          <cell r="C8163" t="str">
            <v>Aug</v>
          </cell>
          <cell r="D8163" t="str">
            <v>Kitchen</v>
          </cell>
          <cell r="E8163">
            <v>95448.835999999996</v>
          </cell>
          <cell r="F8163">
            <v>8</v>
          </cell>
        </row>
        <row r="8164">
          <cell r="A8164">
            <v>2018</v>
          </cell>
          <cell r="B8164" t="str">
            <v>Actual</v>
          </cell>
          <cell r="C8164" t="str">
            <v>Aug</v>
          </cell>
          <cell r="D8164" t="str">
            <v>Chairs</v>
          </cell>
          <cell r="E8164">
            <v>111761.19499999999</v>
          </cell>
          <cell r="F8164">
            <v>8</v>
          </cell>
        </row>
        <row r="8165">
          <cell r="A8165">
            <v>2019</v>
          </cell>
          <cell r="B8165" t="str">
            <v>Budget</v>
          </cell>
          <cell r="C8165" t="str">
            <v>Aug</v>
          </cell>
          <cell r="D8165" t="str">
            <v>Chairs</v>
          </cell>
          <cell r="E8165">
            <v>70888.614999999991</v>
          </cell>
          <cell r="F8165">
            <v>8</v>
          </cell>
        </row>
        <row r="8166">
          <cell r="A8166">
            <v>2019</v>
          </cell>
          <cell r="B8166" t="str">
            <v>Actual</v>
          </cell>
          <cell r="C8166" t="str">
            <v>Aug</v>
          </cell>
          <cell r="D8166" t="str">
            <v>Chairs</v>
          </cell>
          <cell r="E8166">
            <v>50992.528999999995</v>
          </cell>
          <cell r="F8166">
            <v>8</v>
          </cell>
        </row>
        <row r="8167">
          <cell r="A8167">
            <v>2018</v>
          </cell>
          <cell r="B8167" t="str">
            <v>Budget</v>
          </cell>
          <cell r="C8167" t="str">
            <v>Aug</v>
          </cell>
          <cell r="D8167" t="str">
            <v>Tables</v>
          </cell>
          <cell r="E8167">
            <v>137908.22499999998</v>
          </cell>
          <cell r="F8167">
            <v>8</v>
          </cell>
        </row>
        <row r="8168">
          <cell r="A8168">
            <v>2019</v>
          </cell>
          <cell r="B8168" t="str">
            <v>Actual</v>
          </cell>
          <cell r="C8168" t="str">
            <v>Aug</v>
          </cell>
          <cell r="D8168" t="str">
            <v>Kitchen</v>
          </cell>
          <cell r="E8168">
            <v>89915.322</v>
          </cell>
          <cell r="F8168">
            <v>8</v>
          </cell>
        </row>
        <row r="8169">
          <cell r="A8169">
            <v>2019</v>
          </cell>
          <cell r="B8169" t="str">
            <v>Budget</v>
          </cell>
          <cell r="C8169" t="str">
            <v>Aug</v>
          </cell>
          <cell r="D8169" t="str">
            <v>Chairs</v>
          </cell>
          <cell r="E8169">
            <v>69172.172999999995</v>
          </cell>
          <cell r="F8169">
            <v>8</v>
          </cell>
        </row>
        <row r="8170">
          <cell r="A8170">
            <v>2019</v>
          </cell>
          <cell r="B8170" t="str">
            <v>Actual</v>
          </cell>
          <cell r="C8170" t="str">
            <v>Aug</v>
          </cell>
          <cell r="D8170" t="str">
            <v>Chairs</v>
          </cell>
          <cell r="E8170">
            <v>316916.78200000001</v>
          </cell>
          <cell r="F8170">
            <v>8</v>
          </cell>
        </row>
        <row r="8171">
          <cell r="A8171">
            <v>2018</v>
          </cell>
          <cell r="B8171" t="str">
            <v>Budget</v>
          </cell>
          <cell r="C8171" t="str">
            <v>Aug</v>
          </cell>
          <cell r="D8171" t="str">
            <v>Tables</v>
          </cell>
          <cell r="E8171">
            <v>64221.387999999992</v>
          </cell>
          <cell r="F8171">
            <v>8</v>
          </cell>
        </row>
        <row r="8172">
          <cell r="A8172">
            <v>2018</v>
          </cell>
          <cell r="B8172" t="str">
            <v>Actual</v>
          </cell>
          <cell r="C8172" t="str">
            <v>Aug</v>
          </cell>
          <cell r="D8172" t="str">
            <v>Kitchen</v>
          </cell>
          <cell r="E8172">
            <v>650009.19200000004</v>
          </cell>
          <cell r="F8172">
            <v>8</v>
          </cell>
        </row>
        <row r="8173">
          <cell r="A8173">
            <v>2018</v>
          </cell>
          <cell r="B8173" t="str">
            <v>Budget</v>
          </cell>
          <cell r="C8173" t="str">
            <v>Aug</v>
          </cell>
          <cell r="D8173" t="str">
            <v>Chairs</v>
          </cell>
          <cell r="E8173">
            <v>50386.202999999994</v>
          </cell>
          <cell r="F8173">
            <v>8</v>
          </cell>
        </row>
        <row r="8174">
          <cell r="A8174">
            <v>2018</v>
          </cell>
          <cell r="B8174" t="str">
            <v>Actual</v>
          </cell>
          <cell r="C8174" t="str">
            <v>Aug</v>
          </cell>
          <cell r="D8174" t="str">
            <v>Chairs</v>
          </cell>
          <cell r="E8174">
            <v>81709.956999999995</v>
          </cell>
          <cell r="F8174">
            <v>8</v>
          </cell>
        </row>
        <row r="8175">
          <cell r="A8175">
            <v>2019</v>
          </cell>
          <cell r="B8175" t="str">
            <v>Budget</v>
          </cell>
          <cell r="C8175" t="str">
            <v>Aug</v>
          </cell>
          <cell r="D8175" t="str">
            <v>Chairs</v>
          </cell>
          <cell r="E8175">
            <v>89788.23</v>
          </cell>
          <cell r="F8175">
            <v>8</v>
          </cell>
        </row>
        <row r="8176">
          <cell r="A8176">
            <v>2019</v>
          </cell>
          <cell r="B8176" t="str">
            <v>Actual</v>
          </cell>
          <cell r="C8176" t="str">
            <v>Aug</v>
          </cell>
          <cell r="D8176" t="str">
            <v>Tables</v>
          </cell>
          <cell r="E8176">
            <v>167664.76999999999</v>
          </cell>
          <cell r="F8176">
            <v>8</v>
          </cell>
        </row>
        <row r="8177">
          <cell r="A8177">
            <v>2019</v>
          </cell>
          <cell r="B8177" t="str">
            <v>Budget</v>
          </cell>
          <cell r="C8177" t="str">
            <v>Aug</v>
          </cell>
          <cell r="D8177" t="str">
            <v>Kitchen</v>
          </cell>
          <cell r="E8177">
            <v>1505318.395</v>
          </cell>
          <cell r="F8177">
            <v>8</v>
          </cell>
        </row>
        <row r="8178">
          <cell r="A8178">
            <v>2018</v>
          </cell>
          <cell r="B8178" t="str">
            <v>Actual</v>
          </cell>
          <cell r="C8178" t="str">
            <v>Aug</v>
          </cell>
          <cell r="D8178" t="str">
            <v>Accessories</v>
          </cell>
          <cell r="E8178">
            <v>190901.08800000002</v>
          </cell>
          <cell r="F8178">
            <v>8</v>
          </cell>
        </row>
        <row r="8179">
          <cell r="A8179">
            <v>2018</v>
          </cell>
          <cell r="B8179" t="str">
            <v>Budget</v>
          </cell>
          <cell r="C8179" t="str">
            <v>Aug</v>
          </cell>
          <cell r="D8179" t="str">
            <v>Chairs</v>
          </cell>
          <cell r="E8179">
            <v>1468.663</v>
          </cell>
          <cell r="F8179">
            <v>8</v>
          </cell>
        </row>
        <row r="8180">
          <cell r="A8180">
            <v>2019</v>
          </cell>
          <cell r="B8180" t="str">
            <v>Actual</v>
          </cell>
          <cell r="C8180" t="str">
            <v>Aug</v>
          </cell>
          <cell r="D8180" t="str">
            <v>Tables</v>
          </cell>
          <cell r="E8180">
            <v>266802.53599999996</v>
          </cell>
          <cell r="F8180">
            <v>8</v>
          </cell>
        </row>
        <row r="8181">
          <cell r="A8181">
            <v>2018</v>
          </cell>
          <cell r="B8181" t="str">
            <v>Budget</v>
          </cell>
          <cell r="C8181" t="str">
            <v>Aug</v>
          </cell>
          <cell r="D8181" t="str">
            <v>Kitchen</v>
          </cell>
          <cell r="E8181">
            <v>125786.598</v>
          </cell>
          <cell r="F8181">
            <v>8</v>
          </cell>
        </row>
        <row r="8182">
          <cell r="A8182">
            <v>2018</v>
          </cell>
          <cell r="B8182" t="str">
            <v>Actual</v>
          </cell>
          <cell r="C8182" t="str">
            <v>Aug</v>
          </cell>
          <cell r="D8182" t="str">
            <v>Accessories</v>
          </cell>
          <cell r="E8182">
            <v>573624.47100000002</v>
          </cell>
          <cell r="F8182">
            <v>8</v>
          </cell>
        </row>
        <row r="8183">
          <cell r="A8183">
            <v>2018</v>
          </cell>
          <cell r="B8183" t="str">
            <v>Budget</v>
          </cell>
          <cell r="C8183" t="str">
            <v>Aug</v>
          </cell>
          <cell r="D8183" t="str">
            <v>Chairs</v>
          </cell>
          <cell r="E8183">
            <v>253238.02699999997</v>
          </cell>
          <cell r="F8183">
            <v>8</v>
          </cell>
        </row>
        <row r="8184">
          <cell r="A8184">
            <v>2018</v>
          </cell>
          <cell r="B8184" t="str">
            <v>Actual</v>
          </cell>
          <cell r="C8184" t="str">
            <v>Aug</v>
          </cell>
          <cell r="D8184" t="str">
            <v>Tables</v>
          </cell>
          <cell r="E8184">
            <v>482439.92299999995</v>
          </cell>
          <cell r="F8184">
            <v>8</v>
          </cell>
        </row>
        <row r="8185">
          <cell r="A8185">
            <v>2018</v>
          </cell>
          <cell r="B8185" t="str">
            <v>Budget</v>
          </cell>
          <cell r="C8185" t="str">
            <v>Aug</v>
          </cell>
          <cell r="D8185" t="str">
            <v>Kitchen</v>
          </cell>
          <cell r="E8185">
            <v>107793.448</v>
          </cell>
          <cell r="F8185">
            <v>8</v>
          </cell>
        </row>
        <row r="8186">
          <cell r="A8186">
            <v>2018</v>
          </cell>
          <cell r="B8186" t="str">
            <v>Actual</v>
          </cell>
          <cell r="C8186" t="str">
            <v>Aug</v>
          </cell>
          <cell r="D8186" t="str">
            <v>Accessories</v>
          </cell>
          <cell r="E8186">
            <v>298406.5</v>
          </cell>
          <cell r="F8186">
            <v>8</v>
          </cell>
        </row>
        <row r="8187">
          <cell r="A8187">
            <v>2018</v>
          </cell>
          <cell r="B8187" t="str">
            <v>Budget</v>
          </cell>
          <cell r="C8187" t="str">
            <v>Aug</v>
          </cell>
          <cell r="D8187" t="str">
            <v>Chairs</v>
          </cell>
          <cell r="E8187">
            <v>1080885.19</v>
          </cell>
          <cell r="F8187">
            <v>8</v>
          </cell>
        </row>
        <row r="8188">
          <cell r="A8188">
            <v>2019</v>
          </cell>
          <cell r="B8188" t="str">
            <v>Actual</v>
          </cell>
          <cell r="C8188" t="str">
            <v>Aug</v>
          </cell>
          <cell r="D8188" t="str">
            <v>Tables</v>
          </cell>
          <cell r="E8188">
            <v>151399.07999999999</v>
          </cell>
          <cell r="F8188">
            <v>8</v>
          </cell>
        </row>
        <row r="8189">
          <cell r="A8189">
            <v>2018</v>
          </cell>
          <cell r="B8189" t="str">
            <v>Budget</v>
          </cell>
          <cell r="C8189" t="str">
            <v>Aug</v>
          </cell>
          <cell r="D8189" t="str">
            <v>Kitchen</v>
          </cell>
          <cell r="E8189">
            <v>276659.348</v>
          </cell>
          <cell r="F8189">
            <v>8</v>
          </cell>
        </row>
        <row r="8190">
          <cell r="A8190">
            <v>2019</v>
          </cell>
          <cell r="B8190" t="str">
            <v>Actual</v>
          </cell>
          <cell r="C8190" t="str">
            <v>Aug</v>
          </cell>
          <cell r="D8190" t="str">
            <v>Accessories</v>
          </cell>
          <cell r="E8190">
            <v>52772.50299999999</v>
          </cell>
          <cell r="F8190">
            <v>8</v>
          </cell>
        </row>
        <row r="8191">
          <cell r="A8191">
            <v>2018</v>
          </cell>
          <cell r="B8191" t="str">
            <v>Budget</v>
          </cell>
          <cell r="C8191" t="str">
            <v>Aug</v>
          </cell>
          <cell r="D8191" t="str">
            <v>Chairs</v>
          </cell>
          <cell r="E8191">
            <v>651062.96499999997</v>
          </cell>
          <cell r="F8191">
            <v>8</v>
          </cell>
        </row>
        <row r="8192">
          <cell r="A8192">
            <v>2018</v>
          </cell>
          <cell r="B8192" t="str">
            <v>Actual</v>
          </cell>
          <cell r="C8192" t="str">
            <v>Aug</v>
          </cell>
          <cell r="D8192" t="str">
            <v>Chairs</v>
          </cell>
          <cell r="E8192">
            <v>2235023.7069999995</v>
          </cell>
          <cell r="F8192">
            <v>8</v>
          </cell>
        </row>
        <row r="8193">
          <cell r="A8193">
            <v>2018</v>
          </cell>
          <cell r="B8193" t="str">
            <v>Budget</v>
          </cell>
          <cell r="C8193" t="str">
            <v>Aug</v>
          </cell>
          <cell r="D8193" t="str">
            <v>Tables</v>
          </cell>
          <cell r="E8193">
            <v>5945200.443</v>
          </cell>
          <cell r="F8193">
            <v>8</v>
          </cell>
        </row>
        <row r="8194">
          <cell r="A8194">
            <v>2018</v>
          </cell>
          <cell r="B8194" t="str">
            <v>Actual</v>
          </cell>
          <cell r="C8194" t="str">
            <v>Aug</v>
          </cell>
          <cell r="D8194" t="str">
            <v>Kitchen</v>
          </cell>
          <cell r="E8194">
            <v>10278467.142999999</v>
          </cell>
          <cell r="F8194">
            <v>8</v>
          </cell>
        </row>
        <row r="8195">
          <cell r="A8195">
            <v>2019</v>
          </cell>
          <cell r="B8195" t="str">
            <v>Budget</v>
          </cell>
          <cell r="C8195" t="str">
            <v>Aug</v>
          </cell>
          <cell r="D8195" t="str">
            <v>Chairs</v>
          </cell>
          <cell r="E8195">
            <v>68491.64</v>
          </cell>
          <cell r="F8195">
            <v>8</v>
          </cell>
        </row>
        <row r="8196">
          <cell r="A8196">
            <v>2018</v>
          </cell>
          <cell r="B8196" t="str">
            <v>Actual</v>
          </cell>
          <cell r="C8196" t="str">
            <v>Aug</v>
          </cell>
          <cell r="D8196" t="str">
            <v>Tables</v>
          </cell>
          <cell r="E8196">
            <v>111547.48499999999</v>
          </cell>
          <cell r="F8196">
            <v>8</v>
          </cell>
        </row>
        <row r="8197">
          <cell r="A8197">
            <v>2019</v>
          </cell>
          <cell r="B8197" t="str">
            <v>Budget</v>
          </cell>
          <cell r="C8197" t="str">
            <v>Aug</v>
          </cell>
          <cell r="D8197" t="str">
            <v>Kitchen</v>
          </cell>
          <cell r="E8197">
            <v>121494.53399999999</v>
          </cell>
          <cell r="F8197">
            <v>8</v>
          </cell>
        </row>
        <row r="8198">
          <cell r="A8198">
            <v>2018</v>
          </cell>
          <cell r="B8198" t="str">
            <v>Actual</v>
          </cell>
          <cell r="C8198" t="str">
            <v>Aug</v>
          </cell>
          <cell r="D8198" t="str">
            <v>Chairs</v>
          </cell>
          <cell r="E8198">
            <v>216011.348</v>
          </cell>
          <cell r="F8198">
            <v>8</v>
          </cell>
        </row>
        <row r="8199">
          <cell r="A8199">
            <v>2019</v>
          </cell>
          <cell r="B8199" t="str">
            <v>Budget</v>
          </cell>
          <cell r="C8199" t="str">
            <v>Aug</v>
          </cell>
          <cell r="D8199" t="str">
            <v>Tables</v>
          </cell>
          <cell r="E8199">
            <v>51432.899000000005</v>
          </cell>
          <cell r="F8199">
            <v>8</v>
          </cell>
        </row>
        <row r="8200">
          <cell r="A8200">
            <v>2018</v>
          </cell>
          <cell r="B8200" t="str">
            <v>Actual</v>
          </cell>
          <cell r="C8200" t="str">
            <v>Aug</v>
          </cell>
          <cell r="D8200" t="str">
            <v>Kitchen</v>
          </cell>
          <cell r="E8200">
            <v>33068.860999999997</v>
          </cell>
          <cell r="F8200">
            <v>8</v>
          </cell>
        </row>
        <row r="8201">
          <cell r="A8201">
            <v>2019</v>
          </cell>
          <cell r="B8201" t="str">
            <v>Budget</v>
          </cell>
          <cell r="C8201" t="str">
            <v>Aug</v>
          </cell>
          <cell r="D8201" t="str">
            <v>Chairs</v>
          </cell>
          <cell r="E8201">
            <v>128163.69299999998</v>
          </cell>
          <cell r="F8201">
            <v>8</v>
          </cell>
        </row>
        <row r="8202">
          <cell r="A8202">
            <v>2019</v>
          </cell>
          <cell r="B8202" t="str">
            <v>Actual</v>
          </cell>
          <cell r="C8202" t="str">
            <v>Aug</v>
          </cell>
          <cell r="D8202" t="str">
            <v>Chairs</v>
          </cell>
          <cell r="E8202">
            <v>443593.71</v>
          </cell>
          <cell r="F8202">
            <v>8</v>
          </cell>
        </row>
        <row r="8203">
          <cell r="A8203">
            <v>2019</v>
          </cell>
          <cell r="B8203" t="str">
            <v>Budget</v>
          </cell>
          <cell r="C8203" t="str">
            <v>Aug</v>
          </cell>
          <cell r="D8203" t="str">
            <v>Chairs</v>
          </cell>
          <cell r="E8203">
            <v>235166.21799999996</v>
          </cell>
          <cell r="F8203">
            <v>8</v>
          </cell>
        </row>
        <row r="8204">
          <cell r="A8204">
            <v>2019</v>
          </cell>
          <cell r="B8204" t="str">
            <v>Actual</v>
          </cell>
          <cell r="C8204" t="str">
            <v>Aug</v>
          </cell>
          <cell r="D8204" t="str">
            <v>Chairs</v>
          </cell>
          <cell r="E8204">
            <v>27755.440999999995</v>
          </cell>
          <cell r="F8204">
            <v>8</v>
          </cell>
        </row>
        <row r="8205">
          <cell r="A8205">
            <v>2018</v>
          </cell>
          <cell r="B8205" t="str">
            <v>Budget</v>
          </cell>
          <cell r="C8205" t="str">
            <v>Aug</v>
          </cell>
          <cell r="D8205" t="str">
            <v>Chairs</v>
          </cell>
          <cell r="E8205">
            <v>28793.771999999997</v>
          </cell>
          <cell r="F8205">
            <v>8</v>
          </cell>
        </row>
        <row r="8206">
          <cell r="A8206">
            <v>2019</v>
          </cell>
          <cell r="B8206" t="str">
            <v>Actual</v>
          </cell>
          <cell r="C8206" t="str">
            <v>Aug</v>
          </cell>
          <cell r="D8206" t="str">
            <v>Chairs</v>
          </cell>
          <cell r="E8206">
            <v>102708.95599999999</v>
          </cell>
          <cell r="F8206">
            <v>8</v>
          </cell>
        </row>
        <row r="8207">
          <cell r="A8207">
            <v>2018</v>
          </cell>
          <cell r="B8207" t="str">
            <v>Budget</v>
          </cell>
          <cell r="C8207" t="str">
            <v>Aug</v>
          </cell>
          <cell r="D8207" t="str">
            <v>Chairs</v>
          </cell>
          <cell r="E8207">
            <v>335402.30499999999</v>
          </cell>
          <cell r="F8207">
            <v>8</v>
          </cell>
        </row>
        <row r="8208">
          <cell r="A8208">
            <v>2019</v>
          </cell>
          <cell r="B8208" t="str">
            <v>Actual</v>
          </cell>
          <cell r="C8208" t="str">
            <v>Aug</v>
          </cell>
          <cell r="D8208" t="str">
            <v>Chairs</v>
          </cell>
          <cell r="E8208">
            <v>4541425.1330000004</v>
          </cell>
          <cell r="F8208">
            <v>8</v>
          </cell>
        </row>
        <row r="8209">
          <cell r="A8209">
            <v>2019</v>
          </cell>
          <cell r="B8209" t="str">
            <v>Budget</v>
          </cell>
          <cell r="C8209" t="str">
            <v>Aug</v>
          </cell>
          <cell r="D8209" t="str">
            <v>Chairs</v>
          </cell>
          <cell r="E8209">
            <v>5161835.7629999993</v>
          </cell>
          <cell r="F8209">
            <v>8</v>
          </cell>
        </row>
        <row r="8210">
          <cell r="A8210">
            <v>2018</v>
          </cell>
          <cell r="B8210" t="str">
            <v>Actual</v>
          </cell>
          <cell r="C8210" t="str">
            <v>Aug</v>
          </cell>
          <cell r="D8210" t="str">
            <v>Chairs</v>
          </cell>
          <cell r="E8210">
            <v>44472.631000000001</v>
          </cell>
          <cell r="F8210">
            <v>8</v>
          </cell>
        </row>
        <row r="8211">
          <cell r="A8211">
            <v>2019</v>
          </cell>
          <cell r="B8211" t="str">
            <v>Budget</v>
          </cell>
          <cell r="C8211" t="str">
            <v>Aug</v>
          </cell>
          <cell r="D8211" t="str">
            <v>Chairs</v>
          </cell>
          <cell r="E8211">
            <v>25737.592999999997</v>
          </cell>
          <cell r="F8211">
            <v>8</v>
          </cell>
        </row>
        <row r="8212">
          <cell r="A8212">
            <v>2018</v>
          </cell>
          <cell r="B8212" t="str">
            <v>Actual</v>
          </cell>
          <cell r="C8212" t="str">
            <v>Aug</v>
          </cell>
          <cell r="D8212" t="str">
            <v>Chairs</v>
          </cell>
          <cell r="E8212">
            <v>50701.062999999995</v>
          </cell>
          <cell r="F8212">
            <v>8</v>
          </cell>
        </row>
        <row r="8213">
          <cell r="A8213">
            <v>2018</v>
          </cell>
          <cell r="B8213" t="str">
            <v>Budget</v>
          </cell>
          <cell r="C8213" t="str">
            <v>Aug</v>
          </cell>
          <cell r="D8213" t="str">
            <v>Chairs</v>
          </cell>
          <cell r="E8213">
            <v>19349.203999999998</v>
          </cell>
          <cell r="F8213">
            <v>8</v>
          </cell>
        </row>
        <row r="8214">
          <cell r="A8214">
            <v>2019</v>
          </cell>
          <cell r="B8214" t="str">
            <v>Actual</v>
          </cell>
          <cell r="C8214" t="str">
            <v>Aug</v>
          </cell>
          <cell r="D8214" t="str">
            <v>Chairs</v>
          </cell>
          <cell r="E8214">
            <v>886240.99899999995</v>
          </cell>
          <cell r="F8214">
            <v>8</v>
          </cell>
        </row>
        <row r="8215">
          <cell r="A8215">
            <v>2019</v>
          </cell>
          <cell r="B8215" t="str">
            <v>Budget</v>
          </cell>
          <cell r="C8215" t="str">
            <v>Aug</v>
          </cell>
          <cell r="D8215" t="str">
            <v>Chairs</v>
          </cell>
          <cell r="E8215">
            <v>1489035.2120000001</v>
          </cell>
          <cell r="F8215">
            <v>8</v>
          </cell>
        </row>
        <row r="8216">
          <cell r="A8216">
            <v>2018</v>
          </cell>
          <cell r="B8216" t="str">
            <v>Actual</v>
          </cell>
          <cell r="C8216" t="str">
            <v>Aug</v>
          </cell>
          <cell r="D8216" t="str">
            <v>Chairs</v>
          </cell>
          <cell r="E8216">
            <v>15033438.833000001</v>
          </cell>
          <cell r="F8216">
            <v>8</v>
          </cell>
        </row>
        <row r="8217">
          <cell r="A8217">
            <v>2018</v>
          </cell>
          <cell r="B8217" t="str">
            <v>Budget</v>
          </cell>
          <cell r="C8217" t="str">
            <v>Aug</v>
          </cell>
          <cell r="D8217" t="str">
            <v>Chairs</v>
          </cell>
          <cell r="E8217">
            <v>69714.09199999999</v>
          </cell>
          <cell r="F8217">
            <v>8</v>
          </cell>
        </row>
        <row r="8218">
          <cell r="A8218">
            <v>2018</v>
          </cell>
          <cell r="B8218" t="str">
            <v>Actual</v>
          </cell>
          <cell r="C8218" t="str">
            <v>Aug</v>
          </cell>
          <cell r="D8218" t="str">
            <v>Chairs</v>
          </cell>
          <cell r="E8218">
            <v>198286.01099999997</v>
          </cell>
          <cell r="F8218">
            <v>8</v>
          </cell>
        </row>
        <row r="8219">
          <cell r="A8219">
            <v>2018</v>
          </cell>
          <cell r="B8219" t="str">
            <v>Budget</v>
          </cell>
          <cell r="C8219" t="str">
            <v>Aug</v>
          </cell>
          <cell r="D8219" t="str">
            <v>Chairs</v>
          </cell>
          <cell r="E8219">
            <v>624637.29999999993</v>
          </cell>
          <cell r="F8219">
            <v>8</v>
          </cell>
        </row>
        <row r="8220">
          <cell r="A8220">
            <v>2019</v>
          </cell>
          <cell r="B8220" t="str">
            <v>Actual</v>
          </cell>
          <cell r="C8220" t="str">
            <v>Aug</v>
          </cell>
          <cell r="D8220" t="str">
            <v>Chairs</v>
          </cell>
          <cell r="E8220">
            <v>1294964.5869999998</v>
          </cell>
          <cell r="F8220">
            <v>8</v>
          </cell>
        </row>
        <row r="8221">
          <cell r="A8221">
            <v>2018</v>
          </cell>
          <cell r="B8221" t="str">
            <v>Budget</v>
          </cell>
          <cell r="C8221" t="str">
            <v>Aug</v>
          </cell>
          <cell r="D8221" t="str">
            <v>Chairs</v>
          </cell>
          <cell r="E8221">
            <v>984631.71099999989</v>
          </cell>
          <cell r="F8221">
            <v>8</v>
          </cell>
        </row>
        <row r="8222">
          <cell r="A8222">
            <v>2019</v>
          </cell>
          <cell r="B8222" t="str">
            <v>Actual</v>
          </cell>
          <cell r="C8222" t="str">
            <v>Aug</v>
          </cell>
          <cell r="D8222" t="str">
            <v>Chairs</v>
          </cell>
          <cell r="E8222">
            <v>13573375.423999999</v>
          </cell>
          <cell r="F8222">
            <v>8</v>
          </cell>
        </row>
        <row r="8223">
          <cell r="A8223">
            <v>2019</v>
          </cell>
          <cell r="B8223" t="str">
            <v>Budget</v>
          </cell>
          <cell r="C8223" t="str">
            <v>Aug</v>
          </cell>
          <cell r="D8223" t="str">
            <v>Chairs</v>
          </cell>
          <cell r="E8223">
            <v>2399135.6689999998</v>
          </cell>
          <cell r="F8223">
            <v>8</v>
          </cell>
        </row>
        <row r="8224">
          <cell r="A8224">
            <v>2018</v>
          </cell>
          <cell r="B8224" t="str">
            <v>Actual</v>
          </cell>
          <cell r="C8224" t="str">
            <v>Aug</v>
          </cell>
          <cell r="D8224" t="str">
            <v>Chairs</v>
          </cell>
          <cell r="E8224">
            <v>1220374.26</v>
          </cell>
          <cell r="F8224">
            <v>8</v>
          </cell>
        </row>
        <row r="8225">
          <cell r="A8225">
            <v>2019</v>
          </cell>
          <cell r="B8225" t="str">
            <v>Budget</v>
          </cell>
          <cell r="C8225" t="str">
            <v>Aug</v>
          </cell>
          <cell r="D8225" t="str">
            <v>Chairs</v>
          </cell>
          <cell r="E8225">
            <v>2678.8719999999998</v>
          </cell>
          <cell r="F8225">
            <v>8</v>
          </cell>
        </row>
        <row r="8226">
          <cell r="A8226">
            <v>2018</v>
          </cell>
          <cell r="B8226" t="str">
            <v>Actual</v>
          </cell>
          <cell r="C8226" t="str">
            <v>Aug</v>
          </cell>
          <cell r="D8226" t="str">
            <v>Chairs</v>
          </cell>
          <cell r="E8226">
            <v>130225.89299999998</v>
          </cell>
          <cell r="F8226">
            <v>8</v>
          </cell>
        </row>
        <row r="8227">
          <cell r="A8227">
            <v>2018</v>
          </cell>
          <cell r="B8227" t="str">
            <v>Budget</v>
          </cell>
          <cell r="C8227" t="str">
            <v>Aug</v>
          </cell>
          <cell r="D8227" t="str">
            <v>Tables</v>
          </cell>
          <cell r="E8227">
            <v>870339.02899999998</v>
          </cell>
          <cell r="F8227">
            <v>8</v>
          </cell>
        </row>
        <row r="8228">
          <cell r="A8228">
            <v>2018</v>
          </cell>
          <cell r="B8228" t="str">
            <v>Actual</v>
          </cell>
          <cell r="C8228" t="str">
            <v>Aug</v>
          </cell>
          <cell r="D8228" t="str">
            <v>Kitchen</v>
          </cell>
          <cell r="E8228">
            <v>125003.704</v>
          </cell>
          <cell r="F8228">
            <v>8</v>
          </cell>
        </row>
        <row r="8229">
          <cell r="A8229">
            <v>2019</v>
          </cell>
          <cell r="B8229" t="str">
            <v>Budget</v>
          </cell>
          <cell r="C8229" t="str">
            <v>Aug</v>
          </cell>
          <cell r="D8229" t="str">
            <v>Chairs</v>
          </cell>
          <cell r="E8229">
            <v>111188.658</v>
          </cell>
          <cell r="F8229">
            <v>8</v>
          </cell>
        </row>
        <row r="8230">
          <cell r="A8230">
            <v>2018</v>
          </cell>
          <cell r="B8230" t="str">
            <v>Actual</v>
          </cell>
          <cell r="C8230" t="str">
            <v>Aug</v>
          </cell>
          <cell r="D8230" t="str">
            <v>Chairs</v>
          </cell>
          <cell r="E8230">
            <v>332809.04299999995</v>
          </cell>
          <cell r="F8230">
            <v>8</v>
          </cell>
        </row>
        <row r="8231">
          <cell r="A8231">
            <v>2018</v>
          </cell>
          <cell r="B8231" t="str">
            <v>Budget</v>
          </cell>
          <cell r="C8231" t="str">
            <v>Aug</v>
          </cell>
          <cell r="D8231" t="str">
            <v>Chairs</v>
          </cell>
          <cell r="E8231">
            <v>694328.74699999997</v>
          </cell>
          <cell r="F8231">
            <v>8</v>
          </cell>
        </row>
        <row r="8232">
          <cell r="A8232">
            <v>2019</v>
          </cell>
          <cell r="B8232" t="str">
            <v>Actual</v>
          </cell>
          <cell r="C8232" t="str">
            <v>Aug</v>
          </cell>
          <cell r="D8232" t="str">
            <v>Chairs</v>
          </cell>
          <cell r="E8232">
            <v>721441.95899999992</v>
          </cell>
          <cell r="F8232">
            <v>8</v>
          </cell>
        </row>
        <row r="8233">
          <cell r="A8233">
            <v>2019</v>
          </cell>
          <cell r="B8233" t="str">
            <v>Budget</v>
          </cell>
          <cell r="C8233" t="str">
            <v>Aug</v>
          </cell>
          <cell r="D8233" t="str">
            <v>Chairs</v>
          </cell>
          <cell r="E8233">
            <v>1044315.8389999999</v>
          </cell>
          <cell r="F8233">
            <v>8</v>
          </cell>
        </row>
        <row r="8234">
          <cell r="A8234">
            <v>2019</v>
          </cell>
          <cell r="B8234" t="str">
            <v>Actual</v>
          </cell>
          <cell r="C8234" t="str">
            <v>Aug</v>
          </cell>
          <cell r="D8234" t="str">
            <v>Tables</v>
          </cell>
          <cell r="E8234">
            <v>445889.07299999997</v>
          </cell>
          <cell r="F8234">
            <v>8</v>
          </cell>
        </row>
        <row r="8235">
          <cell r="A8235">
            <v>2018</v>
          </cell>
          <cell r="B8235" t="str">
            <v>Budget</v>
          </cell>
          <cell r="C8235" t="str">
            <v>Aug</v>
          </cell>
          <cell r="D8235" t="str">
            <v>Kitchen</v>
          </cell>
          <cell r="E8235">
            <v>49786.891000000003</v>
          </cell>
          <cell r="F8235">
            <v>8</v>
          </cell>
        </row>
        <row r="8236">
          <cell r="A8236">
            <v>2018</v>
          </cell>
          <cell r="B8236" t="str">
            <v>Actual</v>
          </cell>
          <cell r="C8236" t="str">
            <v>Aug</v>
          </cell>
          <cell r="D8236" t="str">
            <v>Chairs</v>
          </cell>
          <cell r="E8236">
            <v>214845.75</v>
          </cell>
          <cell r="F8236">
            <v>8</v>
          </cell>
        </row>
        <row r="8237">
          <cell r="A8237">
            <v>2019</v>
          </cell>
          <cell r="B8237" t="str">
            <v>Budget</v>
          </cell>
          <cell r="C8237" t="str">
            <v>Aug</v>
          </cell>
          <cell r="D8237" t="str">
            <v>Chairs</v>
          </cell>
          <cell r="E8237">
            <v>1427684.328</v>
          </cell>
          <cell r="F8237">
            <v>8</v>
          </cell>
        </row>
        <row r="8238">
          <cell r="A8238">
            <v>2019</v>
          </cell>
          <cell r="B8238" t="str">
            <v>Actual</v>
          </cell>
          <cell r="C8238" t="str">
            <v>Aug</v>
          </cell>
          <cell r="D8238" t="str">
            <v>Chairs</v>
          </cell>
          <cell r="E8238">
            <v>387116.79299999995</v>
          </cell>
          <cell r="F8238">
            <v>8</v>
          </cell>
        </row>
        <row r="8239">
          <cell r="A8239">
            <v>2018</v>
          </cell>
          <cell r="B8239" t="str">
            <v>Budget</v>
          </cell>
          <cell r="C8239" t="str">
            <v>Aug</v>
          </cell>
          <cell r="D8239" t="str">
            <v>Tables</v>
          </cell>
          <cell r="E8239">
            <v>965880.174</v>
          </cell>
          <cell r="F8239">
            <v>8</v>
          </cell>
        </row>
        <row r="8240">
          <cell r="A8240">
            <v>2019</v>
          </cell>
          <cell r="B8240" t="str">
            <v>Actual</v>
          </cell>
          <cell r="C8240" t="str">
            <v>Aug</v>
          </cell>
          <cell r="D8240" t="str">
            <v>Kitchen</v>
          </cell>
          <cell r="E8240">
            <v>111309.33099999999</v>
          </cell>
          <cell r="F8240">
            <v>8</v>
          </cell>
        </row>
        <row r="8241">
          <cell r="A8241">
            <v>2018</v>
          </cell>
          <cell r="B8241" t="str">
            <v>Budget</v>
          </cell>
          <cell r="C8241" t="str">
            <v>Aug</v>
          </cell>
          <cell r="D8241" t="str">
            <v>Chairs</v>
          </cell>
          <cell r="E8241">
            <v>591336.34</v>
          </cell>
          <cell r="F8241">
            <v>8</v>
          </cell>
        </row>
        <row r="8242">
          <cell r="A8242">
            <v>2018</v>
          </cell>
          <cell r="B8242" t="str">
            <v>Actual</v>
          </cell>
          <cell r="C8242" t="str">
            <v>Aug</v>
          </cell>
          <cell r="D8242" t="str">
            <v>Chairs</v>
          </cell>
          <cell r="E8242">
            <v>176275.603</v>
          </cell>
          <cell r="F8242">
            <v>8</v>
          </cell>
        </row>
        <row r="8243">
          <cell r="A8243">
            <v>2018</v>
          </cell>
          <cell r="B8243" t="str">
            <v>Budget</v>
          </cell>
          <cell r="C8243" t="str">
            <v>Aug</v>
          </cell>
          <cell r="D8243" t="str">
            <v>Tables</v>
          </cell>
          <cell r="E8243">
            <v>343173.04</v>
          </cell>
          <cell r="F8243">
            <v>8</v>
          </cell>
        </row>
        <row r="8244">
          <cell r="A8244">
            <v>2018</v>
          </cell>
          <cell r="B8244" t="str">
            <v>Actual</v>
          </cell>
          <cell r="C8244" t="str">
            <v>Aug</v>
          </cell>
          <cell r="D8244" t="str">
            <v>Kitchen</v>
          </cell>
          <cell r="E8244">
            <v>2243687.6069999998</v>
          </cell>
          <cell r="F8244">
            <v>8</v>
          </cell>
        </row>
        <row r="8245">
          <cell r="A8245">
            <v>2019</v>
          </cell>
          <cell r="B8245" t="str">
            <v>Budget</v>
          </cell>
          <cell r="C8245" t="str">
            <v>Aug</v>
          </cell>
          <cell r="D8245" t="str">
            <v>Chairs</v>
          </cell>
          <cell r="E8245">
            <v>350733.93599999999</v>
          </cell>
          <cell r="F8245">
            <v>8</v>
          </cell>
        </row>
        <row r="8246">
          <cell r="A8246">
            <v>2018</v>
          </cell>
          <cell r="B8246" t="str">
            <v>Actual</v>
          </cell>
          <cell r="C8246" t="str">
            <v>Aug</v>
          </cell>
          <cell r="D8246" t="str">
            <v>Chairs</v>
          </cell>
          <cell r="E8246">
            <v>-10170.748</v>
          </cell>
          <cell r="F8246">
            <v>8</v>
          </cell>
        </row>
        <row r="8247">
          <cell r="A8247">
            <v>2019</v>
          </cell>
          <cell r="B8247" t="str">
            <v>Budget</v>
          </cell>
          <cell r="C8247" t="str">
            <v>Aug</v>
          </cell>
          <cell r="D8247" t="str">
            <v>Chairs</v>
          </cell>
          <cell r="E8247">
            <v>-64592.22</v>
          </cell>
          <cell r="F8247">
            <v>8</v>
          </cell>
        </row>
        <row r="8248">
          <cell r="A8248">
            <v>2018</v>
          </cell>
          <cell r="B8248" t="str">
            <v>Actual</v>
          </cell>
          <cell r="C8248" t="str">
            <v>Aug</v>
          </cell>
          <cell r="D8248" t="str">
            <v>Tables</v>
          </cell>
          <cell r="E8248">
            <v>866059.45299999998</v>
          </cell>
          <cell r="F8248">
            <v>8</v>
          </cell>
        </row>
        <row r="8249">
          <cell r="A8249">
            <v>2018</v>
          </cell>
          <cell r="B8249" t="str">
            <v>Budget</v>
          </cell>
          <cell r="C8249" t="str">
            <v>Aug</v>
          </cell>
          <cell r="D8249" t="str">
            <v>Kitchen</v>
          </cell>
          <cell r="E8249">
            <v>228703.65</v>
          </cell>
          <cell r="F8249">
            <v>8</v>
          </cell>
        </row>
        <row r="8250">
          <cell r="A8250">
            <v>2018</v>
          </cell>
          <cell r="B8250" t="str">
            <v>Actual</v>
          </cell>
          <cell r="C8250" t="str">
            <v>Aug</v>
          </cell>
          <cell r="D8250" t="str">
            <v>Accessories</v>
          </cell>
          <cell r="E8250">
            <v>228275.25</v>
          </cell>
          <cell r="F8250">
            <v>8</v>
          </cell>
        </row>
        <row r="8251">
          <cell r="A8251">
            <v>2019</v>
          </cell>
          <cell r="B8251" t="str">
            <v>Budget</v>
          </cell>
          <cell r="C8251" t="str">
            <v>Aug</v>
          </cell>
          <cell r="D8251" t="str">
            <v>Chairs</v>
          </cell>
          <cell r="E8251">
            <v>228400.19999999998</v>
          </cell>
          <cell r="F8251">
            <v>8</v>
          </cell>
        </row>
        <row r="8252">
          <cell r="A8252">
            <v>2018</v>
          </cell>
          <cell r="B8252" t="str">
            <v>Actual</v>
          </cell>
          <cell r="C8252" t="str">
            <v>Aug</v>
          </cell>
          <cell r="D8252" t="str">
            <v>Tables</v>
          </cell>
          <cell r="E8252">
            <v>343233.44999999995</v>
          </cell>
          <cell r="F8252">
            <v>8</v>
          </cell>
        </row>
        <row r="8253">
          <cell r="A8253">
            <v>2018</v>
          </cell>
          <cell r="B8253" t="str">
            <v>Budget</v>
          </cell>
          <cell r="C8253" t="str">
            <v>Aug</v>
          </cell>
          <cell r="D8253" t="str">
            <v>Kitchen</v>
          </cell>
          <cell r="E8253">
            <v>64660.441999999995</v>
          </cell>
          <cell r="F8253">
            <v>8</v>
          </cell>
        </row>
        <row r="8254">
          <cell r="A8254">
            <v>2018</v>
          </cell>
          <cell r="B8254" t="str">
            <v>Actual</v>
          </cell>
          <cell r="C8254" t="str">
            <v>Aug</v>
          </cell>
          <cell r="D8254" t="str">
            <v>Accessories</v>
          </cell>
          <cell r="E8254">
            <v>199905.86</v>
          </cell>
          <cell r="F8254">
            <v>8</v>
          </cell>
        </row>
        <row r="8255">
          <cell r="A8255">
            <v>2018</v>
          </cell>
          <cell r="B8255" t="str">
            <v>Budget</v>
          </cell>
          <cell r="C8255" t="str">
            <v>Aug</v>
          </cell>
          <cell r="D8255" t="str">
            <v>Chairs</v>
          </cell>
          <cell r="E8255">
            <v>97602.014999999999</v>
          </cell>
          <cell r="F8255">
            <v>8</v>
          </cell>
        </row>
        <row r="8256">
          <cell r="A8256">
            <v>2019</v>
          </cell>
          <cell r="B8256" t="str">
            <v>Actual</v>
          </cell>
          <cell r="C8256" t="str">
            <v>Aug</v>
          </cell>
          <cell r="D8256" t="str">
            <v>Tables</v>
          </cell>
          <cell r="E8256">
            <v>100743.79000000001</v>
          </cell>
          <cell r="F8256">
            <v>8</v>
          </cell>
        </row>
        <row r="8257">
          <cell r="A8257">
            <v>2018</v>
          </cell>
          <cell r="B8257" t="str">
            <v>Budget</v>
          </cell>
          <cell r="C8257" t="str">
            <v>Aug</v>
          </cell>
          <cell r="D8257" t="str">
            <v>Kitchen</v>
          </cell>
          <cell r="E8257">
            <v>41387.534999999996</v>
          </cell>
          <cell r="F8257">
            <v>8</v>
          </cell>
        </row>
        <row r="8258">
          <cell r="A8258">
            <v>2019</v>
          </cell>
          <cell r="B8258" t="str">
            <v>Actual</v>
          </cell>
          <cell r="C8258" t="str">
            <v>Aug</v>
          </cell>
          <cell r="D8258" t="str">
            <v>Accessories</v>
          </cell>
          <cell r="E8258">
            <v>162.93199999999999</v>
          </cell>
          <cell r="F8258">
            <v>8</v>
          </cell>
        </row>
        <row r="8259">
          <cell r="A8259">
            <v>2019</v>
          </cell>
          <cell r="B8259" t="str">
            <v>Budget</v>
          </cell>
          <cell r="C8259" t="str">
            <v>Aug</v>
          </cell>
          <cell r="D8259" t="str">
            <v>Chairs</v>
          </cell>
          <cell r="E8259">
            <v>40432.133000000002</v>
          </cell>
          <cell r="F8259">
            <v>8</v>
          </cell>
        </row>
        <row r="8260">
          <cell r="A8260">
            <v>2019</v>
          </cell>
          <cell r="B8260" t="str">
            <v>Actual</v>
          </cell>
          <cell r="C8260" t="str">
            <v>Aug</v>
          </cell>
          <cell r="D8260" t="str">
            <v>Tables</v>
          </cell>
          <cell r="E8260">
            <v>108555.216</v>
          </cell>
          <cell r="F8260">
            <v>8</v>
          </cell>
        </row>
        <row r="8261">
          <cell r="A8261">
            <v>2019</v>
          </cell>
          <cell r="B8261" t="str">
            <v>Budget</v>
          </cell>
          <cell r="C8261" t="str">
            <v>Aug</v>
          </cell>
          <cell r="D8261" t="str">
            <v>Kitchen</v>
          </cell>
          <cell r="E8261">
            <v>82144.600999999995</v>
          </cell>
          <cell r="F8261">
            <v>8</v>
          </cell>
        </row>
        <row r="8262">
          <cell r="A8262">
            <v>2019</v>
          </cell>
          <cell r="B8262" t="str">
            <v>Actual</v>
          </cell>
          <cell r="C8262" t="str">
            <v>Aug</v>
          </cell>
          <cell r="D8262" t="str">
            <v>Accessories</v>
          </cell>
          <cell r="E8262">
            <v>71442.174999999988</v>
          </cell>
          <cell r="F8262">
            <v>8</v>
          </cell>
        </row>
        <row r="8263">
          <cell r="A8263">
            <v>2019</v>
          </cell>
          <cell r="B8263" t="str">
            <v>Budget</v>
          </cell>
          <cell r="C8263" t="str">
            <v>Aug</v>
          </cell>
          <cell r="D8263" t="str">
            <v>Chairs</v>
          </cell>
          <cell r="E8263">
            <v>144582.228</v>
          </cell>
          <cell r="F8263">
            <v>8</v>
          </cell>
        </row>
        <row r="8264">
          <cell r="A8264">
            <v>2019</v>
          </cell>
          <cell r="B8264" t="str">
            <v>Actual</v>
          </cell>
          <cell r="C8264" t="str">
            <v>Aug</v>
          </cell>
          <cell r="D8264" t="str">
            <v>Chairs</v>
          </cell>
          <cell r="E8264">
            <v>39326.769999999997</v>
          </cell>
          <cell r="F8264">
            <v>8</v>
          </cell>
        </row>
        <row r="8265">
          <cell r="A8265">
            <v>2019</v>
          </cell>
          <cell r="B8265" t="str">
            <v>Budget</v>
          </cell>
          <cell r="C8265" t="str">
            <v>Aug</v>
          </cell>
          <cell r="D8265" t="str">
            <v>Tables</v>
          </cell>
          <cell r="E8265">
            <v>10347.953</v>
          </cell>
          <cell r="F8265">
            <v>8</v>
          </cell>
        </row>
        <row r="8266">
          <cell r="A8266">
            <v>2018</v>
          </cell>
          <cell r="B8266" t="str">
            <v>Actual</v>
          </cell>
          <cell r="C8266" t="str">
            <v>Aug</v>
          </cell>
          <cell r="D8266" t="str">
            <v>Kitchen</v>
          </cell>
          <cell r="E8266">
            <v>44372.012999999992</v>
          </cell>
          <cell r="F8266">
            <v>8</v>
          </cell>
        </row>
        <row r="8267">
          <cell r="A8267">
            <v>2018</v>
          </cell>
          <cell r="B8267" t="str">
            <v>Budget</v>
          </cell>
          <cell r="C8267" t="str">
            <v>Aug</v>
          </cell>
          <cell r="D8267" t="str">
            <v>Chairs</v>
          </cell>
          <cell r="E8267">
            <v>91.301000000000002</v>
          </cell>
          <cell r="F8267">
            <v>8</v>
          </cell>
        </row>
        <row r="8268">
          <cell r="A8268">
            <v>2019</v>
          </cell>
          <cell r="B8268" t="str">
            <v>Actual</v>
          </cell>
          <cell r="C8268" t="str">
            <v>Aug</v>
          </cell>
          <cell r="D8268" t="str">
            <v>Tables</v>
          </cell>
          <cell r="E8268">
            <v>35439.592999999993</v>
          </cell>
          <cell r="F8268">
            <v>8</v>
          </cell>
        </row>
        <row r="8269">
          <cell r="A8269">
            <v>2019</v>
          </cell>
          <cell r="B8269" t="str">
            <v>Budget</v>
          </cell>
          <cell r="C8269" t="str">
            <v>Aug</v>
          </cell>
          <cell r="D8269" t="str">
            <v>Kitchen</v>
          </cell>
          <cell r="E8269">
            <v>17594.527999999998</v>
          </cell>
          <cell r="F8269">
            <v>8</v>
          </cell>
        </row>
        <row r="8270">
          <cell r="A8270">
            <v>2019</v>
          </cell>
          <cell r="B8270" t="str">
            <v>Actual</v>
          </cell>
          <cell r="C8270" t="str">
            <v>Aug</v>
          </cell>
          <cell r="D8270" t="str">
            <v>Chairs</v>
          </cell>
          <cell r="E8270">
            <v>9918.8109999999997</v>
          </cell>
          <cell r="F8270">
            <v>8</v>
          </cell>
        </row>
        <row r="8271">
          <cell r="A8271">
            <v>2019</v>
          </cell>
          <cell r="B8271" t="str">
            <v>Budget</v>
          </cell>
          <cell r="C8271" t="str">
            <v>Aug</v>
          </cell>
          <cell r="D8271" t="str">
            <v>Tables</v>
          </cell>
          <cell r="E8271">
            <v>156358.84599999999</v>
          </cell>
          <cell r="F8271">
            <v>8</v>
          </cell>
        </row>
        <row r="8272">
          <cell r="A8272">
            <v>2019</v>
          </cell>
          <cell r="B8272" t="str">
            <v>Actual</v>
          </cell>
          <cell r="C8272" t="str">
            <v>Aug</v>
          </cell>
          <cell r="D8272" t="str">
            <v>Kitchen</v>
          </cell>
          <cell r="E8272">
            <v>60010.677999999993</v>
          </cell>
          <cell r="F8272">
            <v>8</v>
          </cell>
        </row>
        <row r="8273">
          <cell r="A8273">
            <v>2018</v>
          </cell>
          <cell r="B8273" t="str">
            <v>Budget</v>
          </cell>
          <cell r="C8273" t="str">
            <v>Aug</v>
          </cell>
          <cell r="D8273" t="str">
            <v>Chairs</v>
          </cell>
          <cell r="E8273">
            <v>70990.773000000001</v>
          </cell>
          <cell r="F8273">
            <v>8</v>
          </cell>
        </row>
        <row r="8274">
          <cell r="A8274">
            <v>2018</v>
          </cell>
          <cell r="B8274" t="str">
            <v>Actual</v>
          </cell>
          <cell r="C8274" t="str">
            <v>Aug</v>
          </cell>
          <cell r="D8274" t="str">
            <v>Chairs</v>
          </cell>
          <cell r="E8274">
            <v>55653.366999999998</v>
          </cell>
          <cell r="F8274">
            <v>8</v>
          </cell>
        </row>
        <row r="8275">
          <cell r="A8275">
            <v>2018</v>
          </cell>
          <cell r="B8275" t="str">
            <v>Budget</v>
          </cell>
          <cell r="C8275" t="str">
            <v>Aug</v>
          </cell>
          <cell r="D8275" t="str">
            <v>Chairs</v>
          </cell>
          <cell r="E8275">
            <v>20419.266</v>
          </cell>
          <cell r="F8275">
            <v>8</v>
          </cell>
        </row>
        <row r="8276">
          <cell r="A8276">
            <v>2018</v>
          </cell>
          <cell r="B8276" t="str">
            <v>Actual</v>
          </cell>
          <cell r="C8276" t="str">
            <v>Aug</v>
          </cell>
          <cell r="D8276" t="str">
            <v>Chairs</v>
          </cell>
          <cell r="E8276">
            <v>135209.15099999998</v>
          </cell>
          <cell r="F8276">
            <v>8</v>
          </cell>
        </row>
        <row r="8277">
          <cell r="A8277">
            <v>2018</v>
          </cell>
          <cell r="B8277" t="str">
            <v>Budget</v>
          </cell>
          <cell r="C8277" t="str">
            <v>Aug</v>
          </cell>
          <cell r="D8277" t="str">
            <v>Chairs</v>
          </cell>
          <cell r="E8277">
            <v>93282.825999999986</v>
          </cell>
          <cell r="F8277">
            <v>8</v>
          </cell>
        </row>
        <row r="8278">
          <cell r="A8278">
            <v>2018</v>
          </cell>
          <cell r="B8278" t="str">
            <v>Actual</v>
          </cell>
          <cell r="C8278" t="str">
            <v>Aug</v>
          </cell>
          <cell r="D8278" t="str">
            <v>Chairs</v>
          </cell>
          <cell r="E8278">
            <v>377262.74599999998</v>
          </cell>
          <cell r="F8278">
            <v>8</v>
          </cell>
        </row>
        <row r="8279">
          <cell r="A8279">
            <v>2018</v>
          </cell>
          <cell r="B8279" t="str">
            <v>Budget</v>
          </cell>
          <cell r="C8279" t="str">
            <v>Aug</v>
          </cell>
          <cell r="D8279" t="str">
            <v>Chairs</v>
          </cell>
          <cell r="E8279">
            <v>130150.77599999998</v>
          </cell>
          <cell r="F8279">
            <v>8</v>
          </cell>
        </row>
        <row r="8280">
          <cell r="A8280">
            <v>2019</v>
          </cell>
          <cell r="B8280" t="str">
            <v>Actual</v>
          </cell>
          <cell r="C8280" t="str">
            <v>Aug</v>
          </cell>
          <cell r="D8280" t="str">
            <v>Chairs</v>
          </cell>
          <cell r="E8280">
            <v>272577.80900000001</v>
          </cell>
          <cell r="F8280">
            <v>8</v>
          </cell>
        </row>
        <row r="8281">
          <cell r="A8281">
            <v>2018</v>
          </cell>
          <cell r="B8281" t="str">
            <v>Budget</v>
          </cell>
          <cell r="C8281" t="str">
            <v>Aug</v>
          </cell>
          <cell r="D8281" t="str">
            <v>Chairs</v>
          </cell>
          <cell r="E8281">
            <v>126599.22099999999</v>
          </cell>
          <cell r="F8281">
            <v>8</v>
          </cell>
        </row>
        <row r="8282">
          <cell r="A8282">
            <v>2019</v>
          </cell>
          <cell r="B8282" t="str">
            <v>Actual</v>
          </cell>
          <cell r="C8282" t="str">
            <v>Aug</v>
          </cell>
          <cell r="D8282" t="str">
            <v>Chairs</v>
          </cell>
          <cell r="E8282">
            <v>167640.08099999998</v>
          </cell>
          <cell r="F8282">
            <v>8</v>
          </cell>
        </row>
        <row r="8283">
          <cell r="A8283">
            <v>2018</v>
          </cell>
          <cell r="B8283" t="str">
            <v>Budget</v>
          </cell>
          <cell r="C8283" t="str">
            <v>Aug</v>
          </cell>
          <cell r="D8283" t="str">
            <v>Chairs</v>
          </cell>
          <cell r="E8283">
            <v>80549.84</v>
          </cell>
          <cell r="F8283">
            <v>8</v>
          </cell>
        </row>
        <row r="8284">
          <cell r="A8284">
            <v>2018</v>
          </cell>
          <cell r="B8284" t="str">
            <v>Actual</v>
          </cell>
          <cell r="C8284" t="str">
            <v>Aug</v>
          </cell>
          <cell r="D8284" t="str">
            <v>Chairs</v>
          </cell>
          <cell r="E8284">
            <v>55700.805999999997</v>
          </cell>
          <cell r="F8284">
            <v>8</v>
          </cell>
        </row>
        <row r="8285">
          <cell r="A8285">
            <v>2019</v>
          </cell>
          <cell r="B8285" t="str">
            <v>Budget</v>
          </cell>
          <cell r="C8285" t="str">
            <v>Aug</v>
          </cell>
          <cell r="D8285" t="str">
            <v>Chairs</v>
          </cell>
          <cell r="E8285">
            <v>190016.04299999998</v>
          </cell>
          <cell r="F8285">
            <v>8</v>
          </cell>
        </row>
        <row r="8286">
          <cell r="A8286">
            <v>2019</v>
          </cell>
          <cell r="B8286" t="str">
            <v>Actual</v>
          </cell>
          <cell r="C8286" t="str">
            <v>Aug</v>
          </cell>
          <cell r="D8286" t="str">
            <v>Chairs</v>
          </cell>
          <cell r="E8286">
            <v>801260.152</v>
          </cell>
          <cell r="F8286">
            <v>8</v>
          </cell>
        </row>
        <row r="8287">
          <cell r="A8287">
            <v>2019</v>
          </cell>
          <cell r="B8287" t="str">
            <v>Budget</v>
          </cell>
          <cell r="C8287" t="str">
            <v>Aug</v>
          </cell>
          <cell r="D8287" t="str">
            <v>Chairs</v>
          </cell>
          <cell r="E8287">
            <v>408802.69499999995</v>
          </cell>
          <cell r="F8287">
            <v>8</v>
          </cell>
        </row>
        <row r="8288">
          <cell r="A8288">
            <v>2018</v>
          </cell>
          <cell r="B8288" t="str">
            <v>Actual</v>
          </cell>
          <cell r="C8288" t="str">
            <v>Aug</v>
          </cell>
          <cell r="D8288" t="str">
            <v>Chairs</v>
          </cell>
          <cell r="E8288">
            <v>457350.71899999998</v>
          </cell>
          <cell r="F8288">
            <v>8</v>
          </cell>
        </row>
        <row r="8289">
          <cell r="A8289">
            <v>2018</v>
          </cell>
          <cell r="B8289" t="str">
            <v>Budget</v>
          </cell>
          <cell r="C8289" t="str">
            <v>Aug</v>
          </cell>
          <cell r="D8289" t="str">
            <v>Chairs</v>
          </cell>
          <cell r="E8289">
            <v>693161.84699999995</v>
          </cell>
          <cell r="F8289">
            <v>8</v>
          </cell>
        </row>
        <row r="8290">
          <cell r="A8290">
            <v>2018</v>
          </cell>
          <cell r="B8290" t="str">
            <v>Actual</v>
          </cell>
          <cell r="C8290" t="str">
            <v>Aug</v>
          </cell>
          <cell r="D8290" t="str">
            <v>Chairs</v>
          </cell>
          <cell r="E8290">
            <v>126380.38699999999</v>
          </cell>
          <cell r="F8290">
            <v>8</v>
          </cell>
        </row>
        <row r="8291">
          <cell r="A8291">
            <v>2019</v>
          </cell>
          <cell r="B8291" t="str">
            <v>Budget</v>
          </cell>
          <cell r="C8291" t="str">
            <v>Aug</v>
          </cell>
          <cell r="D8291" t="str">
            <v>Chairs</v>
          </cell>
          <cell r="E8291">
            <v>134452.90599999999</v>
          </cell>
          <cell r="F8291">
            <v>8</v>
          </cell>
        </row>
        <row r="8292">
          <cell r="A8292">
            <v>2019</v>
          </cell>
          <cell r="B8292" t="str">
            <v>Actual</v>
          </cell>
          <cell r="C8292" t="str">
            <v>Aug</v>
          </cell>
          <cell r="D8292" t="str">
            <v>Chairs</v>
          </cell>
          <cell r="E8292">
            <v>121972.00399999999</v>
          </cell>
          <cell r="F8292">
            <v>8</v>
          </cell>
        </row>
        <row r="8293">
          <cell r="A8293">
            <v>2018</v>
          </cell>
          <cell r="B8293" t="str">
            <v>Budget</v>
          </cell>
          <cell r="C8293" t="str">
            <v>Aug</v>
          </cell>
          <cell r="D8293" t="str">
            <v>Chairs</v>
          </cell>
          <cell r="E8293">
            <v>60636.036999999997</v>
          </cell>
          <cell r="F8293">
            <v>8</v>
          </cell>
        </row>
        <row r="8294">
          <cell r="A8294">
            <v>2019</v>
          </cell>
          <cell r="B8294" t="str">
            <v>Actual</v>
          </cell>
          <cell r="C8294" t="str">
            <v>Aug</v>
          </cell>
          <cell r="D8294" t="str">
            <v>Chairs</v>
          </cell>
          <cell r="E8294">
            <v>42562.680999999997</v>
          </cell>
          <cell r="F8294">
            <v>8</v>
          </cell>
        </row>
        <row r="8295">
          <cell r="A8295">
            <v>2019</v>
          </cell>
          <cell r="B8295" t="str">
            <v>Budget</v>
          </cell>
          <cell r="C8295" t="str">
            <v>Aug</v>
          </cell>
          <cell r="D8295" t="str">
            <v>Chairs</v>
          </cell>
          <cell r="E8295">
            <v>19863.794999999998</v>
          </cell>
          <cell r="F8295">
            <v>8</v>
          </cell>
        </row>
        <row r="8296">
          <cell r="A8296">
            <v>2019</v>
          </cell>
          <cell r="B8296" t="str">
            <v>Actual</v>
          </cell>
          <cell r="C8296" t="str">
            <v>Aug</v>
          </cell>
          <cell r="D8296" t="str">
            <v>Chairs</v>
          </cell>
          <cell r="E8296">
            <v>897757.55299999996</v>
          </cell>
          <cell r="F8296">
            <v>8</v>
          </cell>
        </row>
        <row r="8297">
          <cell r="A8297">
            <v>2019</v>
          </cell>
          <cell r="B8297" t="str">
            <v>Budget</v>
          </cell>
          <cell r="C8297" t="str">
            <v>Aug</v>
          </cell>
          <cell r="D8297" t="str">
            <v>Chairs</v>
          </cell>
          <cell r="E8297">
            <v>101990.38499999998</v>
          </cell>
          <cell r="F8297">
            <v>8</v>
          </cell>
        </row>
        <row r="8298">
          <cell r="A8298">
            <v>2019</v>
          </cell>
          <cell r="B8298" t="str">
            <v>Actual</v>
          </cell>
          <cell r="C8298" t="str">
            <v>Aug</v>
          </cell>
          <cell r="D8298" t="str">
            <v>Chairs</v>
          </cell>
          <cell r="E8298">
            <v>227386.67699999997</v>
          </cell>
          <cell r="F8298">
            <v>8</v>
          </cell>
        </row>
        <row r="8299">
          <cell r="A8299">
            <v>2018</v>
          </cell>
          <cell r="B8299" t="str">
            <v>Budget</v>
          </cell>
          <cell r="C8299" t="str">
            <v>Aug</v>
          </cell>
          <cell r="D8299" t="str">
            <v>Tables</v>
          </cell>
          <cell r="E8299">
            <v>2236711.3229999999</v>
          </cell>
          <cell r="F8299">
            <v>8</v>
          </cell>
        </row>
        <row r="8300">
          <cell r="A8300">
            <v>2019</v>
          </cell>
          <cell r="B8300" t="str">
            <v>Actual</v>
          </cell>
          <cell r="C8300" t="str">
            <v>Aug</v>
          </cell>
          <cell r="D8300" t="str">
            <v>Kitchen</v>
          </cell>
          <cell r="E8300">
            <v>213065.93699999998</v>
          </cell>
          <cell r="F8300">
            <v>8</v>
          </cell>
        </row>
        <row r="8301">
          <cell r="A8301">
            <v>2018</v>
          </cell>
          <cell r="B8301" t="str">
            <v>Budget</v>
          </cell>
          <cell r="C8301" t="str">
            <v>Aug</v>
          </cell>
          <cell r="D8301" t="str">
            <v>Chairs</v>
          </cell>
          <cell r="E8301">
            <v>28199.296999999999</v>
          </cell>
          <cell r="F8301">
            <v>8</v>
          </cell>
        </row>
        <row r="8302">
          <cell r="A8302">
            <v>2018</v>
          </cell>
          <cell r="B8302" t="str">
            <v>Actual</v>
          </cell>
          <cell r="C8302" t="str">
            <v>Aug</v>
          </cell>
          <cell r="D8302" t="str">
            <v>Chairs</v>
          </cell>
          <cell r="E8302">
            <v>74303.032999999996</v>
          </cell>
          <cell r="F8302">
            <v>8</v>
          </cell>
        </row>
        <row r="8303">
          <cell r="A8303">
            <v>2019</v>
          </cell>
          <cell r="B8303" t="str">
            <v>Budget</v>
          </cell>
          <cell r="C8303" t="str">
            <v>Aug</v>
          </cell>
          <cell r="D8303" t="str">
            <v>Chairs</v>
          </cell>
          <cell r="E8303">
            <v>10669.106</v>
          </cell>
          <cell r="F8303">
            <v>8</v>
          </cell>
        </row>
        <row r="8304">
          <cell r="A8304">
            <v>2018</v>
          </cell>
          <cell r="B8304" t="str">
            <v>Actual</v>
          </cell>
          <cell r="C8304" t="str">
            <v>Aug</v>
          </cell>
          <cell r="D8304" t="str">
            <v>Chairs</v>
          </cell>
          <cell r="E8304">
            <v>205065.049</v>
          </cell>
          <cell r="F8304">
            <v>8</v>
          </cell>
        </row>
        <row r="8305">
          <cell r="A8305">
            <v>2019</v>
          </cell>
          <cell r="B8305" t="str">
            <v>Budget</v>
          </cell>
          <cell r="C8305" t="str">
            <v>Aug</v>
          </cell>
          <cell r="D8305" t="str">
            <v>Chairs</v>
          </cell>
          <cell r="E8305">
            <v>936883.80099999986</v>
          </cell>
          <cell r="F8305">
            <v>8</v>
          </cell>
        </row>
        <row r="8306">
          <cell r="A8306">
            <v>2019</v>
          </cell>
          <cell r="B8306" t="str">
            <v>Actual</v>
          </cell>
          <cell r="C8306" t="str">
            <v>Aug</v>
          </cell>
          <cell r="D8306" t="str">
            <v>Tables</v>
          </cell>
          <cell r="E8306">
            <v>328479.788</v>
          </cell>
          <cell r="F8306">
            <v>8</v>
          </cell>
        </row>
        <row r="8307">
          <cell r="A8307">
            <v>2019</v>
          </cell>
          <cell r="B8307" t="str">
            <v>Budget</v>
          </cell>
          <cell r="C8307" t="str">
            <v>Aug</v>
          </cell>
          <cell r="D8307" t="str">
            <v>Kitchen</v>
          </cell>
          <cell r="E8307">
            <v>333547.44499999995</v>
          </cell>
          <cell r="F8307">
            <v>8</v>
          </cell>
        </row>
        <row r="8308">
          <cell r="A8308">
            <v>2019</v>
          </cell>
          <cell r="B8308" t="str">
            <v>Actual</v>
          </cell>
          <cell r="C8308" t="str">
            <v>Aug</v>
          </cell>
          <cell r="D8308" t="str">
            <v>Chairs</v>
          </cell>
          <cell r="E8308">
            <v>8684.360999999999</v>
          </cell>
          <cell r="F8308">
            <v>8</v>
          </cell>
        </row>
        <row r="8309">
          <cell r="A8309">
            <v>2018</v>
          </cell>
          <cell r="B8309" t="str">
            <v>Budget</v>
          </cell>
          <cell r="C8309" t="str">
            <v>Aug</v>
          </cell>
          <cell r="D8309" t="str">
            <v>Chairs</v>
          </cell>
          <cell r="E8309">
            <v>66765.062000000005</v>
          </cell>
          <cell r="F8309">
            <v>8</v>
          </cell>
        </row>
        <row r="8310">
          <cell r="A8310">
            <v>2018</v>
          </cell>
          <cell r="B8310" t="str">
            <v>Actual</v>
          </cell>
          <cell r="C8310" t="str">
            <v>Aug</v>
          </cell>
          <cell r="D8310" t="str">
            <v>Chairs</v>
          </cell>
          <cell r="E8310">
            <v>56879.095000000001</v>
          </cell>
          <cell r="F8310">
            <v>8</v>
          </cell>
        </row>
        <row r="8311">
          <cell r="A8311">
            <v>2019</v>
          </cell>
          <cell r="B8311" t="str">
            <v>Budget</v>
          </cell>
          <cell r="C8311" t="str">
            <v>Aug</v>
          </cell>
          <cell r="D8311" t="str">
            <v>Tables</v>
          </cell>
          <cell r="E8311">
            <v>29681.406999999999</v>
          </cell>
          <cell r="F8311">
            <v>8</v>
          </cell>
        </row>
        <row r="8312">
          <cell r="A8312">
            <v>2019</v>
          </cell>
          <cell r="B8312" t="str">
            <v>Actual</v>
          </cell>
          <cell r="C8312" t="str">
            <v>Aug</v>
          </cell>
          <cell r="D8312" t="str">
            <v>Kitchen</v>
          </cell>
          <cell r="E8312">
            <v>59855.165999999997</v>
          </cell>
          <cell r="F8312">
            <v>8</v>
          </cell>
        </row>
        <row r="8313">
          <cell r="A8313">
            <v>2019</v>
          </cell>
          <cell r="B8313" t="str">
            <v>Budget</v>
          </cell>
          <cell r="C8313" t="str">
            <v>Aug</v>
          </cell>
          <cell r="D8313" t="str">
            <v>Chairs</v>
          </cell>
          <cell r="E8313">
            <v>234410.38599999997</v>
          </cell>
          <cell r="F8313">
            <v>8</v>
          </cell>
        </row>
        <row r="8314">
          <cell r="A8314">
            <v>2019</v>
          </cell>
          <cell r="B8314" t="str">
            <v>Actual</v>
          </cell>
          <cell r="C8314" t="str">
            <v>Aug</v>
          </cell>
          <cell r="D8314" t="str">
            <v>Chairs</v>
          </cell>
          <cell r="E8314">
            <v>836128.64299999992</v>
          </cell>
          <cell r="F8314">
            <v>8</v>
          </cell>
        </row>
        <row r="8315">
          <cell r="A8315">
            <v>2018</v>
          </cell>
          <cell r="B8315" t="str">
            <v>Budget</v>
          </cell>
          <cell r="C8315" t="str">
            <v>Aug</v>
          </cell>
          <cell r="D8315" t="str">
            <v>Tables</v>
          </cell>
          <cell r="E8315">
            <v>112402.33199999999</v>
          </cell>
          <cell r="F8315">
            <v>8</v>
          </cell>
        </row>
        <row r="8316">
          <cell r="A8316">
            <v>2019</v>
          </cell>
          <cell r="B8316" t="str">
            <v>Actual</v>
          </cell>
          <cell r="C8316" t="str">
            <v>Aug</v>
          </cell>
          <cell r="D8316" t="str">
            <v>Kitchen</v>
          </cell>
          <cell r="E8316">
            <v>6423924.0660000006</v>
          </cell>
          <cell r="F8316">
            <v>8</v>
          </cell>
        </row>
        <row r="8317">
          <cell r="A8317">
            <v>2018</v>
          </cell>
          <cell r="B8317" t="str">
            <v>Budget</v>
          </cell>
          <cell r="C8317" t="str">
            <v>Aug</v>
          </cell>
          <cell r="D8317" t="str">
            <v>Chairs</v>
          </cell>
          <cell r="E8317">
            <v>586970.39799999993</v>
          </cell>
          <cell r="F8317">
            <v>8</v>
          </cell>
        </row>
        <row r="8318">
          <cell r="A8318">
            <v>2019</v>
          </cell>
          <cell r="B8318" t="str">
            <v>Actual</v>
          </cell>
          <cell r="C8318" t="str">
            <v>Aug</v>
          </cell>
          <cell r="D8318" t="str">
            <v>Chairs</v>
          </cell>
          <cell r="E8318">
            <v>188187.02699999997</v>
          </cell>
          <cell r="F8318">
            <v>8</v>
          </cell>
        </row>
        <row r="8319">
          <cell r="A8319">
            <v>2018</v>
          </cell>
          <cell r="B8319" t="str">
            <v>Budget</v>
          </cell>
          <cell r="C8319" t="str">
            <v>Aug</v>
          </cell>
          <cell r="D8319" t="str">
            <v>Chairs</v>
          </cell>
          <cell r="E8319">
            <v>76781.116999999998</v>
          </cell>
          <cell r="F8319">
            <v>8</v>
          </cell>
        </row>
        <row r="8320">
          <cell r="A8320">
            <v>2018</v>
          </cell>
          <cell r="B8320" t="str">
            <v>Actual</v>
          </cell>
          <cell r="C8320" t="str">
            <v>Aug</v>
          </cell>
          <cell r="D8320" t="str">
            <v>Tables</v>
          </cell>
          <cell r="E8320">
            <v>3053493.6669999994</v>
          </cell>
          <cell r="F8320">
            <v>8</v>
          </cell>
        </row>
        <row r="8321">
          <cell r="A8321">
            <v>2019</v>
          </cell>
          <cell r="B8321" t="str">
            <v>Budget</v>
          </cell>
          <cell r="C8321" t="str">
            <v>Aug</v>
          </cell>
          <cell r="D8321" t="str">
            <v>Kitchen</v>
          </cell>
          <cell r="E8321">
            <v>1565299.351</v>
          </cell>
          <cell r="F8321">
            <v>8</v>
          </cell>
        </row>
        <row r="8322">
          <cell r="A8322">
            <v>2019</v>
          </cell>
          <cell r="B8322" t="str">
            <v>Actual</v>
          </cell>
          <cell r="C8322" t="str">
            <v>Aug</v>
          </cell>
          <cell r="D8322" t="str">
            <v>Accessories</v>
          </cell>
          <cell r="E8322">
            <v>32846.225999999995</v>
          </cell>
          <cell r="F8322">
            <v>8</v>
          </cell>
        </row>
        <row r="8323">
          <cell r="A8323">
            <v>2019</v>
          </cell>
          <cell r="B8323" t="str">
            <v>Budget</v>
          </cell>
          <cell r="C8323" t="str">
            <v>Aug</v>
          </cell>
          <cell r="D8323" t="str">
            <v>Chairs</v>
          </cell>
          <cell r="E8323">
            <v>234942.44199999998</v>
          </cell>
          <cell r="F8323">
            <v>8</v>
          </cell>
        </row>
        <row r="8324">
          <cell r="A8324">
            <v>2019</v>
          </cell>
          <cell r="B8324" t="str">
            <v>Actual</v>
          </cell>
          <cell r="C8324" t="str">
            <v>Aug</v>
          </cell>
          <cell r="D8324" t="str">
            <v>Tables</v>
          </cell>
          <cell r="E8324">
            <v>1319140.8159999999</v>
          </cell>
          <cell r="F8324">
            <v>8</v>
          </cell>
        </row>
        <row r="8325">
          <cell r="A8325">
            <v>2018</v>
          </cell>
          <cell r="B8325" t="str">
            <v>Budget</v>
          </cell>
          <cell r="C8325" t="str">
            <v>Aug</v>
          </cell>
          <cell r="D8325" t="str">
            <v>Kitchen</v>
          </cell>
          <cell r="E8325">
            <v>3851195.327</v>
          </cell>
          <cell r="F8325">
            <v>8</v>
          </cell>
        </row>
        <row r="8326">
          <cell r="A8326">
            <v>2018</v>
          </cell>
          <cell r="B8326" t="str">
            <v>Actual</v>
          </cell>
          <cell r="C8326" t="str">
            <v>Aug</v>
          </cell>
          <cell r="D8326" t="str">
            <v>Accessories</v>
          </cell>
          <cell r="E8326">
            <v>-106941.345</v>
          </cell>
          <cell r="F8326">
            <v>8</v>
          </cell>
        </row>
        <row r="8327">
          <cell r="A8327">
            <v>2018</v>
          </cell>
          <cell r="B8327" t="str">
            <v>Budget</v>
          </cell>
          <cell r="C8327" t="str">
            <v>Aug</v>
          </cell>
          <cell r="D8327" t="str">
            <v>Chairs</v>
          </cell>
          <cell r="E8327">
            <v>1421587.9789999998</v>
          </cell>
          <cell r="F8327">
            <v>8</v>
          </cell>
        </row>
        <row r="8328">
          <cell r="A8328">
            <v>2019</v>
          </cell>
          <cell r="B8328" t="str">
            <v>Actual</v>
          </cell>
          <cell r="C8328" t="str">
            <v>Aug</v>
          </cell>
          <cell r="D8328" t="str">
            <v>Tables</v>
          </cell>
          <cell r="E8328">
            <v>-1807.6589999999999</v>
          </cell>
          <cell r="F8328">
            <v>8</v>
          </cell>
        </row>
        <row r="8329">
          <cell r="A8329">
            <v>2018</v>
          </cell>
          <cell r="B8329" t="str">
            <v>Budget</v>
          </cell>
          <cell r="C8329" t="str">
            <v>Aug</v>
          </cell>
          <cell r="D8329" t="str">
            <v>Kitchen</v>
          </cell>
          <cell r="E8329">
            <v>-49739.108999999997</v>
          </cell>
          <cell r="F8329">
            <v>8</v>
          </cell>
        </row>
        <row r="8330">
          <cell r="A8330">
            <v>2018</v>
          </cell>
          <cell r="B8330" t="str">
            <v>Actual</v>
          </cell>
          <cell r="C8330" t="str">
            <v>Aug</v>
          </cell>
          <cell r="D8330" t="str">
            <v>Accessories</v>
          </cell>
          <cell r="E8330">
            <v>1119906.375</v>
          </cell>
          <cell r="F8330">
            <v>8</v>
          </cell>
        </row>
        <row r="8331">
          <cell r="A8331">
            <v>2018</v>
          </cell>
          <cell r="B8331" t="str">
            <v>Budget</v>
          </cell>
          <cell r="C8331" t="str">
            <v>Aug</v>
          </cell>
          <cell r="D8331" t="str">
            <v>Chairs</v>
          </cell>
          <cell r="E8331">
            <v>3988368.3</v>
          </cell>
          <cell r="F8331">
            <v>8</v>
          </cell>
        </row>
        <row r="8332">
          <cell r="A8332">
            <v>2018</v>
          </cell>
          <cell r="B8332" t="str">
            <v>Actual</v>
          </cell>
          <cell r="C8332" t="str">
            <v>Aug</v>
          </cell>
          <cell r="D8332" t="str">
            <v>Tables</v>
          </cell>
          <cell r="E8332">
            <v>-57807.077999999994</v>
          </cell>
          <cell r="F8332">
            <v>8</v>
          </cell>
        </row>
        <row r="8333">
          <cell r="A8333">
            <v>2018</v>
          </cell>
          <cell r="B8333" t="str">
            <v>Budget</v>
          </cell>
          <cell r="C8333" t="str">
            <v>Aug</v>
          </cell>
          <cell r="D8333" t="str">
            <v>Kitchen</v>
          </cell>
          <cell r="E8333">
            <v>352191.37799999997</v>
          </cell>
          <cell r="F8333">
            <v>8</v>
          </cell>
        </row>
        <row r="8334">
          <cell r="A8334">
            <v>2018</v>
          </cell>
          <cell r="B8334" t="str">
            <v>Actual</v>
          </cell>
          <cell r="C8334" t="str">
            <v>Aug</v>
          </cell>
          <cell r="D8334" t="str">
            <v>Accessories</v>
          </cell>
          <cell r="E8334">
            <v>195259.421</v>
          </cell>
          <cell r="F8334">
            <v>8</v>
          </cell>
        </row>
        <row r="8335">
          <cell r="A8335">
            <v>2019</v>
          </cell>
          <cell r="B8335" t="str">
            <v>Budget</v>
          </cell>
          <cell r="C8335" t="str">
            <v>Aug</v>
          </cell>
          <cell r="D8335" t="str">
            <v>Chairs</v>
          </cell>
          <cell r="E8335">
            <v>119400.841</v>
          </cell>
          <cell r="F8335">
            <v>8</v>
          </cell>
        </row>
        <row r="8336">
          <cell r="A8336">
            <v>2018</v>
          </cell>
          <cell r="B8336" t="str">
            <v>Actual</v>
          </cell>
          <cell r="C8336" t="str">
            <v>Aug</v>
          </cell>
          <cell r="D8336" t="str">
            <v>Chairs</v>
          </cell>
          <cell r="E8336">
            <v>198112.34099999999</v>
          </cell>
          <cell r="F8336">
            <v>8</v>
          </cell>
        </row>
        <row r="8337">
          <cell r="A8337">
            <v>2019</v>
          </cell>
          <cell r="B8337" t="str">
            <v>Budget</v>
          </cell>
          <cell r="C8337" t="str">
            <v>Aug</v>
          </cell>
          <cell r="D8337" t="str">
            <v>Tables</v>
          </cell>
          <cell r="E8337">
            <v>56213.303999999996</v>
          </cell>
          <cell r="F8337">
            <v>8</v>
          </cell>
        </row>
        <row r="8338">
          <cell r="A8338">
            <v>2018</v>
          </cell>
          <cell r="B8338" t="str">
            <v>Actual</v>
          </cell>
          <cell r="C8338" t="str">
            <v>Aug</v>
          </cell>
          <cell r="D8338" t="str">
            <v>Kitchen</v>
          </cell>
          <cell r="E8338">
            <v>474896.65299999999</v>
          </cell>
          <cell r="F8338">
            <v>8</v>
          </cell>
        </row>
        <row r="8339">
          <cell r="A8339">
            <v>2018</v>
          </cell>
          <cell r="B8339" t="str">
            <v>Budget</v>
          </cell>
          <cell r="C8339" t="str">
            <v>Aug</v>
          </cell>
          <cell r="D8339" t="str">
            <v>Chairs</v>
          </cell>
          <cell r="E8339">
            <v>47845.783999999992</v>
          </cell>
          <cell r="F8339">
            <v>8</v>
          </cell>
        </row>
        <row r="8340">
          <cell r="A8340">
            <v>2019</v>
          </cell>
          <cell r="B8340" t="str">
            <v>Actual</v>
          </cell>
          <cell r="C8340" t="str">
            <v>Aug</v>
          </cell>
          <cell r="D8340" t="str">
            <v>Tables</v>
          </cell>
          <cell r="E8340">
            <v>1213055.6549999998</v>
          </cell>
          <cell r="F8340">
            <v>8</v>
          </cell>
        </row>
        <row r="8341">
          <cell r="A8341">
            <v>2018</v>
          </cell>
          <cell r="B8341" t="str">
            <v>Budget</v>
          </cell>
          <cell r="C8341" t="str">
            <v>Aug</v>
          </cell>
          <cell r="D8341" t="str">
            <v>Kitchen</v>
          </cell>
          <cell r="E8341">
            <v>27762.972999999998</v>
          </cell>
          <cell r="F8341">
            <v>8</v>
          </cell>
        </row>
        <row r="8342">
          <cell r="A8342">
            <v>2018</v>
          </cell>
          <cell r="B8342" t="str">
            <v>Actual</v>
          </cell>
          <cell r="C8342" t="str">
            <v>Aug</v>
          </cell>
          <cell r="D8342" t="str">
            <v>Chairs</v>
          </cell>
          <cell r="E8342">
            <v>111012.27899999999</v>
          </cell>
          <cell r="F8342">
            <v>8</v>
          </cell>
        </row>
        <row r="8343">
          <cell r="A8343">
            <v>2018</v>
          </cell>
          <cell r="B8343" t="str">
            <v>Budget</v>
          </cell>
          <cell r="C8343" t="str">
            <v>Aug</v>
          </cell>
          <cell r="D8343" t="str">
            <v>Tables</v>
          </cell>
          <cell r="E8343">
            <v>13228.656000000001</v>
          </cell>
          <cell r="F8343">
            <v>8</v>
          </cell>
        </row>
        <row r="8344">
          <cell r="A8344">
            <v>2018</v>
          </cell>
          <cell r="B8344" t="str">
            <v>Actual</v>
          </cell>
          <cell r="C8344" t="str">
            <v>Aug</v>
          </cell>
          <cell r="D8344" t="str">
            <v>Kitchen</v>
          </cell>
          <cell r="E8344">
            <v>629800.89899999998</v>
          </cell>
          <cell r="F8344">
            <v>8</v>
          </cell>
        </row>
        <row r="8345">
          <cell r="A8345">
            <v>2018</v>
          </cell>
          <cell r="B8345" t="str">
            <v>Budget</v>
          </cell>
          <cell r="C8345" t="str">
            <v>Aug</v>
          </cell>
          <cell r="D8345" t="str">
            <v>Chairs</v>
          </cell>
          <cell r="E8345">
            <v>385122.5</v>
          </cell>
          <cell r="F8345">
            <v>8</v>
          </cell>
        </row>
        <row r="8346">
          <cell r="A8346">
            <v>2019</v>
          </cell>
          <cell r="B8346" t="str">
            <v>Actual</v>
          </cell>
          <cell r="C8346" t="str">
            <v>Aug</v>
          </cell>
          <cell r="D8346" t="str">
            <v>Chairs</v>
          </cell>
          <cell r="E8346">
            <v>661089.00899999996</v>
          </cell>
          <cell r="F8346">
            <v>8</v>
          </cell>
        </row>
        <row r="8347">
          <cell r="A8347">
            <v>2019</v>
          </cell>
          <cell r="B8347" t="str">
            <v>Budget</v>
          </cell>
          <cell r="C8347" t="str">
            <v>Aug</v>
          </cell>
          <cell r="D8347" t="str">
            <v>Chairs</v>
          </cell>
          <cell r="E8347">
            <v>-122768.19099999999</v>
          </cell>
          <cell r="F8347">
            <v>8</v>
          </cell>
        </row>
        <row r="8348">
          <cell r="A8348">
            <v>2019</v>
          </cell>
          <cell r="B8348" t="str">
            <v>Actual</v>
          </cell>
          <cell r="C8348" t="str">
            <v>Aug</v>
          </cell>
          <cell r="D8348" t="str">
            <v>Chairs</v>
          </cell>
          <cell r="E8348">
            <v>119395.35999999999</v>
          </cell>
          <cell r="F8348">
            <v>8</v>
          </cell>
        </row>
        <row r="8349">
          <cell r="A8349">
            <v>2018</v>
          </cell>
          <cell r="B8349" t="str">
            <v>Budget</v>
          </cell>
          <cell r="C8349" t="str">
            <v>Aug</v>
          </cell>
          <cell r="D8349" t="str">
            <v>Chairs</v>
          </cell>
          <cell r="E8349">
            <v>237079.57699999996</v>
          </cell>
          <cell r="F8349">
            <v>8</v>
          </cell>
        </row>
        <row r="8350">
          <cell r="A8350">
            <v>2019</v>
          </cell>
          <cell r="B8350" t="str">
            <v>Actual</v>
          </cell>
          <cell r="C8350" t="str">
            <v>Aug</v>
          </cell>
          <cell r="D8350" t="str">
            <v>Chairs</v>
          </cell>
          <cell r="E8350">
            <v>480361.91</v>
          </cell>
          <cell r="F8350">
            <v>8</v>
          </cell>
        </row>
        <row r="8351">
          <cell r="A8351">
            <v>2019</v>
          </cell>
          <cell r="B8351" t="str">
            <v>Budget</v>
          </cell>
          <cell r="C8351" t="str">
            <v>Aug</v>
          </cell>
          <cell r="D8351" t="str">
            <v>Chairs</v>
          </cell>
          <cell r="E8351">
            <v>84819.595000000001</v>
          </cell>
          <cell r="F8351">
            <v>8</v>
          </cell>
        </row>
        <row r="8352">
          <cell r="A8352">
            <v>2019</v>
          </cell>
          <cell r="B8352" t="str">
            <v>Actual</v>
          </cell>
          <cell r="C8352" t="str">
            <v>Aug</v>
          </cell>
          <cell r="D8352" t="str">
            <v>Chairs</v>
          </cell>
          <cell r="E8352">
            <v>135007.08199999999</v>
          </cell>
          <cell r="F8352">
            <v>8</v>
          </cell>
        </row>
        <row r="8353">
          <cell r="A8353">
            <v>2018</v>
          </cell>
          <cell r="B8353" t="str">
            <v>Budget</v>
          </cell>
          <cell r="C8353" t="str">
            <v>Aug</v>
          </cell>
          <cell r="D8353" t="str">
            <v>Chairs</v>
          </cell>
          <cell r="E8353">
            <v>169576.18299999999</v>
          </cell>
          <cell r="F8353">
            <v>8</v>
          </cell>
        </row>
        <row r="8354">
          <cell r="A8354">
            <v>2018</v>
          </cell>
          <cell r="B8354" t="str">
            <v>Actual</v>
          </cell>
          <cell r="C8354" t="str">
            <v>Aug</v>
          </cell>
          <cell r="D8354" t="str">
            <v>Chairs</v>
          </cell>
          <cell r="E8354">
            <v>3082.5969999999998</v>
          </cell>
          <cell r="F8354">
            <v>8</v>
          </cell>
        </row>
        <row r="8355">
          <cell r="A8355">
            <v>2018</v>
          </cell>
          <cell r="B8355" t="str">
            <v>Budget</v>
          </cell>
          <cell r="C8355" t="str">
            <v>Aug</v>
          </cell>
          <cell r="D8355" t="str">
            <v>Chairs</v>
          </cell>
          <cell r="E8355">
            <v>64327.143999999993</v>
          </cell>
          <cell r="F8355">
            <v>8</v>
          </cell>
        </row>
        <row r="8356">
          <cell r="A8356">
            <v>2019</v>
          </cell>
          <cell r="B8356" t="str">
            <v>Actual</v>
          </cell>
          <cell r="C8356" t="str">
            <v>Aug</v>
          </cell>
          <cell r="D8356" t="str">
            <v>Chairs</v>
          </cell>
          <cell r="E8356">
            <v>97765.037999999986</v>
          </cell>
          <cell r="F8356">
            <v>8</v>
          </cell>
        </row>
        <row r="8357">
          <cell r="A8357">
            <v>2019</v>
          </cell>
          <cell r="B8357" t="str">
            <v>Budget</v>
          </cell>
          <cell r="C8357" t="str">
            <v>Aug</v>
          </cell>
          <cell r="D8357" t="str">
            <v>Chairs</v>
          </cell>
          <cell r="E8357">
            <v>88694.458999999988</v>
          </cell>
          <cell r="F8357">
            <v>8</v>
          </cell>
        </row>
        <row r="8358">
          <cell r="A8358">
            <v>2019</v>
          </cell>
          <cell r="B8358" t="str">
            <v>Actual</v>
          </cell>
          <cell r="C8358" t="str">
            <v>Aug</v>
          </cell>
          <cell r="D8358" t="str">
            <v>Chairs</v>
          </cell>
          <cell r="E8358">
            <v>40503.337</v>
          </cell>
          <cell r="F8358">
            <v>8</v>
          </cell>
        </row>
        <row r="8359">
          <cell r="A8359">
            <v>2019</v>
          </cell>
          <cell r="B8359" t="str">
            <v>Budget</v>
          </cell>
          <cell r="C8359" t="str">
            <v>Aug</v>
          </cell>
          <cell r="D8359" t="str">
            <v>Chairs</v>
          </cell>
          <cell r="E8359">
            <v>60874.582999999999</v>
          </cell>
          <cell r="F8359">
            <v>8</v>
          </cell>
        </row>
        <row r="8360">
          <cell r="A8360">
            <v>2018</v>
          </cell>
          <cell r="B8360" t="str">
            <v>Actual</v>
          </cell>
          <cell r="C8360" t="str">
            <v>Aug</v>
          </cell>
          <cell r="D8360" t="str">
            <v>Chairs</v>
          </cell>
          <cell r="E8360">
            <v>210173.614</v>
          </cell>
          <cell r="F8360">
            <v>8</v>
          </cell>
        </row>
        <row r="8361">
          <cell r="A8361">
            <v>2019</v>
          </cell>
          <cell r="B8361" t="str">
            <v>Budget</v>
          </cell>
          <cell r="C8361" t="str">
            <v>Aug</v>
          </cell>
          <cell r="D8361" t="str">
            <v>Chairs</v>
          </cell>
          <cell r="E8361">
            <v>56902.929999999993</v>
          </cell>
          <cell r="F8361">
            <v>8</v>
          </cell>
        </row>
        <row r="8362">
          <cell r="A8362">
            <v>2019</v>
          </cell>
          <cell r="B8362" t="str">
            <v>Actual</v>
          </cell>
          <cell r="C8362" t="str">
            <v>Aug</v>
          </cell>
          <cell r="D8362" t="str">
            <v>Chairs</v>
          </cell>
          <cell r="E8362">
            <v>-21896.027999999998</v>
          </cell>
          <cell r="F8362">
            <v>8</v>
          </cell>
        </row>
        <row r="8363">
          <cell r="A8363">
            <v>2019</v>
          </cell>
          <cell r="B8363" t="str">
            <v>Budget</v>
          </cell>
          <cell r="C8363" t="str">
            <v>Aug</v>
          </cell>
          <cell r="D8363" t="str">
            <v>Chairs</v>
          </cell>
          <cell r="E8363">
            <v>91380.512999999992</v>
          </cell>
          <cell r="F8363">
            <v>8</v>
          </cell>
        </row>
        <row r="8364">
          <cell r="A8364">
            <v>2019</v>
          </cell>
          <cell r="B8364" t="str">
            <v>Actual</v>
          </cell>
          <cell r="C8364" t="str">
            <v>Aug</v>
          </cell>
          <cell r="D8364" t="str">
            <v>Chairs</v>
          </cell>
          <cell r="E8364">
            <v>80563.944999999992</v>
          </cell>
          <cell r="F8364">
            <v>8</v>
          </cell>
        </row>
        <row r="8365">
          <cell r="A8365">
            <v>2019</v>
          </cell>
          <cell r="B8365" t="str">
            <v>Budget</v>
          </cell>
          <cell r="C8365" t="str">
            <v>Aug</v>
          </cell>
          <cell r="D8365" t="str">
            <v>Chairs</v>
          </cell>
          <cell r="E8365">
            <v>116246.65499999998</v>
          </cell>
          <cell r="F8365">
            <v>8</v>
          </cell>
        </row>
        <row r="8366">
          <cell r="A8366">
            <v>2018</v>
          </cell>
          <cell r="B8366" t="str">
            <v>Actual</v>
          </cell>
          <cell r="C8366" t="str">
            <v>Aug</v>
          </cell>
          <cell r="D8366" t="str">
            <v>Chairs</v>
          </cell>
          <cell r="E8366">
            <v>605147.96299999999</v>
          </cell>
          <cell r="F8366">
            <v>8</v>
          </cell>
        </row>
        <row r="8367">
          <cell r="A8367">
            <v>2019</v>
          </cell>
          <cell r="B8367" t="str">
            <v>Budget</v>
          </cell>
          <cell r="C8367" t="str">
            <v>Aug</v>
          </cell>
          <cell r="D8367" t="str">
            <v>Chairs</v>
          </cell>
          <cell r="E8367">
            <v>485921.576</v>
          </cell>
          <cell r="F8367">
            <v>8</v>
          </cell>
        </row>
        <row r="8368">
          <cell r="A8368">
            <v>2019</v>
          </cell>
          <cell r="B8368" t="str">
            <v>Actual</v>
          </cell>
          <cell r="C8368" t="str">
            <v>Aug</v>
          </cell>
          <cell r="D8368" t="str">
            <v>Chairs</v>
          </cell>
          <cell r="E8368">
            <v>17050.795999999998</v>
          </cell>
          <cell r="F8368">
            <v>8</v>
          </cell>
        </row>
        <row r="8369">
          <cell r="A8369">
            <v>2019</v>
          </cell>
          <cell r="B8369" t="str">
            <v>Budget</v>
          </cell>
          <cell r="C8369" t="str">
            <v>Aug</v>
          </cell>
          <cell r="D8369" t="str">
            <v>Chairs</v>
          </cell>
          <cell r="E8369">
            <v>42531.488999999994</v>
          </cell>
          <cell r="F8369">
            <v>8</v>
          </cell>
        </row>
        <row r="8370">
          <cell r="A8370">
            <v>2018</v>
          </cell>
          <cell r="B8370" t="str">
            <v>Actual</v>
          </cell>
          <cell r="C8370" t="str">
            <v>Aug</v>
          </cell>
          <cell r="D8370" t="str">
            <v>Chairs</v>
          </cell>
          <cell r="E8370">
            <v>538210.72899999993</v>
          </cell>
          <cell r="F8370">
            <v>8</v>
          </cell>
        </row>
        <row r="8371">
          <cell r="A8371">
            <v>2019</v>
          </cell>
          <cell r="B8371" t="str">
            <v>Budget</v>
          </cell>
          <cell r="C8371" t="str">
            <v>Aug</v>
          </cell>
          <cell r="D8371" t="str">
            <v>Tables</v>
          </cell>
          <cell r="E8371">
            <v>360293.5</v>
          </cell>
          <cell r="F8371">
            <v>8</v>
          </cell>
        </row>
        <row r="8372">
          <cell r="A8372">
            <v>2018</v>
          </cell>
          <cell r="B8372" t="str">
            <v>Actual</v>
          </cell>
          <cell r="C8372" t="str">
            <v>Aug</v>
          </cell>
          <cell r="D8372" t="str">
            <v>Kitchen</v>
          </cell>
          <cell r="E8372">
            <v>177156.62999999998</v>
          </cell>
          <cell r="F8372">
            <v>8</v>
          </cell>
        </row>
        <row r="8373">
          <cell r="A8373">
            <v>2019</v>
          </cell>
          <cell r="B8373" t="str">
            <v>Budget</v>
          </cell>
          <cell r="C8373" t="str">
            <v>Aug</v>
          </cell>
          <cell r="D8373" t="str">
            <v>Chairs</v>
          </cell>
          <cell r="E8373">
            <v>28312863.011999995</v>
          </cell>
          <cell r="F8373">
            <v>8</v>
          </cell>
        </row>
        <row r="8374">
          <cell r="A8374">
            <v>2019</v>
          </cell>
          <cell r="B8374" t="str">
            <v>Actual</v>
          </cell>
          <cell r="C8374" t="str">
            <v>Aug</v>
          </cell>
          <cell r="D8374" t="str">
            <v>Chairs</v>
          </cell>
          <cell r="E8374">
            <v>20390.293000000001</v>
          </cell>
          <cell r="F8374">
            <v>8</v>
          </cell>
        </row>
        <row r="8375">
          <cell r="A8375">
            <v>2019</v>
          </cell>
          <cell r="B8375" t="str">
            <v>Budget</v>
          </cell>
          <cell r="C8375" t="str">
            <v>Aug</v>
          </cell>
          <cell r="D8375" t="str">
            <v>Chairs</v>
          </cell>
          <cell r="E8375">
            <v>7058.6949999999997</v>
          </cell>
          <cell r="F8375">
            <v>8</v>
          </cell>
        </row>
        <row r="8376">
          <cell r="A8376">
            <v>2019</v>
          </cell>
          <cell r="B8376" t="str">
            <v>Actual</v>
          </cell>
          <cell r="C8376" t="str">
            <v>Aug</v>
          </cell>
          <cell r="D8376" t="str">
            <v>Chairs</v>
          </cell>
          <cell r="E8376">
            <v>107660.15399999999</v>
          </cell>
          <cell r="F8376">
            <v>8</v>
          </cell>
        </row>
        <row r="8377">
          <cell r="A8377">
            <v>2018</v>
          </cell>
          <cell r="B8377" t="str">
            <v>Budget</v>
          </cell>
          <cell r="C8377" t="str">
            <v>Aug</v>
          </cell>
          <cell r="D8377" t="str">
            <v>Chairs</v>
          </cell>
          <cell r="E8377">
            <v>28817.592999999997</v>
          </cell>
          <cell r="F8377">
            <v>8</v>
          </cell>
        </row>
        <row r="8378">
          <cell r="A8378">
            <v>2019</v>
          </cell>
          <cell r="B8378" t="str">
            <v>Actual</v>
          </cell>
          <cell r="C8378" t="str">
            <v>Aug</v>
          </cell>
          <cell r="D8378" t="str">
            <v>Tables</v>
          </cell>
          <cell r="E8378">
            <v>12960.962</v>
          </cell>
          <cell r="F8378">
            <v>8</v>
          </cell>
        </row>
        <row r="8379">
          <cell r="A8379">
            <v>2019</v>
          </cell>
          <cell r="B8379" t="str">
            <v>Budget</v>
          </cell>
          <cell r="C8379" t="str">
            <v>Aug</v>
          </cell>
          <cell r="D8379" t="str">
            <v>Kitchen</v>
          </cell>
          <cell r="E8379">
            <v>426957.66399999999</v>
          </cell>
          <cell r="F8379">
            <v>8</v>
          </cell>
        </row>
        <row r="8380">
          <cell r="A8380">
            <v>2019</v>
          </cell>
          <cell r="B8380" t="str">
            <v>Actual</v>
          </cell>
          <cell r="C8380" t="str">
            <v>Aug</v>
          </cell>
          <cell r="D8380" t="str">
            <v>Chairs</v>
          </cell>
          <cell r="E8380">
            <v>526115.15599999996</v>
          </cell>
          <cell r="F8380">
            <v>8</v>
          </cell>
        </row>
        <row r="8381">
          <cell r="A8381">
            <v>2019</v>
          </cell>
          <cell r="B8381" t="str">
            <v>Budget</v>
          </cell>
          <cell r="C8381" t="str">
            <v>Aug</v>
          </cell>
          <cell r="D8381" t="str">
            <v>Chairs</v>
          </cell>
          <cell r="E8381">
            <v>356452.37599999999</v>
          </cell>
          <cell r="F8381">
            <v>8</v>
          </cell>
        </row>
        <row r="8382">
          <cell r="A8382">
            <v>2019</v>
          </cell>
          <cell r="B8382" t="str">
            <v>Actual</v>
          </cell>
          <cell r="C8382" t="str">
            <v>Aug</v>
          </cell>
          <cell r="D8382" t="str">
            <v>Chairs</v>
          </cell>
          <cell r="E8382">
            <v>150219.174</v>
          </cell>
          <cell r="F8382">
            <v>8</v>
          </cell>
        </row>
        <row r="8383">
          <cell r="A8383">
            <v>2018</v>
          </cell>
          <cell r="B8383" t="str">
            <v>Budget</v>
          </cell>
          <cell r="C8383" t="str">
            <v>Aug</v>
          </cell>
          <cell r="D8383" t="str">
            <v>Tables</v>
          </cell>
          <cell r="E8383">
            <v>185617.95699999999</v>
          </cell>
          <cell r="F8383">
            <v>8</v>
          </cell>
        </row>
        <row r="8384">
          <cell r="A8384">
            <v>2019</v>
          </cell>
          <cell r="B8384" t="str">
            <v>Actual</v>
          </cell>
          <cell r="C8384" t="str">
            <v>Aug</v>
          </cell>
          <cell r="D8384" t="str">
            <v>Kitchen</v>
          </cell>
          <cell r="E8384">
            <v>370291.64199999999</v>
          </cell>
          <cell r="F8384">
            <v>8</v>
          </cell>
        </row>
        <row r="8385">
          <cell r="A8385">
            <v>2019</v>
          </cell>
          <cell r="B8385" t="str">
            <v>Budget</v>
          </cell>
          <cell r="C8385" t="str">
            <v>Aug</v>
          </cell>
          <cell r="D8385" t="str">
            <v>Chairs</v>
          </cell>
          <cell r="E8385">
            <v>10455157.874</v>
          </cell>
          <cell r="F8385">
            <v>8</v>
          </cell>
        </row>
        <row r="8386">
          <cell r="A8386">
            <v>2018</v>
          </cell>
          <cell r="B8386" t="str">
            <v>Actual</v>
          </cell>
          <cell r="C8386" t="str">
            <v>Aug</v>
          </cell>
          <cell r="D8386" t="str">
            <v>Chairs</v>
          </cell>
          <cell r="E8386">
            <v>795390.56099999999</v>
          </cell>
          <cell r="F8386">
            <v>8</v>
          </cell>
        </row>
        <row r="8387">
          <cell r="A8387">
            <v>2018</v>
          </cell>
          <cell r="B8387" t="str">
            <v>Budget</v>
          </cell>
          <cell r="C8387" t="str">
            <v>Aug</v>
          </cell>
          <cell r="D8387" t="str">
            <v>Tables</v>
          </cell>
          <cell r="E8387">
            <v>756649.16599999985</v>
          </cell>
          <cell r="F8387">
            <v>8</v>
          </cell>
        </row>
        <row r="8388">
          <cell r="A8388">
            <v>2019</v>
          </cell>
          <cell r="B8388" t="str">
            <v>Actual</v>
          </cell>
          <cell r="C8388" t="str">
            <v>Aug</v>
          </cell>
          <cell r="D8388" t="str">
            <v>Kitchen</v>
          </cell>
          <cell r="E8388">
            <v>5923129.1769999992</v>
          </cell>
          <cell r="F8388">
            <v>8</v>
          </cell>
        </row>
        <row r="8389">
          <cell r="A8389">
            <v>2019</v>
          </cell>
          <cell r="B8389" t="str">
            <v>Budget</v>
          </cell>
          <cell r="C8389" t="str">
            <v>Aug</v>
          </cell>
          <cell r="D8389" t="str">
            <v>Chairs</v>
          </cell>
          <cell r="E8389">
            <v>-685.98599999999999</v>
          </cell>
          <cell r="F8389">
            <v>8</v>
          </cell>
        </row>
        <row r="8390">
          <cell r="A8390">
            <v>2018</v>
          </cell>
          <cell r="B8390" t="str">
            <v>Actual</v>
          </cell>
          <cell r="C8390" t="str">
            <v>Aug</v>
          </cell>
          <cell r="D8390" t="str">
            <v>Chairs</v>
          </cell>
          <cell r="E8390">
            <v>1118766.2079999999</v>
          </cell>
          <cell r="F8390">
            <v>8</v>
          </cell>
        </row>
        <row r="8391">
          <cell r="A8391">
            <v>2018</v>
          </cell>
          <cell r="B8391" t="str">
            <v>Budget</v>
          </cell>
          <cell r="C8391" t="str">
            <v>Aug</v>
          </cell>
          <cell r="D8391" t="str">
            <v>Chairs</v>
          </cell>
          <cell r="E8391">
            <v>737997.72899999993</v>
          </cell>
          <cell r="F8391">
            <v>8</v>
          </cell>
        </row>
        <row r="8392">
          <cell r="A8392">
            <v>2018</v>
          </cell>
          <cell r="B8392" t="str">
            <v>Actual</v>
          </cell>
          <cell r="C8392" t="str">
            <v>Aug</v>
          </cell>
          <cell r="D8392" t="str">
            <v>Tables</v>
          </cell>
          <cell r="E8392">
            <v>943376.60900000005</v>
          </cell>
          <cell r="F8392">
            <v>8</v>
          </cell>
        </row>
        <row r="8393">
          <cell r="A8393">
            <v>2019</v>
          </cell>
          <cell r="B8393" t="str">
            <v>Budget</v>
          </cell>
          <cell r="C8393" t="str">
            <v>Aug</v>
          </cell>
          <cell r="D8393" t="str">
            <v>Kitchen</v>
          </cell>
          <cell r="E8393">
            <v>1189452.5299999998</v>
          </cell>
          <cell r="F8393">
            <v>8</v>
          </cell>
        </row>
        <row r="8394">
          <cell r="A8394">
            <v>2019</v>
          </cell>
          <cell r="B8394" t="str">
            <v>Actual</v>
          </cell>
          <cell r="C8394" t="str">
            <v>Aug</v>
          </cell>
          <cell r="D8394" t="str">
            <v>Accessories</v>
          </cell>
          <cell r="E8394">
            <v>847713.23699999985</v>
          </cell>
          <cell r="F8394">
            <v>8</v>
          </cell>
        </row>
        <row r="8395">
          <cell r="A8395">
            <v>2019</v>
          </cell>
          <cell r="B8395" t="str">
            <v>Budget</v>
          </cell>
          <cell r="C8395" t="str">
            <v>Aug</v>
          </cell>
          <cell r="D8395" t="str">
            <v>Chairs</v>
          </cell>
          <cell r="E8395">
            <v>986608.728</v>
          </cell>
          <cell r="F8395">
            <v>8</v>
          </cell>
        </row>
        <row r="8396">
          <cell r="A8396">
            <v>2019</v>
          </cell>
          <cell r="B8396" t="str">
            <v>Actual</v>
          </cell>
          <cell r="C8396" t="str">
            <v>Aug</v>
          </cell>
          <cell r="D8396" t="str">
            <v>Tables</v>
          </cell>
          <cell r="E8396">
            <v>86457.595000000001</v>
          </cell>
          <cell r="F8396">
            <v>8</v>
          </cell>
        </row>
        <row r="8397">
          <cell r="A8397">
            <v>2019</v>
          </cell>
          <cell r="B8397" t="str">
            <v>Budget</v>
          </cell>
          <cell r="C8397" t="str">
            <v>Aug</v>
          </cell>
          <cell r="D8397" t="str">
            <v>Kitchen</v>
          </cell>
          <cell r="E8397">
            <v>265884.24800000002</v>
          </cell>
          <cell r="F8397">
            <v>8</v>
          </cell>
        </row>
        <row r="8398">
          <cell r="A8398">
            <v>2018</v>
          </cell>
          <cell r="B8398" t="str">
            <v>Actual</v>
          </cell>
          <cell r="C8398" t="str">
            <v>Aug</v>
          </cell>
          <cell r="D8398" t="str">
            <v>Accessories</v>
          </cell>
          <cell r="E8398">
            <v>32084.198999999997</v>
          </cell>
          <cell r="F8398">
            <v>8</v>
          </cell>
        </row>
        <row r="8399">
          <cell r="A8399">
            <v>2019</v>
          </cell>
          <cell r="B8399" t="str">
            <v>Budget</v>
          </cell>
          <cell r="C8399" t="str">
            <v>Aug</v>
          </cell>
          <cell r="D8399" t="str">
            <v>Chairs</v>
          </cell>
          <cell r="E8399">
            <v>96967.303999999989</v>
          </cell>
          <cell r="F8399">
            <v>8</v>
          </cell>
        </row>
        <row r="8400">
          <cell r="A8400">
            <v>2019</v>
          </cell>
          <cell r="B8400" t="str">
            <v>Actual</v>
          </cell>
          <cell r="C8400" t="str">
            <v>Aug</v>
          </cell>
          <cell r="D8400" t="str">
            <v>Tables</v>
          </cell>
          <cell r="E8400">
            <v>207295.94899999999</v>
          </cell>
          <cell r="F8400">
            <v>8</v>
          </cell>
        </row>
        <row r="8401">
          <cell r="A8401">
            <v>2019</v>
          </cell>
          <cell r="B8401" t="str">
            <v>Budget</v>
          </cell>
          <cell r="C8401" t="str">
            <v>Aug</v>
          </cell>
          <cell r="D8401" t="str">
            <v>Kitchen</v>
          </cell>
          <cell r="E8401">
            <v>177803.647</v>
          </cell>
          <cell r="F8401">
            <v>8</v>
          </cell>
        </row>
        <row r="8402">
          <cell r="A8402">
            <v>2018</v>
          </cell>
          <cell r="B8402" t="str">
            <v>Actual</v>
          </cell>
          <cell r="C8402" t="str">
            <v>Aug</v>
          </cell>
          <cell r="D8402" t="str">
            <v>Accessories</v>
          </cell>
          <cell r="E8402">
            <v>4378924.4380000001</v>
          </cell>
          <cell r="F8402">
            <v>8</v>
          </cell>
        </row>
        <row r="8403">
          <cell r="A8403">
            <v>2018</v>
          </cell>
          <cell r="B8403" t="str">
            <v>Budget</v>
          </cell>
          <cell r="C8403" t="str">
            <v>Aug</v>
          </cell>
          <cell r="D8403" t="str">
            <v>Chairs</v>
          </cell>
          <cell r="E8403">
            <v>771253.42700000003</v>
          </cell>
          <cell r="F8403">
            <v>8</v>
          </cell>
        </row>
        <row r="8404">
          <cell r="A8404">
            <v>2018</v>
          </cell>
          <cell r="B8404" t="str">
            <v>Actual</v>
          </cell>
          <cell r="C8404" t="str">
            <v>Aug</v>
          </cell>
          <cell r="D8404" t="str">
            <v>Tables</v>
          </cell>
          <cell r="E8404">
            <v>652584.70899999992</v>
          </cell>
          <cell r="F8404">
            <v>8</v>
          </cell>
        </row>
        <row r="8405">
          <cell r="A8405">
            <v>2018</v>
          </cell>
          <cell r="B8405" t="str">
            <v>Budget</v>
          </cell>
          <cell r="C8405" t="str">
            <v>Aug</v>
          </cell>
          <cell r="D8405" t="str">
            <v>Kitchen</v>
          </cell>
          <cell r="E8405">
            <v>1744878.415</v>
          </cell>
          <cell r="F8405">
            <v>8</v>
          </cell>
        </row>
        <row r="8406">
          <cell r="A8406">
            <v>2018</v>
          </cell>
          <cell r="B8406" t="str">
            <v>Actual</v>
          </cell>
          <cell r="C8406" t="str">
            <v>Aug</v>
          </cell>
          <cell r="D8406" t="str">
            <v>Accessories</v>
          </cell>
          <cell r="E8406">
            <v>132962.326</v>
          </cell>
          <cell r="F8406">
            <v>8</v>
          </cell>
        </row>
        <row r="8407">
          <cell r="A8407">
            <v>2019</v>
          </cell>
          <cell r="B8407" t="str">
            <v>Budget</v>
          </cell>
          <cell r="C8407" t="str">
            <v>Aug</v>
          </cell>
          <cell r="D8407" t="str">
            <v>Chairs</v>
          </cell>
          <cell r="E8407">
            <v>390743.19200000004</v>
          </cell>
          <cell r="F8407">
            <v>8</v>
          </cell>
        </row>
        <row r="8408">
          <cell r="A8408">
            <v>2019</v>
          </cell>
          <cell r="B8408" t="str">
            <v>Actual</v>
          </cell>
          <cell r="C8408" t="str">
            <v>Aug</v>
          </cell>
          <cell r="D8408" t="str">
            <v>Chairs</v>
          </cell>
          <cell r="E8408">
            <v>1445222.4079999998</v>
          </cell>
          <cell r="F8408">
            <v>8</v>
          </cell>
        </row>
        <row r="8409">
          <cell r="A8409">
            <v>2019</v>
          </cell>
          <cell r="B8409" t="str">
            <v>Budget</v>
          </cell>
          <cell r="C8409" t="str">
            <v>Aug</v>
          </cell>
          <cell r="D8409" t="str">
            <v>Tables</v>
          </cell>
          <cell r="E8409">
            <v>27665.938999999995</v>
          </cell>
          <cell r="F8409">
            <v>8</v>
          </cell>
        </row>
        <row r="8410">
          <cell r="A8410">
            <v>2019</v>
          </cell>
          <cell r="B8410" t="str">
            <v>Actual</v>
          </cell>
          <cell r="C8410" t="str">
            <v>Aug</v>
          </cell>
          <cell r="D8410" t="str">
            <v>Kitchen</v>
          </cell>
          <cell r="E8410">
            <v>108103.198</v>
          </cell>
          <cell r="F8410">
            <v>8</v>
          </cell>
        </row>
        <row r="8411">
          <cell r="A8411">
            <v>2019</v>
          </cell>
          <cell r="B8411" t="str">
            <v>Budget</v>
          </cell>
          <cell r="C8411" t="str">
            <v>Aug</v>
          </cell>
          <cell r="D8411" t="str">
            <v>Chairs</v>
          </cell>
          <cell r="E8411">
            <v>59995.893999999993</v>
          </cell>
          <cell r="F8411">
            <v>8</v>
          </cell>
        </row>
        <row r="8412">
          <cell r="A8412">
            <v>2019</v>
          </cell>
          <cell r="B8412" t="str">
            <v>Actual</v>
          </cell>
          <cell r="C8412" t="str">
            <v>Aug</v>
          </cell>
          <cell r="D8412" t="str">
            <v>Tables</v>
          </cell>
          <cell r="E8412">
            <v>290.47899999999998</v>
          </cell>
          <cell r="F8412">
            <v>8</v>
          </cell>
        </row>
        <row r="8413">
          <cell r="A8413">
            <v>2019</v>
          </cell>
          <cell r="B8413" t="str">
            <v>Budget</v>
          </cell>
          <cell r="C8413" t="str">
            <v>Aug</v>
          </cell>
          <cell r="D8413" t="str">
            <v>Kitchen</v>
          </cell>
          <cell r="E8413">
            <v>19060.495999999999</v>
          </cell>
          <cell r="F8413">
            <v>8</v>
          </cell>
        </row>
        <row r="8414">
          <cell r="A8414">
            <v>2018</v>
          </cell>
          <cell r="B8414" t="str">
            <v>Actual</v>
          </cell>
          <cell r="C8414" t="str">
            <v>Aug</v>
          </cell>
          <cell r="D8414" t="str">
            <v>Chairs</v>
          </cell>
          <cell r="E8414">
            <v>514228.79200000002</v>
          </cell>
          <cell r="F8414">
            <v>8</v>
          </cell>
        </row>
        <row r="8415">
          <cell r="A8415">
            <v>2018</v>
          </cell>
          <cell r="B8415" t="str">
            <v>Budget</v>
          </cell>
          <cell r="C8415" t="str">
            <v>Aug</v>
          </cell>
          <cell r="D8415" t="str">
            <v>Tables</v>
          </cell>
          <cell r="E8415">
            <v>9864.7009999999991</v>
          </cell>
          <cell r="F8415">
            <v>8</v>
          </cell>
        </row>
        <row r="8416">
          <cell r="A8416">
            <v>2018</v>
          </cell>
          <cell r="B8416" t="str">
            <v>Actual</v>
          </cell>
          <cell r="C8416" t="str">
            <v>Aug</v>
          </cell>
          <cell r="D8416" t="str">
            <v>Kitchen</v>
          </cell>
          <cell r="E8416">
            <v>21200.920999999998</v>
          </cell>
          <cell r="F8416">
            <v>8</v>
          </cell>
        </row>
        <row r="8417">
          <cell r="A8417">
            <v>2018</v>
          </cell>
          <cell r="B8417" t="str">
            <v>Budget</v>
          </cell>
          <cell r="C8417" t="str">
            <v>Aug</v>
          </cell>
          <cell r="D8417" t="str">
            <v>Chairs</v>
          </cell>
          <cell r="E8417">
            <v>19816.670999999998</v>
          </cell>
          <cell r="F8417">
            <v>8</v>
          </cell>
        </row>
        <row r="8418">
          <cell r="A8418">
            <v>2018</v>
          </cell>
          <cell r="B8418" t="str">
            <v>Actual</v>
          </cell>
          <cell r="C8418" t="str">
            <v>Aug</v>
          </cell>
          <cell r="D8418" t="str">
            <v>Chairs</v>
          </cell>
          <cell r="E8418">
            <v>7423.2409999999991</v>
          </cell>
          <cell r="F8418">
            <v>8</v>
          </cell>
        </row>
        <row r="8419">
          <cell r="A8419">
            <v>2018</v>
          </cell>
          <cell r="B8419" t="str">
            <v>Budget</v>
          </cell>
          <cell r="C8419" t="str">
            <v>Aug</v>
          </cell>
          <cell r="D8419" t="str">
            <v>Chairs</v>
          </cell>
          <cell r="E8419">
            <v>13170655.659</v>
          </cell>
          <cell r="F8419">
            <v>8</v>
          </cell>
        </row>
        <row r="8420">
          <cell r="A8420">
            <v>2018</v>
          </cell>
          <cell r="B8420" t="str">
            <v>Actual</v>
          </cell>
          <cell r="C8420" t="str">
            <v>Aug</v>
          </cell>
          <cell r="D8420" t="str">
            <v>Chairs</v>
          </cell>
          <cell r="E8420">
            <v>90864.941999999995</v>
          </cell>
          <cell r="F8420">
            <v>8</v>
          </cell>
        </row>
        <row r="8421">
          <cell r="A8421">
            <v>2018</v>
          </cell>
          <cell r="B8421" t="str">
            <v>Budget</v>
          </cell>
          <cell r="C8421" t="str">
            <v>Aug</v>
          </cell>
          <cell r="D8421" t="str">
            <v>Chairs</v>
          </cell>
          <cell r="E8421">
            <v>34468.174999999996</v>
          </cell>
          <cell r="F8421">
            <v>8</v>
          </cell>
        </row>
        <row r="8422">
          <cell r="A8422">
            <v>2019</v>
          </cell>
          <cell r="B8422" t="str">
            <v>Actual</v>
          </cell>
          <cell r="C8422" t="str">
            <v>Aug</v>
          </cell>
          <cell r="D8422" t="str">
            <v>Chairs</v>
          </cell>
          <cell r="E8422">
            <v>86653.013999999996</v>
          </cell>
          <cell r="F8422">
            <v>8</v>
          </cell>
        </row>
        <row r="8423">
          <cell r="A8423">
            <v>2019</v>
          </cell>
          <cell r="B8423" t="str">
            <v>Budget</v>
          </cell>
          <cell r="C8423" t="str">
            <v>Aug</v>
          </cell>
          <cell r="D8423" t="str">
            <v>Chairs</v>
          </cell>
          <cell r="E8423">
            <v>112669.85799999999</v>
          </cell>
          <cell r="F8423">
            <v>8</v>
          </cell>
        </row>
        <row r="8424">
          <cell r="A8424">
            <v>2018</v>
          </cell>
          <cell r="B8424" t="str">
            <v>Actual</v>
          </cell>
          <cell r="C8424" t="str">
            <v>Aug</v>
          </cell>
          <cell r="D8424" t="str">
            <v>Chairs</v>
          </cell>
          <cell r="E8424">
            <v>18729.444999999996</v>
          </cell>
          <cell r="F8424">
            <v>8</v>
          </cell>
        </row>
        <row r="8425">
          <cell r="A8425">
            <v>2019</v>
          </cell>
          <cell r="B8425" t="str">
            <v>Budget</v>
          </cell>
          <cell r="C8425" t="str">
            <v>Aug</v>
          </cell>
          <cell r="D8425" t="str">
            <v>Chairs</v>
          </cell>
          <cell r="E8425">
            <v>95484.934999999983</v>
          </cell>
          <cell r="F8425">
            <v>8</v>
          </cell>
        </row>
        <row r="8426">
          <cell r="A8426">
            <v>2018</v>
          </cell>
          <cell r="B8426" t="str">
            <v>Actual</v>
          </cell>
          <cell r="C8426" t="str">
            <v>Aug</v>
          </cell>
          <cell r="D8426" t="str">
            <v>Chairs</v>
          </cell>
          <cell r="E8426">
            <v>6476836.4779999992</v>
          </cell>
          <cell r="F8426">
            <v>8</v>
          </cell>
        </row>
        <row r="8427">
          <cell r="A8427">
            <v>2019</v>
          </cell>
          <cell r="B8427" t="str">
            <v>Budget</v>
          </cell>
          <cell r="C8427" t="str">
            <v>Aug</v>
          </cell>
          <cell r="D8427" t="str">
            <v>Chairs</v>
          </cell>
          <cell r="E8427">
            <v>33811.420999999995</v>
          </cell>
          <cell r="F8427">
            <v>8</v>
          </cell>
        </row>
        <row r="8428">
          <cell r="A8428">
            <v>2019</v>
          </cell>
          <cell r="B8428" t="str">
            <v>Actual</v>
          </cell>
          <cell r="C8428" t="str">
            <v>Aug</v>
          </cell>
          <cell r="D8428" t="str">
            <v>Chairs</v>
          </cell>
          <cell r="E8428">
            <v>13859.768999999998</v>
          </cell>
          <cell r="F8428">
            <v>8</v>
          </cell>
        </row>
        <row r="8429">
          <cell r="A8429">
            <v>2018</v>
          </cell>
          <cell r="B8429" t="str">
            <v>Budget</v>
          </cell>
          <cell r="C8429" t="str">
            <v>Aug</v>
          </cell>
          <cell r="D8429" t="str">
            <v>Chairs</v>
          </cell>
          <cell r="E8429">
            <v>897192.57599999988</v>
          </cell>
          <cell r="F8429">
            <v>8</v>
          </cell>
        </row>
        <row r="8430">
          <cell r="A8430">
            <v>2019</v>
          </cell>
          <cell r="B8430" t="str">
            <v>Actual</v>
          </cell>
          <cell r="C8430" t="str">
            <v>Aug</v>
          </cell>
          <cell r="D8430" t="str">
            <v>Chairs</v>
          </cell>
          <cell r="E8430">
            <v>4918010.3839999996</v>
          </cell>
          <cell r="F8430">
            <v>8</v>
          </cell>
        </row>
        <row r="8431">
          <cell r="A8431">
            <v>2018</v>
          </cell>
          <cell r="B8431" t="str">
            <v>Budget</v>
          </cell>
          <cell r="C8431" t="str">
            <v>Aug</v>
          </cell>
          <cell r="D8431" t="str">
            <v>Chairs</v>
          </cell>
          <cell r="E8431">
            <v>631486.89799999993</v>
          </cell>
          <cell r="F8431">
            <v>8</v>
          </cell>
        </row>
        <row r="8432">
          <cell r="A8432">
            <v>2019</v>
          </cell>
          <cell r="B8432" t="str">
            <v>Actual</v>
          </cell>
          <cell r="C8432" t="str">
            <v>Aug</v>
          </cell>
          <cell r="D8432" t="str">
            <v>Chairs</v>
          </cell>
          <cell r="E8432">
            <v>1920744.5669999998</v>
          </cell>
          <cell r="F8432">
            <v>8</v>
          </cell>
        </row>
        <row r="8433">
          <cell r="A8433">
            <v>2019</v>
          </cell>
          <cell r="B8433" t="str">
            <v>Budget</v>
          </cell>
          <cell r="C8433" t="str">
            <v>Aug</v>
          </cell>
          <cell r="D8433" t="str">
            <v>Chairs</v>
          </cell>
          <cell r="E8433">
            <v>6050463.9790000003</v>
          </cell>
          <cell r="F8433">
            <v>8</v>
          </cell>
        </row>
        <row r="8434">
          <cell r="A8434">
            <v>2018</v>
          </cell>
          <cell r="B8434" t="str">
            <v>Actual</v>
          </cell>
          <cell r="C8434" t="str">
            <v>Aug</v>
          </cell>
          <cell r="D8434" t="str">
            <v>Chairs</v>
          </cell>
          <cell r="E8434">
            <v>550101.223</v>
          </cell>
          <cell r="F8434">
            <v>8</v>
          </cell>
        </row>
        <row r="8435">
          <cell r="A8435">
            <v>2019</v>
          </cell>
          <cell r="B8435" t="str">
            <v>Budget</v>
          </cell>
          <cell r="C8435" t="str">
            <v>Aug</v>
          </cell>
          <cell r="D8435" t="str">
            <v>Chairs</v>
          </cell>
          <cell r="E8435">
            <v>460205.28399999999</v>
          </cell>
          <cell r="F8435">
            <v>8</v>
          </cell>
        </row>
        <row r="8436">
          <cell r="A8436">
            <v>2018</v>
          </cell>
          <cell r="B8436" t="str">
            <v>Actual</v>
          </cell>
          <cell r="C8436" t="str">
            <v>Aug</v>
          </cell>
          <cell r="D8436" t="str">
            <v>Chairs</v>
          </cell>
          <cell r="E8436">
            <v>482363.28700000001</v>
          </cell>
          <cell r="F8436">
            <v>8</v>
          </cell>
        </row>
        <row r="8437">
          <cell r="A8437">
            <v>2018</v>
          </cell>
          <cell r="B8437" t="str">
            <v>Budget</v>
          </cell>
          <cell r="C8437" t="str">
            <v>Aug</v>
          </cell>
          <cell r="D8437" t="str">
            <v>Chairs</v>
          </cell>
          <cell r="E8437">
            <v>46999.498</v>
          </cell>
          <cell r="F8437">
            <v>8</v>
          </cell>
        </row>
        <row r="8438">
          <cell r="A8438">
            <v>2018</v>
          </cell>
          <cell r="B8438" t="str">
            <v>Actual</v>
          </cell>
          <cell r="C8438" t="str">
            <v>Aug</v>
          </cell>
          <cell r="D8438" t="str">
            <v>Chairs</v>
          </cell>
          <cell r="E8438">
            <v>812816.57799999998</v>
          </cell>
          <cell r="F8438">
            <v>8</v>
          </cell>
        </row>
        <row r="8439">
          <cell r="A8439">
            <v>2018</v>
          </cell>
          <cell r="B8439" t="str">
            <v>Budget</v>
          </cell>
          <cell r="C8439" t="str">
            <v>Aug</v>
          </cell>
          <cell r="D8439" t="str">
            <v>Chairs</v>
          </cell>
          <cell r="E8439">
            <v>-23879.73</v>
          </cell>
          <cell r="F8439">
            <v>8</v>
          </cell>
        </row>
        <row r="8440">
          <cell r="A8440">
            <v>2019</v>
          </cell>
          <cell r="B8440" t="str">
            <v>Actual</v>
          </cell>
          <cell r="C8440" t="str">
            <v>Aug</v>
          </cell>
          <cell r="D8440" t="str">
            <v>Chairs</v>
          </cell>
          <cell r="E8440">
            <v>170571.359</v>
          </cell>
          <cell r="F8440">
            <v>8</v>
          </cell>
        </row>
        <row r="8441">
          <cell r="A8441">
            <v>2018</v>
          </cell>
          <cell r="B8441" t="str">
            <v>Budget</v>
          </cell>
          <cell r="C8441" t="str">
            <v>Aug</v>
          </cell>
          <cell r="D8441" t="str">
            <v>Chairs</v>
          </cell>
          <cell r="E8441">
            <v>466915.81299999997</v>
          </cell>
          <cell r="F8441">
            <v>8</v>
          </cell>
        </row>
        <row r="8442">
          <cell r="A8442">
            <v>2018</v>
          </cell>
          <cell r="B8442" t="str">
            <v>Actual</v>
          </cell>
          <cell r="C8442" t="str">
            <v>Aug</v>
          </cell>
          <cell r="D8442" t="str">
            <v>Chairs</v>
          </cell>
          <cell r="E8442">
            <v>21380.617999999999</v>
          </cell>
          <cell r="F8442">
            <v>8</v>
          </cell>
        </row>
        <row r="8443">
          <cell r="A8443">
            <v>2018</v>
          </cell>
          <cell r="B8443" t="str">
            <v>Budget</v>
          </cell>
          <cell r="C8443" t="str">
            <v>Aug</v>
          </cell>
          <cell r="D8443" t="str">
            <v>Tables</v>
          </cell>
          <cell r="E8443">
            <v>26503.196999999996</v>
          </cell>
          <cell r="F8443">
            <v>8</v>
          </cell>
        </row>
        <row r="8444">
          <cell r="A8444">
            <v>2019</v>
          </cell>
          <cell r="B8444" t="str">
            <v>Actual</v>
          </cell>
          <cell r="C8444" t="str">
            <v>Aug</v>
          </cell>
          <cell r="D8444" t="str">
            <v>Kitchen</v>
          </cell>
          <cell r="E8444">
            <v>19417.264999999999</v>
          </cell>
          <cell r="F8444">
            <v>8</v>
          </cell>
        </row>
        <row r="8445">
          <cell r="A8445">
            <v>2019</v>
          </cell>
          <cell r="B8445" t="str">
            <v>Budget</v>
          </cell>
          <cell r="C8445" t="str">
            <v>Aug</v>
          </cell>
          <cell r="D8445" t="str">
            <v>Chairs</v>
          </cell>
          <cell r="E8445">
            <v>152797.008</v>
          </cell>
          <cell r="F8445">
            <v>8</v>
          </cell>
        </row>
        <row r="8446">
          <cell r="A8446">
            <v>2018</v>
          </cell>
          <cell r="B8446" t="str">
            <v>Actual</v>
          </cell>
          <cell r="C8446" t="str">
            <v>Aug</v>
          </cell>
          <cell r="D8446" t="str">
            <v>Chairs</v>
          </cell>
          <cell r="E8446">
            <v>430562.97199999995</v>
          </cell>
          <cell r="F8446">
            <v>8</v>
          </cell>
        </row>
        <row r="8447">
          <cell r="A8447">
            <v>2019</v>
          </cell>
          <cell r="B8447" t="str">
            <v>Budget</v>
          </cell>
          <cell r="C8447" t="str">
            <v>Aug</v>
          </cell>
          <cell r="D8447" t="str">
            <v>Chairs</v>
          </cell>
          <cell r="E8447">
            <v>440884.81499999994</v>
          </cell>
          <cell r="F8447">
            <v>8</v>
          </cell>
        </row>
        <row r="8448">
          <cell r="A8448">
            <v>2018</v>
          </cell>
          <cell r="B8448" t="str">
            <v>Actual</v>
          </cell>
          <cell r="C8448" t="str">
            <v>Aug</v>
          </cell>
          <cell r="D8448" t="str">
            <v>Chairs</v>
          </cell>
          <cell r="E8448">
            <v>55364.560999999994</v>
          </cell>
          <cell r="F8448">
            <v>8</v>
          </cell>
        </row>
        <row r="8449">
          <cell r="A8449">
            <v>2019</v>
          </cell>
          <cell r="B8449" t="str">
            <v>Budget</v>
          </cell>
          <cell r="C8449" t="str">
            <v>Aug</v>
          </cell>
          <cell r="D8449" t="str">
            <v>Chairs</v>
          </cell>
          <cell r="E8449">
            <v>19865.125</v>
          </cell>
          <cell r="F8449">
            <v>8</v>
          </cell>
        </row>
        <row r="8450">
          <cell r="A8450">
            <v>2018</v>
          </cell>
          <cell r="B8450" t="str">
            <v>Actual</v>
          </cell>
          <cell r="C8450" t="str">
            <v>Aug</v>
          </cell>
          <cell r="D8450" t="str">
            <v>Tables</v>
          </cell>
          <cell r="E8450">
            <v>261896.95699999999</v>
          </cell>
          <cell r="F8450">
            <v>8</v>
          </cell>
        </row>
        <row r="8451">
          <cell r="A8451">
            <v>2019</v>
          </cell>
          <cell r="B8451" t="str">
            <v>Budget</v>
          </cell>
          <cell r="C8451" t="str">
            <v>Aug</v>
          </cell>
          <cell r="D8451" t="str">
            <v>Kitchen</v>
          </cell>
          <cell r="E8451">
            <v>94992.023000000001</v>
          </cell>
          <cell r="F8451">
            <v>8</v>
          </cell>
        </row>
        <row r="8452">
          <cell r="A8452">
            <v>2019</v>
          </cell>
          <cell r="B8452" t="str">
            <v>Actual</v>
          </cell>
          <cell r="C8452" t="str">
            <v>Aug</v>
          </cell>
          <cell r="D8452" t="str">
            <v>Chairs</v>
          </cell>
          <cell r="E8452">
            <v>229.768</v>
          </cell>
          <cell r="F8452">
            <v>8</v>
          </cell>
        </row>
        <row r="8453">
          <cell r="A8453">
            <v>2018</v>
          </cell>
          <cell r="B8453" t="str">
            <v>Budget</v>
          </cell>
          <cell r="C8453" t="str">
            <v>Aug</v>
          </cell>
          <cell r="D8453" t="str">
            <v>Chairs</v>
          </cell>
          <cell r="E8453">
            <v>67359.887000000002</v>
          </cell>
          <cell r="F8453">
            <v>8</v>
          </cell>
        </row>
        <row r="8454">
          <cell r="A8454">
            <v>2019</v>
          </cell>
          <cell r="B8454" t="str">
            <v>Actual</v>
          </cell>
          <cell r="C8454" t="str">
            <v>Aug</v>
          </cell>
          <cell r="D8454" t="str">
            <v>Chairs</v>
          </cell>
          <cell r="E8454">
            <v>220368.91099999996</v>
          </cell>
          <cell r="F8454">
            <v>8</v>
          </cell>
        </row>
        <row r="8455">
          <cell r="A8455">
            <v>2018</v>
          </cell>
          <cell r="B8455" t="str">
            <v>Budget</v>
          </cell>
          <cell r="C8455" t="str">
            <v>Aug</v>
          </cell>
          <cell r="D8455" t="str">
            <v>Tables</v>
          </cell>
          <cell r="E8455">
            <v>21465.717000000001</v>
          </cell>
          <cell r="F8455">
            <v>8</v>
          </cell>
        </row>
        <row r="8456">
          <cell r="A8456">
            <v>2018</v>
          </cell>
          <cell r="B8456" t="str">
            <v>Actual</v>
          </cell>
          <cell r="C8456" t="str">
            <v>Aug</v>
          </cell>
          <cell r="D8456" t="str">
            <v>Kitchen</v>
          </cell>
          <cell r="E8456">
            <v>30711.225999999999</v>
          </cell>
          <cell r="F8456">
            <v>8</v>
          </cell>
        </row>
        <row r="8457">
          <cell r="A8457">
            <v>2018</v>
          </cell>
          <cell r="B8457" t="str">
            <v>Budget</v>
          </cell>
          <cell r="C8457" t="str">
            <v>Aug</v>
          </cell>
          <cell r="D8457" t="str">
            <v>Chairs</v>
          </cell>
          <cell r="E8457">
            <v>18708.031999999999</v>
          </cell>
          <cell r="F8457">
            <v>8</v>
          </cell>
        </row>
        <row r="8458">
          <cell r="A8458">
            <v>2018</v>
          </cell>
          <cell r="B8458" t="str">
            <v>Actual</v>
          </cell>
          <cell r="C8458" t="str">
            <v>Aug</v>
          </cell>
          <cell r="D8458" t="str">
            <v>Chairs</v>
          </cell>
          <cell r="E8458">
            <v>30354.092999999997</v>
          </cell>
          <cell r="F8458">
            <v>8</v>
          </cell>
        </row>
        <row r="8459">
          <cell r="A8459">
            <v>2018</v>
          </cell>
          <cell r="B8459" t="str">
            <v>Budget</v>
          </cell>
          <cell r="C8459" t="str">
            <v>Aug</v>
          </cell>
          <cell r="D8459" t="str">
            <v>Tables</v>
          </cell>
          <cell r="E8459">
            <v>51310.286999999997</v>
          </cell>
          <cell r="F8459">
            <v>8</v>
          </cell>
        </row>
        <row r="8460">
          <cell r="A8460">
            <v>2018</v>
          </cell>
          <cell r="B8460" t="str">
            <v>Actual</v>
          </cell>
          <cell r="C8460" t="str">
            <v>Aug</v>
          </cell>
          <cell r="D8460" t="str">
            <v>Kitchen</v>
          </cell>
          <cell r="E8460">
            <v>15781.506999999998</v>
          </cell>
          <cell r="F8460">
            <v>8</v>
          </cell>
        </row>
        <row r="8461">
          <cell r="A8461">
            <v>2018</v>
          </cell>
          <cell r="B8461" t="str">
            <v>Budget</v>
          </cell>
          <cell r="C8461" t="str">
            <v>Aug</v>
          </cell>
          <cell r="D8461" t="str">
            <v>Chairs</v>
          </cell>
          <cell r="E8461">
            <v>167667.78</v>
          </cell>
          <cell r="F8461">
            <v>8</v>
          </cell>
        </row>
        <row r="8462">
          <cell r="A8462">
            <v>2018</v>
          </cell>
          <cell r="B8462" t="str">
            <v>Actual</v>
          </cell>
          <cell r="C8462" t="str">
            <v>Aug</v>
          </cell>
          <cell r="D8462" t="str">
            <v>Chairs</v>
          </cell>
          <cell r="E8462">
            <v>242650.772</v>
          </cell>
          <cell r="F8462">
            <v>8</v>
          </cell>
        </row>
        <row r="8463">
          <cell r="A8463">
            <v>2018</v>
          </cell>
          <cell r="B8463" t="str">
            <v>Budget</v>
          </cell>
          <cell r="C8463" t="str">
            <v>Aug</v>
          </cell>
          <cell r="D8463" t="str">
            <v>Tables</v>
          </cell>
          <cell r="E8463">
            <v>237558.58</v>
          </cell>
          <cell r="F8463">
            <v>8</v>
          </cell>
        </row>
        <row r="8464">
          <cell r="A8464">
            <v>2018</v>
          </cell>
          <cell r="B8464" t="str">
            <v>Actual</v>
          </cell>
          <cell r="C8464" t="str">
            <v>Aug</v>
          </cell>
          <cell r="D8464" t="str">
            <v>Chairs</v>
          </cell>
          <cell r="E8464">
            <v>174154.03599999999</v>
          </cell>
          <cell r="F8464">
            <v>8</v>
          </cell>
        </row>
        <row r="8465">
          <cell r="A8465">
            <v>2019</v>
          </cell>
          <cell r="B8465" t="str">
            <v>Budget</v>
          </cell>
          <cell r="C8465" t="str">
            <v>Aug</v>
          </cell>
          <cell r="D8465" t="str">
            <v>Tables</v>
          </cell>
          <cell r="E8465">
            <v>72177.706999999995</v>
          </cell>
          <cell r="F8465">
            <v>8</v>
          </cell>
        </row>
        <row r="8466">
          <cell r="A8466">
            <v>2019</v>
          </cell>
          <cell r="B8466" t="str">
            <v>Actual</v>
          </cell>
          <cell r="C8466" t="str">
            <v>Aug</v>
          </cell>
          <cell r="D8466" t="str">
            <v>Kitchen</v>
          </cell>
          <cell r="E8466">
            <v>251405.973</v>
          </cell>
          <cell r="F8466">
            <v>8</v>
          </cell>
        </row>
        <row r="8467">
          <cell r="A8467">
            <v>2018</v>
          </cell>
          <cell r="B8467" t="str">
            <v>Budget</v>
          </cell>
          <cell r="C8467" t="str">
            <v>Aug</v>
          </cell>
          <cell r="D8467" t="str">
            <v>Accessories</v>
          </cell>
          <cell r="E8467">
            <v>220725.106</v>
          </cell>
          <cell r="F8467">
            <v>8</v>
          </cell>
        </row>
        <row r="8468">
          <cell r="A8468">
            <v>2019</v>
          </cell>
          <cell r="B8468" t="str">
            <v>Actual</v>
          </cell>
          <cell r="C8468" t="str">
            <v>Aug</v>
          </cell>
          <cell r="D8468" t="str">
            <v>Chairs</v>
          </cell>
          <cell r="E8468">
            <v>187110.27299999999</v>
          </cell>
          <cell r="F8468">
            <v>8</v>
          </cell>
        </row>
        <row r="8469">
          <cell r="A8469">
            <v>2018</v>
          </cell>
          <cell r="B8469" t="str">
            <v>Budget</v>
          </cell>
          <cell r="C8469" t="str">
            <v>Aug</v>
          </cell>
          <cell r="D8469" t="str">
            <v>Tables</v>
          </cell>
          <cell r="E8469">
            <v>58712.149999999994</v>
          </cell>
          <cell r="F8469">
            <v>8</v>
          </cell>
        </row>
        <row r="8470">
          <cell r="A8470">
            <v>2018</v>
          </cell>
          <cell r="B8470" t="str">
            <v>Actual</v>
          </cell>
          <cell r="C8470" t="str">
            <v>Aug</v>
          </cell>
          <cell r="D8470" t="str">
            <v>Kitchen</v>
          </cell>
          <cell r="E8470">
            <v>250052.20099999997</v>
          </cell>
          <cell r="F8470">
            <v>8</v>
          </cell>
        </row>
        <row r="8471">
          <cell r="A8471">
            <v>2019</v>
          </cell>
          <cell r="B8471" t="str">
            <v>Budget</v>
          </cell>
          <cell r="C8471" t="str">
            <v>Aug</v>
          </cell>
          <cell r="D8471" t="str">
            <v>Accessories</v>
          </cell>
          <cell r="E8471">
            <v>47454.658999999992</v>
          </cell>
          <cell r="F8471">
            <v>8</v>
          </cell>
        </row>
        <row r="8472">
          <cell r="A8472">
            <v>2019</v>
          </cell>
          <cell r="B8472" t="str">
            <v>Actual</v>
          </cell>
          <cell r="C8472" t="str">
            <v>Aug</v>
          </cell>
          <cell r="D8472" t="str">
            <v>Chairs</v>
          </cell>
          <cell r="E8472">
            <v>334582.89199999999</v>
          </cell>
          <cell r="F8472">
            <v>8</v>
          </cell>
        </row>
        <row r="8473">
          <cell r="A8473">
            <v>2018</v>
          </cell>
          <cell r="B8473" t="str">
            <v>Budget</v>
          </cell>
          <cell r="C8473" t="str">
            <v>Aug</v>
          </cell>
          <cell r="D8473" t="str">
            <v>Tables</v>
          </cell>
          <cell r="E8473">
            <v>194927.796</v>
          </cell>
          <cell r="F8473">
            <v>8</v>
          </cell>
        </row>
        <row r="8474">
          <cell r="A8474">
            <v>2019</v>
          </cell>
          <cell r="B8474" t="str">
            <v>Actual</v>
          </cell>
          <cell r="C8474" t="str">
            <v>Aug</v>
          </cell>
          <cell r="D8474" t="str">
            <v>Kitchen</v>
          </cell>
          <cell r="E8474">
            <v>531022.95399999991</v>
          </cell>
          <cell r="F8474">
            <v>8</v>
          </cell>
        </row>
        <row r="8475">
          <cell r="A8475">
            <v>2019</v>
          </cell>
          <cell r="B8475" t="str">
            <v>Budget</v>
          </cell>
          <cell r="C8475" t="str">
            <v>Aug</v>
          </cell>
          <cell r="D8475" t="str">
            <v>Accessories</v>
          </cell>
          <cell r="E8475">
            <v>195914.19399999999</v>
          </cell>
          <cell r="F8475">
            <v>8</v>
          </cell>
        </row>
        <row r="8476">
          <cell r="A8476">
            <v>2019</v>
          </cell>
          <cell r="B8476" t="str">
            <v>Actual</v>
          </cell>
          <cell r="C8476" t="str">
            <v>Aug</v>
          </cell>
          <cell r="D8476" t="str">
            <v>Chairs</v>
          </cell>
          <cell r="E8476">
            <v>20578.585999999999</v>
          </cell>
          <cell r="F8476">
            <v>8</v>
          </cell>
        </row>
        <row r="8477">
          <cell r="A8477">
            <v>2019</v>
          </cell>
          <cell r="B8477" t="str">
            <v>Budget</v>
          </cell>
          <cell r="C8477" t="str">
            <v>Aug</v>
          </cell>
          <cell r="D8477" t="str">
            <v>Tables</v>
          </cell>
          <cell r="E8477">
            <v>19769.728999999999</v>
          </cell>
          <cell r="F8477">
            <v>8</v>
          </cell>
        </row>
        <row r="8478">
          <cell r="A8478">
            <v>2018</v>
          </cell>
          <cell r="B8478" t="str">
            <v>Actual</v>
          </cell>
          <cell r="C8478" t="str">
            <v>Aug</v>
          </cell>
          <cell r="D8478" t="str">
            <v>Kitchen</v>
          </cell>
          <cell r="E8478">
            <v>15445.184999999998</v>
          </cell>
          <cell r="F8478">
            <v>8</v>
          </cell>
        </row>
        <row r="8479">
          <cell r="A8479">
            <v>2019</v>
          </cell>
          <cell r="B8479" t="str">
            <v>Budget</v>
          </cell>
          <cell r="C8479" t="str">
            <v>Aug</v>
          </cell>
          <cell r="D8479" t="str">
            <v>Accessories</v>
          </cell>
          <cell r="E8479">
            <v>74032.364000000001</v>
          </cell>
          <cell r="F8479">
            <v>8</v>
          </cell>
        </row>
        <row r="8480">
          <cell r="A8480">
            <v>2018</v>
          </cell>
          <cell r="B8480" t="str">
            <v>Actual</v>
          </cell>
          <cell r="C8480" t="str">
            <v>Aug</v>
          </cell>
          <cell r="D8480" t="str">
            <v>Chairs</v>
          </cell>
          <cell r="E8480">
            <v>12244.442000000001</v>
          </cell>
          <cell r="F8480">
            <v>8</v>
          </cell>
        </row>
        <row r="8481">
          <cell r="A8481">
            <v>2018</v>
          </cell>
          <cell r="B8481" t="str">
            <v>Budget</v>
          </cell>
          <cell r="C8481" t="str">
            <v>Aug</v>
          </cell>
          <cell r="D8481" t="str">
            <v>Chairs</v>
          </cell>
          <cell r="E8481">
            <v>10410.910999999998</v>
          </cell>
          <cell r="F8481">
            <v>8</v>
          </cell>
        </row>
        <row r="8482">
          <cell r="A8482">
            <v>2018</v>
          </cell>
          <cell r="B8482" t="str">
            <v>Actual</v>
          </cell>
          <cell r="C8482" t="str">
            <v>Aug</v>
          </cell>
          <cell r="D8482" t="str">
            <v>Tables</v>
          </cell>
          <cell r="E8482">
            <v>32402.726999999999</v>
          </cell>
          <cell r="F8482">
            <v>8</v>
          </cell>
        </row>
        <row r="8483">
          <cell r="A8483">
            <v>2018</v>
          </cell>
          <cell r="B8483" t="str">
            <v>Budget</v>
          </cell>
          <cell r="C8483" t="str">
            <v>Aug</v>
          </cell>
          <cell r="D8483" t="str">
            <v>Kitchen</v>
          </cell>
          <cell r="E8483">
            <v>39983.453999999998</v>
          </cell>
          <cell r="F8483">
            <v>8</v>
          </cell>
        </row>
        <row r="8484">
          <cell r="A8484">
            <v>2019</v>
          </cell>
          <cell r="B8484" t="str">
            <v>Actual</v>
          </cell>
          <cell r="C8484" t="str">
            <v>Aug</v>
          </cell>
          <cell r="D8484" t="str">
            <v>Chairs</v>
          </cell>
          <cell r="E8484">
            <v>129815.97999999998</v>
          </cell>
          <cell r="F8484">
            <v>8</v>
          </cell>
        </row>
        <row r="8485">
          <cell r="A8485">
            <v>2018</v>
          </cell>
          <cell r="B8485" t="str">
            <v>Budget</v>
          </cell>
          <cell r="C8485" t="str">
            <v>Aug</v>
          </cell>
          <cell r="D8485" t="str">
            <v>Tables</v>
          </cell>
          <cell r="E8485">
            <v>217145.58599999998</v>
          </cell>
          <cell r="F8485">
            <v>8</v>
          </cell>
        </row>
        <row r="8486">
          <cell r="A8486">
            <v>2019</v>
          </cell>
          <cell r="B8486" t="str">
            <v>Actual</v>
          </cell>
          <cell r="C8486" t="str">
            <v>Aug</v>
          </cell>
          <cell r="D8486" t="str">
            <v>Kitchen</v>
          </cell>
          <cell r="E8486">
            <v>208919.12299999999</v>
          </cell>
          <cell r="F8486">
            <v>8</v>
          </cell>
        </row>
        <row r="8487">
          <cell r="A8487">
            <v>2018</v>
          </cell>
          <cell r="B8487" t="str">
            <v>Budget</v>
          </cell>
          <cell r="C8487" t="str">
            <v>Aug</v>
          </cell>
          <cell r="D8487" t="str">
            <v>Chairs</v>
          </cell>
          <cell r="E8487">
            <v>198064.29299999998</v>
          </cell>
          <cell r="F8487">
            <v>8</v>
          </cell>
        </row>
        <row r="8488">
          <cell r="A8488">
            <v>2018</v>
          </cell>
          <cell r="B8488" t="str">
            <v>Actual</v>
          </cell>
          <cell r="C8488" t="str">
            <v>Aug</v>
          </cell>
          <cell r="D8488" t="str">
            <v>Tables</v>
          </cell>
          <cell r="E8488">
            <v>2897965.3849999998</v>
          </cell>
          <cell r="F8488">
            <v>8</v>
          </cell>
        </row>
        <row r="8489">
          <cell r="A8489">
            <v>2019</v>
          </cell>
          <cell r="B8489" t="str">
            <v>Budget</v>
          </cell>
          <cell r="C8489" t="str">
            <v>Aug</v>
          </cell>
          <cell r="D8489" t="str">
            <v>Kitchen</v>
          </cell>
          <cell r="E8489">
            <v>746780.55900000001</v>
          </cell>
          <cell r="F8489">
            <v>8</v>
          </cell>
        </row>
        <row r="8490">
          <cell r="A8490">
            <v>2019</v>
          </cell>
          <cell r="B8490" t="str">
            <v>Actual</v>
          </cell>
          <cell r="C8490" t="str">
            <v>Aug</v>
          </cell>
          <cell r="D8490" t="str">
            <v>Chairs</v>
          </cell>
          <cell r="E8490">
            <v>1383509.659</v>
          </cell>
          <cell r="F8490">
            <v>8</v>
          </cell>
        </row>
        <row r="8491">
          <cell r="A8491">
            <v>2018</v>
          </cell>
          <cell r="B8491" t="str">
            <v>Budget</v>
          </cell>
          <cell r="C8491" t="str">
            <v>Aug</v>
          </cell>
          <cell r="D8491" t="str">
            <v>Chairs</v>
          </cell>
          <cell r="E8491">
            <v>213654.658</v>
          </cell>
          <cell r="F8491">
            <v>8</v>
          </cell>
        </row>
        <row r="8492">
          <cell r="A8492">
            <v>2018</v>
          </cell>
          <cell r="B8492" t="str">
            <v>Actual</v>
          </cell>
          <cell r="C8492" t="str">
            <v>Aug</v>
          </cell>
          <cell r="D8492" t="str">
            <v>Chairs</v>
          </cell>
          <cell r="E8492">
            <v>96682.074999999997</v>
          </cell>
          <cell r="F8492">
            <v>8</v>
          </cell>
        </row>
        <row r="8493">
          <cell r="A8493">
            <v>2018</v>
          </cell>
          <cell r="B8493" t="str">
            <v>Budget</v>
          </cell>
          <cell r="C8493" t="str">
            <v>Aug</v>
          </cell>
          <cell r="D8493" t="str">
            <v>Chairs</v>
          </cell>
          <cell r="E8493">
            <v>145987.48499999999</v>
          </cell>
          <cell r="F8493">
            <v>8</v>
          </cell>
        </row>
        <row r="8494">
          <cell r="A8494">
            <v>2019</v>
          </cell>
          <cell r="B8494" t="str">
            <v>Actual</v>
          </cell>
          <cell r="C8494" t="str">
            <v>Aug</v>
          </cell>
          <cell r="D8494" t="str">
            <v>Chairs</v>
          </cell>
          <cell r="E8494">
            <v>125360.59199999999</v>
          </cell>
          <cell r="F8494">
            <v>8</v>
          </cell>
        </row>
        <row r="8495">
          <cell r="A8495">
            <v>2018</v>
          </cell>
          <cell r="B8495" t="str">
            <v>Budget</v>
          </cell>
          <cell r="C8495" t="str">
            <v>Aug</v>
          </cell>
          <cell r="D8495" t="str">
            <v>Chairs</v>
          </cell>
          <cell r="E8495">
            <v>706645.16299999994</v>
          </cell>
          <cell r="F8495">
            <v>8</v>
          </cell>
        </row>
        <row r="8496">
          <cell r="A8496">
            <v>2018</v>
          </cell>
          <cell r="B8496" t="str">
            <v>Actual</v>
          </cell>
          <cell r="C8496" t="str">
            <v>Aug</v>
          </cell>
          <cell r="D8496" t="str">
            <v>Chairs</v>
          </cell>
          <cell r="E8496">
            <v>2299042.8930000002</v>
          </cell>
          <cell r="F8496">
            <v>8</v>
          </cell>
        </row>
        <row r="8497">
          <cell r="A8497">
            <v>2018</v>
          </cell>
          <cell r="B8497" t="str">
            <v>Budget</v>
          </cell>
          <cell r="C8497" t="str">
            <v>Aug</v>
          </cell>
          <cell r="D8497" t="str">
            <v>Chairs</v>
          </cell>
          <cell r="E8497">
            <v>20082.293000000001</v>
          </cell>
          <cell r="F8497">
            <v>8</v>
          </cell>
        </row>
        <row r="8498">
          <cell r="A8498">
            <v>2018</v>
          </cell>
          <cell r="B8498" t="str">
            <v>Actual</v>
          </cell>
          <cell r="C8498" t="str">
            <v>Aug</v>
          </cell>
          <cell r="D8498" t="str">
            <v>Chairs</v>
          </cell>
          <cell r="E8498">
            <v>218429.05</v>
          </cell>
          <cell r="F8498">
            <v>8</v>
          </cell>
        </row>
        <row r="8499">
          <cell r="A8499">
            <v>2019</v>
          </cell>
          <cell r="B8499" t="str">
            <v>Budget</v>
          </cell>
          <cell r="C8499" t="str">
            <v>Aug</v>
          </cell>
          <cell r="D8499" t="str">
            <v>Chairs</v>
          </cell>
          <cell r="E8499">
            <v>783933.33899999992</v>
          </cell>
          <cell r="F8499">
            <v>8</v>
          </cell>
        </row>
        <row r="8500">
          <cell r="A8500">
            <v>2018</v>
          </cell>
          <cell r="B8500" t="str">
            <v>Actual</v>
          </cell>
          <cell r="C8500" t="str">
            <v>Aug</v>
          </cell>
          <cell r="D8500" t="str">
            <v>Chairs</v>
          </cell>
          <cell r="E8500">
            <v>1731183.3629999999</v>
          </cell>
          <cell r="F8500">
            <v>8</v>
          </cell>
        </row>
        <row r="8501">
          <cell r="A8501">
            <v>2019</v>
          </cell>
          <cell r="B8501" t="str">
            <v>Budget</v>
          </cell>
          <cell r="C8501" t="str">
            <v>Aug</v>
          </cell>
          <cell r="D8501" t="str">
            <v>Chairs</v>
          </cell>
          <cell r="E8501">
            <v>65097.241999999991</v>
          </cell>
          <cell r="F8501">
            <v>8</v>
          </cell>
        </row>
        <row r="8502">
          <cell r="A8502">
            <v>2019</v>
          </cell>
          <cell r="B8502" t="str">
            <v>Actual</v>
          </cell>
          <cell r="C8502" t="str">
            <v>Aug</v>
          </cell>
          <cell r="D8502" t="str">
            <v>Chairs</v>
          </cell>
          <cell r="E8502">
            <v>2321084.892</v>
          </cell>
          <cell r="F8502">
            <v>8</v>
          </cell>
        </row>
        <row r="8503">
          <cell r="A8503">
            <v>2019</v>
          </cell>
          <cell r="B8503" t="str">
            <v>Budget</v>
          </cell>
          <cell r="C8503" t="str">
            <v>Aug</v>
          </cell>
          <cell r="D8503" t="str">
            <v>Chairs</v>
          </cell>
          <cell r="E8503">
            <v>1075969.5799999998</v>
          </cell>
          <cell r="F8503">
            <v>8</v>
          </cell>
        </row>
        <row r="8504">
          <cell r="A8504">
            <v>2018</v>
          </cell>
          <cell r="B8504" t="str">
            <v>Actual</v>
          </cell>
          <cell r="C8504" t="str">
            <v>Aug</v>
          </cell>
          <cell r="D8504" t="str">
            <v>Chairs</v>
          </cell>
          <cell r="E8504">
            <v>1177676.6259999999</v>
          </cell>
          <cell r="F8504">
            <v>8</v>
          </cell>
        </row>
        <row r="8505">
          <cell r="A8505">
            <v>2018</v>
          </cell>
          <cell r="B8505" t="str">
            <v>Budget</v>
          </cell>
          <cell r="C8505" t="str">
            <v>Aug</v>
          </cell>
          <cell r="D8505" t="str">
            <v>Chairs</v>
          </cell>
          <cell r="E8505">
            <v>739397.38599999994</v>
          </cell>
          <cell r="F8505">
            <v>8</v>
          </cell>
        </row>
        <row r="8506">
          <cell r="A8506">
            <v>2018</v>
          </cell>
          <cell r="B8506" t="str">
            <v>Actual</v>
          </cell>
          <cell r="C8506" t="str">
            <v>Aug</v>
          </cell>
          <cell r="D8506" t="str">
            <v>Chairs</v>
          </cell>
          <cell r="E8506">
            <v>923305.90799999994</v>
          </cell>
          <cell r="F8506">
            <v>8</v>
          </cell>
        </row>
        <row r="8507">
          <cell r="A8507">
            <v>2018</v>
          </cell>
          <cell r="B8507" t="str">
            <v>Budget</v>
          </cell>
          <cell r="C8507" t="str">
            <v>Aug</v>
          </cell>
          <cell r="D8507" t="str">
            <v>Chairs</v>
          </cell>
          <cell r="E8507">
            <v>1161098.7989999999</v>
          </cell>
          <cell r="F8507">
            <v>8</v>
          </cell>
        </row>
        <row r="8508">
          <cell r="A8508">
            <v>2018</v>
          </cell>
          <cell r="B8508" t="str">
            <v>Actual</v>
          </cell>
          <cell r="C8508" t="str">
            <v>Aug</v>
          </cell>
          <cell r="D8508" t="str">
            <v>Chairs</v>
          </cell>
          <cell r="E8508">
            <v>59406.668999999994</v>
          </cell>
          <cell r="F8508">
            <v>8</v>
          </cell>
        </row>
        <row r="8509">
          <cell r="A8509">
            <v>2019</v>
          </cell>
          <cell r="B8509" t="str">
            <v>Budget</v>
          </cell>
          <cell r="C8509" t="str">
            <v>Aug</v>
          </cell>
          <cell r="D8509" t="str">
            <v>Chairs</v>
          </cell>
          <cell r="E8509">
            <v>201681.36099999998</v>
          </cell>
          <cell r="F8509">
            <v>8</v>
          </cell>
        </row>
        <row r="8510">
          <cell r="A8510">
            <v>2019</v>
          </cell>
          <cell r="B8510" t="str">
            <v>Actual</v>
          </cell>
          <cell r="C8510" t="str">
            <v>Aug</v>
          </cell>
          <cell r="D8510" t="str">
            <v>Chairs</v>
          </cell>
          <cell r="E8510">
            <v>425696.78899999999</v>
          </cell>
          <cell r="F8510">
            <v>8</v>
          </cell>
        </row>
        <row r="8511">
          <cell r="A8511">
            <v>2019</v>
          </cell>
          <cell r="B8511" t="str">
            <v>Budget</v>
          </cell>
          <cell r="C8511" t="str">
            <v>Aug</v>
          </cell>
          <cell r="D8511" t="str">
            <v>Chairs</v>
          </cell>
          <cell r="E8511">
            <v>1627676.351</v>
          </cell>
          <cell r="F8511">
            <v>8</v>
          </cell>
        </row>
        <row r="8512">
          <cell r="A8512">
            <v>2019</v>
          </cell>
          <cell r="B8512" t="str">
            <v>Actual</v>
          </cell>
          <cell r="C8512" t="str">
            <v>Aug</v>
          </cell>
          <cell r="D8512" t="str">
            <v>Chairs</v>
          </cell>
          <cell r="E8512">
            <v>670302.03099999996</v>
          </cell>
          <cell r="F8512">
            <v>8</v>
          </cell>
        </row>
        <row r="8513">
          <cell r="A8513">
            <v>2018</v>
          </cell>
          <cell r="B8513" t="str">
            <v>Budget</v>
          </cell>
          <cell r="C8513" t="str">
            <v>Aug</v>
          </cell>
          <cell r="D8513" t="str">
            <v>Chairs</v>
          </cell>
          <cell r="E8513">
            <v>185586.24</v>
          </cell>
          <cell r="F8513">
            <v>8</v>
          </cell>
        </row>
        <row r="8514">
          <cell r="A8514">
            <v>2018</v>
          </cell>
          <cell r="B8514" t="str">
            <v>Actual</v>
          </cell>
          <cell r="C8514" t="str">
            <v>Aug</v>
          </cell>
          <cell r="D8514" t="str">
            <v>Chairs</v>
          </cell>
          <cell r="E8514">
            <v>151254.17300000001</v>
          </cell>
          <cell r="F8514">
            <v>8</v>
          </cell>
        </row>
        <row r="8515">
          <cell r="A8515">
            <v>2018</v>
          </cell>
          <cell r="B8515" t="str">
            <v>Budget</v>
          </cell>
          <cell r="C8515" t="str">
            <v>Aug</v>
          </cell>
          <cell r="D8515" t="str">
            <v>Chairs</v>
          </cell>
          <cell r="E8515">
            <v>88398.799999999988</v>
          </cell>
          <cell r="F8515">
            <v>8</v>
          </cell>
        </row>
        <row r="8516">
          <cell r="A8516">
            <v>2019</v>
          </cell>
          <cell r="B8516" t="str">
            <v>Actual</v>
          </cell>
          <cell r="C8516" t="str">
            <v>Aug</v>
          </cell>
          <cell r="D8516" t="str">
            <v>Tables</v>
          </cell>
          <cell r="E8516">
            <v>10983.266</v>
          </cell>
          <cell r="F8516">
            <v>8</v>
          </cell>
        </row>
        <row r="8517">
          <cell r="A8517">
            <v>2019</v>
          </cell>
          <cell r="B8517" t="str">
            <v>Budget</v>
          </cell>
          <cell r="C8517" t="str">
            <v>Aug</v>
          </cell>
          <cell r="D8517" t="str">
            <v>Kitchen</v>
          </cell>
          <cell r="E8517">
            <v>106759.541</v>
          </cell>
          <cell r="F8517">
            <v>8</v>
          </cell>
        </row>
        <row r="8518">
          <cell r="A8518">
            <v>2018</v>
          </cell>
          <cell r="B8518" t="str">
            <v>Actual</v>
          </cell>
          <cell r="C8518" t="str">
            <v>Aug</v>
          </cell>
          <cell r="D8518" t="str">
            <v>Chairs</v>
          </cell>
          <cell r="E8518">
            <v>186473.45500000002</v>
          </cell>
          <cell r="F8518">
            <v>8</v>
          </cell>
        </row>
        <row r="8519">
          <cell r="A8519">
            <v>2019</v>
          </cell>
          <cell r="B8519" t="str">
            <v>Budget</v>
          </cell>
          <cell r="C8519" t="str">
            <v>Aug</v>
          </cell>
          <cell r="D8519" t="str">
            <v>Chairs</v>
          </cell>
          <cell r="E8519">
            <v>116061.603</v>
          </cell>
          <cell r="F8519">
            <v>8</v>
          </cell>
        </row>
        <row r="8520">
          <cell r="A8520">
            <v>2018</v>
          </cell>
          <cell r="B8520" t="str">
            <v>Actual</v>
          </cell>
          <cell r="C8520" t="str">
            <v>Aug</v>
          </cell>
          <cell r="D8520" t="str">
            <v>Chairs</v>
          </cell>
          <cell r="E8520">
            <v>527791.71199999994</v>
          </cell>
          <cell r="F8520">
            <v>8</v>
          </cell>
        </row>
        <row r="8521">
          <cell r="A8521">
            <v>2018</v>
          </cell>
          <cell r="B8521" t="str">
            <v>Budget</v>
          </cell>
          <cell r="C8521" t="str">
            <v>Aug</v>
          </cell>
          <cell r="D8521" t="str">
            <v>Chairs</v>
          </cell>
          <cell r="E8521">
            <v>188762.66500000001</v>
          </cell>
          <cell r="F8521">
            <v>8</v>
          </cell>
        </row>
        <row r="8522">
          <cell r="A8522">
            <v>2018</v>
          </cell>
          <cell r="B8522" t="str">
            <v>Actual</v>
          </cell>
          <cell r="C8522" t="str">
            <v>Aug</v>
          </cell>
          <cell r="D8522" t="str">
            <v>Chairs</v>
          </cell>
          <cell r="E8522">
            <v>191868.22899999996</v>
          </cell>
          <cell r="F8522">
            <v>8</v>
          </cell>
        </row>
        <row r="8523">
          <cell r="A8523">
            <v>2018</v>
          </cell>
          <cell r="B8523" t="str">
            <v>Budget</v>
          </cell>
          <cell r="C8523" t="str">
            <v>Aug</v>
          </cell>
          <cell r="D8523" t="str">
            <v>Tables</v>
          </cell>
          <cell r="E8523">
            <v>142804.21399999998</v>
          </cell>
          <cell r="F8523">
            <v>8</v>
          </cell>
        </row>
        <row r="8524">
          <cell r="A8524">
            <v>2019</v>
          </cell>
          <cell r="B8524" t="str">
            <v>Actual</v>
          </cell>
          <cell r="C8524" t="str">
            <v>Aug</v>
          </cell>
          <cell r="D8524" t="str">
            <v>Kitchen</v>
          </cell>
          <cell r="E8524">
            <v>196901.04699999999</v>
          </cell>
          <cell r="F8524">
            <v>8</v>
          </cell>
        </row>
        <row r="8525">
          <cell r="A8525">
            <v>2018</v>
          </cell>
          <cell r="B8525" t="str">
            <v>Budget</v>
          </cell>
          <cell r="C8525" t="str">
            <v>Aug</v>
          </cell>
          <cell r="D8525" t="str">
            <v>Chairs</v>
          </cell>
          <cell r="E8525">
            <v>126298.095</v>
          </cell>
          <cell r="F8525">
            <v>8</v>
          </cell>
        </row>
        <row r="8526">
          <cell r="A8526">
            <v>2019</v>
          </cell>
          <cell r="B8526" t="str">
            <v>Actual</v>
          </cell>
          <cell r="C8526" t="str">
            <v>Aug</v>
          </cell>
          <cell r="D8526" t="str">
            <v>Chairs</v>
          </cell>
          <cell r="E8526">
            <v>66638.298999999999</v>
          </cell>
          <cell r="F8526">
            <v>8</v>
          </cell>
        </row>
        <row r="8527">
          <cell r="A8527">
            <v>2018</v>
          </cell>
          <cell r="B8527" t="str">
            <v>Budget</v>
          </cell>
          <cell r="C8527" t="str">
            <v>Aug</v>
          </cell>
          <cell r="D8527" t="str">
            <v>Chairs</v>
          </cell>
          <cell r="E8527">
            <v>110078.178</v>
          </cell>
          <cell r="F8527">
            <v>8</v>
          </cell>
        </row>
        <row r="8528">
          <cell r="A8528">
            <v>2018</v>
          </cell>
          <cell r="B8528" t="str">
            <v>Actual</v>
          </cell>
          <cell r="C8528" t="str">
            <v>Aug</v>
          </cell>
          <cell r="D8528" t="str">
            <v>Tables</v>
          </cell>
          <cell r="E8528">
            <v>80493.993999999992</v>
          </cell>
          <cell r="F8528">
            <v>8</v>
          </cell>
        </row>
        <row r="8529">
          <cell r="A8529">
            <v>2019</v>
          </cell>
          <cell r="B8529" t="str">
            <v>Budget</v>
          </cell>
          <cell r="C8529" t="str">
            <v>Aug</v>
          </cell>
          <cell r="D8529" t="str">
            <v>Kitchen</v>
          </cell>
          <cell r="E8529">
            <v>101730.23</v>
          </cell>
          <cell r="F8529">
            <v>8</v>
          </cell>
        </row>
        <row r="8530">
          <cell r="A8530">
            <v>2019</v>
          </cell>
          <cell r="B8530" t="str">
            <v>Actual</v>
          </cell>
          <cell r="C8530" t="str">
            <v>Aug</v>
          </cell>
          <cell r="D8530" t="str">
            <v>Chairs</v>
          </cell>
          <cell r="E8530">
            <v>262581.06</v>
          </cell>
          <cell r="F8530">
            <v>8</v>
          </cell>
        </row>
        <row r="8531">
          <cell r="A8531">
            <v>2019</v>
          </cell>
          <cell r="B8531" t="str">
            <v>Budget</v>
          </cell>
          <cell r="C8531" t="str">
            <v>Aug</v>
          </cell>
          <cell r="D8531" t="str">
            <v>Chairs</v>
          </cell>
          <cell r="E8531">
            <v>100936.52099999999</v>
          </cell>
          <cell r="F8531">
            <v>8</v>
          </cell>
        </row>
        <row r="8532">
          <cell r="A8532">
            <v>2019</v>
          </cell>
          <cell r="B8532" t="str">
            <v>Actual</v>
          </cell>
          <cell r="C8532" t="str">
            <v>Aug</v>
          </cell>
          <cell r="D8532" t="str">
            <v>Tables</v>
          </cell>
          <cell r="E8532">
            <v>111418.44</v>
          </cell>
          <cell r="F8532">
            <v>8</v>
          </cell>
        </row>
        <row r="8533">
          <cell r="A8533">
            <v>2019</v>
          </cell>
          <cell r="B8533" t="str">
            <v>Budget</v>
          </cell>
          <cell r="C8533" t="str">
            <v>Aug</v>
          </cell>
          <cell r="D8533" t="str">
            <v>Kitchen</v>
          </cell>
          <cell r="E8533">
            <v>305331.04700000002</v>
          </cell>
          <cell r="F8533">
            <v>8</v>
          </cell>
        </row>
        <row r="8534">
          <cell r="A8534">
            <v>2018</v>
          </cell>
          <cell r="B8534" t="str">
            <v>Actual</v>
          </cell>
          <cell r="C8534" t="str">
            <v>Aug</v>
          </cell>
          <cell r="D8534" t="str">
            <v>Chairs</v>
          </cell>
          <cell r="E8534">
            <v>105353.77999999998</v>
          </cell>
          <cell r="F8534">
            <v>8</v>
          </cell>
        </row>
        <row r="8535">
          <cell r="A8535">
            <v>2018</v>
          </cell>
          <cell r="B8535" t="str">
            <v>Budget</v>
          </cell>
          <cell r="C8535" t="str">
            <v>Aug</v>
          </cell>
          <cell r="D8535" t="str">
            <v>Chairs</v>
          </cell>
          <cell r="E8535">
            <v>43928.934000000001</v>
          </cell>
          <cell r="F8535">
            <v>8</v>
          </cell>
        </row>
        <row r="8536">
          <cell r="A8536">
            <v>2019</v>
          </cell>
          <cell r="B8536" t="str">
            <v>Actual</v>
          </cell>
          <cell r="C8536" t="str">
            <v>Aug</v>
          </cell>
          <cell r="D8536" t="str">
            <v>Tables</v>
          </cell>
          <cell r="E8536">
            <v>61781.600999999988</v>
          </cell>
          <cell r="F8536">
            <v>8</v>
          </cell>
        </row>
        <row r="8537">
          <cell r="A8537">
            <v>2018</v>
          </cell>
          <cell r="B8537" t="str">
            <v>Budget</v>
          </cell>
          <cell r="C8537" t="str">
            <v>Aug</v>
          </cell>
          <cell r="D8537" t="str">
            <v>Kitchen</v>
          </cell>
          <cell r="E8537">
            <v>303785.62899999996</v>
          </cell>
          <cell r="F8537">
            <v>8</v>
          </cell>
        </row>
        <row r="8538">
          <cell r="A8538">
            <v>2018</v>
          </cell>
          <cell r="B8538" t="str">
            <v>Actual</v>
          </cell>
          <cell r="C8538" t="str">
            <v>Aug</v>
          </cell>
          <cell r="D8538" t="str">
            <v>Accessories</v>
          </cell>
          <cell r="E8538">
            <v>801474.66700000002</v>
          </cell>
          <cell r="F8538">
            <v>8</v>
          </cell>
        </row>
        <row r="8539">
          <cell r="A8539">
            <v>2018</v>
          </cell>
          <cell r="B8539" t="str">
            <v>Budget</v>
          </cell>
          <cell r="C8539" t="str">
            <v>Aug</v>
          </cell>
          <cell r="D8539" t="str">
            <v>Chairs</v>
          </cell>
          <cell r="E8539">
            <v>364695.32399999996</v>
          </cell>
          <cell r="F8539">
            <v>8</v>
          </cell>
        </row>
        <row r="8540">
          <cell r="A8540">
            <v>2018</v>
          </cell>
          <cell r="B8540" t="str">
            <v>Actual</v>
          </cell>
          <cell r="C8540" t="str">
            <v>Aug</v>
          </cell>
          <cell r="D8540" t="str">
            <v>Tables</v>
          </cell>
          <cell r="E8540">
            <v>379448.93</v>
          </cell>
          <cell r="F8540">
            <v>8</v>
          </cell>
        </row>
        <row r="8541">
          <cell r="A8541">
            <v>2019</v>
          </cell>
          <cell r="B8541" t="str">
            <v>Budget</v>
          </cell>
          <cell r="C8541" t="str">
            <v>Aug</v>
          </cell>
          <cell r="D8541" t="str">
            <v>Kitchen</v>
          </cell>
          <cell r="E8541">
            <v>68863.745999999999</v>
          </cell>
          <cell r="F8541">
            <v>8</v>
          </cell>
        </row>
        <row r="8542">
          <cell r="A8542">
            <v>2018</v>
          </cell>
          <cell r="B8542" t="str">
            <v>Actual</v>
          </cell>
          <cell r="C8542" t="str">
            <v>Aug</v>
          </cell>
          <cell r="D8542" t="str">
            <v>Accessories</v>
          </cell>
          <cell r="E8542">
            <v>51679.578999999998</v>
          </cell>
          <cell r="F8542">
            <v>8</v>
          </cell>
        </row>
        <row r="8543">
          <cell r="A8543">
            <v>2019</v>
          </cell>
          <cell r="B8543" t="str">
            <v>Budget</v>
          </cell>
          <cell r="C8543" t="str">
            <v>Aug</v>
          </cell>
          <cell r="D8543" t="str">
            <v>Chairs</v>
          </cell>
          <cell r="E8543">
            <v>138327.63699999999</v>
          </cell>
          <cell r="F8543">
            <v>8</v>
          </cell>
        </row>
        <row r="8544">
          <cell r="A8544">
            <v>2018</v>
          </cell>
          <cell r="B8544" t="str">
            <v>Actual</v>
          </cell>
          <cell r="C8544" t="str">
            <v>Aug</v>
          </cell>
          <cell r="D8544" t="str">
            <v>Tables</v>
          </cell>
          <cell r="E8544">
            <v>472701.201</v>
          </cell>
          <cell r="F8544">
            <v>8</v>
          </cell>
        </row>
        <row r="8545">
          <cell r="A8545">
            <v>2018</v>
          </cell>
          <cell r="B8545" t="str">
            <v>Budget</v>
          </cell>
          <cell r="C8545" t="str">
            <v>Aug</v>
          </cell>
          <cell r="D8545" t="str">
            <v>Kitchen</v>
          </cell>
          <cell r="E8545">
            <v>411101.21499999997</v>
          </cell>
          <cell r="F8545">
            <v>8</v>
          </cell>
        </row>
        <row r="8546">
          <cell r="A8546">
            <v>2018</v>
          </cell>
          <cell r="B8546" t="str">
            <v>Actual</v>
          </cell>
          <cell r="C8546" t="str">
            <v>Aug</v>
          </cell>
          <cell r="D8546" t="str">
            <v>Accessories</v>
          </cell>
          <cell r="E8546">
            <v>235928.546</v>
          </cell>
          <cell r="F8546">
            <v>8</v>
          </cell>
        </row>
        <row r="8547">
          <cell r="A8547">
            <v>2018</v>
          </cell>
          <cell r="B8547" t="str">
            <v>Budget</v>
          </cell>
          <cell r="C8547" t="str">
            <v>Aug</v>
          </cell>
          <cell r="D8547" t="str">
            <v>Chairs</v>
          </cell>
          <cell r="E8547">
            <v>45174.541999999994</v>
          </cell>
          <cell r="F8547">
            <v>8</v>
          </cell>
        </row>
        <row r="8548">
          <cell r="A8548">
            <v>2019</v>
          </cell>
          <cell r="B8548" t="str">
            <v>Actual</v>
          </cell>
          <cell r="C8548" t="str">
            <v>Aug</v>
          </cell>
          <cell r="D8548" t="str">
            <v>Tables</v>
          </cell>
          <cell r="E8548">
            <v>275246.24399999995</v>
          </cell>
          <cell r="F8548">
            <v>8</v>
          </cell>
        </row>
        <row r="8549">
          <cell r="A8549">
            <v>2019</v>
          </cell>
          <cell r="B8549" t="str">
            <v>Budget</v>
          </cell>
          <cell r="C8549" t="str">
            <v>Aug</v>
          </cell>
          <cell r="D8549" t="str">
            <v>Kitchen</v>
          </cell>
          <cell r="E8549">
            <v>1190335.4889999998</v>
          </cell>
          <cell r="F8549">
            <v>8</v>
          </cell>
        </row>
        <row r="8550">
          <cell r="A8550">
            <v>2019</v>
          </cell>
          <cell r="B8550" t="str">
            <v>Actual</v>
          </cell>
          <cell r="C8550" t="str">
            <v>Aug</v>
          </cell>
          <cell r="D8550" t="str">
            <v>Accessories</v>
          </cell>
          <cell r="E8550">
            <v>477057.53899999999</v>
          </cell>
          <cell r="F8550">
            <v>8</v>
          </cell>
        </row>
        <row r="8551">
          <cell r="A8551">
            <v>2018</v>
          </cell>
          <cell r="B8551" t="str">
            <v>Budget</v>
          </cell>
          <cell r="C8551" t="str">
            <v>Aug</v>
          </cell>
          <cell r="D8551" t="str">
            <v>Chairs</v>
          </cell>
          <cell r="E8551">
            <v>432957.75599999994</v>
          </cell>
          <cell r="F8551">
            <v>8</v>
          </cell>
        </row>
        <row r="8552">
          <cell r="A8552">
            <v>2019</v>
          </cell>
          <cell r="B8552" t="str">
            <v>Actual</v>
          </cell>
          <cell r="C8552" t="str">
            <v>Aug</v>
          </cell>
          <cell r="D8552" t="str">
            <v>Tables</v>
          </cell>
          <cell r="E8552">
            <v>237100.79399999997</v>
          </cell>
          <cell r="F8552">
            <v>8</v>
          </cell>
        </row>
        <row r="8553">
          <cell r="A8553">
            <v>2018</v>
          </cell>
          <cell r="B8553" t="str">
            <v>Budget</v>
          </cell>
          <cell r="C8553" t="str">
            <v>Aug</v>
          </cell>
          <cell r="D8553" t="str">
            <v>Kitchen</v>
          </cell>
          <cell r="E8553">
            <v>20875.455999999998</v>
          </cell>
          <cell r="F8553">
            <v>8</v>
          </cell>
        </row>
        <row r="8554">
          <cell r="A8554">
            <v>2018</v>
          </cell>
          <cell r="B8554" t="str">
            <v>Actual</v>
          </cell>
          <cell r="C8554" t="str">
            <v>Aug</v>
          </cell>
          <cell r="D8554" t="str">
            <v>Accessories</v>
          </cell>
          <cell r="E8554">
            <v>107349.52899999999</v>
          </cell>
          <cell r="F8554">
            <v>8</v>
          </cell>
        </row>
        <row r="8555">
          <cell r="A8555">
            <v>2018</v>
          </cell>
          <cell r="B8555" t="str">
            <v>Budget</v>
          </cell>
          <cell r="C8555" t="str">
            <v>Aug</v>
          </cell>
          <cell r="D8555" t="str">
            <v>Chairs</v>
          </cell>
          <cell r="E8555">
            <v>3416971.628</v>
          </cell>
          <cell r="F8555">
            <v>8</v>
          </cell>
        </row>
        <row r="8556">
          <cell r="A8556">
            <v>2019</v>
          </cell>
          <cell r="B8556" t="str">
            <v>Actual</v>
          </cell>
          <cell r="C8556" t="str">
            <v>Aug</v>
          </cell>
          <cell r="D8556" t="str">
            <v>Chairs</v>
          </cell>
          <cell r="E8556">
            <v>16960.552</v>
          </cell>
          <cell r="F8556">
            <v>8</v>
          </cell>
        </row>
        <row r="8557">
          <cell r="A8557">
            <v>2018</v>
          </cell>
          <cell r="B8557" t="str">
            <v>Budget</v>
          </cell>
          <cell r="C8557" t="str">
            <v>Aug</v>
          </cell>
          <cell r="D8557" t="str">
            <v>Tables</v>
          </cell>
          <cell r="E8557">
            <v>20081.935999999998</v>
          </cell>
          <cell r="F8557">
            <v>8</v>
          </cell>
        </row>
        <row r="8558">
          <cell r="A8558">
            <v>2018</v>
          </cell>
          <cell r="B8558" t="str">
            <v>Actual</v>
          </cell>
          <cell r="C8558" t="str">
            <v>Aug</v>
          </cell>
          <cell r="D8558" t="str">
            <v>Kitchen</v>
          </cell>
          <cell r="E8558">
            <v>307808.77399999998</v>
          </cell>
          <cell r="F8558">
            <v>8</v>
          </cell>
        </row>
        <row r="8559">
          <cell r="A8559">
            <v>2018</v>
          </cell>
          <cell r="B8559" t="str">
            <v>Budget</v>
          </cell>
          <cell r="C8559" t="str">
            <v>Aug</v>
          </cell>
          <cell r="D8559" t="str">
            <v>Chairs</v>
          </cell>
          <cell r="E8559">
            <v>7708760.6959999986</v>
          </cell>
          <cell r="F8559">
            <v>8</v>
          </cell>
        </row>
        <row r="8560">
          <cell r="A8560">
            <v>2018</v>
          </cell>
          <cell r="B8560" t="str">
            <v>Actual</v>
          </cell>
          <cell r="C8560" t="str">
            <v>Aug</v>
          </cell>
          <cell r="D8560" t="str">
            <v>Tables</v>
          </cell>
          <cell r="E8560">
            <v>164842.69199999998</v>
          </cell>
          <cell r="F8560">
            <v>8</v>
          </cell>
        </row>
        <row r="8561">
          <cell r="A8561">
            <v>2018</v>
          </cell>
          <cell r="B8561" t="str">
            <v>Budget</v>
          </cell>
          <cell r="C8561" t="str">
            <v>Aug</v>
          </cell>
          <cell r="D8561" t="str">
            <v>Kitchen</v>
          </cell>
          <cell r="E8561">
            <v>557888.73699999996</v>
          </cell>
          <cell r="F8561">
            <v>8</v>
          </cell>
        </row>
        <row r="8562">
          <cell r="A8562">
            <v>2018</v>
          </cell>
          <cell r="B8562" t="str">
            <v>Actual</v>
          </cell>
          <cell r="C8562" t="str">
            <v>Aug</v>
          </cell>
          <cell r="D8562" t="str">
            <v>Chairs</v>
          </cell>
          <cell r="E8562">
            <v>5381314.8969999999</v>
          </cell>
          <cell r="F8562">
            <v>8</v>
          </cell>
        </row>
        <row r="8563">
          <cell r="A8563">
            <v>2018</v>
          </cell>
          <cell r="B8563" t="str">
            <v>Budget</v>
          </cell>
          <cell r="C8563" t="str">
            <v>Aug</v>
          </cell>
          <cell r="D8563" t="str">
            <v>Tables</v>
          </cell>
          <cell r="E8563">
            <v>26939355.050999999</v>
          </cell>
          <cell r="F8563">
            <v>8</v>
          </cell>
        </row>
        <row r="8564">
          <cell r="A8564">
            <v>2018</v>
          </cell>
          <cell r="B8564" t="str">
            <v>Actual</v>
          </cell>
          <cell r="C8564" t="str">
            <v>Aug</v>
          </cell>
          <cell r="D8564" t="str">
            <v>Kitchen</v>
          </cell>
          <cell r="E8564">
            <v>3698906.2179999999</v>
          </cell>
          <cell r="F8564">
            <v>8</v>
          </cell>
        </row>
        <row r="8565">
          <cell r="A8565">
            <v>2019</v>
          </cell>
          <cell r="B8565" t="str">
            <v>Budget</v>
          </cell>
          <cell r="C8565" t="str">
            <v>Aug</v>
          </cell>
          <cell r="D8565" t="str">
            <v>Chairs</v>
          </cell>
          <cell r="E8565">
            <v>24198.789999999997</v>
          </cell>
          <cell r="F8565">
            <v>8</v>
          </cell>
        </row>
        <row r="8566">
          <cell r="A8566">
            <v>2019</v>
          </cell>
          <cell r="B8566" t="str">
            <v>Actual</v>
          </cell>
          <cell r="C8566" t="str">
            <v>Aug</v>
          </cell>
          <cell r="D8566" t="str">
            <v>Chairs</v>
          </cell>
          <cell r="E8566">
            <v>4651971.2609999999</v>
          </cell>
          <cell r="F8566">
            <v>8</v>
          </cell>
        </row>
        <row r="8567">
          <cell r="A8567">
            <v>2019</v>
          </cell>
          <cell r="B8567" t="str">
            <v>Budget</v>
          </cell>
          <cell r="C8567" t="str">
            <v>Aug</v>
          </cell>
          <cell r="D8567" t="str">
            <v>Chairs</v>
          </cell>
          <cell r="E8567">
            <v>7331993.0319999997</v>
          </cell>
          <cell r="F8567">
            <v>8</v>
          </cell>
        </row>
        <row r="8568">
          <cell r="A8568">
            <v>2018</v>
          </cell>
          <cell r="B8568" t="str">
            <v>Actual</v>
          </cell>
          <cell r="C8568" t="str">
            <v>Aug</v>
          </cell>
          <cell r="D8568" t="str">
            <v>Chairs</v>
          </cell>
          <cell r="E8568">
            <v>47684.034999999996</v>
          </cell>
          <cell r="F8568">
            <v>8</v>
          </cell>
        </row>
        <row r="8569">
          <cell r="A8569">
            <v>2018</v>
          </cell>
          <cell r="B8569" t="str">
            <v>Budget</v>
          </cell>
          <cell r="C8569" t="str">
            <v>Aug</v>
          </cell>
          <cell r="D8569" t="str">
            <v>Chairs</v>
          </cell>
          <cell r="E8569">
            <v>51725.093000000001</v>
          </cell>
          <cell r="F8569">
            <v>8</v>
          </cell>
        </row>
        <row r="8570">
          <cell r="A8570">
            <v>2019</v>
          </cell>
          <cell r="B8570" t="str">
            <v>Actual</v>
          </cell>
          <cell r="C8570" t="str">
            <v>Aug</v>
          </cell>
          <cell r="D8570" t="str">
            <v>Chairs</v>
          </cell>
          <cell r="E8570">
            <v>1535183.5379999997</v>
          </cell>
          <cell r="F8570">
            <v>8</v>
          </cell>
        </row>
        <row r="8571">
          <cell r="A8571">
            <v>2019</v>
          </cell>
          <cell r="B8571" t="str">
            <v>Budget</v>
          </cell>
          <cell r="C8571" t="str">
            <v>Aug</v>
          </cell>
          <cell r="D8571" t="str">
            <v>Chairs</v>
          </cell>
          <cell r="E8571">
            <v>898717.30900000001</v>
          </cell>
          <cell r="F8571">
            <v>8</v>
          </cell>
        </row>
        <row r="8572">
          <cell r="A8572">
            <v>2018</v>
          </cell>
          <cell r="B8572" t="str">
            <v>Actual</v>
          </cell>
          <cell r="C8572" t="str">
            <v>Aug</v>
          </cell>
          <cell r="D8572" t="str">
            <v>Chairs</v>
          </cell>
          <cell r="E8572">
            <v>1563320.423</v>
          </cell>
          <cell r="F8572">
            <v>8</v>
          </cell>
        </row>
        <row r="8573">
          <cell r="A8573">
            <v>2018</v>
          </cell>
          <cell r="B8573" t="str">
            <v>Budget</v>
          </cell>
          <cell r="C8573" t="str">
            <v>Aug</v>
          </cell>
          <cell r="D8573" t="str">
            <v>Chairs</v>
          </cell>
          <cell r="E8573">
            <v>324795.41499999998</v>
          </cell>
          <cell r="F8573">
            <v>8</v>
          </cell>
        </row>
        <row r="8574">
          <cell r="A8574">
            <v>2019</v>
          </cell>
          <cell r="B8574" t="str">
            <v>Actual</v>
          </cell>
          <cell r="C8574" t="str">
            <v>Aug</v>
          </cell>
          <cell r="D8574" t="str">
            <v>Chairs</v>
          </cell>
          <cell r="E8574">
            <v>1239493.6469999999</v>
          </cell>
          <cell r="F8574">
            <v>8</v>
          </cell>
        </row>
        <row r="8575">
          <cell r="A8575">
            <v>2019</v>
          </cell>
          <cell r="B8575" t="str">
            <v>Budget</v>
          </cell>
          <cell r="C8575" t="str">
            <v>Aug</v>
          </cell>
          <cell r="D8575" t="str">
            <v>Chairs</v>
          </cell>
          <cell r="E8575">
            <v>1004579.9679999999</v>
          </cell>
          <cell r="F8575">
            <v>8</v>
          </cell>
        </row>
        <row r="8576">
          <cell r="A8576">
            <v>2019</v>
          </cell>
          <cell r="B8576" t="str">
            <v>Actual</v>
          </cell>
          <cell r="C8576" t="str">
            <v>Aug</v>
          </cell>
          <cell r="D8576" t="str">
            <v>Chairs</v>
          </cell>
          <cell r="E8576">
            <v>1821627.6609999998</v>
          </cell>
          <cell r="F8576">
            <v>8</v>
          </cell>
        </row>
        <row r="8577">
          <cell r="A8577">
            <v>2019</v>
          </cell>
          <cell r="B8577" t="str">
            <v>Budget</v>
          </cell>
          <cell r="C8577" t="str">
            <v>Aug</v>
          </cell>
          <cell r="D8577" t="str">
            <v>Chairs</v>
          </cell>
          <cell r="E8577">
            <v>9201082.7300000004</v>
          </cell>
          <cell r="F8577">
            <v>8</v>
          </cell>
        </row>
        <row r="8578">
          <cell r="A8578">
            <v>2019</v>
          </cell>
          <cell r="B8578" t="str">
            <v>Actual</v>
          </cell>
          <cell r="C8578" t="str">
            <v>Aug</v>
          </cell>
          <cell r="D8578" t="str">
            <v>Chairs</v>
          </cell>
          <cell r="E8578">
            <v>2330461.784</v>
          </cell>
          <cell r="F8578">
            <v>8</v>
          </cell>
        </row>
        <row r="8579">
          <cell r="A8579">
            <v>2019</v>
          </cell>
          <cell r="B8579" t="str">
            <v>Budget</v>
          </cell>
          <cell r="C8579" t="str">
            <v>Aug</v>
          </cell>
          <cell r="D8579" t="str">
            <v>Chairs</v>
          </cell>
          <cell r="E8579">
            <v>221100.481</v>
          </cell>
          <cell r="F8579">
            <v>8</v>
          </cell>
        </row>
        <row r="8580">
          <cell r="A8580">
            <v>2019</v>
          </cell>
          <cell r="B8580" t="str">
            <v>Actual</v>
          </cell>
          <cell r="C8580" t="str">
            <v>Aug</v>
          </cell>
          <cell r="D8580" t="str">
            <v>Chairs</v>
          </cell>
          <cell r="E8580">
            <v>1259467.6569999999</v>
          </cell>
          <cell r="F8580">
            <v>8</v>
          </cell>
        </row>
        <row r="8581">
          <cell r="A8581">
            <v>2019</v>
          </cell>
          <cell r="B8581" t="str">
            <v>Budget</v>
          </cell>
          <cell r="C8581" t="str">
            <v>Aug</v>
          </cell>
          <cell r="D8581" t="str">
            <v>Chairs</v>
          </cell>
          <cell r="E8581">
            <v>126537.936</v>
          </cell>
          <cell r="F8581">
            <v>8</v>
          </cell>
        </row>
        <row r="8582">
          <cell r="A8582">
            <v>2018</v>
          </cell>
          <cell r="B8582" t="str">
            <v>Actual</v>
          </cell>
          <cell r="C8582" t="str">
            <v>Aug</v>
          </cell>
          <cell r="D8582" t="str">
            <v>Chairs</v>
          </cell>
          <cell r="E8582">
            <v>1213.5550000000001</v>
          </cell>
          <cell r="F8582">
            <v>8</v>
          </cell>
        </row>
        <row r="8583">
          <cell r="A8583">
            <v>2018</v>
          </cell>
          <cell r="B8583" t="str">
            <v>Budget</v>
          </cell>
          <cell r="C8583" t="str">
            <v>Aug</v>
          </cell>
          <cell r="D8583" t="str">
            <v>Chairs</v>
          </cell>
          <cell r="E8583">
            <v>33794.957000000002</v>
          </cell>
          <cell r="F8583">
            <v>8</v>
          </cell>
        </row>
        <row r="8584">
          <cell r="A8584">
            <v>2018</v>
          </cell>
          <cell r="B8584" t="str">
            <v>Actual</v>
          </cell>
          <cell r="C8584" t="str">
            <v>Aug</v>
          </cell>
          <cell r="D8584" t="str">
            <v>Chairs</v>
          </cell>
          <cell r="E8584">
            <v>2294309.2480000001</v>
          </cell>
          <cell r="F8584">
            <v>8</v>
          </cell>
        </row>
        <row r="8585">
          <cell r="A8585">
            <v>2018</v>
          </cell>
          <cell r="B8585" t="str">
            <v>Budget</v>
          </cell>
          <cell r="C8585" t="str">
            <v>Aug</v>
          </cell>
          <cell r="D8585" t="str">
            <v>Chairs</v>
          </cell>
          <cell r="E8585">
            <v>4035699.6469999999</v>
          </cell>
          <cell r="F8585">
            <v>8</v>
          </cell>
        </row>
        <row r="8586">
          <cell r="A8586">
            <v>2018</v>
          </cell>
          <cell r="B8586" t="str">
            <v>Actual</v>
          </cell>
          <cell r="C8586" t="str">
            <v>Aug</v>
          </cell>
          <cell r="D8586" t="str">
            <v>Chairs</v>
          </cell>
          <cell r="E8586">
            <v>621110.41999999993</v>
          </cell>
          <cell r="F8586">
            <v>8</v>
          </cell>
        </row>
        <row r="8587">
          <cell r="A8587">
            <v>2018</v>
          </cell>
          <cell r="B8587" t="str">
            <v>Budget</v>
          </cell>
          <cell r="C8587" t="str">
            <v>Aug</v>
          </cell>
          <cell r="D8587" t="str">
            <v>Chairs</v>
          </cell>
          <cell r="E8587">
            <v>1101266.173</v>
          </cell>
          <cell r="F8587">
            <v>8</v>
          </cell>
        </row>
        <row r="8588">
          <cell r="A8588">
            <v>2019</v>
          </cell>
          <cell r="B8588" t="str">
            <v>Actual</v>
          </cell>
          <cell r="C8588" t="str">
            <v>Aug</v>
          </cell>
          <cell r="D8588" t="str">
            <v>Chairs</v>
          </cell>
          <cell r="E8588">
            <v>150926.783</v>
          </cell>
          <cell r="F8588">
            <v>8</v>
          </cell>
        </row>
        <row r="8589">
          <cell r="A8589">
            <v>2018</v>
          </cell>
          <cell r="B8589" t="str">
            <v>Budget</v>
          </cell>
          <cell r="C8589" t="str">
            <v>Aug</v>
          </cell>
          <cell r="D8589" t="str">
            <v>Chairs</v>
          </cell>
          <cell r="E8589">
            <v>695926.41299999994</v>
          </cell>
          <cell r="F8589">
            <v>8</v>
          </cell>
        </row>
        <row r="8590">
          <cell r="A8590">
            <v>2018</v>
          </cell>
          <cell r="B8590" t="str">
            <v>Actual</v>
          </cell>
          <cell r="C8590" t="str">
            <v>Aug</v>
          </cell>
          <cell r="D8590" t="str">
            <v>Chairs</v>
          </cell>
          <cell r="E8590">
            <v>319905.34099999996</v>
          </cell>
          <cell r="F8590">
            <v>8</v>
          </cell>
        </row>
        <row r="8591">
          <cell r="A8591">
            <v>2018</v>
          </cell>
          <cell r="B8591" t="str">
            <v>Budget</v>
          </cell>
          <cell r="C8591" t="str">
            <v>Aug</v>
          </cell>
          <cell r="D8591" t="str">
            <v>Tables</v>
          </cell>
          <cell r="E8591">
            <v>663994.83499999996</v>
          </cell>
          <cell r="F8591">
            <v>8</v>
          </cell>
        </row>
        <row r="8592">
          <cell r="A8592">
            <v>2019</v>
          </cell>
          <cell r="B8592" t="str">
            <v>Actual</v>
          </cell>
          <cell r="C8592" t="str">
            <v>Aug</v>
          </cell>
          <cell r="D8592" t="str">
            <v>Kitchen</v>
          </cell>
          <cell r="E8592">
            <v>184066.75699999998</v>
          </cell>
          <cell r="F8592">
            <v>8</v>
          </cell>
        </row>
        <row r="8593">
          <cell r="A8593">
            <v>2019</v>
          </cell>
          <cell r="B8593" t="str">
            <v>Budget</v>
          </cell>
          <cell r="C8593" t="str">
            <v>Aug</v>
          </cell>
          <cell r="D8593" t="str">
            <v>Chairs</v>
          </cell>
          <cell r="E8593">
            <v>998203.71699999995</v>
          </cell>
          <cell r="F8593">
            <v>8</v>
          </cell>
        </row>
        <row r="8594">
          <cell r="A8594">
            <v>2018</v>
          </cell>
          <cell r="B8594" t="str">
            <v>Actual</v>
          </cell>
          <cell r="C8594" t="str">
            <v>Aug</v>
          </cell>
          <cell r="D8594" t="str">
            <v>Chairs</v>
          </cell>
          <cell r="E8594">
            <v>2441196.443</v>
          </cell>
          <cell r="F8594">
            <v>8</v>
          </cell>
        </row>
        <row r="8595">
          <cell r="A8595">
            <v>2018</v>
          </cell>
          <cell r="B8595" t="str">
            <v>Budget</v>
          </cell>
          <cell r="C8595" t="str">
            <v>Aug</v>
          </cell>
          <cell r="D8595" t="str">
            <v>Chairs</v>
          </cell>
          <cell r="E8595">
            <v>11124.196999999998</v>
          </cell>
          <cell r="F8595">
            <v>8</v>
          </cell>
        </row>
        <row r="8596">
          <cell r="A8596">
            <v>2019</v>
          </cell>
          <cell r="B8596" t="str">
            <v>Actual</v>
          </cell>
          <cell r="C8596" t="str">
            <v>Aug</v>
          </cell>
          <cell r="D8596" t="str">
            <v>Chairs</v>
          </cell>
          <cell r="E8596">
            <v>1761270.7</v>
          </cell>
          <cell r="F8596">
            <v>8</v>
          </cell>
        </row>
        <row r="8597">
          <cell r="A8597">
            <v>2019</v>
          </cell>
          <cell r="B8597" t="str">
            <v>Budget</v>
          </cell>
          <cell r="C8597" t="str">
            <v>Aug</v>
          </cell>
          <cell r="D8597" t="str">
            <v>Chairs</v>
          </cell>
          <cell r="E8597">
            <v>295575.29399999999</v>
          </cell>
          <cell r="F8597">
            <v>8</v>
          </cell>
        </row>
        <row r="8598">
          <cell r="A8598">
            <v>2019</v>
          </cell>
          <cell r="B8598" t="str">
            <v>Actual</v>
          </cell>
          <cell r="C8598" t="str">
            <v>Aug</v>
          </cell>
          <cell r="D8598" t="str">
            <v>Tables</v>
          </cell>
          <cell r="E8598">
            <v>741809.01199999987</v>
          </cell>
          <cell r="F8598">
            <v>8</v>
          </cell>
        </row>
        <row r="8599">
          <cell r="A8599">
            <v>2018</v>
          </cell>
          <cell r="B8599" t="str">
            <v>Budget</v>
          </cell>
          <cell r="C8599" t="str">
            <v>Aug</v>
          </cell>
          <cell r="D8599" t="str">
            <v>Kitchen</v>
          </cell>
          <cell r="E8599">
            <v>2967175.855</v>
          </cell>
          <cell r="F8599">
            <v>8</v>
          </cell>
        </row>
        <row r="8600">
          <cell r="A8600">
            <v>2019</v>
          </cell>
          <cell r="B8600" t="str">
            <v>Actual</v>
          </cell>
          <cell r="C8600" t="str">
            <v>Aug</v>
          </cell>
          <cell r="D8600" t="str">
            <v>Chairs</v>
          </cell>
          <cell r="E8600">
            <v>2339829.9819999998</v>
          </cell>
          <cell r="F8600">
            <v>8</v>
          </cell>
        </row>
        <row r="8601">
          <cell r="A8601">
            <v>2018</v>
          </cell>
          <cell r="B8601" t="str">
            <v>Budget</v>
          </cell>
          <cell r="C8601" t="str">
            <v>Aug</v>
          </cell>
          <cell r="D8601" t="str">
            <v>Chairs</v>
          </cell>
          <cell r="E8601">
            <v>167247.57</v>
          </cell>
          <cell r="F8601">
            <v>8</v>
          </cell>
        </row>
        <row r="8602">
          <cell r="A8602">
            <v>2018</v>
          </cell>
          <cell r="B8602" t="str">
            <v>Actual</v>
          </cell>
          <cell r="C8602" t="str">
            <v>Aug</v>
          </cell>
          <cell r="D8602" t="str">
            <v>Chairs</v>
          </cell>
          <cell r="E8602">
            <v>1531255.145</v>
          </cell>
          <cell r="F8602">
            <v>8</v>
          </cell>
        </row>
        <row r="8603">
          <cell r="A8603">
            <v>2019</v>
          </cell>
          <cell r="B8603" t="str">
            <v>Budget</v>
          </cell>
          <cell r="C8603" t="str">
            <v>Aug</v>
          </cell>
          <cell r="D8603" t="str">
            <v>Tables</v>
          </cell>
          <cell r="E8603">
            <v>632897.86699999997</v>
          </cell>
          <cell r="F8603">
            <v>8</v>
          </cell>
        </row>
        <row r="8604">
          <cell r="A8604">
            <v>2018</v>
          </cell>
          <cell r="B8604" t="str">
            <v>Actual</v>
          </cell>
          <cell r="C8604" t="str">
            <v>Aug</v>
          </cell>
          <cell r="D8604" t="str">
            <v>Kitchen</v>
          </cell>
          <cell r="E8604">
            <v>1757.952</v>
          </cell>
          <cell r="F8604">
            <v>8</v>
          </cell>
        </row>
        <row r="8605">
          <cell r="A8605">
            <v>2018</v>
          </cell>
          <cell r="B8605" t="str">
            <v>Budget</v>
          </cell>
          <cell r="C8605" t="str">
            <v>Aug</v>
          </cell>
          <cell r="D8605" t="str">
            <v>Chairs</v>
          </cell>
          <cell r="E8605">
            <v>757410.72400000005</v>
          </cell>
          <cell r="F8605">
            <v>8</v>
          </cell>
        </row>
        <row r="8606">
          <cell r="A8606">
            <v>2019</v>
          </cell>
          <cell r="B8606" t="str">
            <v>Actual</v>
          </cell>
          <cell r="C8606" t="str">
            <v>Aug</v>
          </cell>
          <cell r="D8606" t="str">
            <v>Chairs</v>
          </cell>
          <cell r="E8606">
            <v>1407511.8119999999</v>
          </cell>
          <cell r="F8606">
            <v>8</v>
          </cell>
        </row>
        <row r="8607">
          <cell r="A8607">
            <v>2018</v>
          </cell>
          <cell r="B8607" t="str">
            <v>Budget</v>
          </cell>
          <cell r="C8607" t="str">
            <v>Aug</v>
          </cell>
          <cell r="D8607" t="str">
            <v>Tables</v>
          </cell>
          <cell r="E8607">
            <v>1719183.648</v>
          </cell>
          <cell r="F8607">
            <v>8</v>
          </cell>
        </row>
        <row r="8608">
          <cell r="A8608">
            <v>2019</v>
          </cell>
          <cell r="B8608" t="str">
            <v>Actual</v>
          </cell>
          <cell r="C8608" t="str">
            <v>Aug</v>
          </cell>
          <cell r="D8608" t="str">
            <v>Kitchen</v>
          </cell>
          <cell r="E8608">
            <v>4295108.1880000001</v>
          </cell>
          <cell r="F8608">
            <v>8</v>
          </cell>
        </row>
        <row r="8609">
          <cell r="A8609">
            <v>2019</v>
          </cell>
          <cell r="B8609" t="str">
            <v>Budget</v>
          </cell>
          <cell r="C8609" t="str">
            <v>Aug</v>
          </cell>
          <cell r="D8609" t="str">
            <v>Chairs</v>
          </cell>
          <cell r="E8609">
            <v>4562218.7869999995</v>
          </cell>
          <cell r="F8609">
            <v>8</v>
          </cell>
        </row>
        <row r="8610">
          <cell r="A8610">
            <v>2019</v>
          </cell>
          <cell r="B8610" t="str">
            <v>Actual</v>
          </cell>
          <cell r="C8610" t="str">
            <v>Aug</v>
          </cell>
          <cell r="D8610" t="str">
            <v>Chairs</v>
          </cell>
          <cell r="E8610">
            <v>-7310.058</v>
          </cell>
          <cell r="F8610">
            <v>8</v>
          </cell>
        </row>
        <row r="8611">
          <cell r="A8611">
            <v>2019</v>
          </cell>
          <cell r="B8611" t="str">
            <v>Budget</v>
          </cell>
          <cell r="C8611" t="str">
            <v>Aug</v>
          </cell>
          <cell r="D8611" t="str">
            <v>Tables</v>
          </cell>
          <cell r="E8611">
            <v>-3770.8649999999998</v>
          </cell>
          <cell r="F8611">
            <v>8</v>
          </cell>
        </row>
        <row r="8612">
          <cell r="A8612">
            <v>2019</v>
          </cell>
          <cell r="B8612" t="str">
            <v>Actual</v>
          </cell>
          <cell r="C8612" t="str">
            <v>Aug</v>
          </cell>
          <cell r="D8612" t="str">
            <v>Chairs</v>
          </cell>
          <cell r="E8612">
            <v>386467.50799999991</v>
          </cell>
          <cell r="F8612">
            <v>8</v>
          </cell>
        </row>
        <row r="8613">
          <cell r="A8613">
            <v>2018</v>
          </cell>
          <cell r="B8613" t="str">
            <v>Budget</v>
          </cell>
          <cell r="C8613" t="str">
            <v>Aug</v>
          </cell>
          <cell r="D8613" t="str">
            <v>Tables</v>
          </cell>
          <cell r="E8613">
            <v>878771.93599999999</v>
          </cell>
          <cell r="F8613">
            <v>8</v>
          </cell>
        </row>
        <row r="8614">
          <cell r="A8614">
            <v>2019</v>
          </cell>
          <cell r="B8614" t="str">
            <v>Actual</v>
          </cell>
          <cell r="C8614" t="str">
            <v>Aug</v>
          </cell>
          <cell r="D8614" t="str">
            <v>Kitchen</v>
          </cell>
          <cell r="E8614">
            <v>444401.53799999994</v>
          </cell>
          <cell r="F8614">
            <v>8</v>
          </cell>
        </row>
        <row r="8615">
          <cell r="A8615">
            <v>2018</v>
          </cell>
          <cell r="B8615" t="str">
            <v>Budget</v>
          </cell>
          <cell r="C8615" t="str">
            <v>Aug</v>
          </cell>
          <cell r="D8615" t="str">
            <v>Accessories</v>
          </cell>
          <cell r="E8615">
            <v>590529.73699999996</v>
          </cell>
          <cell r="F8615">
            <v>8</v>
          </cell>
        </row>
        <row r="8616">
          <cell r="A8616">
            <v>2018</v>
          </cell>
          <cell r="B8616" t="str">
            <v>Actual</v>
          </cell>
          <cell r="C8616" t="str">
            <v>Aug</v>
          </cell>
          <cell r="D8616" t="str">
            <v>Chairs</v>
          </cell>
          <cell r="E8616">
            <v>386168.43999999994</v>
          </cell>
          <cell r="F8616">
            <v>8</v>
          </cell>
        </row>
        <row r="8617">
          <cell r="A8617">
            <v>2018</v>
          </cell>
          <cell r="B8617" t="str">
            <v>Budget</v>
          </cell>
          <cell r="C8617" t="str">
            <v>Aug</v>
          </cell>
          <cell r="D8617" t="str">
            <v>Tables</v>
          </cell>
          <cell r="E8617">
            <v>302037.39299999998</v>
          </cell>
          <cell r="F8617">
            <v>8</v>
          </cell>
        </row>
        <row r="8618">
          <cell r="A8618">
            <v>2019</v>
          </cell>
          <cell r="B8618" t="str">
            <v>Actual</v>
          </cell>
          <cell r="C8618" t="str">
            <v>Aug</v>
          </cell>
          <cell r="D8618" t="str">
            <v>Kitchen</v>
          </cell>
          <cell r="E8618">
            <v>354897.45899999997</v>
          </cell>
          <cell r="F8618">
            <v>8</v>
          </cell>
        </row>
        <row r="8619">
          <cell r="A8619">
            <v>2019</v>
          </cell>
          <cell r="B8619" t="str">
            <v>Budget</v>
          </cell>
          <cell r="C8619" t="str">
            <v>Aug</v>
          </cell>
          <cell r="D8619" t="str">
            <v>Accessories</v>
          </cell>
          <cell r="E8619">
            <v>-15726.143999999998</v>
          </cell>
          <cell r="F8619">
            <v>8</v>
          </cell>
        </row>
        <row r="8620">
          <cell r="A8620">
            <v>2018</v>
          </cell>
          <cell r="B8620" t="str">
            <v>Actual</v>
          </cell>
          <cell r="C8620" t="str">
            <v>Aug</v>
          </cell>
          <cell r="D8620" t="str">
            <v>Chairs</v>
          </cell>
          <cell r="E8620">
            <v>144534.796</v>
          </cell>
          <cell r="F8620">
            <v>8</v>
          </cell>
        </row>
        <row r="8621">
          <cell r="A8621">
            <v>2019</v>
          </cell>
          <cell r="B8621" t="str">
            <v>Budget</v>
          </cell>
          <cell r="C8621" t="str">
            <v>Aug</v>
          </cell>
          <cell r="D8621" t="str">
            <v>Tables</v>
          </cell>
          <cell r="E8621">
            <v>52790.163999999997</v>
          </cell>
          <cell r="F8621">
            <v>8</v>
          </cell>
        </row>
        <row r="8622">
          <cell r="A8622">
            <v>2019</v>
          </cell>
          <cell r="B8622" t="str">
            <v>Actual</v>
          </cell>
          <cell r="C8622" t="str">
            <v>Aug</v>
          </cell>
          <cell r="D8622" t="str">
            <v>Kitchen</v>
          </cell>
          <cell r="E8622">
            <v>618656.50699999998</v>
          </cell>
          <cell r="F8622">
            <v>8</v>
          </cell>
        </row>
        <row r="8623">
          <cell r="A8623">
            <v>2018</v>
          </cell>
          <cell r="B8623" t="str">
            <v>Budget</v>
          </cell>
          <cell r="C8623" t="str">
            <v>Aug</v>
          </cell>
          <cell r="D8623" t="str">
            <v>Accessories</v>
          </cell>
          <cell r="E8623">
            <v>34863.541999999994</v>
          </cell>
          <cell r="F8623">
            <v>8</v>
          </cell>
        </row>
        <row r="8624">
          <cell r="A8624">
            <v>2019</v>
          </cell>
          <cell r="B8624" t="str">
            <v>Actual</v>
          </cell>
          <cell r="C8624" t="str">
            <v>Aug</v>
          </cell>
          <cell r="D8624" t="str">
            <v>Chairs</v>
          </cell>
          <cell r="E8624">
            <v>129922.59</v>
          </cell>
          <cell r="F8624">
            <v>8</v>
          </cell>
        </row>
        <row r="8625">
          <cell r="A8625">
            <v>2019</v>
          </cell>
          <cell r="B8625" t="str">
            <v>Budget</v>
          </cell>
          <cell r="C8625" t="str">
            <v>Aug</v>
          </cell>
          <cell r="D8625" t="str">
            <v>Tables</v>
          </cell>
          <cell r="E8625">
            <v>138767.76199999999</v>
          </cell>
          <cell r="F8625">
            <v>8</v>
          </cell>
        </row>
        <row r="8626">
          <cell r="A8626">
            <v>2018</v>
          </cell>
          <cell r="B8626" t="str">
            <v>Actual</v>
          </cell>
          <cell r="C8626" t="str">
            <v>Aug</v>
          </cell>
          <cell r="D8626" t="str">
            <v>Kitchen</v>
          </cell>
          <cell r="E8626">
            <v>770813.39299999992</v>
          </cell>
          <cell r="F8626">
            <v>8</v>
          </cell>
        </row>
        <row r="8627">
          <cell r="A8627">
            <v>2018</v>
          </cell>
          <cell r="B8627" t="str">
            <v>Budget</v>
          </cell>
          <cell r="C8627" t="str">
            <v>Aug</v>
          </cell>
          <cell r="D8627" t="str">
            <v>Accessories</v>
          </cell>
          <cell r="E8627">
            <v>725889.00300000003</v>
          </cell>
          <cell r="F8627">
            <v>8</v>
          </cell>
        </row>
        <row r="8628">
          <cell r="A8628">
            <v>2018</v>
          </cell>
          <cell r="B8628" t="str">
            <v>Actual</v>
          </cell>
          <cell r="C8628" t="str">
            <v>Aug</v>
          </cell>
          <cell r="D8628" t="str">
            <v>Chairs</v>
          </cell>
          <cell r="E8628">
            <v>117908.11900000001</v>
          </cell>
          <cell r="F8628">
            <v>8</v>
          </cell>
        </row>
        <row r="8629">
          <cell r="A8629">
            <v>2019</v>
          </cell>
          <cell r="B8629" t="str">
            <v>Budget</v>
          </cell>
          <cell r="C8629" t="str">
            <v>Aug</v>
          </cell>
          <cell r="D8629" t="str">
            <v>Chairs</v>
          </cell>
          <cell r="E8629">
            <v>38136.447999999997</v>
          </cell>
          <cell r="F8629">
            <v>8</v>
          </cell>
        </row>
        <row r="8630">
          <cell r="A8630">
            <v>2018</v>
          </cell>
          <cell r="B8630" t="str">
            <v>Actual</v>
          </cell>
          <cell r="C8630" t="str">
            <v>Aug</v>
          </cell>
          <cell r="D8630" t="str">
            <v>Tables</v>
          </cell>
          <cell r="E8630">
            <v>361988.52899999998</v>
          </cell>
          <cell r="F8630">
            <v>8</v>
          </cell>
        </row>
        <row r="8631">
          <cell r="A8631">
            <v>2018</v>
          </cell>
          <cell r="B8631" t="str">
            <v>Budget</v>
          </cell>
          <cell r="C8631" t="str">
            <v>Aug</v>
          </cell>
          <cell r="D8631" t="str">
            <v>Kitchen</v>
          </cell>
          <cell r="E8631">
            <v>480084.83599999995</v>
          </cell>
          <cell r="F8631">
            <v>8</v>
          </cell>
        </row>
        <row r="8632">
          <cell r="A8632">
            <v>2019</v>
          </cell>
          <cell r="B8632" t="str">
            <v>Actual</v>
          </cell>
          <cell r="C8632" t="str">
            <v>Aug</v>
          </cell>
          <cell r="D8632" t="str">
            <v>Chairs</v>
          </cell>
          <cell r="E8632">
            <v>376938.25399999996</v>
          </cell>
          <cell r="F8632">
            <v>8</v>
          </cell>
        </row>
        <row r="8633">
          <cell r="A8633">
            <v>2018</v>
          </cell>
          <cell r="B8633" t="str">
            <v>Budget</v>
          </cell>
          <cell r="C8633" t="str">
            <v>Aug</v>
          </cell>
          <cell r="D8633" t="str">
            <v>Tables</v>
          </cell>
          <cell r="E8633">
            <v>791281.67999999993</v>
          </cell>
          <cell r="F8633">
            <v>8</v>
          </cell>
        </row>
        <row r="8634">
          <cell r="A8634">
            <v>2018</v>
          </cell>
          <cell r="B8634" t="str">
            <v>Actual</v>
          </cell>
          <cell r="C8634" t="str">
            <v>Aug</v>
          </cell>
          <cell r="D8634" t="str">
            <v>Kitchen</v>
          </cell>
          <cell r="E8634">
            <v>94143.091</v>
          </cell>
          <cell r="F8634">
            <v>8</v>
          </cell>
        </row>
        <row r="8635">
          <cell r="A8635">
            <v>2018</v>
          </cell>
          <cell r="B8635" t="str">
            <v>Budget</v>
          </cell>
          <cell r="C8635" t="str">
            <v>Aug</v>
          </cell>
          <cell r="D8635" t="str">
            <v>Chairs</v>
          </cell>
          <cell r="E8635">
            <v>207291.24499999997</v>
          </cell>
          <cell r="F8635">
            <v>8</v>
          </cell>
        </row>
        <row r="8636">
          <cell r="A8636">
            <v>2018</v>
          </cell>
          <cell r="B8636" t="str">
            <v>Actual</v>
          </cell>
          <cell r="C8636" t="str">
            <v>Aug</v>
          </cell>
          <cell r="D8636" t="str">
            <v>Tables</v>
          </cell>
          <cell r="E8636">
            <v>114570.77099999999</v>
          </cell>
          <cell r="F8636">
            <v>8</v>
          </cell>
        </row>
        <row r="8637">
          <cell r="A8637">
            <v>2018</v>
          </cell>
          <cell r="B8637" t="str">
            <v>Budget</v>
          </cell>
          <cell r="C8637" t="str">
            <v>Aug</v>
          </cell>
          <cell r="D8637" t="str">
            <v>Kitchen</v>
          </cell>
          <cell r="E8637">
            <v>770368.47299999988</v>
          </cell>
          <cell r="F8637">
            <v>8</v>
          </cell>
        </row>
        <row r="8638">
          <cell r="A8638">
            <v>2019</v>
          </cell>
          <cell r="B8638" t="str">
            <v>Actual</v>
          </cell>
          <cell r="C8638" t="str">
            <v>Aug</v>
          </cell>
          <cell r="D8638" t="str">
            <v>Chairs</v>
          </cell>
          <cell r="E8638">
            <v>3216837.4979999997</v>
          </cell>
          <cell r="F8638">
            <v>8</v>
          </cell>
        </row>
        <row r="8639">
          <cell r="A8639">
            <v>2018</v>
          </cell>
          <cell r="B8639" t="str">
            <v>Budget</v>
          </cell>
          <cell r="C8639" t="str">
            <v>Aug</v>
          </cell>
          <cell r="D8639" t="str">
            <v>Chairs</v>
          </cell>
          <cell r="E8639">
            <v>9955.5609999999997</v>
          </cell>
          <cell r="F8639">
            <v>8</v>
          </cell>
        </row>
        <row r="8640">
          <cell r="A8640">
            <v>2019</v>
          </cell>
          <cell r="B8640" t="str">
            <v>Actual</v>
          </cell>
          <cell r="C8640" t="str">
            <v>Aug</v>
          </cell>
          <cell r="D8640" t="str">
            <v>Chairs</v>
          </cell>
          <cell r="E8640">
            <v>16872.610999999997</v>
          </cell>
          <cell r="F8640">
            <v>8</v>
          </cell>
        </row>
        <row r="8641">
          <cell r="A8641">
            <v>2019</v>
          </cell>
          <cell r="B8641" t="str">
            <v>Budget</v>
          </cell>
          <cell r="C8641" t="str">
            <v>Aug</v>
          </cell>
          <cell r="D8641" t="str">
            <v>Chairs</v>
          </cell>
          <cell r="E8641">
            <v>59214.875999999989</v>
          </cell>
          <cell r="F8641">
            <v>8</v>
          </cell>
        </row>
        <row r="8642">
          <cell r="A8642">
            <v>2019</v>
          </cell>
          <cell r="B8642" t="str">
            <v>Actual</v>
          </cell>
          <cell r="C8642" t="str">
            <v>Aug</v>
          </cell>
          <cell r="D8642" t="str">
            <v>Chairs</v>
          </cell>
          <cell r="E8642">
            <v>101961.41900000001</v>
          </cell>
          <cell r="F8642">
            <v>8</v>
          </cell>
        </row>
        <row r="8643">
          <cell r="A8643">
            <v>2018</v>
          </cell>
          <cell r="B8643" t="str">
            <v>Budget</v>
          </cell>
          <cell r="C8643" t="str">
            <v>Aug</v>
          </cell>
          <cell r="D8643" t="str">
            <v>Chairs</v>
          </cell>
          <cell r="E8643">
            <v>4634.6229999999996</v>
          </cell>
          <cell r="F8643">
            <v>8</v>
          </cell>
        </row>
        <row r="8644">
          <cell r="A8644">
            <v>2019</v>
          </cell>
          <cell r="B8644" t="str">
            <v>Actual</v>
          </cell>
          <cell r="C8644" t="str">
            <v>Aug</v>
          </cell>
          <cell r="D8644" t="str">
            <v>Chairs</v>
          </cell>
          <cell r="E8644">
            <v>22139.789000000001</v>
          </cell>
          <cell r="F8644">
            <v>8</v>
          </cell>
        </row>
        <row r="8645">
          <cell r="A8645">
            <v>2019</v>
          </cell>
          <cell r="B8645" t="str">
            <v>Budget</v>
          </cell>
          <cell r="C8645" t="str">
            <v>Aug</v>
          </cell>
          <cell r="D8645" t="str">
            <v>Chairs</v>
          </cell>
          <cell r="E8645">
            <v>2726563.5249999999</v>
          </cell>
          <cell r="F8645">
            <v>8</v>
          </cell>
        </row>
        <row r="8646">
          <cell r="A8646">
            <v>2018</v>
          </cell>
          <cell r="B8646" t="str">
            <v>Actual</v>
          </cell>
          <cell r="C8646" t="str">
            <v>Aug</v>
          </cell>
          <cell r="D8646" t="str">
            <v>Chairs</v>
          </cell>
          <cell r="E8646">
            <v>349702.74499999994</v>
          </cell>
          <cell r="F8646">
            <v>8</v>
          </cell>
        </row>
        <row r="8647">
          <cell r="A8647">
            <v>2019</v>
          </cell>
          <cell r="B8647" t="str">
            <v>Budget</v>
          </cell>
          <cell r="C8647" t="str">
            <v>Aug</v>
          </cell>
          <cell r="D8647" t="str">
            <v>Chairs</v>
          </cell>
          <cell r="E8647">
            <v>154520.79299999998</v>
          </cell>
          <cell r="F8647">
            <v>8</v>
          </cell>
        </row>
        <row r="8648">
          <cell r="A8648">
            <v>2019</v>
          </cell>
          <cell r="B8648" t="str">
            <v>Actual</v>
          </cell>
          <cell r="C8648" t="str">
            <v>Aug</v>
          </cell>
          <cell r="D8648" t="str">
            <v>Chairs</v>
          </cell>
          <cell r="E8648">
            <v>132342.427</v>
          </cell>
          <cell r="F8648">
            <v>8</v>
          </cell>
        </row>
        <row r="8649">
          <cell r="A8649">
            <v>2018</v>
          </cell>
          <cell r="B8649" t="str">
            <v>Budget</v>
          </cell>
          <cell r="C8649" t="str">
            <v>Aug</v>
          </cell>
          <cell r="D8649" t="str">
            <v>Chairs</v>
          </cell>
          <cell r="E8649">
            <v>182725.19999999998</v>
          </cell>
          <cell r="F8649">
            <v>8</v>
          </cell>
        </row>
        <row r="8650">
          <cell r="A8650">
            <v>2019</v>
          </cell>
          <cell r="B8650" t="str">
            <v>Actual</v>
          </cell>
          <cell r="C8650" t="str">
            <v>Aug</v>
          </cell>
          <cell r="D8650" t="str">
            <v>Chairs</v>
          </cell>
          <cell r="E8650">
            <v>367473.11999999994</v>
          </cell>
          <cell r="F8650">
            <v>8</v>
          </cell>
        </row>
        <row r="8651">
          <cell r="A8651">
            <v>2019</v>
          </cell>
          <cell r="B8651" t="str">
            <v>Budget</v>
          </cell>
          <cell r="C8651" t="str">
            <v>Aug</v>
          </cell>
          <cell r="D8651" t="str">
            <v>Chairs</v>
          </cell>
          <cell r="E8651">
            <v>64566.165999999997</v>
          </cell>
          <cell r="F8651">
            <v>8</v>
          </cell>
        </row>
        <row r="8652">
          <cell r="A8652">
            <v>2019</v>
          </cell>
          <cell r="B8652" t="str">
            <v>Actual</v>
          </cell>
          <cell r="C8652" t="str">
            <v>Aug</v>
          </cell>
          <cell r="D8652" t="str">
            <v>Chairs</v>
          </cell>
          <cell r="E8652">
            <v>41116.851999999999</v>
          </cell>
          <cell r="F8652">
            <v>8</v>
          </cell>
        </row>
        <row r="8653">
          <cell r="A8653">
            <v>2019</v>
          </cell>
          <cell r="B8653" t="str">
            <v>Budget</v>
          </cell>
          <cell r="C8653" t="str">
            <v>Aug</v>
          </cell>
          <cell r="D8653" t="str">
            <v>Chairs</v>
          </cell>
          <cell r="E8653">
            <v>22899.120999999999</v>
          </cell>
          <cell r="F8653">
            <v>8</v>
          </cell>
        </row>
        <row r="8654">
          <cell r="A8654">
            <v>2018</v>
          </cell>
          <cell r="B8654" t="str">
            <v>Actual</v>
          </cell>
          <cell r="C8654" t="str">
            <v>Aug</v>
          </cell>
          <cell r="D8654" t="str">
            <v>Chairs</v>
          </cell>
          <cell r="E8654">
            <v>55465.458999999995</v>
          </cell>
          <cell r="F8654">
            <v>8</v>
          </cell>
        </row>
        <row r="8655">
          <cell r="A8655">
            <v>2019</v>
          </cell>
          <cell r="B8655" t="str">
            <v>Budget</v>
          </cell>
          <cell r="C8655" t="str">
            <v>Aug</v>
          </cell>
          <cell r="D8655" t="str">
            <v>Chairs</v>
          </cell>
          <cell r="E8655">
            <v>14120.056999999999</v>
          </cell>
          <cell r="F8655">
            <v>8</v>
          </cell>
        </row>
        <row r="8656">
          <cell r="A8656">
            <v>2018</v>
          </cell>
          <cell r="B8656" t="str">
            <v>Actual</v>
          </cell>
          <cell r="C8656" t="str">
            <v>Aug</v>
          </cell>
          <cell r="D8656" t="str">
            <v>Chairs</v>
          </cell>
          <cell r="E8656">
            <v>180671.00099999999</v>
          </cell>
          <cell r="F8656">
            <v>8</v>
          </cell>
        </row>
        <row r="8657">
          <cell r="A8657">
            <v>2019</v>
          </cell>
          <cell r="B8657" t="str">
            <v>Budget</v>
          </cell>
          <cell r="C8657" t="str">
            <v>Aug</v>
          </cell>
          <cell r="D8657" t="str">
            <v>Chairs</v>
          </cell>
          <cell r="E8657">
            <v>19903.968000000001</v>
          </cell>
          <cell r="F8657">
            <v>8</v>
          </cell>
        </row>
        <row r="8658">
          <cell r="A8658">
            <v>2019</v>
          </cell>
          <cell r="B8658" t="str">
            <v>Actual</v>
          </cell>
          <cell r="C8658" t="str">
            <v>Aug</v>
          </cell>
          <cell r="D8658" t="str">
            <v>Chairs</v>
          </cell>
          <cell r="E8658">
            <v>16451.841</v>
          </cell>
          <cell r="F8658">
            <v>8</v>
          </cell>
        </row>
        <row r="8659">
          <cell r="A8659">
            <v>2018</v>
          </cell>
          <cell r="B8659" t="str">
            <v>Budget</v>
          </cell>
          <cell r="C8659" t="str">
            <v>Aug</v>
          </cell>
          <cell r="D8659" t="str">
            <v>Chairs</v>
          </cell>
          <cell r="E8659">
            <v>80091.626999999993</v>
          </cell>
          <cell r="F8659">
            <v>8</v>
          </cell>
        </row>
        <row r="8660">
          <cell r="A8660">
            <v>2018</v>
          </cell>
          <cell r="B8660" t="str">
            <v>Actual</v>
          </cell>
          <cell r="C8660" t="str">
            <v>Aug</v>
          </cell>
          <cell r="D8660" t="str">
            <v>Chairs</v>
          </cell>
          <cell r="E8660">
            <v>408331.09099999996</v>
          </cell>
          <cell r="F8660">
            <v>8</v>
          </cell>
        </row>
        <row r="8661">
          <cell r="A8661">
            <v>2018</v>
          </cell>
          <cell r="B8661" t="str">
            <v>Budget</v>
          </cell>
          <cell r="C8661" t="str">
            <v>Aug</v>
          </cell>
          <cell r="D8661" t="str">
            <v>Chairs</v>
          </cell>
          <cell r="E8661">
            <v>152681.03200000001</v>
          </cell>
          <cell r="F8661">
            <v>8</v>
          </cell>
        </row>
        <row r="8662">
          <cell r="A8662">
            <v>2019</v>
          </cell>
          <cell r="B8662" t="str">
            <v>Actual</v>
          </cell>
          <cell r="C8662" t="str">
            <v>Aug</v>
          </cell>
          <cell r="D8662" t="str">
            <v>Chairs</v>
          </cell>
          <cell r="E8662">
            <v>131022.815</v>
          </cell>
          <cell r="F8662">
            <v>8</v>
          </cell>
        </row>
        <row r="8663">
          <cell r="A8663">
            <v>2018</v>
          </cell>
          <cell r="B8663" t="str">
            <v>Budget</v>
          </cell>
          <cell r="C8663" t="str">
            <v>Aug</v>
          </cell>
          <cell r="D8663" t="str">
            <v>Chairs</v>
          </cell>
          <cell r="E8663">
            <v>99443.686999999991</v>
          </cell>
          <cell r="F8663">
            <v>8</v>
          </cell>
        </row>
        <row r="8664">
          <cell r="A8664">
            <v>2018</v>
          </cell>
          <cell r="B8664" t="str">
            <v>Actual</v>
          </cell>
          <cell r="C8664" t="str">
            <v>Aug</v>
          </cell>
          <cell r="D8664" t="str">
            <v>Tables</v>
          </cell>
          <cell r="E8664">
            <v>143965.16399999999</v>
          </cell>
          <cell r="F8664">
            <v>8</v>
          </cell>
        </row>
        <row r="8665">
          <cell r="A8665">
            <v>2019</v>
          </cell>
          <cell r="B8665" t="str">
            <v>Budget</v>
          </cell>
          <cell r="C8665" t="str">
            <v>Aug</v>
          </cell>
          <cell r="D8665" t="str">
            <v>Kitchen</v>
          </cell>
          <cell r="E8665">
            <v>72977.029999999984</v>
          </cell>
          <cell r="F8665">
            <v>8</v>
          </cell>
        </row>
        <row r="8666">
          <cell r="A8666">
            <v>2018</v>
          </cell>
          <cell r="B8666" t="str">
            <v>Actual</v>
          </cell>
          <cell r="C8666" t="str">
            <v>Aug</v>
          </cell>
          <cell r="D8666" t="str">
            <v>Chairs</v>
          </cell>
          <cell r="E8666">
            <v>138701.899</v>
          </cell>
          <cell r="F8666">
            <v>8</v>
          </cell>
        </row>
        <row r="8667">
          <cell r="A8667">
            <v>2018</v>
          </cell>
          <cell r="B8667" t="str">
            <v>Budget</v>
          </cell>
          <cell r="C8667" t="str">
            <v>Aug</v>
          </cell>
          <cell r="D8667" t="str">
            <v>Chairs</v>
          </cell>
          <cell r="E8667">
            <v>35796.914999999994</v>
          </cell>
          <cell r="F8667">
            <v>8</v>
          </cell>
        </row>
        <row r="8668">
          <cell r="A8668">
            <v>2019</v>
          </cell>
          <cell r="B8668" t="str">
            <v>Actual</v>
          </cell>
          <cell r="C8668" t="str">
            <v>Aug</v>
          </cell>
          <cell r="D8668" t="str">
            <v>Chairs</v>
          </cell>
          <cell r="E8668">
            <v>359265.43099999998</v>
          </cell>
          <cell r="F8668">
            <v>8</v>
          </cell>
        </row>
        <row r="8669">
          <cell r="A8669">
            <v>2018</v>
          </cell>
          <cell r="B8669" t="str">
            <v>Budget</v>
          </cell>
          <cell r="C8669" t="str">
            <v>Aug</v>
          </cell>
          <cell r="D8669" t="str">
            <v>Chairs</v>
          </cell>
          <cell r="E8669">
            <v>117617.84299999998</v>
          </cell>
          <cell r="F8669">
            <v>8</v>
          </cell>
        </row>
        <row r="8670">
          <cell r="A8670">
            <v>2019</v>
          </cell>
          <cell r="B8670" t="str">
            <v>Actual</v>
          </cell>
          <cell r="C8670" t="str">
            <v>Aug</v>
          </cell>
          <cell r="D8670" t="str">
            <v>Chairs</v>
          </cell>
          <cell r="E8670">
            <v>71573.564999999988</v>
          </cell>
          <cell r="F8670">
            <v>8</v>
          </cell>
        </row>
        <row r="8671">
          <cell r="A8671">
            <v>2019</v>
          </cell>
          <cell r="B8671" t="str">
            <v>Budget</v>
          </cell>
          <cell r="C8671" t="str">
            <v>Aug</v>
          </cell>
          <cell r="D8671" t="str">
            <v>Tables</v>
          </cell>
          <cell r="E8671">
            <v>21092.399999999998</v>
          </cell>
          <cell r="F8671">
            <v>8</v>
          </cell>
        </row>
        <row r="8672">
          <cell r="A8672">
            <v>2018</v>
          </cell>
          <cell r="B8672" t="str">
            <v>Actual</v>
          </cell>
          <cell r="C8672" t="str">
            <v>Aug</v>
          </cell>
          <cell r="D8672" t="str">
            <v>Kitchen</v>
          </cell>
          <cell r="E8672">
            <v>174839.658</v>
          </cell>
          <cell r="F8672">
            <v>8</v>
          </cell>
        </row>
        <row r="8673">
          <cell r="A8673">
            <v>2018</v>
          </cell>
          <cell r="B8673" t="str">
            <v>Budget</v>
          </cell>
          <cell r="C8673" t="str">
            <v>Aug</v>
          </cell>
          <cell r="D8673" t="str">
            <v>Chairs</v>
          </cell>
          <cell r="E8673">
            <v>16312.582999999999</v>
          </cell>
          <cell r="F8673">
            <v>8</v>
          </cell>
        </row>
        <row r="8674">
          <cell r="A8674">
            <v>2019</v>
          </cell>
          <cell r="B8674" t="str">
            <v>Actual</v>
          </cell>
          <cell r="C8674" t="str">
            <v>Aug</v>
          </cell>
          <cell r="D8674" t="str">
            <v>Chairs</v>
          </cell>
          <cell r="E8674">
            <v>1877862.3430000001</v>
          </cell>
          <cell r="F8674">
            <v>8</v>
          </cell>
        </row>
        <row r="8675">
          <cell r="A8675">
            <v>2018</v>
          </cell>
          <cell r="B8675" t="str">
            <v>Budget</v>
          </cell>
          <cell r="C8675" t="str">
            <v>Aug</v>
          </cell>
          <cell r="D8675" t="str">
            <v>Chairs</v>
          </cell>
          <cell r="E8675">
            <v>17580.065999999999</v>
          </cell>
          <cell r="F8675">
            <v>8</v>
          </cell>
        </row>
        <row r="8676">
          <cell r="A8676">
            <v>2018</v>
          </cell>
          <cell r="B8676" t="str">
            <v>Actual</v>
          </cell>
          <cell r="C8676" t="str">
            <v>Aug</v>
          </cell>
          <cell r="D8676" t="str">
            <v>Tables</v>
          </cell>
          <cell r="E8676">
            <v>1321645.3810000001</v>
          </cell>
          <cell r="F8676">
            <v>8</v>
          </cell>
        </row>
        <row r="8677">
          <cell r="A8677">
            <v>2019</v>
          </cell>
          <cell r="B8677" t="str">
            <v>Budget</v>
          </cell>
          <cell r="C8677" t="str">
            <v>Aug</v>
          </cell>
          <cell r="D8677" t="str">
            <v>Kitchen</v>
          </cell>
          <cell r="E8677">
            <v>-321850.76699999999</v>
          </cell>
          <cell r="F8677">
            <v>8</v>
          </cell>
        </row>
        <row r="8678">
          <cell r="A8678">
            <v>2018</v>
          </cell>
          <cell r="B8678" t="str">
            <v>Actual</v>
          </cell>
          <cell r="C8678" t="str">
            <v>Aug</v>
          </cell>
          <cell r="D8678" t="str">
            <v>Chairs</v>
          </cell>
          <cell r="E8678">
            <v>1247909.831</v>
          </cell>
          <cell r="F8678">
            <v>8</v>
          </cell>
        </row>
        <row r="8679">
          <cell r="A8679">
            <v>2018</v>
          </cell>
          <cell r="B8679" t="str">
            <v>Budget</v>
          </cell>
          <cell r="C8679" t="str">
            <v>Aug</v>
          </cell>
          <cell r="D8679" t="str">
            <v>Chairs</v>
          </cell>
          <cell r="E8679">
            <v>156881.571</v>
          </cell>
          <cell r="F8679">
            <v>8</v>
          </cell>
        </row>
        <row r="8680">
          <cell r="A8680">
            <v>2018</v>
          </cell>
          <cell r="B8680" t="str">
            <v>Actual</v>
          </cell>
          <cell r="C8680" t="str">
            <v>Aug</v>
          </cell>
          <cell r="D8680" t="str">
            <v>Tables</v>
          </cell>
          <cell r="E8680">
            <v>403175.28999999992</v>
          </cell>
          <cell r="F8680">
            <v>8</v>
          </cell>
        </row>
        <row r="8681">
          <cell r="A8681">
            <v>2018</v>
          </cell>
          <cell r="B8681" t="str">
            <v>Budget</v>
          </cell>
          <cell r="C8681" t="str">
            <v>Aug</v>
          </cell>
          <cell r="D8681" t="str">
            <v>Kitchen</v>
          </cell>
          <cell r="E8681">
            <v>188080.29800000001</v>
          </cell>
          <cell r="F8681">
            <v>8</v>
          </cell>
        </row>
        <row r="8682">
          <cell r="A8682">
            <v>2018</v>
          </cell>
          <cell r="B8682" t="str">
            <v>Actual</v>
          </cell>
          <cell r="C8682" t="str">
            <v>Aug</v>
          </cell>
          <cell r="D8682" t="str">
            <v>Chairs</v>
          </cell>
          <cell r="E8682">
            <v>568809.37399999995</v>
          </cell>
          <cell r="F8682">
            <v>8</v>
          </cell>
        </row>
        <row r="8683">
          <cell r="A8683">
            <v>2018</v>
          </cell>
          <cell r="B8683" t="str">
            <v>Budget</v>
          </cell>
          <cell r="C8683" t="str">
            <v>Aug</v>
          </cell>
          <cell r="D8683" t="str">
            <v>Chairs</v>
          </cell>
          <cell r="E8683">
            <v>1152300.338</v>
          </cell>
          <cell r="F8683">
            <v>8</v>
          </cell>
        </row>
        <row r="8684">
          <cell r="A8684">
            <v>2019</v>
          </cell>
          <cell r="B8684" t="str">
            <v>Actual</v>
          </cell>
          <cell r="C8684" t="str">
            <v>Aug</v>
          </cell>
          <cell r="D8684" t="str">
            <v>Chairs</v>
          </cell>
          <cell r="E8684">
            <v>1212939.2239999999</v>
          </cell>
          <cell r="F8684">
            <v>8</v>
          </cell>
        </row>
        <row r="8685">
          <cell r="A8685">
            <v>2018</v>
          </cell>
          <cell r="B8685" t="str">
            <v>Budget</v>
          </cell>
          <cell r="C8685" t="str">
            <v>Aug</v>
          </cell>
          <cell r="D8685" t="str">
            <v>Tables</v>
          </cell>
          <cell r="E8685">
            <v>185326.87599999999</v>
          </cell>
          <cell r="F8685">
            <v>8</v>
          </cell>
        </row>
        <row r="8686">
          <cell r="A8686">
            <v>2019</v>
          </cell>
          <cell r="B8686" t="str">
            <v>Actual</v>
          </cell>
          <cell r="C8686" t="str">
            <v>Aug</v>
          </cell>
          <cell r="D8686" t="str">
            <v>Kitchen</v>
          </cell>
          <cell r="E8686">
            <v>440720.13299999991</v>
          </cell>
          <cell r="F8686">
            <v>8</v>
          </cell>
        </row>
        <row r="8687">
          <cell r="A8687">
            <v>2018</v>
          </cell>
          <cell r="B8687" t="str">
            <v>Budget</v>
          </cell>
          <cell r="C8687" t="str">
            <v>Aug</v>
          </cell>
          <cell r="D8687" t="str">
            <v>Accessories</v>
          </cell>
          <cell r="E8687">
            <v>520588.103</v>
          </cell>
          <cell r="F8687">
            <v>8</v>
          </cell>
        </row>
        <row r="8688">
          <cell r="A8688">
            <v>2019</v>
          </cell>
          <cell r="B8688" t="str">
            <v>Actual</v>
          </cell>
          <cell r="C8688" t="str">
            <v>Aug</v>
          </cell>
          <cell r="D8688" t="str">
            <v>Chairs</v>
          </cell>
          <cell r="E8688">
            <v>303456.71999999997</v>
          </cell>
          <cell r="F8688">
            <v>8</v>
          </cell>
        </row>
        <row r="8689">
          <cell r="A8689">
            <v>2018</v>
          </cell>
          <cell r="B8689" t="str">
            <v>Budget</v>
          </cell>
          <cell r="C8689" t="str">
            <v>Aug</v>
          </cell>
          <cell r="D8689" t="str">
            <v>Tables</v>
          </cell>
          <cell r="E8689">
            <v>81535.607999999993</v>
          </cell>
          <cell r="F8689">
            <v>8</v>
          </cell>
        </row>
        <row r="8690">
          <cell r="A8690">
            <v>2018</v>
          </cell>
          <cell r="B8690" t="str">
            <v>Actual</v>
          </cell>
          <cell r="C8690" t="str">
            <v>Aug</v>
          </cell>
          <cell r="D8690" t="str">
            <v>Kitchen</v>
          </cell>
          <cell r="E8690">
            <v>85766.485000000001</v>
          </cell>
          <cell r="F8690">
            <v>8</v>
          </cell>
        </row>
        <row r="8691">
          <cell r="A8691">
            <v>2018</v>
          </cell>
          <cell r="B8691" t="str">
            <v>Budget</v>
          </cell>
          <cell r="C8691" t="str">
            <v>Aug</v>
          </cell>
          <cell r="D8691" t="str">
            <v>Accessories</v>
          </cell>
          <cell r="E8691">
            <v>44419.038999999997</v>
          </cell>
          <cell r="F8691">
            <v>8</v>
          </cell>
        </row>
        <row r="8692">
          <cell r="A8692">
            <v>2018</v>
          </cell>
          <cell r="B8692" t="str">
            <v>Actual</v>
          </cell>
          <cell r="C8692" t="str">
            <v>Aug</v>
          </cell>
          <cell r="D8692" t="str">
            <v>Chairs</v>
          </cell>
          <cell r="E8692">
            <v>54184.479999999996</v>
          </cell>
          <cell r="F8692">
            <v>8</v>
          </cell>
        </row>
        <row r="8693">
          <cell r="A8693">
            <v>2019</v>
          </cell>
          <cell r="B8693" t="str">
            <v>Budget</v>
          </cell>
          <cell r="C8693" t="str">
            <v>Aug</v>
          </cell>
          <cell r="D8693" t="str">
            <v>Tables</v>
          </cell>
          <cell r="E8693">
            <v>69688.926999999996</v>
          </cell>
          <cell r="F8693">
            <v>8</v>
          </cell>
        </row>
        <row r="8694">
          <cell r="A8694">
            <v>2019</v>
          </cell>
          <cell r="B8694" t="str">
            <v>Actual</v>
          </cell>
          <cell r="C8694" t="str">
            <v>Aug</v>
          </cell>
          <cell r="D8694" t="str">
            <v>Kitchen</v>
          </cell>
          <cell r="E8694">
            <v>18811.309999999998</v>
          </cell>
          <cell r="F8694">
            <v>8</v>
          </cell>
        </row>
        <row r="8695">
          <cell r="A8695">
            <v>2018</v>
          </cell>
          <cell r="B8695" t="str">
            <v>Budget</v>
          </cell>
          <cell r="C8695" t="str">
            <v>Aug</v>
          </cell>
          <cell r="D8695" t="str">
            <v>Accessories</v>
          </cell>
          <cell r="E8695">
            <v>69770.658999999985</v>
          </cell>
          <cell r="F8695">
            <v>8</v>
          </cell>
        </row>
        <row r="8696">
          <cell r="A8696">
            <v>2019</v>
          </cell>
          <cell r="B8696" t="str">
            <v>Actual</v>
          </cell>
          <cell r="C8696" t="str">
            <v>Aug</v>
          </cell>
          <cell r="D8696" t="str">
            <v>Chairs</v>
          </cell>
          <cell r="E8696">
            <v>4817.8619999999992</v>
          </cell>
          <cell r="F8696">
            <v>8</v>
          </cell>
        </row>
        <row r="8697">
          <cell r="A8697">
            <v>2019</v>
          </cell>
          <cell r="B8697" t="str">
            <v>Budget</v>
          </cell>
          <cell r="C8697" t="str">
            <v>Aug</v>
          </cell>
          <cell r="D8697" t="str">
            <v>Tables</v>
          </cell>
          <cell r="E8697">
            <v>47409.641999999993</v>
          </cell>
          <cell r="F8697">
            <v>8</v>
          </cell>
        </row>
        <row r="8698">
          <cell r="A8698">
            <v>2018</v>
          </cell>
          <cell r="B8698" t="str">
            <v>Actual</v>
          </cell>
          <cell r="C8698" t="str">
            <v>Aug</v>
          </cell>
          <cell r="D8698" t="str">
            <v>Kitchen</v>
          </cell>
          <cell r="E8698">
            <v>147586.01199999999</v>
          </cell>
          <cell r="F8698">
            <v>8</v>
          </cell>
        </row>
        <row r="8699">
          <cell r="A8699">
            <v>2019</v>
          </cell>
          <cell r="B8699" t="str">
            <v>Budget</v>
          </cell>
          <cell r="C8699" t="str">
            <v>Aug</v>
          </cell>
          <cell r="D8699" t="str">
            <v>Accessories</v>
          </cell>
          <cell r="E8699">
            <v>3143.4829999999997</v>
          </cell>
          <cell r="F8699">
            <v>8</v>
          </cell>
        </row>
        <row r="8700">
          <cell r="A8700">
            <v>2018</v>
          </cell>
          <cell r="B8700" t="str">
            <v>Actual</v>
          </cell>
          <cell r="C8700" t="str">
            <v>Aug</v>
          </cell>
          <cell r="D8700" t="str">
            <v>Chairs</v>
          </cell>
          <cell r="E8700">
            <v>7024.8499999999995</v>
          </cell>
          <cell r="F8700">
            <v>8</v>
          </cell>
        </row>
        <row r="8701">
          <cell r="A8701">
            <v>2019</v>
          </cell>
          <cell r="B8701" t="str">
            <v>Budget</v>
          </cell>
          <cell r="C8701" t="str">
            <v>Aug</v>
          </cell>
          <cell r="D8701" t="str">
            <v>Chairs</v>
          </cell>
          <cell r="E8701">
            <v>10439.828</v>
          </cell>
          <cell r="F8701">
            <v>8</v>
          </cell>
        </row>
        <row r="8702">
          <cell r="A8702">
            <v>2019</v>
          </cell>
          <cell r="B8702" t="str">
            <v>Actual</v>
          </cell>
          <cell r="C8702" t="str">
            <v>Aug</v>
          </cell>
          <cell r="D8702" t="str">
            <v>Tables</v>
          </cell>
          <cell r="E8702">
            <v>54476.149000000005</v>
          </cell>
          <cell r="F8702">
            <v>8</v>
          </cell>
        </row>
        <row r="8703">
          <cell r="A8703">
            <v>2018</v>
          </cell>
          <cell r="B8703" t="str">
            <v>Budget</v>
          </cell>
          <cell r="C8703" t="str">
            <v>Aug</v>
          </cell>
          <cell r="D8703" t="str">
            <v>Kitchen</v>
          </cell>
          <cell r="E8703">
            <v>65587.927999999985</v>
          </cell>
          <cell r="F8703">
            <v>8</v>
          </cell>
        </row>
        <row r="8704">
          <cell r="A8704">
            <v>2019</v>
          </cell>
          <cell r="B8704" t="str">
            <v>Actual</v>
          </cell>
          <cell r="C8704" t="str">
            <v>Aug</v>
          </cell>
          <cell r="D8704" t="str">
            <v>Chairs</v>
          </cell>
          <cell r="E8704">
            <v>331621.96899999998</v>
          </cell>
          <cell r="F8704">
            <v>8</v>
          </cell>
        </row>
        <row r="8705">
          <cell r="A8705">
            <v>2018</v>
          </cell>
          <cell r="B8705" t="str">
            <v>Budget</v>
          </cell>
          <cell r="C8705" t="str">
            <v>Aug</v>
          </cell>
          <cell r="D8705" t="str">
            <v>Tables</v>
          </cell>
          <cell r="E8705">
            <v>64075.815999999999</v>
          </cell>
          <cell r="F8705">
            <v>8</v>
          </cell>
        </row>
        <row r="8706">
          <cell r="A8706">
            <v>2019</v>
          </cell>
          <cell r="B8706" t="str">
            <v>Actual</v>
          </cell>
          <cell r="C8706" t="str">
            <v>Aug</v>
          </cell>
          <cell r="D8706" t="str">
            <v>Kitchen</v>
          </cell>
          <cell r="E8706">
            <v>11708.893</v>
          </cell>
          <cell r="F8706">
            <v>8</v>
          </cell>
        </row>
        <row r="8707">
          <cell r="A8707">
            <v>2018</v>
          </cell>
          <cell r="B8707" t="str">
            <v>Budget</v>
          </cell>
          <cell r="C8707" t="str">
            <v>Aug</v>
          </cell>
          <cell r="D8707" t="str">
            <v>Chairs</v>
          </cell>
          <cell r="E8707">
            <v>135044.245</v>
          </cell>
          <cell r="F8707">
            <v>8</v>
          </cell>
        </row>
        <row r="8708">
          <cell r="A8708">
            <v>2019</v>
          </cell>
          <cell r="B8708" t="str">
            <v>Actual</v>
          </cell>
          <cell r="C8708" t="str">
            <v>Aug</v>
          </cell>
          <cell r="D8708" t="str">
            <v>Tables</v>
          </cell>
          <cell r="E8708">
            <v>17433.422999999999</v>
          </cell>
          <cell r="F8708">
            <v>8</v>
          </cell>
        </row>
        <row r="8709">
          <cell r="A8709">
            <v>2019</v>
          </cell>
          <cell r="B8709" t="str">
            <v>Budget</v>
          </cell>
          <cell r="C8709" t="str">
            <v>Aug</v>
          </cell>
          <cell r="D8709" t="str">
            <v>Kitchen</v>
          </cell>
          <cell r="E8709">
            <v>31005.498999999996</v>
          </cell>
          <cell r="F8709">
            <v>8</v>
          </cell>
        </row>
        <row r="8710">
          <cell r="A8710">
            <v>2019</v>
          </cell>
          <cell r="B8710" t="str">
            <v>Actual</v>
          </cell>
          <cell r="C8710" t="str">
            <v>Aug</v>
          </cell>
          <cell r="D8710" t="str">
            <v>Chairs</v>
          </cell>
          <cell r="E8710">
            <v>159191.69</v>
          </cell>
          <cell r="F8710">
            <v>8</v>
          </cell>
        </row>
        <row r="8711">
          <cell r="A8711">
            <v>2018</v>
          </cell>
          <cell r="B8711" t="str">
            <v>Budget</v>
          </cell>
          <cell r="C8711" t="str">
            <v>Aug</v>
          </cell>
          <cell r="D8711" t="str">
            <v>Chairs</v>
          </cell>
          <cell r="E8711">
            <v>94805.29800000001</v>
          </cell>
          <cell r="F8711">
            <v>8</v>
          </cell>
        </row>
        <row r="8712">
          <cell r="A8712">
            <v>2018</v>
          </cell>
          <cell r="B8712" t="str">
            <v>Actual</v>
          </cell>
          <cell r="C8712" t="str">
            <v>Aug</v>
          </cell>
          <cell r="D8712" t="str">
            <v>Chairs</v>
          </cell>
          <cell r="E8712">
            <v>683752.94400000002</v>
          </cell>
          <cell r="F8712">
            <v>8</v>
          </cell>
        </row>
        <row r="8713">
          <cell r="A8713">
            <v>2019</v>
          </cell>
          <cell r="B8713" t="str">
            <v>Budget</v>
          </cell>
          <cell r="C8713" t="str">
            <v>Aug</v>
          </cell>
          <cell r="D8713" t="str">
            <v>Chairs</v>
          </cell>
          <cell r="E8713">
            <v>140637.81899999999</v>
          </cell>
          <cell r="F8713">
            <v>8</v>
          </cell>
        </row>
        <row r="8714">
          <cell r="A8714">
            <v>2019</v>
          </cell>
          <cell r="B8714" t="str">
            <v>Actual</v>
          </cell>
          <cell r="C8714" t="str">
            <v>Aug</v>
          </cell>
          <cell r="D8714" t="str">
            <v>Chairs</v>
          </cell>
          <cell r="E8714">
            <v>116080.48899999999</v>
          </cell>
          <cell r="F8714">
            <v>8</v>
          </cell>
        </row>
        <row r="8715">
          <cell r="A8715">
            <v>2018</v>
          </cell>
          <cell r="B8715" t="str">
            <v>Budget</v>
          </cell>
          <cell r="C8715" t="str">
            <v>Aug</v>
          </cell>
          <cell r="D8715" t="str">
            <v>Chairs</v>
          </cell>
          <cell r="E8715">
            <v>682120.41799999995</v>
          </cell>
          <cell r="F8715">
            <v>8</v>
          </cell>
        </row>
        <row r="8716">
          <cell r="A8716">
            <v>2018</v>
          </cell>
          <cell r="B8716" t="str">
            <v>Actual</v>
          </cell>
          <cell r="C8716" t="str">
            <v>Aug</v>
          </cell>
          <cell r="D8716" t="str">
            <v>Chairs</v>
          </cell>
          <cell r="E8716">
            <v>1937399.8769999999</v>
          </cell>
          <cell r="F8716">
            <v>8</v>
          </cell>
        </row>
        <row r="8717">
          <cell r="A8717">
            <v>2018</v>
          </cell>
          <cell r="B8717" t="str">
            <v>Budget</v>
          </cell>
          <cell r="C8717" t="str">
            <v>Aug</v>
          </cell>
          <cell r="D8717" t="str">
            <v>Chairs</v>
          </cell>
          <cell r="E8717">
            <v>802252.66099999996</v>
          </cell>
          <cell r="F8717">
            <v>8</v>
          </cell>
        </row>
        <row r="8718">
          <cell r="A8718">
            <v>2019</v>
          </cell>
          <cell r="B8718" t="str">
            <v>Actual</v>
          </cell>
          <cell r="C8718" t="str">
            <v>Aug</v>
          </cell>
          <cell r="D8718" t="str">
            <v>Chairs</v>
          </cell>
          <cell r="E8718">
            <v>848007.32799999998</v>
          </cell>
          <cell r="F8718">
            <v>8</v>
          </cell>
        </row>
        <row r="8719">
          <cell r="A8719">
            <v>2018</v>
          </cell>
          <cell r="B8719" t="str">
            <v>Budget</v>
          </cell>
          <cell r="C8719" t="str">
            <v>Aug</v>
          </cell>
          <cell r="D8719" t="str">
            <v>Chairs</v>
          </cell>
          <cell r="E8719">
            <v>945329.10499999986</v>
          </cell>
          <cell r="F8719">
            <v>8</v>
          </cell>
        </row>
        <row r="8720">
          <cell r="A8720">
            <v>2019</v>
          </cell>
          <cell r="B8720" t="str">
            <v>Actual</v>
          </cell>
          <cell r="C8720" t="str">
            <v>Aug</v>
          </cell>
          <cell r="D8720" t="str">
            <v>Chairs</v>
          </cell>
          <cell r="E8720">
            <v>3315746.5180000002</v>
          </cell>
          <cell r="F8720">
            <v>8</v>
          </cell>
        </row>
        <row r="8721">
          <cell r="A8721">
            <v>2019</v>
          </cell>
          <cell r="B8721" t="str">
            <v>Budget</v>
          </cell>
          <cell r="C8721" t="str">
            <v>Aug</v>
          </cell>
          <cell r="D8721" t="str">
            <v>Chairs</v>
          </cell>
          <cell r="E8721">
            <v>37625.664999999994</v>
          </cell>
          <cell r="F8721">
            <v>8</v>
          </cell>
        </row>
        <row r="8722">
          <cell r="A8722">
            <v>2019</v>
          </cell>
          <cell r="B8722" t="str">
            <v>Actual</v>
          </cell>
          <cell r="C8722" t="str">
            <v>Aug</v>
          </cell>
          <cell r="D8722" t="str">
            <v>Chairs</v>
          </cell>
          <cell r="E8722">
            <v>1792021.3290000001</v>
          </cell>
          <cell r="F8722">
            <v>8</v>
          </cell>
        </row>
        <row r="8723">
          <cell r="A8723">
            <v>2018</v>
          </cell>
          <cell r="B8723" t="str">
            <v>Budget</v>
          </cell>
          <cell r="C8723" t="str">
            <v>Aug</v>
          </cell>
          <cell r="D8723" t="str">
            <v>Chairs</v>
          </cell>
          <cell r="E8723">
            <v>2413193.6709999996</v>
          </cell>
          <cell r="F8723">
            <v>8</v>
          </cell>
        </row>
        <row r="8724">
          <cell r="A8724">
            <v>2018</v>
          </cell>
          <cell r="B8724" t="str">
            <v>Actual</v>
          </cell>
          <cell r="C8724" t="str">
            <v>Aug</v>
          </cell>
          <cell r="D8724" t="str">
            <v>Chairs</v>
          </cell>
          <cell r="E8724">
            <v>4107581.7509999997</v>
          </cell>
          <cell r="F8724">
            <v>8</v>
          </cell>
        </row>
        <row r="8725">
          <cell r="A8725">
            <v>2018</v>
          </cell>
          <cell r="B8725" t="str">
            <v>Budget</v>
          </cell>
          <cell r="C8725" t="str">
            <v>Aug</v>
          </cell>
          <cell r="D8725" t="str">
            <v>Chairs</v>
          </cell>
          <cell r="E8725">
            <v>488009.01799999998</v>
          </cell>
          <cell r="F8725">
            <v>8</v>
          </cell>
        </row>
        <row r="8726">
          <cell r="A8726">
            <v>2019</v>
          </cell>
          <cell r="B8726" t="str">
            <v>Actual</v>
          </cell>
          <cell r="C8726" t="str">
            <v>Aug</v>
          </cell>
          <cell r="D8726" t="str">
            <v>Chairs</v>
          </cell>
          <cell r="E8726">
            <v>2720184.1379999998</v>
          </cell>
          <cell r="F8726">
            <v>8</v>
          </cell>
        </row>
        <row r="8727">
          <cell r="A8727">
            <v>2018</v>
          </cell>
          <cell r="B8727" t="str">
            <v>Budget</v>
          </cell>
          <cell r="C8727" t="str">
            <v>Aug</v>
          </cell>
          <cell r="D8727" t="str">
            <v>Chairs</v>
          </cell>
          <cell r="E8727">
            <v>1565341.2040000001</v>
          </cell>
          <cell r="F8727">
            <v>8</v>
          </cell>
        </row>
        <row r="8728">
          <cell r="A8728">
            <v>2018</v>
          </cell>
          <cell r="B8728" t="str">
            <v>Actual</v>
          </cell>
          <cell r="C8728" t="str">
            <v>Aug</v>
          </cell>
          <cell r="D8728" t="str">
            <v>Chairs</v>
          </cell>
          <cell r="E8728">
            <v>413783.84600000002</v>
          </cell>
          <cell r="F8728">
            <v>8</v>
          </cell>
        </row>
        <row r="8729">
          <cell r="A8729">
            <v>2018</v>
          </cell>
          <cell r="B8729" t="str">
            <v>Budget</v>
          </cell>
          <cell r="C8729" t="str">
            <v>Aug</v>
          </cell>
          <cell r="D8729" t="str">
            <v>Chairs</v>
          </cell>
          <cell r="E8729">
            <v>16318.05</v>
          </cell>
          <cell r="F8729">
            <v>8</v>
          </cell>
        </row>
        <row r="8730">
          <cell r="A8730">
            <v>2018</v>
          </cell>
          <cell r="B8730" t="str">
            <v>Actual</v>
          </cell>
          <cell r="C8730" t="str">
            <v>Aug</v>
          </cell>
          <cell r="D8730" t="str">
            <v>Chairs</v>
          </cell>
          <cell r="E8730">
            <v>62194.411999999997</v>
          </cell>
          <cell r="F8730">
            <v>8</v>
          </cell>
        </row>
        <row r="8731">
          <cell r="A8731">
            <v>2018</v>
          </cell>
          <cell r="B8731" t="str">
            <v>Budget</v>
          </cell>
          <cell r="C8731" t="str">
            <v>Aug</v>
          </cell>
          <cell r="D8731" t="str">
            <v>Chairs</v>
          </cell>
          <cell r="E8731">
            <v>42055.600999999995</v>
          </cell>
          <cell r="F8731">
            <v>8</v>
          </cell>
        </row>
        <row r="8732">
          <cell r="A8732">
            <v>2018</v>
          </cell>
          <cell r="B8732" t="str">
            <v>Actual</v>
          </cell>
          <cell r="C8732" t="str">
            <v>Aug</v>
          </cell>
          <cell r="D8732" t="str">
            <v>Chairs</v>
          </cell>
          <cell r="E8732">
            <v>374910.74599999998</v>
          </cell>
          <cell r="F8732">
            <v>8</v>
          </cell>
        </row>
        <row r="8733">
          <cell r="A8733">
            <v>2019</v>
          </cell>
          <cell r="B8733" t="str">
            <v>Budget</v>
          </cell>
          <cell r="C8733" t="str">
            <v>Aug</v>
          </cell>
          <cell r="D8733" t="str">
            <v>Chairs</v>
          </cell>
          <cell r="E8733">
            <v>14856.268</v>
          </cell>
          <cell r="F8733">
            <v>8</v>
          </cell>
        </row>
        <row r="8734">
          <cell r="A8734">
            <v>2019</v>
          </cell>
          <cell r="B8734" t="str">
            <v>Actual</v>
          </cell>
          <cell r="C8734" t="str">
            <v>Aug</v>
          </cell>
          <cell r="D8734" t="str">
            <v>Chairs</v>
          </cell>
          <cell r="E8734">
            <v>169657.929</v>
          </cell>
          <cell r="F8734">
            <v>8</v>
          </cell>
        </row>
        <row r="8735">
          <cell r="A8735">
            <v>2018</v>
          </cell>
          <cell r="B8735" t="str">
            <v>Budget</v>
          </cell>
          <cell r="C8735" t="str">
            <v>Aug</v>
          </cell>
          <cell r="D8735" t="str">
            <v>Chairs</v>
          </cell>
          <cell r="E8735">
            <v>11797.148999999999</v>
          </cell>
          <cell r="F8735">
            <v>8</v>
          </cell>
        </row>
        <row r="8736">
          <cell r="A8736">
            <v>2018</v>
          </cell>
          <cell r="B8736" t="str">
            <v>Actual</v>
          </cell>
          <cell r="C8736" t="str">
            <v>Aug</v>
          </cell>
          <cell r="D8736" t="str">
            <v>Tables</v>
          </cell>
          <cell r="E8736">
            <v>63698.795999999995</v>
          </cell>
          <cell r="F8736">
            <v>8</v>
          </cell>
        </row>
        <row r="8737">
          <cell r="A8737">
            <v>2018</v>
          </cell>
          <cell r="B8737" t="str">
            <v>Budget</v>
          </cell>
          <cell r="C8737" t="str">
            <v>Aug</v>
          </cell>
          <cell r="D8737" t="str">
            <v>Kitchen</v>
          </cell>
          <cell r="E8737">
            <v>108498.992</v>
          </cell>
          <cell r="F8737">
            <v>8</v>
          </cell>
        </row>
        <row r="8738">
          <cell r="A8738">
            <v>2019</v>
          </cell>
          <cell r="B8738" t="str">
            <v>Actual</v>
          </cell>
          <cell r="C8738" t="str">
            <v>Aug</v>
          </cell>
          <cell r="D8738" t="str">
            <v>Chairs</v>
          </cell>
          <cell r="E8738">
            <v>138796.62299999999</v>
          </cell>
          <cell r="F8738">
            <v>8</v>
          </cell>
        </row>
        <row r="8739">
          <cell r="A8739">
            <v>2019</v>
          </cell>
          <cell r="B8739" t="str">
            <v>Budget</v>
          </cell>
          <cell r="C8739" t="str">
            <v>Aug</v>
          </cell>
          <cell r="D8739" t="str">
            <v>Chairs</v>
          </cell>
          <cell r="E8739">
            <v>244545.87499999997</v>
          </cell>
          <cell r="F8739">
            <v>8</v>
          </cell>
        </row>
        <row r="8740">
          <cell r="A8740">
            <v>2018</v>
          </cell>
          <cell r="B8740" t="str">
            <v>Actual</v>
          </cell>
          <cell r="C8740" t="str">
            <v>Aug</v>
          </cell>
          <cell r="D8740" t="str">
            <v>Chairs</v>
          </cell>
          <cell r="E8740">
            <v>12546858.596999999</v>
          </cell>
          <cell r="F8740">
            <v>8</v>
          </cell>
        </row>
        <row r="8741">
          <cell r="A8741">
            <v>2019</v>
          </cell>
          <cell r="B8741" t="str">
            <v>Budget</v>
          </cell>
          <cell r="C8741" t="str">
            <v>Aug</v>
          </cell>
          <cell r="D8741" t="str">
            <v>Chairs</v>
          </cell>
          <cell r="E8741">
            <v>200699.69499999998</v>
          </cell>
          <cell r="F8741">
            <v>8</v>
          </cell>
        </row>
        <row r="8742">
          <cell r="A8742">
            <v>2018</v>
          </cell>
          <cell r="B8742" t="str">
            <v>Actual</v>
          </cell>
          <cell r="C8742" t="str">
            <v>Aug</v>
          </cell>
          <cell r="D8742" t="str">
            <v>Chairs</v>
          </cell>
          <cell r="E8742">
            <v>477686.11799999996</v>
          </cell>
          <cell r="F8742">
            <v>8</v>
          </cell>
        </row>
        <row r="8743">
          <cell r="A8743">
            <v>2019</v>
          </cell>
          <cell r="B8743" t="str">
            <v>Budget</v>
          </cell>
          <cell r="C8743" t="str">
            <v>Aug</v>
          </cell>
          <cell r="D8743" t="str">
            <v>Tables</v>
          </cell>
          <cell r="E8743">
            <v>60949.027999999991</v>
          </cell>
          <cell r="F8743">
            <v>8</v>
          </cell>
        </row>
        <row r="8744">
          <cell r="A8744">
            <v>2018</v>
          </cell>
          <cell r="B8744" t="str">
            <v>Actual</v>
          </cell>
          <cell r="C8744" t="str">
            <v>Aug</v>
          </cell>
          <cell r="D8744" t="str">
            <v>Kitchen</v>
          </cell>
          <cell r="E8744">
            <v>214322.18499999997</v>
          </cell>
          <cell r="F8744">
            <v>8</v>
          </cell>
        </row>
        <row r="8745">
          <cell r="A8745">
            <v>2018</v>
          </cell>
          <cell r="B8745" t="str">
            <v>Budget</v>
          </cell>
          <cell r="C8745" t="str">
            <v>Aug</v>
          </cell>
          <cell r="D8745" t="str">
            <v>Chairs</v>
          </cell>
          <cell r="E8745">
            <v>234516.00199999998</v>
          </cell>
          <cell r="F8745">
            <v>8</v>
          </cell>
        </row>
        <row r="8746">
          <cell r="A8746">
            <v>2018</v>
          </cell>
          <cell r="B8746" t="str">
            <v>Actual</v>
          </cell>
          <cell r="C8746" t="str">
            <v>Aug</v>
          </cell>
          <cell r="D8746" t="str">
            <v>Chairs</v>
          </cell>
          <cell r="E8746">
            <v>1017971.01</v>
          </cell>
          <cell r="F8746">
            <v>8</v>
          </cell>
        </row>
        <row r="8747">
          <cell r="A8747">
            <v>2018</v>
          </cell>
          <cell r="B8747" t="str">
            <v>Budget</v>
          </cell>
          <cell r="C8747" t="str">
            <v>Aug</v>
          </cell>
          <cell r="D8747" t="str">
            <v>Chairs</v>
          </cell>
          <cell r="E8747">
            <v>581079.05099999998</v>
          </cell>
          <cell r="F8747">
            <v>8</v>
          </cell>
        </row>
        <row r="8748">
          <cell r="A8748">
            <v>2019</v>
          </cell>
          <cell r="B8748" t="str">
            <v>Actual</v>
          </cell>
          <cell r="C8748" t="str">
            <v>Aug</v>
          </cell>
          <cell r="D8748" t="str">
            <v>Tables</v>
          </cell>
          <cell r="E8748">
            <v>22010.932999999997</v>
          </cell>
          <cell r="F8748">
            <v>8</v>
          </cell>
        </row>
        <row r="8749">
          <cell r="A8749">
            <v>2018</v>
          </cell>
          <cell r="B8749" t="str">
            <v>Budget</v>
          </cell>
          <cell r="C8749" t="str">
            <v>Aug</v>
          </cell>
          <cell r="D8749" t="str">
            <v>Kitchen</v>
          </cell>
          <cell r="E8749">
            <v>27240.842999999997</v>
          </cell>
          <cell r="F8749">
            <v>8</v>
          </cell>
        </row>
        <row r="8750">
          <cell r="A8750">
            <v>2018</v>
          </cell>
          <cell r="B8750" t="str">
            <v>Actual</v>
          </cell>
          <cell r="C8750" t="str">
            <v>Aug</v>
          </cell>
          <cell r="D8750" t="str">
            <v>Chairs</v>
          </cell>
          <cell r="E8750">
            <v>166958.81299999999</v>
          </cell>
          <cell r="F8750">
            <v>8</v>
          </cell>
        </row>
        <row r="8751">
          <cell r="A8751">
            <v>2018</v>
          </cell>
          <cell r="B8751" t="str">
            <v>Budget</v>
          </cell>
          <cell r="C8751" t="str">
            <v>Aug</v>
          </cell>
          <cell r="D8751" t="str">
            <v>Chairs</v>
          </cell>
          <cell r="E8751">
            <v>2309387.6119999997</v>
          </cell>
          <cell r="F8751">
            <v>8</v>
          </cell>
        </row>
        <row r="8752">
          <cell r="A8752">
            <v>2019</v>
          </cell>
          <cell r="B8752" t="str">
            <v>Actual</v>
          </cell>
          <cell r="C8752" t="str">
            <v>Aug</v>
          </cell>
          <cell r="D8752" t="str">
            <v>Tables</v>
          </cell>
          <cell r="E8752">
            <v>37370.235000000001</v>
          </cell>
          <cell r="F8752">
            <v>8</v>
          </cell>
        </row>
        <row r="8753">
          <cell r="A8753">
            <v>2019</v>
          </cell>
          <cell r="B8753" t="str">
            <v>Budget</v>
          </cell>
          <cell r="C8753" t="str">
            <v>Aug</v>
          </cell>
          <cell r="D8753" t="str">
            <v>Kitchen</v>
          </cell>
          <cell r="E8753">
            <v>304219.89499999996</v>
          </cell>
          <cell r="F8753">
            <v>8</v>
          </cell>
        </row>
        <row r="8754">
          <cell r="A8754">
            <v>2018</v>
          </cell>
          <cell r="B8754" t="str">
            <v>Actual</v>
          </cell>
          <cell r="C8754" t="str">
            <v>Aug</v>
          </cell>
          <cell r="D8754" t="str">
            <v>Chairs</v>
          </cell>
          <cell r="E8754">
            <v>12416955.879999999</v>
          </cell>
          <cell r="F8754">
            <v>8</v>
          </cell>
        </row>
        <row r="8755">
          <cell r="A8755">
            <v>2018</v>
          </cell>
          <cell r="B8755" t="str">
            <v>Budget</v>
          </cell>
          <cell r="C8755" t="str">
            <v>Aug</v>
          </cell>
          <cell r="D8755" t="str">
            <v>Chairs</v>
          </cell>
          <cell r="E8755">
            <v>81062.638999999996</v>
          </cell>
          <cell r="F8755">
            <v>8</v>
          </cell>
        </row>
        <row r="8756">
          <cell r="A8756">
            <v>2018</v>
          </cell>
          <cell r="B8756" t="str">
            <v>Actual</v>
          </cell>
          <cell r="C8756" t="str">
            <v>Aug</v>
          </cell>
          <cell r="D8756" t="str">
            <v>Chairs</v>
          </cell>
          <cell r="E8756">
            <v>69349.181999999986</v>
          </cell>
          <cell r="F8756">
            <v>8</v>
          </cell>
        </row>
        <row r="8757">
          <cell r="A8757">
            <v>2018</v>
          </cell>
          <cell r="B8757" t="str">
            <v>Budget</v>
          </cell>
          <cell r="C8757" t="str">
            <v>Aug</v>
          </cell>
          <cell r="D8757" t="str">
            <v>Tables</v>
          </cell>
          <cell r="E8757">
            <v>-6463.6739999999991</v>
          </cell>
          <cell r="F8757">
            <v>8</v>
          </cell>
        </row>
        <row r="8758">
          <cell r="A8758">
            <v>2019</v>
          </cell>
          <cell r="B8758" t="str">
            <v>Actual</v>
          </cell>
          <cell r="C8758" t="str">
            <v>Aug</v>
          </cell>
          <cell r="D8758" t="str">
            <v>Kitchen</v>
          </cell>
          <cell r="E8758">
            <v>-2587.06</v>
          </cell>
          <cell r="F8758">
            <v>8</v>
          </cell>
        </row>
        <row r="8759">
          <cell r="A8759">
            <v>2018</v>
          </cell>
          <cell r="B8759" t="str">
            <v>Budget</v>
          </cell>
          <cell r="C8759" t="str">
            <v>Aug</v>
          </cell>
          <cell r="D8759" t="str">
            <v>Accessories</v>
          </cell>
          <cell r="E8759">
            <v>12006.568000000001</v>
          </cell>
          <cell r="F8759">
            <v>8</v>
          </cell>
        </row>
        <row r="8760">
          <cell r="A8760">
            <v>2019</v>
          </cell>
          <cell r="B8760" t="str">
            <v>Actual</v>
          </cell>
          <cell r="C8760" t="str">
            <v>Aug</v>
          </cell>
          <cell r="D8760" t="str">
            <v>Chairs</v>
          </cell>
          <cell r="E8760">
            <v>-4797.9609999999993</v>
          </cell>
          <cell r="F8760">
            <v>8</v>
          </cell>
        </row>
        <row r="8761">
          <cell r="A8761">
            <v>2018</v>
          </cell>
          <cell r="B8761" t="str">
            <v>Budget</v>
          </cell>
          <cell r="C8761" t="str">
            <v>Aug</v>
          </cell>
          <cell r="D8761" t="str">
            <v>Tables</v>
          </cell>
          <cell r="E8761">
            <v>44638.649999999994</v>
          </cell>
          <cell r="F8761">
            <v>8</v>
          </cell>
        </row>
        <row r="8762">
          <cell r="A8762">
            <v>2018</v>
          </cell>
          <cell r="B8762" t="str">
            <v>Actual</v>
          </cell>
          <cell r="C8762" t="str">
            <v>Aug</v>
          </cell>
          <cell r="D8762" t="str">
            <v>Kitchen</v>
          </cell>
          <cell r="E8762">
            <v>75910.799999999988</v>
          </cell>
          <cell r="F8762">
            <v>8</v>
          </cell>
        </row>
        <row r="8763">
          <cell r="A8763">
            <v>2018</v>
          </cell>
          <cell r="B8763" t="str">
            <v>Budget</v>
          </cell>
          <cell r="C8763" t="str">
            <v>Aug</v>
          </cell>
          <cell r="D8763" t="str">
            <v>Accessories</v>
          </cell>
          <cell r="E8763">
            <v>100225.55199999998</v>
          </cell>
          <cell r="F8763">
            <v>8</v>
          </cell>
        </row>
        <row r="8764">
          <cell r="A8764">
            <v>2019</v>
          </cell>
          <cell r="B8764" t="str">
            <v>Actual</v>
          </cell>
          <cell r="C8764" t="str">
            <v>Aug</v>
          </cell>
          <cell r="D8764" t="str">
            <v>Chairs</v>
          </cell>
          <cell r="E8764">
            <v>26301274.544999998</v>
          </cell>
          <cell r="F8764">
            <v>8</v>
          </cell>
        </row>
        <row r="8765">
          <cell r="A8765">
            <v>2018</v>
          </cell>
          <cell r="B8765" t="str">
            <v>Budget</v>
          </cell>
          <cell r="C8765" t="str">
            <v>Aug</v>
          </cell>
          <cell r="D8765" t="str">
            <v>Tables</v>
          </cell>
          <cell r="E8765">
            <v>136020.52799999999</v>
          </cell>
          <cell r="F8765">
            <v>8</v>
          </cell>
        </row>
        <row r="8766">
          <cell r="A8766">
            <v>2018</v>
          </cell>
          <cell r="B8766" t="str">
            <v>Actual</v>
          </cell>
          <cell r="C8766" t="str">
            <v>Aug</v>
          </cell>
          <cell r="D8766" t="str">
            <v>Kitchen</v>
          </cell>
          <cell r="E8766">
            <v>138764.94099999999</v>
          </cell>
          <cell r="F8766">
            <v>8</v>
          </cell>
        </row>
        <row r="8767">
          <cell r="A8767">
            <v>2018</v>
          </cell>
          <cell r="B8767" t="str">
            <v>Budget</v>
          </cell>
          <cell r="C8767" t="str">
            <v>Aug</v>
          </cell>
          <cell r="D8767" t="str">
            <v>Accessories</v>
          </cell>
          <cell r="E8767">
            <v>67495.000999999989</v>
          </cell>
          <cell r="F8767">
            <v>8</v>
          </cell>
        </row>
        <row r="8768">
          <cell r="A8768">
            <v>2019</v>
          </cell>
          <cell r="B8768" t="str">
            <v>Actual</v>
          </cell>
          <cell r="C8768" t="str">
            <v>Aug</v>
          </cell>
          <cell r="D8768" t="str">
            <v>Chairs</v>
          </cell>
          <cell r="E8768">
            <v>139675.87199999997</v>
          </cell>
          <cell r="F8768">
            <v>8</v>
          </cell>
        </row>
        <row r="8769">
          <cell r="A8769">
            <v>2018</v>
          </cell>
          <cell r="B8769" t="str">
            <v>Budget</v>
          </cell>
          <cell r="C8769" t="str">
            <v>Aug</v>
          </cell>
          <cell r="D8769" t="str">
            <v>Tables</v>
          </cell>
          <cell r="E8769">
            <v>76017.899999999994</v>
          </cell>
          <cell r="F8769">
            <v>8</v>
          </cell>
        </row>
        <row r="8770">
          <cell r="A8770">
            <v>2018</v>
          </cell>
          <cell r="B8770" t="str">
            <v>Actual</v>
          </cell>
          <cell r="C8770" t="str">
            <v>Aug</v>
          </cell>
          <cell r="D8770" t="str">
            <v>Kitchen</v>
          </cell>
          <cell r="E8770">
            <v>58717.875999999989</v>
          </cell>
          <cell r="F8770">
            <v>8</v>
          </cell>
        </row>
        <row r="8771">
          <cell r="A8771">
            <v>2018</v>
          </cell>
          <cell r="B8771" t="str">
            <v>Budget</v>
          </cell>
          <cell r="C8771" t="str">
            <v>Aug</v>
          </cell>
          <cell r="D8771" t="str">
            <v>Accessories</v>
          </cell>
          <cell r="E8771">
            <v>78772.337</v>
          </cell>
          <cell r="F8771">
            <v>8</v>
          </cell>
        </row>
        <row r="8772">
          <cell r="A8772">
            <v>2019</v>
          </cell>
          <cell r="B8772" t="str">
            <v>Actual</v>
          </cell>
          <cell r="C8772" t="str">
            <v>Aug</v>
          </cell>
          <cell r="D8772" t="str">
            <v>Chairs</v>
          </cell>
          <cell r="E8772">
            <v>10072.243999999999</v>
          </cell>
          <cell r="F8772">
            <v>8</v>
          </cell>
        </row>
        <row r="8773">
          <cell r="A8773">
            <v>2018</v>
          </cell>
          <cell r="B8773" t="str">
            <v>Budget</v>
          </cell>
          <cell r="C8773" t="str">
            <v>Aug</v>
          </cell>
          <cell r="D8773" t="str">
            <v>Chairs</v>
          </cell>
          <cell r="E8773">
            <v>6189769.2149999989</v>
          </cell>
          <cell r="F8773">
            <v>8</v>
          </cell>
        </row>
        <row r="8774">
          <cell r="A8774">
            <v>2018</v>
          </cell>
          <cell r="B8774" t="str">
            <v>Actual</v>
          </cell>
          <cell r="C8774" t="str">
            <v>Aug</v>
          </cell>
          <cell r="D8774" t="str">
            <v>Tables</v>
          </cell>
          <cell r="E8774">
            <v>11722.857999999998</v>
          </cell>
          <cell r="F8774">
            <v>8</v>
          </cell>
        </row>
        <row r="8775">
          <cell r="A8775">
            <v>2019</v>
          </cell>
          <cell r="B8775" t="str">
            <v>Budget</v>
          </cell>
          <cell r="C8775" t="str">
            <v>Aug</v>
          </cell>
          <cell r="D8775" t="str">
            <v>Kitchen</v>
          </cell>
          <cell r="E8775">
            <v>5942.579999999999</v>
          </cell>
          <cell r="F8775">
            <v>8</v>
          </cell>
        </row>
        <row r="8776">
          <cell r="A8776">
            <v>2018</v>
          </cell>
          <cell r="B8776" t="str">
            <v>Actual</v>
          </cell>
          <cell r="C8776" t="str">
            <v>Aug</v>
          </cell>
          <cell r="D8776" t="str">
            <v>Chairs</v>
          </cell>
          <cell r="E8776">
            <v>7570.5140000000001</v>
          </cell>
          <cell r="F8776">
            <v>8</v>
          </cell>
        </row>
        <row r="8777">
          <cell r="A8777">
            <v>2019</v>
          </cell>
          <cell r="B8777" t="str">
            <v>Budget</v>
          </cell>
          <cell r="C8777" t="str">
            <v>Aug</v>
          </cell>
          <cell r="D8777" t="str">
            <v>Tables</v>
          </cell>
          <cell r="E8777">
            <v>951.60799999999995</v>
          </cell>
          <cell r="F8777">
            <v>8</v>
          </cell>
        </row>
        <row r="8778">
          <cell r="A8778">
            <v>2019</v>
          </cell>
          <cell r="B8778" t="str">
            <v>Actual</v>
          </cell>
          <cell r="C8778" t="str">
            <v>Aug</v>
          </cell>
          <cell r="D8778" t="str">
            <v>Kitchen</v>
          </cell>
          <cell r="E8778">
            <v>152964.76999999999</v>
          </cell>
          <cell r="F8778">
            <v>8</v>
          </cell>
        </row>
        <row r="8779">
          <cell r="A8779">
            <v>2018</v>
          </cell>
          <cell r="B8779" t="str">
            <v>Budget</v>
          </cell>
          <cell r="C8779" t="str">
            <v>Aug</v>
          </cell>
          <cell r="D8779" t="str">
            <v>Chairs</v>
          </cell>
          <cell r="E8779">
            <v>-116900.196</v>
          </cell>
          <cell r="F8779">
            <v>8</v>
          </cell>
        </row>
        <row r="8780">
          <cell r="A8780">
            <v>2019</v>
          </cell>
          <cell r="B8780" t="str">
            <v>Actual</v>
          </cell>
          <cell r="C8780" t="str">
            <v>Aug</v>
          </cell>
          <cell r="D8780" t="str">
            <v>Tables</v>
          </cell>
          <cell r="E8780">
            <v>12325.278</v>
          </cell>
          <cell r="F8780">
            <v>8</v>
          </cell>
        </row>
        <row r="8781">
          <cell r="A8781">
            <v>2019</v>
          </cell>
          <cell r="B8781" t="str">
            <v>Budget</v>
          </cell>
          <cell r="C8781" t="str">
            <v>Aug</v>
          </cell>
          <cell r="D8781" t="str">
            <v>Kitchen</v>
          </cell>
          <cell r="E8781">
            <v>277755.85599999997</v>
          </cell>
          <cell r="F8781">
            <v>8</v>
          </cell>
        </row>
        <row r="8782">
          <cell r="A8782">
            <v>2018</v>
          </cell>
          <cell r="B8782" t="str">
            <v>Actual</v>
          </cell>
          <cell r="C8782" t="str">
            <v>Aug</v>
          </cell>
          <cell r="D8782" t="str">
            <v>Chairs</v>
          </cell>
          <cell r="E8782">
            <v>5591.11</v>
          </cell>
          <cell r="F8782">
            <v>8</v>
          </cell>
        </row>
        <row r="8783">
          <cell r="A8783">
            <v>2018</v>
          </cell>
          <cell r="B8783" t="str">
            <v>Budget</v>
          </cell>
          <cell r="C8783" t="str">
            <v>Aug</v>
          </cell>
          <cell r="D8783" t="str">
            <v>Chairs</v>
          </cell>
          <cell r="E8783">
            <v>13115.431</v>
          </cell>
          <cell r="F8783">
            <v>8</v>
          </cell>
        </row>
        <row r="8784">
          <cell r="A8784">
            <v>2018</v>
          </cell>
          <cell r="B8784" t="str">
            <v>Actual</v>
          </cell>
          <cell r="C8784" t="str">
            <v>Aug</v>
          </cell>
          <cell r="D8784" t="str">
            <v>Chairs</v>
          </cell>
          <cell r="E8784">
            <v>106082.17199999999</v>
          </cell>
          <cell r="F8784">
            <v>8</v>
          </cell>
        </row>
        <row r="8785">
          <cell r="A8785">
            <v>2018</v>
          </cell>
          <cell r="B8785" t="str">
            <v>Budget</v>
          </cell>
          <cell r="C8785" t="str">
            <v>Aug</v>
          </cell>
          <cell r="D8785" t="str">
            <v>Chairs</v>
          </cell>
          <cell r="E8785">
            <v>20954440.380999997</v>
          </cell>
          <cell r="F8785">
            <v>8</v>
          </cell>
        </row>
        <row r="8786">
          <cell r="A8786">
            <v>2018</v>
          </cell>
          <cell r="B8786" t="str">
            <v>Actual</v>
          </cell>
          <cell r="C8786" t="str">
            <v>Aug</v>
          </cell>
          <cell r="D8786" t="str">
            <v>Chairs</v>
          </cell>
          <cell r="E8786">
            <v>235449.24899999998</v>
          </cell>
          <cell r="F8786">
            <v>8</v>
          </cell>
        </row>
        <row r="8787">
          <cell r="A8787">
            <v>2018</v>
          </cell>
          <cell r="B8787" t="str">
            <v>Budget</v>
          </cell>
          <cell r="C8787" t="str">
            <v>Aug</v>
          </cell>
          <cell r="D8787" t="str">
            <v>Chairs</v>
          </cell>
          <cell r="E8787">
            <v>712834.20599999989</v>
          </cell>
          <cell r="F8787">
            <v>8</v>
          </cell>
        </row>
        <row r="8788">
          <cell r="A8788">
            <v>2018</v>
          </cell>
          <cell r="B8788" t="str">
            <v>Actual</v>
          </cell>
          <cell r="C8788" t="str">
            <v>Aug</v>
          </cell>
          <cell r="D8788" t="str">
            <v>Chairs</v>
          </cell>
          <cell r="E8788">
            <v>377142.185</v>
          </cell>
          <cell r="F8788">
            <v>8</v>
          </cell>
        </row>
        <row r="8789">
          <cell r="A8789">
            <v>2019</v>
          </cell>
          <cell r="B8789" t="str">
            <v>Budget</v>
          </cell>
          <cell r="C8789" t="str">
            <v>Aug</v>
          </cell>
          <cell r="D8789" t="str">
            <v>Chairs</v>
          </cell>
          <cell r="E8789">
            <v>53849.095999999998</v>
          </cell>
          <cell r="F8789">
            <v>8</v>
          </cell>
        </row>
        <row r="8790">
          <cell r="A8790">
            <v>2018</v>
          </cell>
          <cell r="B8790" t="str">
            <v>Actual</v>
          </cell>
          <cell r="C8790" t="str">
            <v>Aug</v>
          </cell>
          <cell r="D8790" t="str">
            <v>Chairs</v>
          </cell>
          <cell r="E8790">
            <v>586867.00100000005</v>
          </cell>
          <cell r="F8790">
            <v>8</v>
          </cell>
        </row>
        <row r="8791">
          <cell r="A8791">
            <v>2019</v>
          </cell>
          <cell r="B8791" t="str">
            <v>Budget</v>
          </cell>
          <cell r="C8791" t="str">
            <v>Aug</v>
          </cell>
          <cell r="D8791" t="str">
            <v>Chairs</v>
          </cell>
          <cell r="E8791">
            <v>43185.036999999997</v>
          </cell>
          <cell r="F8791">
            <v>8</v>
          </cell>
        </row>
        <row r="8792">
          <cell r="A8792">
            <v>2019</v>
          </cell>
          <cell r="B8792" t="str">
            <v>Actual</v>
          </cell>
          <cell r="C8792" t="str">
            <v>Aug</v>
          </cell>
          <cell r="D8792" t="str">
            <v>Chairs</v>
          </cell>
          <cell r="E8792">
            <v>10467.099999999999</v>
          </cell>
          <cell r="F8792">
            <v>8</v>
          </cell>
        </row>
        <row r="8793">
          <cell r="A8793">
            <v>2019</v>
          </cell>
          <cell r="B8793" t="str">
            <v>Budget</v>
          </cell>
          <cell r="C8793" t="str">
            <v>Aug</v>
          </cell>
          <cell r="D8793" t="str">
            <v>Chairs</v>
          </cell>
          <cell r="E8793">
            <v>4159.701</v>
          </cell>
          <cell r="F8793">
            <v>8</v>
          </cell>
        </row>
        <row r="8794">
          <cell r="A8794">
            <v>2019</v>
          </cell>
          <cell r="B8794" t="str">
            <v>Actual</v>
          </cell>
          <cell r="C8794" t="str">
            <v>Aug</v>
          </cell>
          <cell r="D8794" t="str">
            <v>Chairs</v>
          </cell>
          <cell r="E8794">
            <v>44983.049999999996</v>
          </cell>
          <cell r="F8794">
            <v>8</v>
          </cell>
        </row>
        <row r="8795">
          <cell r="A8795">
            <v>2019</v>
          </cell>
          <cell r="B8795" t="str">
            <v>Budget</v>
          </cell>
          <cell r="C8795" t="str">
            <v>Aug</v>
          </cell>
          <cell r="D8795" t="str">
            <v>Chairs</v>
          </cell>
          <cell r="E8795">
            <v>20382.732999999997</v>
          </cell>
          <cell r="F8795">
            <v>8</v>
          </cell>
        </row>
        <row r="8796">
          <cell r="A8796">
            <v>2019</v>
          </cell>
          <cell r="B8796" t="str">
            <v>Actual</v>
          </cell>
          <cell r="C8796" t="str">
            <v>Aug</v>
          </cell>
          <cell r="D8796" t="str">
            <v>Chairs</v>
          </cell>
          <cell r="E8796">
            <v>17742.179</v>
          </cell>
          <cell r="F8796">
            <v>8</v>
          </cell>
        </row>
        <row r="8797">
          <cell r="A8797">
            <v>2018</v>
          </cell>
          <cell r="B8797" t="str">
            <v>Budget</v>
          </cell>
          <cell r="C8797" t="str">
            <v>Aug</v>
          </cell>
          <cell r="D8797" t="str">
            <v>Chairs</v>
          </cell>
          <cell r="E8797">
            <v>26007.281999999999</v>
          </cell>
          <cell r="F8797">
            <v>8</v>
          </cell>
        </row>
        <row r="8798">
          <cell r="A8798">
            <v>2019</v>
          </cell>
          <cell r="B8798" t="str">
            <v>Actual</v>
          </cell>
          <cell r="C8798" t="str">
            <v>Aug</v>
          </cell>
          <cell r="D8798" t="str">
            <v>Chairs</v>
          </cell>
          <cell r="E8798">
            <v>10154.221</v>
          </cell>
          <cell r="F8798">
            <v>8</v>
          </cell>
        </row>
        <row r="8799">
          <cell r="A8799">
            <v>2019</v>
          </cell>
          <cell r="B8799" t="str">
            <v>Budget</v>
          </cell>
          <cell r="C8799" t="str">
            <v>Aug</v>
          </cell>
          <cell r="D8799" t="str">
            <v>Chairs</v>
          </cell>
          <cell r="E8799">
            <v>11397.001</v>
          </cell>
          <cell r="F8799">
            <v>8</v>
          </cell>
        </row>
        <row r="8800">
          <cell r="A8800">
            <v>2019</v>
          </cell>
          <cell r="B8800" t="str">
            <v>Actual</v>
          </cell>
          <cell r="C8800" t="str">
            <v>Aug</v>
          </cell>
          <cell r="D8800" t="str">
            <v>Chairs</v>
          </cell>
          <cell r="E8800">
            <v>7902.9650000000001</v>
          </cell>
          <cell r="F8800">
            <v>8</v>
          </cell>
        </row>
        <row r="8801">
          <cell r="A8801">
            <v>2018</v>
          </cell>
          <cell r="B8801" t="str">
            <v>Budget</v>
          </cell>
          <cell r="C8801" t="str">
            <v>Aug</v>
          </cell>
          <cell r="D8801" t="str">
            <v>Chairs</v>
          </cell>
          <cell r="E8801">
            <v>15996.504999999999</v>
          </cell>
          <cell r="F8801">
            <v>8</v>
          </cell>
        </row>
        <row r="8802">
          <cell r="A8802">
            <v>2019</v>
          </cell>
          <cell r="B8802" t="str">
            <v>Actual</v>
          </cell>
          <cell r="C8802" t="str">
            <v>Aug</v>
          </cell>
          <cell r="D8802" t="str">
            <v>Chairs</v>
          </cell>
          <cell r="E8802">
            <v>49854.083999999995</v>
          </cell>
          <cell r="F8802">
            <v>8</v>
          </cell>
        </row>
        <row r="8803">
          <cell r="A8803">
            <v>2019</v>
          </cell>
          <cell r="B8803" t="str">
            <v>Budget</v>
          </cell>
          <cell r="C8803" t="str">
            <v>Aug</v>
          </cell>
          <cell r="D8803" t="str">
            <v>Chairs</v>
          </cell>
          <cell r="E8803">
            <v>115588.21399999998</v>
          </cell>
          <cell r="F8803">
            <v>8</v>
          </cell>
        </row>
        <row r="8804">
          <cell r="A8804">
            <v>2019</v>
          </cell>
          <cell r="B8804" t="str">
            <v>Actual</v>
          </cell>
          <cell r="C8804" t="str">
            <v>Aug</v>
          </cell>
          <cell r="D8804" t="str">
            <v>Chairs</v>
          </cell>
          <cell r="E8804">
            <v>2159224.2069999999</v>
          </cell>
          <cell r="F8804">
            <v>8</v>
          </cell>
        </row>
        <row r="8805">
          <cell r="A8805">
            <v>2018</v>
          </cell>
          <cell r="B8805" t="str">
            <v>Budget</v>
          </cell>
          <cell r="C8805" t="str">
            <v>Aug</v>
          </cell>
          <cell r="D8805" t="str">
            <v>Chairs</v>
          </cell>
          <cell r="E8805">
            <v>22888661.753999997</v>
          </cell>
          <cell r="F8805">
            <v>8</v>
          </cell>
        </row>
        <row r="8806">
          <cell r="A8806">
            <v>2018</v>
          </cell>
          <cell r="B8806" t="str">
            <v>Actual</v>
          </cell>
          <cell r="C8806" t="str">
            <v>Aug</v>
          </cell>
          <cell r="D8806" t="str">
            <v>Chairs</v>
          </cell>
          <cell r="E8806">
            <v>36223.837999999996</v>
          </cell>
          <cell r="F8806">
            <v>8</v>
          </cell>
        </row>
        <row r="8807">
          <cell r="A8807">
            <v>2018</v>
          </cell>
          <cell r="B8807" t="str">
            <v>Budget</v>
          </cell>
          <cell r="C8807" t="str">
            <v>Aug</v>
          </cell>
          <cell r="D8807" t="str">
            <v>Chairs</v>
          </cell>
          <cell r="E8807">
            <v>166441.05099999998</v>
          </cell>
          <cell r="F8807">
            <v>8</v>
          </cell>
        </row>
        <row r="8808">
          <cell r="A8808">
            <v>2018</v>
          </cell>
          <cell r="B8808" t="str">
            <v>Actual</v>
          </cell>
          <cell r="C8808" t="str">
            <v>Aug</v>
          </cell>
          <cell r="D8808" t="str">
            <v>Tables</v>
          </cell>
          <cell r="E8808">
            <v>386313.641</v>
          </cell>
          <cell r="F8808">
            <v>8</v>
          </cell>
        </row>
        <row r="8809">
          <cell r="A8809">
            <v>2019</v>
          </cell>
          <cell r="B8809" t="str">
            <v>Budget</v>
          </cell>
          <cell r="C8809" t="str">
            <v>Aug</v>
          </cell>
          <cell r="D8809" t="str">
            <v>Kitchen</v>
          </cell>
          <cell r="E8809">
            <v>747573.62399999995</v>
          </cell>
          <cell r="F8809">
            <v>8</v>
          </cell>
        </row>
        <row r="8810">
          <cell r="A8810">
            <v>2018</v>
          </cell>
          <cell r="B8810" t="str">
            <v>Actual</v>
          </cell>
          <cell r="C8810" t="str">
            <v>Aug</v>
          </cell>
          <cell r="D8810" t="str">
            <v>Chairs</v>
          </cell>
          <cell r="E8810">
            <v>102952.724</v>
          </cell>
          <cell r="F8810">
            <v>8</v>
          </cell>
        </row>
        <row r="8811">
          <cell r="A8811">
            <v>2019</v>
          </cell>
          <cell r="B8811" t="str">
            <v>Budget</v>
          </cell>
          <cell r="C8811" t="str">
            <v>Aug</v>
          </cell>
          <cell r="D8811" t="str">
            <v>Chairs</v>
          </cell>
          <cell r="E8811">
            <v>385500.90599999996</v>
          </cell>
          <cell r="F8811">
            <v>8</v>
          </cell>
        </row>
        <row r="8812">
          <cell r="A8812">
            <v>2019</v>
          </cell>
          <cell r="B8812" t="str">
            <v>Actual</v>
          </cell>
          <cell r="C8812" t="str">
            <v>Aug</v>
          </cell>
          <cell r="D8812" t="str">
            <v>Chairs</v>
          </cell>
          <cell r="E8812">
            <v>251432.29299999998</v>
          </cell>
          <cell r="F8812">
            <v>8</v>
          </cell>
        </row>
        <row r="8813">
          <cell r="A8813">
            <v>2018</v>
          </cell>
          <cell r="B8813" t="str">
            <v>Budget</v>
          </cell>
          <cell r="C8813" t="str">
            <v>Aug</v>
          </cell>
          <cell r="D8813" t="str">
            <v>Chairs</v>
          </cell>
          <cell r="E8813">
            <v>301714.51099999994</v>
          </cell>
          <cell r="F8813">
            <v>8</v>
          </cell>
        </row>
        <row r="8814">
          <cell r="A8814">
            <v>2018</v>
          </cell>
          <cell r="B8814" t="str">
            <v>Actual</v>
          </cell>
          <cell r="C8814" t="str">
            <v>Aug</v>
          </cell>
          <cell r="D8814" t="str">
            <v>Chairs</v>
          </cell>
          <cell r="E8814">
            <v>73906.412999999986</v>
          </cell>
          <cell r="F8814">
            <v>8</v>
          </cell>
        </row>
        <row r="8815">
          <cell r="A8815">
            <v>2019</v>
          </cell>
          <cell r="B8815" t="str">
            <v>Budget</v>
          </cell>
          <cell r="C8815" t="str">
            <v>Aug</v>
          </cell>
          <cell r="D8815" t="str">
            <v>Tables</v>
          </cell>
          <cell r="E8815">
            <v>670311.83099999989</v>
          </cell>
          <cell r="F8815">
            <v>8</v>
          </cell>
        </row>
        <row r="8816">
          <cell r="A8816">
            <v>2018</v>
          </cell>
          <cell r="B8816" t="str">
            <v>Actual</v>
          </cell>
          <cell r="C8816" t="str">
            <v>Aug</v>
          </cell>
          <cell r="D8816" t="str">
            <v>Kitchen</v>
          </cell>
          <cell r="E8816">
            <v>117182.45</v>
          </cell>
          <cell r="F8816">
            <v>8</v>
          </cell>
        </row>
        <row r="8817">
          <cell r="A8817">
            <v>2018</v>
          </cell>
          <cell r="B8817" t="str">
            <v>Budget</v>
          </cell>
          <cell r="C8817" t="str">
            <v>Aug</v>
          </cell>
          <cell r="D8817" t="str">
            <v>Chairs</v>
          </cell>
          <cell r="E8817">
            <v>44335.053</v>
          </cell>
          <cell r="F8817">
            <v>8</v>
          </cell>
        </row>
        <row r="8818">
          <cell r="A8818">
            <v>2018</v>
          </cell>
          <cell r="B8818" t="str">
            <v>Actual</v>
          </cell>
          <cell r="C8818" t="str">
            <v>Aug</v>
          </cell>
          <cell r="D8818" t="str">
            <v>Chairs</v>
          </cell>
          <cell r="E8818">
            <v>22495.136999999999</v>
          </cell>
          <cell r="F8818">
            <v>8</v>
          </cell>
        </row>
        <row r="8819">
          <cell r="A8819">
            <v>2018</v>
          </cell>
          <cell r="B8819" t="str">
            <v>Budget</v>
          </cell>
          <cell r="C8819" t="str">
            <v>Aug</v>
          </cell>
          <cell r="D8819" t="str">
            <v>Chairs</v>
          </cell>
          <cell r="E8819">
            <v>11138.953</v>
          </cell>
          <cell r="F8819">
            <v>8</v>
          </cell>
        </row>
        <row r="8820">
          <cell r="A8820">
            <v>2018</v>
          </cell>
          <cell r="B8820" t="str">
            <v>Actual</v>
          </cell>
          <cell r="C8820" t="str">
            <v>Aug</v>
          </cell>
          <cell r="D8820" t="str">
            <v>Tables</v>
          </cell>
          <cell r="E8820">
            <v>30479.126999999997</v>
          </cell>
          <cell r="F8820">
            <v>8</v>
          </cell>
        </row>
        <row r="8821">
          <cell r="A8821">
            <v>2018</v>
          </cell>
          <cell r="B8821" t="str">
            <v>Budget</v>
          </cell>
          <cell r="C8821" t="str">
            <v>Aug</v>
          </cell>
          <cell r="D8821" t="str">
            <v>Kitchen</v>
          </cell>
          <cell r="E8821">
            <v>17101.468999999997</v>
          </cell>
          <cell r="F8821">
            <v>8</v>
          </cell>
        </row>
        <row r="8822">
          <cell r="A8822">
            <v>2019</v>
          </cell>
          <cell r="B8822" t="str">
            <v>Actual</v>
          </cell>
          <cell r="C8822" t="str">
            <v>Aug</v>
          </cell>
          <cell r="D8822" t="str">
            <v>Chairs</v>
          </cell>
          <cell r="E8822">
            <v>5621.5109999999995</v>
          </cell>
          <cell r="F8822">
            <v>8</v>
          </cell>
        </row>
        <row r="8823">
          <cell r="A8823">
            <v>2019</v>
          </cell>
          <cell r="B8823" t="str">
            <v>Budget</v>
          </cell>
          <cell r="C8823" t="str">
            <v>Aug</v>
          </cell>
          <cell r="D8823" t="str">
            <v>Chairs</v>
          </cell>
          <cell r="E8823">
            <v>61415.599000000002</v>
          </cell>
          <cell r="F8823">
            <v>8</v>
          </cell>
        </row>
        <row r="8824">
          <cell r="A8824">
            <v>2018</v>
          </cell>
          <cell r="B8824" t="str">
            <v>Actual</v>
          </cell>
          <cell r="C8824" t="str">
            <v>Aug</v>
          </cell>
          <cell r="D8824" t="str">
            <v>Tables</v>
          </cell>
          <cell r="E8824">
            <v>121713.16499999999</v>
          </cell>
          <cell r="F8824">
            <v>8</v>
          </cell>
        </row>
        <row r="8825">
          <cell r="A8825">
            <v>2018</v>
          </cell>
          <cell r="B8825" t="str">
            <v>Budget</v>
          </cell>
          <cell r="C8825" t="str">
            <v>Aug</v>
          </cell>
          <cell r="D8825" t="str">
            <v>Kitchen</v>
          </cell>
          <cell r="E8825">
            <v>141119.81099999999</v>
          </cell>
          <cell r="F8825">
            <v>8</v>
          </cell>
        </row>
        <row r="8826">
          <cell r="A8826">
            <v>2019</v>
          </cell>
          <cell r="B8826" t="str">
            <v>Actual</v>
          </cell>
          <cell r="C8826" t="str">
            <v>Aug</v>
          </cell>
          <cell r="D8826" t="str">
            <v>Chairs</v>
          </cell>
          <cell r="E8826">
            <v>442494.92699999997</v>
          </cell>
          <cell r="F8826">
            <v>8</v>
          </cell>
        </row>
        <row r="8827">
          <cell r="A8827">
            <v>2019</v>
          </cell>
          <cell r="B8827" t="str">
            <v>Budget</v>
          </cell>
          <cell r="C8827" t="str">
            <v>Aug</v>
          </cell>
          <cell r="D8827" t="str">
            <v>Chairs</v>
          </cell>
          <cell r="E8827">
            <v>24309.452999999998</v>
          </cell>
          <cell r="F8827">
            <v>8</v>
          </cell>
        </row>
        <row r="8828">
          <cell r="A8828">
            <v>2019</v>
          </cell>
          <cell r="B8828" t="str">
            <v>Actual</v>
          </cell>
          <cell r="C8828" t="str">
            <v>Aug</v>
          </cell>
          <cell r="D8828" t="str">
            <v>Chairs</v>
          </cell>
          <cell r="E8828">
            <v>1632693.3559999999</v>
          </cell>
          <cell r="F8828">
            <v>8</v>
          </cell>
        </row>
        <row r="8829">
          <cell r="A8829">
            <v>2018</v>
          </cell>
          <cell r="B8829" t="str">
            <v>Budget</v>
          </cell>
          <cell r="C8829" t="str">
            <v>Aug</v>
          </cell>
          <cell r="D8829" t="str">
            <v>Tables</v>
          </cell>
          <cell r="E8829">
            <v>166136.42499999999</v>
          </cell>
          <cell r="F8829">
            <v>8</v>
          </cell>
        </row>
        <row r="8830">
          <cell r="A8830">
            <v>2018</v>
          </cell>
          <cell r="B8830" t="str">
            <v>Actual</v>
          </cell>
          <cell r="C8830" t="str">
            <v>Aug</v>
          </cell>
          <cell r="D8830" t="str">
            <v>Kitchen</v>
          </cell>
          <cell r="E8830">
            <v>124458.42499999999</v>
          </cell>
          <cell r="F8830">
            <v>8</v>
          </cell>
        </row>
        <row r="8831">
          <cell r="A8831">
            <v>2019</v>
          </cell>
          <cell r="B8831" t="str">
            <v>Budget</v>
          </cell>
          <cell r="C8831" t="str">
            <v>Aug</v>
          </cell>
          <cell r="D8831" t="str">
            <v>Accessories</v>
          </cell>
          <cell r="E8831">
            <v>45974.683999999994</v>
          </cell>
          <cell r="F8831">
            <v>8</v>
          </cell>
        </row>
        <row r="8832">
          <cell r="A8832">
            <v>2019</v>
          </cell>
          <cell r="B8832" t="str">
            <v>Actual</v>
          </cell>
          <cell r="C8832" t="str">
            <v>Aug</v>
          </cell>
          <cell r="D8832" t="str">
            <v>Chairs</v>
          </cell>
          <cell r="E8832">
            <v>60578.048999999999</v>
          </cell>
          <cell r="F8832">
            <v>8</v>
          </cell>
        </row>
        <row r="8833">
          <cell r="A8833">
            <v>2019</v>
          </cell>
          <cell r="B8833" t="str">
            <v>Budget</v>
          </cell>
          <cell r="C8833" t="str">
            <v>Aug</v>
          </cell>
          <cell r="D8833" t="str">
            <v>Tables</v>
          </cell>
          <cell r="E8833">
            <v>171556.511</v>
          </cell>
          <cell r="F8833">
            <v>8</v>
          </cell>
        </row>
        <row r="8834">
          <cell r="A8834">
            <v>2019</v>
          </cell>
          <cell r="B8834" t="str">
            <v>Actual</v>
          </cell>
          <cell r="C8834" t="str">
            <v>Aug</v>
          </cell>
          <cell r="D8834" t="str">
            <v>Kitchen</v>
          </cell>
          <cell r="E8834">
            <v>256174.96799999996</v>
          </cell>
          <cell r="F8834">
            <v>8</v>
          </cell>
        </row>
        <row r="8835">
          <cell r="A8835">
            <v>2019</v>
          </cell>
          <cell r="B8835" t="str">
            <v>Budget</v>
          </cell>
          <cell r="C8835" t="str">
            <v>Aug</v>
          </cell>
          <cell r="D8835" t="str">
            <v>Accessories</v>
          </cell>
          <cell r="E8835">
            <v>64299.962999999996</v>
          </cell>
          <cell r="F8835">
            <v>8</v>
          </cell>
        </row>
        <row r="8836">
          <cell r="A8836">
            <v>2018</v>
          </cell>
          <cell r="B8836" t="str">
            <v>Actual</v>
          </cell>
          <cell r="C8836" t="str">
            <v>Aug</v>
          </cell>
          <cell r="D8836" t="str">
            <v>Chairs</v>
          </cell>
          <cell r="E8836">
            <v>271455.73699999996</v>
          </cell>
          <cell r="F8836">
            <v>8</v>
          </cell>
        </row>
        <row r="8837">
          <cell r="A8837">
            <v>2019</v>
          </cell>
          <cell r="B8837" t="str">
            <v>Budget</v>
          </cell>
          <cell r="C8837" t="str">
            <v>Aug</v>
          </cell>
          <cell r="D8837" t="str">
            <v>Tables</v>
          </cell>
          <cell r="E8837">
            <v>38966.178999999996</v>
          </cell>
          <cell r="F8837">
            <v>8</v>
          </cell>
        </row>
        <row r="8838">
          <cell r="A8838">
            <v>2018</v>
          </cell>
          <cell r="B8838" t="str">
            <v>Actual</v>
          </cell>
          <cell r="C8838" t="str">
            <v>Aug</v>
          </cell>
          <cell r="D8838" t="str">
            <v>Kitchen</v>
          </cell>
          <cell r="E8838">
            <v>57741.48799999999</v>
          </cell>
          <cell r="F8838">
            <v>8</v>
          </cell>
        </row>
        <row r="8839">
          <cell r="A8839">
            <v>2019</v>
          </cell>
          <cell r="B8839" t="str">
            <v>Budget</v>
          </cell>
          <cell r="C8839" t="str">
            <v>Aug</v>
          </cell>
          <cell r="D8839" t="str">
            <v>Accessories</v>
          </cell>
          <cell r="E8839">
            <v>86309.250999999989</v>
          </cell>
          <cell r="F8839">
            <v>8</v>
          </cell>
        </row>
        <row r="8840">
          <cell r="A8840">
            <v>2018</v>
          </cell>
          <cell r="B8840" t="str">
            <v>Actual</v>
          </cell>
          <cell r="C8840" t="str">
            <v>Aug</v>
          </cell>
          <cell r="D8840" t="str">
            <v>Chairs</v>
          </cell>
          <cell r="E8840">
            <v>67604.438999999998</v>
          </cell>
          <cell r="F8840">
            <v>8</v>
          </cell>
        </row>
        <row r="8841">
          <cell r="A8841">
            <v>2018</v>
          </cell>
          <cell r="B8841" t="str">
            <v>Budget</v>
          </cell>
          <cell r="C8841" t="str">
            <v>Aug</v>
          </cell>
          <cell r="D8841" t="str">
            <v>Tables</v>
          </cell>
          <cell r="E8841">
            <v>221002.38999999998</v>
          </cell>
          <cell r="F8841">
            <v>8</v>
          </cell>
        </row>
        <row r="8842">
          <cell r="A8842">
            <v>2019</v>
          </cell>
          <cell r="B8842" t="str">
            <v>Actual</v>
          </cell>
          <cell r="C8842" t="str">
            <v>Aug</v>
          </cell>
          <cell r="D8842" t="str">
            <v>Kitchen</v>
          </cell>
          <cell r="E8842">
            <v>237323.01599999997</v>
          </cell>
          <cell r="F8842">
            <v>8</v>
          </cell>
        </row>
        <row r="8843">
          <cell r="A8843">
            <v>2019</v>
          </cell>
          <cell r="B8843" t="str">
            <v>Budget</v>
          </cell>
          <cell r="C8843" t="str">
            <v>Aug</v>
          </cell>
          <cell r="D8843" t="str">
            <v>Accessories</v>
          </cell>
          <cell r="E8843">
            <v>52499.544999999998</v>
          </cell>
          <cell r="F8843">
            <v>8</v>
          </cell>
        </row>
        <row r="8844">
          <cell r="A8844">
            <v>2018</v>
          </cell>
          <cell r="B8844" t="str">
            <v>Actual</v>
          </cell>
          <cell r="C8844" t="str">
            <v>Aug</v>
          </cell>
          <cell r="D8844" t="str">
            <v>Chairs</v>
          </cell>
          <cell r="E8844">
            <v>47926.549999999996</v>
          </cell>
          <cell r="F8844">
            <v>8</v>
          </cell>
        </row>
        <row r="8845">
          <cell r="A8845">
            <v>2019</v>
          </cell>
          <cell r="B8845" t="str">
            <v>Budget</v>
          </cell>
          <cell r="C8845" t="str">
            <v>Aug</v>
          </cell>
          <cell r="D8845" t="str">
            <v>Chairs</v>
          </cell>
          <cell r="E8845">
            <v>261131.61899999998</v>
          </cell>
          <cell r="F8845">
            <v>8</v>
          </cell>
        </row>
        <row r="8846">
          <cell r="A8846">
            <v>2019</v>
          </cell>
          <cell r="B8846" t="str">
            <v>Actual</v>
          </cell>
          <cell r="C8846" t="str">
            <v>Aug</v>
          </cell>
          <cell r="D8846" t="str">
            <v>Tables</v>
          </cell>
          <cell r="E8846">
            <v>56708.070999999996</v>
          </cell>
          <cell r="F8846">
            <v>8</v>
          </cell>
        </row>
        <row r="8847">
          <cell r="A8847">
            <v>2019</v>
          </cell>
          <cell r="B8847" t="str">
            <v>Budget</v>
          </cell>
          <cell r="C8847" t="str">
            <v>Aug</v>
          </cell>
          <cell r="D8847" t="str">
            <v>Kitchen</v>
          </cell>
          <cell r="E8847">
            <v>179933.20799999998</v>
          </cell>
          <cell r="F8847">
            <v>8</v>
          </cell>
        </row>
        <row r="8848">
          <cell r="A8848">
            <v>2018</v>
          </cell>
          <cell r="B8848" t="str">
            <v>Actual</v>
          </cell>
          <cell r="C8848" t="str">
            <v>Aug</v>
          </cell>
          <cell r="D8848" t="str">
            <v>Chairs</v>
          </cell>
          <cell r="E8848">
            <v>90486.241999999998</v>
          </cell>
          <cell r="F8848">
            <v>8</v>
          </cell>
        </row>
        <row r="8849">
          <cell r="A8849">
            <v>2019</v>
          </cell>
          <cell r="B8849" t="str">
            <v>Budget</v>
          </cell>
          <cell r="C8849" t="str">
            <v>Aug</v>
          </cell>
          <cell r="D8849" t="str">
            <v>Tables</v>
          </cell>
          <cell r="E8849">
            <v>513094.77100000001</v>
          </cell>
          <cell r="F8849">
            <v>8</v>
          </cell>
        </row>
        <row r="8850">
          <cell r="A8850">
            <v>2018</v>
          </cell>
          <cell r="B8850" t="str">
            <v>Actual</v>
          </cell>
          <cell r="C8850" t="str">
            <v>Aug</v>
          </cell>
          <cell r="D8850" t="str">
            <v>Kitchen</v>
          </cell>
          <cell r="E8850">
            <v>279611.82899999997</v>
          </cell>
          <cell r="F8850">
            <v>8</v>
          </cell>
        </row>
        <row r="8851">
          <cell r="A8851">
            <v>2018</v>
          </cell>
          <cell r="B8851" t="str">
            <v>Budget</v>
          </cell>
          <cell r="C8851" t="str">
            <v>Aug</v>
          </cell>
          <cell r="D8851" t="str">
            <v>Chairs</v>
          </cell>
          <cell r="E8851">
            <v>3129752.4929999998</v>
          </cell>
          <cell r="F8851">
            <v>8</v>
          </cell>
        </row>
        <row r="8852">
          <cell r="A8852">
            <v>2019</v>
          </cell>
          <cell r="B8852" t="str">
            <v>Actual</v>
          </cell>
          <cell r="C8852" t="str">
            <v>Aug</v>
          </cell>
          <cell r="D8852" t="str">
            <v>Tables</v>
          </cell>
          <cell r="E8852">
            <v>87026.793000000005</v>
          </cell>
          <cell r="F8852">
            <v>8</v>
          </cell>
        </row>
        <row r="8853">
          <cell r="A8853">
            <v>2018</v>
          </cell>
          <cell r="B8853" t="str">
            <v>Budget</v>
          </cell>
          <cell r="C8853" t="str">
            <v>Aug</v>
          </cell>
          <cell r="D8853" t="str">
            <v>Kitchen</v>
          </cell>
          <cell r="E8853">
            <v>4188526.5379999997</v>
          </cell>
          <cell r="F8853">
            <v>8</v>
          </cell>
        </row>
        <row r="8854">
          <cell r="A8854">
            <v>2018</v>
          </cell>
          <cell r="B8854" t="str">
            <v>Actual</v>
          </cell>
          <cell r="C8854" t="str">
            <v>Aug</v>
          </cell>
          <cell r="D8854" t="str">
            <v>Chairs</v>
          </cell>
          <cell r="E8854">
            <v>22446794.237</v>
          </cell>
          <cell r="F8854">
            <v>8</v>
          </cell>
        </row>
        <row r="8855">
          <cell r="A8855">
            <v>2018</v>
          </cell>
          <cell r="B8855" t="str">
            <v>Budget</v>
          </cell>
          <cell r="C8855" t="str">
            <v>Aug</v>
          </cell>
          <cell r="D8855" t="str">
            <v>Chairs</v>
          </cell>
          <cell r="E8855">
            <v>-62518.154999999992</v>
          </cell>
          <cell r="F8855">
            <v>8</v>
          </cell>
        </row>
        <row r="8856">
          <cell r="A8856">
            <v>2018</v>
          </cell>
          <cell r="B8856" t="str">
            <v>Actual</v>
          </cell>
          <cell r="C8856" t="str">
            <v>Aug</v>
          </cell>
          <cell r="D8856" t="str">
            <v>Chairs</v>
          </cell>
          <cell r="E8856">
            <v>11873348.955999998</v>
          </cell>
          <cell r="F8856">
            <v>8</v>
          </cell>
        </row>
        <row r="8857">
          <cell r="A8857">
            <v>2018</v>
          </cell>
          <cell r="B8857" t="str">
            <v>Budget</v>
          </cell>
          <cell r="C8857" t="str">
            <v>Aug</v>
          </cell>
          <cell r="D8857" t="str">
            <v>Chairs</v>
          </cell>
          <cell r="E8857">
            <v>13894566.385</v>
          </cell>
          <cell r="F8857">
            <v>8</v>
          </cell>
        </row>
        <row r="8858">
          <cell r="A8858">
            <v>2018</v>
          </cell>
          <cell r="B8858" t="str">
            <v>Actual</v>
          </cell>
          <cell r="C8858" t="str">
            <v>Aug</v>
          </cell>
          <cell r="D8858" t="str">
            <v>Chairs</v>
          </cell>
          <cell r="E8858">
            <v>2166600.5549999997</v>
          </cell>
          <cell r="F8858">
            <v>8</v>
          </cell>
        </row>
        <row r="8859">
          <cell r="A8859">
            <v>2018</v>
          </cell>
          <cell r="B8859" t="str">
            <v>Budget</v>
          </cell>
          <cell r="C8859" t="str">
            <v>Aug</v>
          </cell>
          <cell r="D8859" t="str">
            <v>Chairs</v>
          </cell>
          <cell r="E8859">
            <v>2604963.7319999998</v>
          </cell>
          <cell r="F8859">
            <v>8</v>
          </cell>
        </row>
        <row r="8860">
          <cell r="A8860">
            <v>2018</v>
          </cell>
          <cell r="B8860" t="str">
            <v>Actual</v>
          </cell>
          <cell r="C8860" t="str">
            <v>Aug</v>
          </cell>
          <cell r="D8860" t="str">
            <v>Chairs</v>
          </cell>
          <cell r="E8860">
            <v>10124014.200999999</v>
          </cell>
          <cell r="F8860">
            <v>8</v>
          </cell>
        </row>
        <row r="8861">
          <cell r="A8861">
            <v>2019</v>
          </cell>
          <cell r="B8861" t="str">
            <v>Budget</v>
          </cell>
          <cell r="C8861" t="str">
            <v>Aug</v>
          </cell>
          <cell r="D8861" t="str">
            <v>Chairs</v>
          </cell>
          <cell r="E8861">
            <v>-103690.11799999999</v>
          </cell>
          <cell r="F8861">
            <v>8</v>
          </cell>
        </row>
        <row r="8862">
          <cell r="A8862">
            <v>2018</v>
          </cell>
          <cell r="B8862" t="str">
            <v>Actual</v>
          </cell>
          <cell r="C8862" t="str">
            <v>Aug</v>
          </cell>
          <cell r="D8862" t="str">
            <v>Chairs</v>
          </cell>
          <cell r="E8862">
            <v>6248401.3899999987</v>
          </cell>
          <cell r="F8862">
            <v>8</v>
          </cell>
        </row>
        <row r="8863">
          <cell r="A8863">
            <v>2018</v>
          </cell>
          <cell r="B8863" t="str">
            <v>Budget</v>
          </cell>
          <cell r="C8863" t="str">
            <v>Aug</v>
          </cell>
          <cell r="D8863" t="str">
            <v>Chairs</v>
          </cell>
          <cell r="E8863">
            <v>5411615.7829999998</v>
          </cell>
          <cell r="F8863">
            <v>8</v>
          </cell>
        </row>
        <row r="8864">
          <cell r="A8864">
            <v>2019</v>
          </cell>
          <cell r="B8864" t="str">
            <v>Actual</v>
          </cell>
          <cell r="C8864" t="str">
            <v>Aug</v>
          </cell>
          <cell r="D8864" t="str">
            <v>Chairs</v>
          </cell>
          <cell r="E8864">
            <v>520491.97199999995</v>
          </cell>
          <cell r="F8864">
            <v>8</v>
          </cell>
        </row>
        <row r="8865">
          <cell r="A8865">
            <v>2019</v>
          </cell>
          <cell r="B8865" t="str">
            <v>Budget</v>
          </cell>
          <cell r="C8865" t="str">
            <v>Aug</v>
          </cell>
          <cell r="D8865" t="str">
            <v>Chairs</v>
          </cell>
          <cell r="E8865">
            <v>516860.65199999994</v>
          </cell>
          <cell r="F8865">
            <v>8</v>
          </cell>
        </row>
        <row r="8866">
          <cell r="A8866">
            <v>2019</v>
          </cell>
          <cell r="B8866" t="str">
            <v>Actual</v>
          </cell>
          <cell r="C8866" t="str">
            <v>Aug</v>
          </cell>
          <cell r="D8866" t="str">
            <v>Chairs</v>
          </cell>
          <cell r="E8866">
            <v>2297151.2620000001</v>
          </cell>
          <cell r="F8866">
            <v>8</v>
          </cell>
        </row>
        <row r="8867">
          <cell r="A8867">
            <v>2018</v>
          </cell>
          <cell r="B8867" t="str">
            <v>Budget</v>
          </cell>
          <cell r="C8867" t="str">
            <v>Aug</v>
          </cell>
          <cell r="D8867" t="str">
            <v>Chairs</v>
          </cell>
          <cell r="E8867">
            <v>16060694.321</v>
          </cell>
          <cell r="F8867">
            <v>8</v>
          </cell>
        </row>
        <row r="8868">
          <cell r="A8868">
            <v>2018</v>
          </cell>
          <cell r="B8868" t="str">
            <v>Actual</v>
          </cell>
          <cell r="C8868" t="str">
            <v>Aug</v>
          </cell>
          <cell r="D8868" t="str">
            <v>Chairs</v>
          </cell>
          <cell r="E8868">
            <v>385456.39299999998</v>
          </cell>
          <cell r="F8868">
            <v>8</v>
          </cell>
        </row>
        <row r="8869">
          <cell r="A8869">
            <v>2018</v>
          </cell>
          <cell r="B8869" t="str">
            <v>Budget</v>
          </cell>
          <cell r="C8869" t="str">
            <v>Aug</v>
          </cell>
          <cell r="D8869" t="str">
            <v>Chairs</v>
          </cell>
          <cell r="E8869">
            <v>23106269.221000001</v>
          </cell>
          <cell r="F8869">
            <v>8</v>
          </cell>
        </row>
        <row r="8870">
          <cell r="A8870">
            <v>2019</v>
          </cell>
          <cell r="B8870" t="str">
            <v>Actual</v>
          </cell>
          <cell r="C8870" t="str">
            <v>Aug</v>
          </cell>
          <cell r="D8870" t="str">
            <v>Chairs</v>
          </cell>
          <cell r="E8870">
            <v>4390026.5360000003</v>
          </cell>
          <cell r="F8870">
            <v>8</v>
          </cell>
        </row>
        <row r="8871">
          <cell r="A8871">
            <v>2019</v>
          </cell>
          <cell r="B8871" t="str">
            <v>Budget</v>
          </cell>
          <cell r="C8871" t="str">
            <v>Aug</v>
          </cell>
          <cell r="D8871" t="str">
            <v>Chairs</v>
          </cell>
          <cell r="E8871">
            <v>70302.18299999999</v>
          </cell>
          <cell r="F8871">
            <v>8</v>
          </cell>
        </row>
        <row r="8872">
          <cell r="A8872">
            <v>2018</v>
          </cell>
          <cell r="B8872" t="str">
            <v>Actual</v>
          </cell>
          <cell r="C8872" t="str">
            <v>Aug</v>
          </cell>
          <cell r="D8872" t="str">
            <v>Chairs</v>
          </cell>
          <cell r="E8872">
            <v>2396482.1719999998</v>
          </cell>
          <cell r="F8872">
            <v>8</v>
          </cell>
        </row>
        <row r="8873">
          <cell r="A8873">
            <v>2018</v>
          </cell>
          <cell r="B8873" t="str">
            <v>Budget</v>
          </cell>
          <cell r="C8873" t="str">
            <v>Aug</v>
          </cell>
          <cell r="D8873" t="str">
            <v>Chairs</v>
          </cell>
          <cell r="E8873">
            <v>5879195.9239999996</v>
          </cell>
          <cell r="F8873">
            <v>8</v>
          </cell>
        </row>
        <row r="8874">
          <cell r="A8874">
            <v>2018</v>
          </cell>
          <cell r="B8874" t="str">
            <v>Actual</v>
          </cell>
          <cell r="C8874" t="str">
            <v>Aug</v>
          </cell>
          <cell r="D8874" t="str">
            <v>Chairs</v>
          </cell>
          <cell r="E8874">
            <v>963798.10799999989</v>
          </cell>
          <cell r="F8874">
            <v>8</v>
          </cell>
        </row>
        <row r="8875">
          <cell r="A8875">
            <v>2019</v>
          </cell>
          <cell r="B8875" t="str">
            <v>Budget</v>
          </cell>
          <cell r="C8875" t="str">
            <v>Aug</v>
          </cell>
          <cell r="D8875" t="str">
            <v>Chairs</v>
          </cell>
          <cell r="E8875">
            <v>42822.548999999999</v>
          </cell>
          <cell r="F8875">
            <v>8</v>
          </cell>
        </row>
        <row r="8876">
          <cell r="A8876">
            <v>2019</v>
          </cell>
          <cell r="B8876" t="str">
            <v>Actual</v>
          </cell>
          <cell r="C8876" t="str">
            <v>Aug</v>
          </cell>
          <cell r="D8876" t="str">
            <v>Chairs</v>
          </cell>
          <cell r="E8876">
            <v>271667.90700000001</v>
          </cell>
          <cell r="F8876">
            <v>8</v>
          </cell>
        </row>
        <row r="8877">
          <cell r="A8877">
            <v>2018</v>
          </cell>
          <cell r="B8877" t="str">
            <v>Budget</v>
          </cell>
          <cell r="C8877" t="str">
            <v>Aug</v>
          </cell>
          <cell r="D8877" t="str">
            <v>Chairs</v>
          </cell>
          <cell r="E8877">
            <v>275370.91399999999</v>
          </cell>
          <cell r="F8877">
            <v>8</v>
          </cell>
        </row>
        <row r="8878">
          <cell r="A8878">
            <v>2018</v>
          </cell>
          <cell r="B8878" t="str">
            <v>Actual</v>
          </cell>
          <cell r="C8878" t="str">
            <v>Aug</v>
          </cell>
          <cell r="D8878" t="str">
            <v>Chairs</v>
          </cell>
          <cell r="E8878">
            <v>5620386.5129999993</v>
          </cell>
          <cell r="F8878">
            <v>8</v>
          </cell>
        </row>
        <row r="8879">
          <cell r="A8879">
            <v>2019</v>
          </cell>
          <cell r="B8879" t="str">
            <v>Budget</v>
          </cell>
          <cell r="C8879" t="str">
            <v>Aug</v>
          </cell>
          <cell r="D8879" t="str">
            <v>Chairs</v>
          </cell>
          <cell r="E8879">
            <v>1693572.125</v>
          </cell>
          <cell r="F8879">
            <v>8</v>
          </cell>
        </row>
        <row r="8880">
          <cell r="A8880">
            <v>2019</v>
          </cell>
          <cell r="B8880" t="str">
            <v>Actual</v>
          </cell>
          <cell r="C8880" t="str">
            <v>Aug</v>
          </cell>
          <cell r="D8880" t="str">
            <v>Tables</v>
          </cell>
          <cell r="E8880">
            <v>1673652.1340000001</v>
          </cell>
          <cell r="F8880">
            <v>8</v>
          </cell>
        </row>
        <row r="8881">
          <cell r="A8881">
            <v>2019</v>
          </cell>
          <cell r="B8881" t="str">
            <v>Budget</v>
          </cell>
          <cell r="C8881" t="str">
            <v>Aug</v>
          </cell>
          <cell r="D8881" t="str">
            <v>Kitchen</v>
          </cell>
          <cell r="E8881">
            <v>256679.62599999999</v>
          </cell>
          <cell r="F8881">
            <v>8</v>
          </cell>
        </row>
        <row r="8882">
          <cell r="A8882">
            <v>2018</v>
          </cell>
          <cell r="B8882" t="str">
            <v>Actual</v>
          </cell>
          <cell r="C8882" t="str">
            <v>Aug</v>
          </cell>
          <cell r="D8882" t="str">
            <v>Chairs</v>
          </cell>
          <cell r="E8882">
            <v>474648.83199999999</v>
          </cell>
          <cell r="F8882">
            <v>8</v>
          </cell>
        </row>
        <row r="8883">
          <cell r="A8883">
            <v>2019</v>
          </cell>
          <cell r="B8883" t="str">
            <v>Budget</v>
          </cell>
          <cell r="C8883" t="str">
            <v>Aug</v>
          </cell>
          <cell r="D8883" t="str">
            <v>Chairs</v>
          </cell>
          <cell r="E8883">
            <v>2694788.2079999996</v>
          </cell>
          <cell r="F8883">
            <v>8</v>
          </cell>
        </row>
        <row r="8884">
          <cell r="A8884">
            <v>2018</v>
          </cell>
          <cell r="B8884" t="str">
            <v>Actual</v>
          </cell>
          <cell r="C8884" t="str">
            <v>Aug</v>
          </cell>
          <cell r="D8884" t="str">
            <v>Chairs</v>
          </cell>
          <cell r="E8884">
            <v>295032.80099999998</v>
          </cell>
          <cell r="F8884">
            <v>8</v>
          </cell>
        </row>
        <row r="8885">
          <cell r="A8885">
            <v>2018</v>
          </cell>
          <cell r="B8885" t="str">
            <v>Budget</v>
          </cell>
          <cell r="C8885" t="str">
            <v>Aug</v>
          </cell>
          <cell r="D8885" t="str">
            <v>Chairs</v>
          </cell>
          <cell r="E8885">
            <v>143807.405</v>
          </cell>
          <cell r="F8885">
            <v>8</v>
          </cell>
        </row>
        <row r="8886">
          <cell r="A8886">
            <v>2019</v>
          </cell>
          <cell r="B8886" t="str">
            <v>Actual</v>
          </cell>
          <cell r="C8886" t="str">
            <v>Aug</v>
          </cell>
          <cell r="D8886" t="str">
            <v>Chairs</v>
          </cell>
          <cell r="E8886">
            <v>152788.70599999998</v>
          </cell>
          <cell r="F8886">
            <v>8</v>
          </cell>
        </row>
        <row r="8887">
          <cell r="A8887">
            <v>2019</v>
          </cell>
          <cell r="B8887" t="str">
            <v>Budget</v>
          </cell>
          <cell r="C8887" t="str">
            <v>Aug</v>
          </cell>
          <cell r="D8887" t="str">
            <v>Tables</v>
          </cell>
          <cell r="E8887">
            <v>1122005.7799999998</v>
          </cell>
          <cell r="F8887">
            <v>8</v>
          </cell>
        </row>
        <row r="8888">
          <cell r="A8888">
            <v>2019</v>
          </cell>
          <cell r="B8888" t="str">
            <v>Actual</v>
          </cell>
          <cell r="C8888" t="str">
            <v>Aug</v>
          </cell>
          <cell r="D8888" t="str">
            <v>Kitchen</v>
          </cell>
          <cell r="E8888">
            <v>2132737.2919999999</v>
          </cell>
          <cell r="F8888">
            <v>8</v>
          </cell>
        </row>
        <row r="8889">
          <cell r="A8889">
            <v>2018</v>
          </cell>
          <cell r="B8889" t="str">
            <v>Budget</v>
          </cell>
          <cell r="C8889" t="str">
            <v>Aug</v>
          </cell>
          <cell r="D8889" t="str">
            <v>Chairs</v>
          </cell>
          <cell r="E8889">
            <v>3486789.0049999999</v>
          </cell>
          <cell r="F8889">
            <v>8</v>
          </cell>
        </row>
        <row r="8890">
          <cell r="A8890">
            <v>2018</v>
          </cell>
          <cell r="B8890" t="str">
            <v>Actual</v>
          </cell>
          <cell r="C8890" t="str">
            <v>Aug</v>
          </cell>
          <cell r="D8890" t="str">
            <v>Chairs</v>
          </cell>
          <cell r="E8890">
            <v>3822432.5509999995</v>
          </cell>
          <cell r="F8890">
            <v>8</v>
          </cell>
        </row>
        <row r="8891">
          <cell r="A8891">
            <v>2019</v>
          </cell>
          <cell r="B8891" t="str">
            <v>Budget</v>
          </cell>
          <cell r="C8891" t="str">
            <v>Aug</v>
          </cell>
          <cell r="D8891" t="str">
            <v>Chairs</v>
          </cell>
          <cell r="E8891">
            <v>197811.07499999998</v>
          </cell>
          <cell r="F8891">
            <v>8</v>
          </cell>
        </row>
        <row r="8892">
          <cell r="A8892">
            <v>2018</v>
          </cell>
          <cell r="B8892" t="str">
            <v>Actual</v>
          </cell>
          <cell r="C8892" t="str">
            <v>Aug</v>
          </cell>
          <cell r="D8892" t="str">
            <v>Tables</v>
          </cell>
          <cell r="E8892">
            <v>604139.86499999987</v>
          </cell>
          <cell r="F8892">
            <v>8</v>
          </cell>
        </row>
        <row r="8893">
          <cell r="A8893">
            <v>2018</v>
          </cell>
          <cell r="B8893" t="str">
            <v>Budget</v>
          </cell>
          <cell r="C8893" t="str">
            <v>Aug</v>
          </cell>
          <cell r="D8893" t="str">
            <v>Kitchen</v>
          </cell>
          <cell r="E8893">
            <v>70417351.17899999</v>
          </cell>
          <cell r="F8893">
            <v>8</v>
          </cell>
        </row>
        <row r="8894">
          <cell r="A8894">
            <v>2018</v>
          </cell>
          <cell r="B8894" t="str">
            <v>Actual</v>
          </cell>
          <cell r="C8894" t="str">
            <v>Aug</v>
          </cell>
          <cell r="D8894" t="str">
            <v>Chairs</v>
          </cell>
          <cell r="E8894">
            <v>11373703.613999998</v>
          </cell>
          <cell r="F8894">
            <v>8</v>
          </cell>
        </row>
        <row r="8895">
          <cell r="A8895">
            <v>2018</v>
          </cell>
          <cell r="B8895" t="str">
            <v>Budget</v>
          </cell>
          <cell r="C8895" t="str">
            <v>Aug</v>
          </cell>
          <cell r="D8895" t="str">
            <v>Chairs</v>
          </cell>
          <cell r="E8895">
            <v>3198677.5589999999</v>
          </cell>
          <cell r="F8895">
            <v>8</v>
          </cell>
        </row>
        <row r="8896">
          <cell r="A8896">
            <v>2019</v>
          </cell>
          <cell r="B8896" t="str">
            <v>Actual</v>
          </cell>
          <cell r="C8896" t="str">
            <v>Aug</v>
          </cell>
          <cell r="D8896" t="str">
            <v>Tables</v>
          </cell>
          <cell r="E8896">
            <v>4843025.0539999995</v>
          </cell>
          <cell r="F8896">
            <v>8</v>
          </cell>
        </row>
        <row r="8897">
          <cell r="A8897">
            <v>2019</v>
          </cell>
          <cell r="B8897" t="str">
            <v>Budget</v>
          </cell>
          <cell r="C8897" t="str">
            <v>Aug</v>
          </cell>
          <cell r="D8897" t="str">
            <v>Kitchen</v>
          </cell>
          <cell r="E8897">
            <v>10637170.327</v>
          </cell>
          <cell r="F8897">
            <v>8</v>
          </cell>
        </row>
        <row r="8898">
          <cell r="A8898">
            <v>2019</v>
          </cell>
          <cell r="B8898" t="str">
            <v>Actual</v>
          </cell>
          <cell r="C8898" t="str">
            <v>Aug</v>
          </cell>
          <cell r="D8898" t="str">
            <v>Chairs</v>
          </cell>
          <cell r="E8898">
            <v>41855574.109999992</v>
          </cell>
          <cell r="F8898">
            <v>8</v>
          </cell>
        </row>
        <row r="8899">
          <cell r="A8899">
            <v>2018</v>
          </cell>
          <cell r="B8899" t="str">
            <v>Budget</v>
          </cell>
          <cell r="C8899" t="str">
            <v>Aug</v>
          </cell>
          <cell r="D8899" t="str">
            <v>Chairs</v>
          </cell>
          <cell r="E8899">
            <v>2903775.9379999996</v>
          </cell>
          <cell r="F8899">
            <v>8</v>
          </cell>
        </row>
        <row r="8900">
          <cell r="A8900">
            <v>2019</v>
          </cell>
          <cell r="B8900" t="str">
            <v>Actual</v>
          </cell>
          <cell r="C8900" t="str">
            <v>Aug</v>
          </cell>
          <cell r="D8900" t="str">
            <v>Chairs</v>
          </cell>
          <cell r="E8900">
            <v>10317985.334999999</v>
          </cell>
          <cell r="F8900">
            <v>8</v>
          </cell>
        </row>
        <row r="8901">
          <cell r="A8901">
            <v>2019</v>
          </cell>
          <cell r="B8901" t="str">
            <v>Budget</v>
          </cell>
          <cell r="C8901" t="str">
            <v>Aug</v>
          </cell>
          <cell r="D8901" t="str">
            <v>Tables</v>
          </cell>
          <cell r="E8901">
            <v>19862406.346999999</v>
          </cell>
          <cell r="F8901">
            <v>8</v>
          </cell>
        </row>
        <row r="8902">
          <cell r="A8902">
            <v>2019</v>
          </cell>
          <cell r="B8902" t="str">
            <v>Actual</v>
          </cell>
          <cell r="C8902" t="str">
            <v>Aug</v>
          </cell>
          <cell r="D8902" t="str">
            <v>Kitchen</v>
          </cell>
          <cell r="E8902">
            <v>6686964.4730000002</v>
          </cell>
          <cell r="F8902">
            <v>8</v>
          </cell>
        </row>
        <row r="8903">
          <cell r="A8903">
            <v>2018</v>
          </cell>
          <cell r="B8903" t="str">
            <v>Budget</v>
          </cell>
          <cell r="C8903" t="str">
            <v>Aug</v>
          </cell>
          <cell r="D8903" t="str">
            <v>Accessories</v>
          </cell>
          <cell r="E8903">
            <v>3322101.7129999995</v>
          </cell>
          <cell r="F8903">
            <v>8</v>
          </cell>
        </row>
        <row r="8904">
          <cell r="A8904">
            <v>2019</v>
          </cell>
          <cell r="B8904" t="str">
            <v>Actual</v>
          </cell>
          <cell r="C8904" t="str">
            <v>Aug</v>
          </cell>
          <cell r="D8904" t="str">
            <v>Chairs</v>
          </cell>
          <cell r="E8904">
            <v>15408792.699999999</v>
          </cell>
          <cell r="F8904">
            <v>8</v>
          </cell>
        </row>
        <row r="8905">
          <cell r="A8905">
            <v>2018</v>
          </cell>
          <cell r="B8905" t="str">
            <v>Budget</v>
          </cell>
          <cell r="C8905" t="str">
            <v>Sep</v>
          </cell>
          <cell r="D8905" t="str">
            <v>Tables</v>
          </cell>
          <cell r="E8905">
            <v>2278.241</v>
          </cell>
          <cell r="F8905">
            <v>9</v>
          </cell>
        </row>
        <row r="8906">
          <cell r="A8906">
            <v>2018</v>
          </cell>
          <cell r="B8906" t="str">
            <v>Actual</v>
          </cell>
          <cell r="C8906" t="str">
            <v>Sep</v>
          </cell>
          <cell r="D8906" t="str">
            <v>Kitchen</v>
          </cell>
          <cell r="E8906">
            <v>83044.653999999995</v>
          </cell>
          <cell r="F8906">
            <v>9</v>
          </cell>
        </row>
        <row r="8907">
          <cell r="A8907">
            <v>2019</v>
          </cell>
          <cell r="B8907" t="str">
            <v>Budget</v>
          </cell>
          <cell r="C8907" t="str">
            <v>Sep</v>
          </cell>
          <cell r="D8907" t="str">
            <v>Accessories</v>
          </cell>
          <cell r="E8907">
            <v>331139.22100000002</v>
          </cell>
          <cell r="F8907">
            <v>9</v>
          </cell>
        </row>
        <row r="8908">
          <cell r="A8908">
            <v>2018</v>
          </cell>
          <cell r="B8908" t="str">
            <v>Actual</v>
          </cell>
          <cell r="C8908" t="str">
            <v>Sep</v>
          </cell>
          <cell r="D8908" t="str">
            <v>Chairs</v>
          </cell>
          <cell r="E8908">
            <v>13332.598999999998</v>
          </cell>
          <cell r="F8908">
            <v>9</v>
          </cell>
        </row>
        <row r="8909">
          <cell r="A8909">
            <v>2019</v>
          </cell>
          <cell r="B8909" t="str">
            <v>Budget</v>
          </cell>
          <cell r="C8909" t="str">
            <v>Sep</v>
          </cell>
          <cell r="D8909" t="str">
            <v>Tables</v>
          </cell>
          <cell r="E8909">
            <v>1798266.54</v>
          </cell>
          <cell r="F8909">
            <v>9</v>
          </cell>
        </row>
        <row r="8910">
          <cell r="A8910">
            <v>2018</v>
          </cell>
          <cell r="B8910" t="str">
            <v>Actual</v>
          </cell>
          <cell r="C8910" t="str">
            <v>Sep</v>
          </cell>
          <cell r="D8910" t="str">
            <v>Kitchen</v>
          </cell>
          <cell r="E8910">
            <v>221616.53499999997</v>
          </cell>
          <cell r="F8910">
            <v>9</v>
          </cell>
        </row>
        <row r="8911">
          <cell r="A8911">
            <v>2019</v>
          </cell>
          <cell r="B8911" t="str">
            <v>Budget</v>
          </cell>
          <cell r="C8911" t="str">
            <v>Sep</v>
          </cell>
          <cell r="D8911" t="str">
            <v>Accessories</v>
          </cell>
          <cell r="E8911">
            <v>1463842.4149999998</v>
          </cell>
          <cell r="F8911">
            <v>9</v>
          </cell>
        </row>
        <row r="8912">
          <cell r="A8912">
            <v>2018</v>
          </cell>
          <cell r="B8912" t="str">
            <v>Actual</v>
          </cell>
          <cell r="C8912" t="str">
            <v>Sep</v>
          </cell>
          <cell r="D8912" t="str">
            <v>Chairs</v>
          </cell>
          <cell r="E8912">
            <v>46490.170999999995</v>
          </cell>
          <cell r="F8912">
            <v>9</v>
          </cell>
        </row>
        <row r="8913">
          <cell r="A8913">
            <v>2019</v>
          </cell>
          <cell r="B8913" t="str">
            <v>Budget</v>
          </cell>
          <cell r="C8913" t="str">
            <v>Sep</v>
          </cell>
          <cell r="D8913" t="str">
            <v>Tables</v>
          </cell>
          <cell r="E8913">
            <v>74804.743999999992</v>
          </cell>
          <cell r="F8913">
            <v>9</v>
          </cell>
        </row>
        <row r="8914">
          <cell r="A8914">
            <v>2018</v>
          </cell>
          <cell r="B8914" t="str">
            <v>Actual</v>
          </cell>
          <cell r="C8914" t="str">
            <v>Sep</v>
          </cell>
          <cell r="D8914" t="str">
            <v>Kitchen</v>
          </cell>
          <cell r="E8914">
            <v>1381559.942</v>
          </cell>
          <cell r="F8914">
            <v>9</v>
          </cell>
        </row>
        <row r="8915">
          <cell r="A8915">
            <v>2019</v>
          </cell>
          <cell r="B8915" t="str">
            <v>Budget</v>
          </cell>
          <cell r="C8915" t="str">
            <v>Sep</v>
          </cell>
          <cell r="D8915" t="str">
            <v>Accessories</v>
          </cell>
          <cell r="E8915">
            <v>18961.403999999999</v>
          </cell>
          <cell r="F8915">
            <v>9</v>
          </cell>
        </row>
        <row r="8916">
          <cell r="A8916">
            <v>2019</v>
          </cell>
          <cell r="B8916" t="str">
            <v>Actual</v>
          </cell>
          <cell r="C8916" t="str">
            <v>Sep</v>
          </cell>
          <cell r="D8916" t="str">
            <v>Chairs</v>
          </cell>
          <cell r="E8916">
            <v>335708.07199999999</v>
          </cell>
          <cell r="F8916">
            <v>9</v>
          </cell>
        </row>
        <row r="8917">
          <cell r="A8917">
            <v>2018</v>
          </cell>
          <cell r="B8917" t="str">
            <v>Budget</v>
          </cell>
          <cell r="C8917" t="str">
            <v>Sep</v>
          </cell>
          <cell r="D8917" t="str">
            <v>Chairs</v>
          </cell>
          <cell r="E8917">
            <v>44917.733</v>
          </cell>
          <cell r="F8917">
            <v>9</v>
          </cell>
        </row>
        <row r="8918">
          <cell r="A8918">
            <v>2018</v>
          </cell>
          <cell r="B8918" t="str">
            <v>Actual</v>
          </cell>
          <cell r="C8918" t="str">
            <v>Sep</v>
          </cell>
          <cell r="D8918" t="str">
            <v>Tables</v>
          </cell>
          <cell r="E8918">
            <v>483549.36</v>
          </cell>
          <cell r="F8918">
            <v>9</v>
          </cell>
        </row>
        <row r="8919">
          <cell r="A8919">
            <v>2018</v>
          </cell>
          <cell r="B8919" t="str">
            <v>Budget</v>
          </cell>
          <cell r="C8919" t="str">
            <v>Sep</v>
          </cell>
          <cell r="D8919" t="str">
            <v>Kitchen</v>
          </cell>
          <cell r="E8919">
            <v>159833.65999999997</v>
          </cell>
          <cell r="F8919">
            <v>9</v>
          </cell>
        </row>
        <row r="8920">
          <cell r="A8920">
            <v>2019</v>
          </cell>
          <cell r="B8920" t="str">
            <v>Actual</v>
          </cell>
          <cell r="C8920" t="str">
            <v>Sep</v>
          </cell>
          <cell r="D8920" t="str">
            <v>Chairs</v>
          </cell>
          <cell r="E8920">
            <v>18651.605</v>
          </cell>
          <cell r="F8920">
            <v>9</v>
          </cell>
        </row>
        <row r="8921">
          <cell r="A8921">
            <v>2018</v>
          </cell>
          <cell r="B8921" t="str">
            <v>Budget</v>
          </cell>
          <cell r="C8921" t="str">
            <v>Sep</v>
          </cell>
          <cell r="D8921" t="str">
            <v>Tables</v>
          </cell>
          <cell r="E8921">
            <v>13177.982999999998</v>
          </cell>
          <cell r="F8921">
            <v>9</v>
          </cell>
        </row>
        <row r="8922">
          <cell r="A8922">
            <v>2019</v>
          </cell>
          <cell r="B8922" t="str">
            <v>Actual</v>
          </cell>
          <cell r="C8922" t="str">
            <v>Sep</v>
          </cell>
          <cell r="D8922" t="str">
            <v>Kitchen</v>
          </cell>
          <cell r="E8922">
            <v>44372.971999999994</v>
          </cell>
          <cell r="F8922">
            <v>9</v>
          </cell>
        </row>
        <row r="8923">
          <cell r="A8923">
            <v>2018</v>
          </cell>
          <cell r="B8923" t="str">
            <v>Budget</v>
          </cell>
          <cell r="C8923" t="str">
            <v>Sep</v>
          </cell>
          <cell r="D8923" t="str">
            <v>Chairs</v>
          </cell>
          <cell r="E8923">
            <v>56370.957999999999</v>
          </cell>
          <cell r="F8923">
            <v>9</v>
          </cell>
        </row>
        <row r="8924">
          <cell r="A8924">
            <v>2018</v>
          </cell>
          <cell r="B8924" t="str">
            <v>Actual</v>
          </cell>
          <cell r="C8924" t="str">
            <v>Sep</v>
          </cell>
          <cell r="D8924" t="str">
            <v>Tables</v>
          </cell>
          <cell r="E8924">
            <v>120924.503</v>
          </cell>
          <cell r="F8924">
            <v>9</v>
          </cell>
        </row>
        <row r="8925">
          <cell r="A8925">
            <v>2019</v>
          </cell>
          <cell r="B8925" t="str">
            <v>Budget</v>
          </cell>
          <cell r="C8925" t="str">
            <v>Sep</v>
          </cell>
          <cell r="D8925" t="str">
            <v>Kitchen</v>
          </cell>
          <cell r="E8925">
            <v>21022.896999999997</v>
          </cell>
          <cell r="F8925">
            <v>9</v>
          </cell>
        </row>
        <row r="8926">
          <cell r="A8926">
            <v>2019</v>
          </cell>
          <cell r="B8926" t="str">
            <v>Actual</v>
          </cell>
          <cell r="C8926" t="str">
            <v>Sep</v>
          </cell>
          <cell r="D8926" t="str">
            <v>Chairs</v>
          </cell>
          <cell r="E8926">
            <v>97834.240000000005</v>
          </cell>
          <cell r="F8926">
            <v>9</v>
          </cell>
        </row>
        <row r="8927">
          <cell r="A8927">
            <v>2019</v>
          </cell>
          <cell r="B8927" t="str">
            <v>Budget</v>
          </cell>
          <cell r="C8927" t="str">
            <v>Sep</v>
          </cell>
          <cell r="D8927" t="str">
            <v>Chairs</v>
          </cell>
          <cell r="E8927">
            <v>63576.464</v>
          </cell>
          <cell r="F8927">
            <v>9</v>
          </cell>
        </row>
        <row r="8928">
          <cell r="A8928">
            <v>2018</v>
          </cell>
          <cell r="B8928" t="str">
            <v>Actual</v>
          </cell>
          <cell r="C8928" t="str">
            <v>Sep</v>
          </cell>
          <cell r="D8928" t="str">
            <v>Chairs</v>
          </cell>
          <cell r="E8928">
            <v>17972.065999999999</v>
          </cell>
          <cell r="F8928">
            <v>9</v>
          </cell>
        </row>
        <row r="8929">
          <cell r="A8929">
            <v>2019</v>
          </cell>
          <cell r="B8929" t="str">
            <v>Budget</v>
          </cell>
          <cell r="C8929" t="str">
            <v>Sep</v>
          </cell>
          <cell r="D8929" t="str">
            <v>Chairs</v>
          </cell>
          <cell r="E8929">
            <v>19272.532999999999</v>
          </cell>
          <cell r="F8929">
            <v>9</v>
          </cell>
        </row>
        <row r="8930">
          <cell r="A8930">
            <v>2018</v>
          </cell>
          <cell r="B8930" t="str">
            <v>Actual</v>
          </cell>
          <cell r="C8930" t="str">
            <v>Sep</v>
          </cell>
          <cell r="D8930" t="str">
            <v>Chairs</v>
          </cell>
          <cell r="E8930">
            <v>45836.440999999999</v>
          </cell>
          <cell r="F8930">
            <v>9</v>
          </cell>
        </row>
        <row r="8931">
          <cell r="A8931">
            <v>2019</v>
          </cell>
          <cell r="B8931" t="str">
            <v>Budget</v>
          </cell>
          <cell r="C8931" t="str">
            <v>Sep</v>
          </cell>
          <cell r="D8931" t="str">
            <v>Chairs</v>
          </cell>
          <cell r="E8931">
            <v>26250.252</v>
          </cell>
          <cell r="F8931">
            <v>9</v>
          </cell>
        </row>
        <row r="8932">
          <cell r="A8932">
            <v>2018</v>
          </cell>
          <cell r="B8932" t="str">
            <v>Actual</v>
          </cell>
          <cell r="C8932" t="str">
            <v>Sep</v>
          </cell>
          <cell r="D8932" t="str">
            <v>Chairs</v>
          </cell>
          <cell r="E8932">
            <v>45569.411999999997</v>
          </cell>
          <cell r="F8932">
            <v>9</v>
          </cell>
        </row>
        <row r="8933">
          <cell r="A8933">
            <v>2019</v>
          </cell>
          <cell r="B8933" t="str">
            <v>Budget</v>
          </cell>
          <cell r="C8933" t="str">
            <v>Sep</v>
          </cell>
          <cell r="D8933" t="str">
            <v>Chairs</v>
          </cell>
          <cell r="E8933">
            <v>57241.485000000001</v>
          </cell>
          <cell r="F8933">
            <v>9</v>
          </cell>
        </row>
        <row r="8934">
          <cell r="A8934">
            <v>2019</v>
          </cell>
          <cell r="B8934" t="str">
            <v>Actual</v>
          </cell>
          <cell r="C8934" t="str">
            <v>Sep</v>
          </cell>
          <cell r="D8934" t="str">
            <v>Chairs</v>
          </cell>
          <cell r="E8934">
            <v>45687.137999999992</v>
          </cell>
          <cell r="F8934">
            <v>9</v>
          </cell>
        </row>
        <row r="8935">
          <cell r="A8935">
            <v>2018</v>
          </cell>
          <cell r="B8935" t="str">
            <v>Budget</v>
          </cell>
          <cell r="C8935" t="str">
            <v>Sep</v>
          </cell>
          <cell r="D8935" t="str">
            <v>Chairs</v>
          </cell>
          <cell r="E8935">
            <v>36939.867999999995</v>
          </cell>
          <cell r="F8935">
            <v>9</v>
          </cell>
        </row>
        <row r="8936">
          <cell r="A8936">
            <v>2018</v>
          </cell>
          <cell r="B8936" t="str">
            <v>Actual</v>
          </cell>
          <cell r="C8936" t="str">
            <v>Sep</v>
          </cell>
          <cell r="D8936" t="str">
            <v>Chairs</v>
          </cell>
          <cell r="E8936">
            <v>250632.9</v>
          </cell>
          <cell r="F8936">
            <v>9</v>
          </cell>
        </row>
        <row r="8937">
          <cell r="A8937">
            <v>2018</v>
          </cell>
          <cell r="B8937" t="str">
            <v>Budget</v>
          </cell>
          <cell r="C8937" t="str">
            <v>Sep</v>
          </cell>
          <cell r="D8937" t="str">
            <v>Chairs</v>
          </cell>
          <cell r="E8937">
            <v>47645.660999999993</v>
          </cell>
          <cell r="F8937">
            <v>9</v>
          </cell>
        </row>
        <row r="8938">
          <cell r="A8938">
            <v>2019</v>
          </cell>
          <cell r="B8938" t="str">
            <v>Actual</v>
          </cell>
          <cell r="C8938" t="str">
            <v>Sep</v>
          </cell>
          <cell r="D8938" t="str">
            <v>Chairs</v>
          </cell>
          <cell r="E8938">
            <v>32716.123999999996</v>
          </cell>
          <cell r="F8938">
            <v>9</v>
          </cell>
        </row>
        <row r="8939">
          <cell r="A8939">
            <v>2018</v>
          </cell>
          <cell r="B8939" t="str">
            <v>Budget</v>
          </cell>
          <cell r="C8939" t="str">
            <v>Sep</v>
          </cell>
          <cell r="D8939" t="str">
            <v>Chairs</v>
          </cell>
          <cell r="E8939">
            <v>36763.565999999999</v>
          </cell>
          <cell r="F8939">
            <v>9</v>
          </cell>
        </row>
        <row r="8940">
          <cell r="A8940">
            <v>2018</v>
          </cell>
          <cell r="B8940" t="str">
            <v>Actual</v>
          </cell>
          <cell r="C8940" t="str">
            <v>Sep</v>
          </cell>
          <cell r="D8940" t="str">
            <v>Chairs</v>
          </cell>
          <cell r="E8940">
            <v>72820.118000000002</v>
          </cell>
          <cell r="F8940">
            <v>9</v>
          </cell>
        </row>
        <row r="8941">
          <cell r="A8941">
            <v>2018</v>
          </cell>
          <cell r="B8941" t="str">
            <v>Budget</v>
          </cell>
          <cell r="C8941" t="str">
            <v>Sep</v>
          </cell>
          <cell r="D8941" t="str">
            <v>Chairs</v>
          </cell>
          <cell r="E8941">
            <v>593442.48599999992</v>
          </cell>
          <cell r="F8941">
            <v>9</v>
          </cell>
        </row>
        <row r="8942">
          <cell r="A8942">
            <v>2018</v>
          </cell>
          <cell r="B8942" t="str">
            <v>Actual</v>
          </cell>
          <cell r="C8942" t="str">
            <v>Sep</v>
          </cell>
          <cell r="D8942" t="str">
            <v>Chairs</v>
          </cell>
          <cell r="E8942">
            <v>524689.25599999994</v>
          </cell>
          <cell r="F8942">
            <v>9</v>
          </cell>
        </row>
        <row r="8943">
          <cell r="A8943">
            <v>2018</v>
          </cell>
          <cell r="B8943" t="str">
            <v>Budget</v>
          </cell>
          <cell r="C8943" t="str">
            <v>Sep</v>
          </cell>
          <cell r="D8943" t="str">
            <v>Chairs</v>
          </cell>
          <cell r="E8943">
            <v>422064.94400000002</v>
          </cell>
          <cell r="F8943">
            <v>9</v>
          </cell>
        </row>
        <row r="8944">
          <cell r="A8944">
            <v>2018</v>
          </cell>
          <cell r="B8944" t="str">
            <v>Actual</v>
          </cell>
          <cell r="C8944" t="str">
            <v>Sep</v>
          </cell>
          <cell r="D8944" t="str">
            <v>Chairs</v>
          </cell>
          <cell r="E8944">
            <v>9170.6789999999983</v>
          </cell>
          <cell r="F8944">
            <v>9</v>
          </cell>
        </row>
        <row r="8945">
          <cell r="A8945">
            <v>2018</v>
          </cell>
          <cell r="B8945" t="str">
            <v>Budget</v>
          </cell>
          <cell r="C8945" t="str">
            <v>Sep</v>
          </cell>
          <cell r="D8945" t="str">
            <v>Chairs</v>
          </cell>
          <cell r="E8945">
            <v>42232.791999999994</v>
          </cell>
          <cell r="F8945">
            <v>9</v>
          </cell>
        </row>
        <row r="8946">
          <cell r="A8946">
            <v>2019</v>
          </cell>
          <cell r="B8946" t="str">
            <v>Actual</v>
          </cell>
          <cell r="C8946" t="str">
            <v>Sep</v>
          </cell>
          <cell r="D8946" t="str">
            <v>Chairs</v>
          </cell>
          <cell r="E8946">
            <v>78774.297000000006</v>
          </cell>
          <cell r="F8946">
            <v>9</v>
          </cell>
        </row>
        <row r="8947">
          <cell r="A8947">
            <v>2018</v>
          </cell>
          <cell r="B8947" t="str">
            <v>Budget</v>
          </cell>
          <cell r="C8947" t="str">
            <v>Sep</v>
          </cell>
          <cell r="D8947" t="str">
            <v>Chairs</v>
          </cell>
          <cell r="E8947">
            <v>28304.304</v>
          </cell>
          <cell r="F8947">
            <v>9</v>
          </cell>
        </row>
        <row r="8948">
          <cell r="A8948">
            <v>2019</v>
          </cell>
          <cell r="B8948" t="str">
            <v>Actual</v>
          </cell>
          <cell r="C8948" t="str">
            <v>Sep</v>
          </cell>
          <cell r="D8948" t="str">
            <v>Chairs</v>
          </cell>
          <cell r="E8948">
            <v>74722.353999999992</v>
          </cell>
          <cell r="F8948">
            <v>9</v>
          </cell>
        </row>
        <row r="8949">
          <cell r="A8949">
            <v>2018</v>
          </cell>
          <cell r="B8949" t="str">
            <v>Budget</v>
          </cell>
          <cell r="C8949" t="str">
            <v>Sep</v>
          </cell>
          <cell r="D8949" t="str">
            <v>Chairs</v>
          </cell>
          <cell r="E8949">
            <v>42065.078999999998</v>
          </cell>
          <cell r="F8949">
            <v>9</v>
          </cell>
        </row>
        <row r="8950">
          <cell r="A8950">
            <v>2019</v>
          </cell>
          <cell r="B8950" t="str">
            <v>Actual</v>
          </cell>
          <cell r="C8950" t="str">
            <v>Sep</v>
          </cell>
          <cell r="D8950" t="str">
            <v>Chairs</v>
          </cell>
          <cell r="E8950">
            <v>58826.774999999994</v>
          </cell>
          <cell r="F8950">
            <v>9</v>
          </cell>
        </row>
        <row r="8951">
          <cell r="A8951">
            <v>2019</v>
          </cell>
          <cell r="B8951" t="str">
            <v>Budget</v>
          </cell>
          <cell r="C8951" t="str">
            <v>Sep</v>
          </cell>
          <cell r="D8951" t="str">
            <v>Chairs</v>
          </cell>
          <cell r="E8951">
            <v>5532.4219999999996</v>
          </cell>
          <cell r="F8951">
            <v>9</v>
          </cell>
        </row>
        <row r="8952">
          <cell r="A8952">
            <v>2018</v>
          </cell>
          <cell r="B8952" t="str">
            <v>Actual</v>
          </cell>
          <cell r="C8952" t="str">
            <v>Sep</v>
          </cell>
          <cell r="D8952" t="str">
            <v>Tables</v>
          </cell>
          <cell r="E8952">
            <v>54395.572</v>
          </cell>
          <cell r="F8952">
            <v>9</v>
          </cell>
        </row>
        <row r="8953">
          <cell r="A8953">
            <v>2018</v>
          </cell>
          <cell r="B8953" t="str">
            <v>Budget</v>
          </cell>
          <cell r="C8953" t="str">
            <v>Sep</v>
          </cell>
          <cell r="D8953" t="str">
            <v>Kitchen</v>
          </cell>
          <cell r="E8953">
            <v>78662.982999999993</v>
          </cell>
          <cell r="F8953">
            <v>9</v>
          </cell>
        </row>
        <row r="8954">
          <cell r="A8954">
            <v>2019</v>
          </cell>
          <cell r="B8954" t="str">
            <v>Actual</v>
          </cell>
          <cell r="C8954" t="str">
            <v>Sep</v>
          </cell>
          <cell r="D8954" t="str">
            <v>Chairs</v>
          </cell>
          <cell r="E8954">
            <v>101161.004</v>
          </cell>
          <cell r="F8954">
            <v>9</v>
          </cell>
        </row>
        <row r="8955">
          <cell r="A8955">
            <v>2018</v>
          </cell>
          <cell r="B8955" t="str">
            <v>Budget</v>
          </cell>
          <cell r="C8955" t="str">
            <v>Sep</v>
          </cell>
          <cell r="D8955" t="str">
            <v>Chairs</v>
          </cell>
          <cell r="E8955">
            <v>42984.346999999994</v>
          </cell>
          <cell r="F8955">
            <v>9</v>
          </cell>
        </row>
        <row r="8956">
          <cell r="A8956">
            <v>2019</v>
          </cell>
          <cell r="B8956" t="str">
            <v>Actual</v>
          </cell>
          <cell r="C8956" t="str">
            <v>Sep</v>
          </cell>
          <cell r="D8956" t="str">
            <v>Chairs</v>
          </cell>
          <cell r="E8956">
            <v>97915.194999999992</v>
          </cell>
          <cell r="F8956">
            <v>9</v>
          </cell>
        </row>
        <row r="8957">
          <cell r="A8957">
            <v>2018</v>
          </cell>
          <cell r="B8957" t="str">
            <v>Budget</v>
          </cell>
          <cell r="C8957" t="str">
            <v>Sep</v>
          </cell>
          <cell r="D8957" t="str">
            <v>Chairs</v>
          </cell>
          <cell r="E8957">
            <v>83618.037999999986</v>
          </cell>
          <cell r="F8957">
            <v>9</v>
          </cell>
        </row>
        <row r="8958">
          <cell r="A8958">
            <v>2018</v>
          </cell>
          <cell r="B8958" t="str">
            <v>Actual</v>
          </cell>
          <cell r="C8958" t="str">
            <v>Sep</v>
          </cell>
          <cell r="D8958" t="str">
            <v>Chairs</v>
          </cell>
          <cell r="E8958">
            <v>100633.67300000001</v>
          </cell>
          <cell r="F8958">
            <v>9</v>
          </cell>
        </row>
        <row r="8959">
          <cell r="A8959">
            <v>2019</v>
          </cell>
          <cell r="B8959" t="str">
            <v>Budget</v>
          </cell>
          <cell r="C8959" t="str">
            <v>Sep</v>
          </cell>
          <cell r="D8959" t="str">
            <v>Tables</v>
          </cell>
          <cell r="E8959">
            <v>214606.924</v>
          </cell>
          <cell r="F8959">
            <v>9</v>
          </cell>
        </row>
        <row r="8960">
          <cell r="A8960">
            <v>2019</v>
          </cell>
          <cell r="B8960" t="str">
            <v>Actual</v>
          </cell>
          <cell r="C8960" t="str">
            <v>Sep</v>
          </cell>
          <cell r="D8960" t="str">
            <v>Kitchen</v>
          </cell>
          <cell r="E8960">
            <v>2350564.2790000001</v>
          </cell>
          <cell r="F8960">
            <v>9</v>
          </cell>
        </row>
        <row r="8961">
          <cell r="A8961">
            <v>2019</v>
          </cell>
          <cell r="B8961" t="str">
            <v>Budget</v>
          </cell>
          <cell r="C8961" t="str">
            <v>Sep</v>
          </cell>
          <cell r="D8961" t="str">
            <v>Chairs</v>
          </cell>
          <cell r="E8961">
            <v>6120.576</v>
          </cell>
          <cell r="F8961">
            <v>9</v>
          </cell>
        </row>
        <row r="8962">
          <cell r="A8962">
            <v>2019</v>
          </cell>
          <cell r="B8962" t="str">
            <v>Actual</v>
          </cell>
          <cell r="C8962" t="str">
            <v>Sep</v>
          </cell>
          <cell r="D8962" t="str">
            <v>Chairs</v>
          </cell>
          <cell r="E8962">
            <v>62931.273999999998</v>
          </cell>
          <cell r="F8962">
            <v>9</v>
          </cell>
        </row>
        <row r="8963">
          <cell r="A8963">
            <v>2019</v>
          </cell>
          <cell r="B8963" t="str">
            <v>Budget</v>
          </cell>
          <cell r="C8963" t="str">
            <v>Sep</v>
          </cell>
          <cell r="D8963" t="str">
            <v>Chairs</v>
          </cell>
          <cell r="E8963">
            <v>67368.168000000005</v>
          </cell>
          <cell r="F8963">
            <v>9</v>
          </cell>
        </row>
        <row r="8964">
          <cell r="A8964">
            <v>2018</v>
          </cell>
          <cell r="B8964" t="str">
            <v>Actual</v>
          </cell>
          <cell r="C8964" t="str">
            <v>Sep</v>
          </cell>
          <cell r="D8964" t="str">
            <v>Tables</v>
          </cell>
          <cell r="E8964">
            <v>106978.15099999998</v>
          </cell>
          <cell r="F8964">
            <v>9</v>
          </cell>
        </row>
        <row r="8965">
          <cell r="A8965">
            <v>2019</v>
          </cell>
          <cell r="B8965" t="str">
            <v>Budget</v>
          </cell>
          <cell r="C8965" t="str">
            <v>Sep</v>
          </cell>
          <cell r="D8965" t="str">
            <v>Kitchen</v>
          </cell>
          <cell r="E8965">
            <v>646134.06200000003</v>
          </cell>
          <cell r="F8965">
            <v>9</v>
          </cell>
        </row>
        <row r="8966">
          <cell r="A8966">
            <v>2019</v>
          </cell>
          <cell r="B8966" t="str">
            <v>Actual</v>
          </cell>
          <cell r="C8966" t="str">
            <v>Sep</v>
          </cell>
          <cell r="D8966" t="str">
            <v>Chairs</v>
          </cell>
          <cell r="E8966">
            <v>106558.38899999998</v>
          </cell>
          <cell r="F8966">
            <v>9</v>
          </cell>
        </row>
        <row r="8967">
          <cell r="A8967">
            <v>2019</v>
          </cell>
          <cell r="B8967" t="str">
            <v>Budget</v>
          </cell>
          <cell r="C8967" t="str">
            <v>Sep</v>
          </cell>
          <cell r="D8967" t="str">
            <v>Chairs</v>
          </cell>
          <cell r="E8967">
            <v>24497.501</v>
          </cell>
          <cell r="F8967">
            <v>9</v>
          </cell>
        </row>
        <row r="8968">
          <cell r="A8968">
            <v>2019</v>
          </cell>
          <cell r="B8968" t="str">
            <v>Actual</v>
          </cell>
          <cell r="C8968" t="str">
            <v>Sep</v>
          </cell>
          <cell r="D8968" t="str">
            <v>Tables</v>
          </cell>
          <cell r="E8968">
            <v>127294.678</v>
          </cell>
          <cell r="F8968">
            <v>9</v>
          </cell>
        </row>
        <row r="8969">
          <cell r="A8969">
            <v>2019</v>
          </cell>
          <cell r="B8969" t="str">
            <v>Budget</v>
          </cell>
          <cell r="C8969" t="str">
            <v>Sep</v>
          </cell>
          <cell r="D8969" t="str">
            <v>Kitchen</v>
          </cell>
          <cell r="E8969">
            <v>107859.51399999998</v>
          </cell>
          <cell r="F8969">
            <v>9</v>
          </cell>
        </row>
        <row r="8970">
          <cell r="A8970">
            <v>2018</v>
          </cell>
          <cell r="B8970" t="str">
            <v>Actual</v>
          </cell>
          <cell r="C8970" t="str">
            <v>Sep</v>
          </cell>
          <cell r="D8970" t="str">
            <v>Chairs</v>
          </cell>
          <cell r="E8970">
            <v>887631.24099999992</v>
          </cell>
          <cell r="F8970">
            <v>9</v>
          </cell>
        </row>
        <row r="8971">
          <cell r="A8971">
            <v>2019</v>
          </cell>
          <cell r="B8971" t="str">
            <v>Budget</v>
          </cell>
          <cell r="C8971" t="str">
            <v>Sep</v>
          </cell>
          <cell r="D8971" t="str">
            <v>Chairs</v>
          </cell>
          <cell r="E8971">
            <v>14947.24</v>
          </cell>
          <cell r="F8971">
            <v>9</v>
          </cell>
        </row>
        <row r="8972">
          <cell r="A8972">
            <v>2018</v>
          </cell>
          <cell r="B8972" t="str">
            <v>Actual</v>
          </cell>
          <cell r="C8972" t="str">
            <v>Sep</v>
          </cell>
          <cell r="D8972" t="str">
            <v>Chairs</v>
          </cell>
          <cell r="E8972">
            <v>683882.53500000003</v>
          </cell>
          <cell r="F8972">
            <v>9</v>
          </cell>
        </row>
        <row r="8973">
          <cell r="A8973">
            <v>2018</v>
          </cell>
          <cell r="B8973" t="str">
            <v>Budget</v>
          </cell>
          <cell r="C8973" t="str">
            <v>Sep</v>
          </cell>
          <cell r="D8973" t="str">
            <v>Tables</v>
          </cell>
          <cell r="E8973">
            <v>3550379.2029999997</v>
          </cell>
          <cell r="F8973">
            <v>9</v>
          </cell>
        </row>
        <row r="8974">
          <cell r="A8974">
            <v>2019</v>
          </cell>
          <cell r="B8974" t="str">
            <v>Actual</v>
          </cell>
          <cell r="C8974" t="str">
            <v>Sep</v>
          </cell>
          <cell r="D8974" t="str">
            <v>Kitchen</v>
          </cell>
          <cell r="E8974">
            <v>1117295.865</v>
          </cell>
          <cell r="F8974">
            <v>9</v>
          </cell>
        </row>
        <row r="8975">
          <cell r="A8975">
            <v>2018</v>
          </cell>
          <cell r="B8975" t="str">
            <v>Budget</v>
          </cell>
          <cell r="C8975" t="str">
            <v>Sep</v>
          </cell>
          <cell r="D8975" t="str">
            <v>Accessories</v>
          </cell>
          <cell r="E8975">
            <v>989419.08100000001</v>
          </cell>
          <cell r="F8975">
            <v>9</v>
          </cell>
        </row>
        <row r="8976">
          <cell r="A8976">
            <v>2019</v>
          </cell>
          <cell r="B8976" t="str">
            <v>Actual</v>
          </cell>
          <cell r="C8976" t="str">
            <v>Sep</v>
          </cell>
          <cell r="D8976" t="str">
            <v>Chairs</v>
          </cell>
          <cell r="E8976">
            <v>810098.91899999988</v>
          </cell>
          <cell r="F8976">
            <v>9</v>
          </cell>
        </row>
        <row r="8977">
          <cell r="A8977">
            <v>2018</v>
          </cell>
          <cell r="B8977" t="str">
            <v>Budget</v>
          </cell>
          <cell r="C8977" t="str">
            <v>Sep</v>
          </cell>
          <cell r="D8977" t="str">
            <v>Tables</v>
          </cell>
          <cell r="E8977">
            <v>447193.48099999997</v>
          </cell>
          <cell r="F8977">
            <v>9</v>
          </cell>
        </row>
        <row r="8978">
          <cell r="A8978">
            <v>2018</v>
          </cell>
          <cell r="B8978" t="str">
            <v>Actual</v>
          </cell>
          <cell r="C8978" t="str">
            <v>Sep</v>
          </cell>
          <cell r="D8978" t="str">
            <v>Kitchen</v>
          </cell>
          <cell r="E8978">
            <v>326682.76199999999</v>
          </cell>
          <cell r="F8978">
            <v>9</v>
          </cell>
        </row>
        <row r="8979">
          <cell r="A8979">
            <v>2018</v>
          </cell>
          <cell r="B8979" t="str">
            <v>Budget</v>
          </cell>
          <cell r="C8979" t="str">
            <v>Sep</v>
          </cell>
          <cell r="D8979" t="str">
            <v>Accessories</v>
          </cell>
          <cell r="E8979">
            <v>16346.763999999999</v>
          </cell>
          <cell r="F8979">
            <v>9</v>
          </cell>
        </row>
        <row r="8980">
          <cell r="A8980">
            <v>2019</v>
          </cell>
          <cell r="B8980" t="str">
            <v>Actual</v>
          </cell>
          <cell r="C8980" t="str">
            <v>Sep</v>
          </cell>
          <cell r="D8980" t="str">
            <v>Chairs</v>
          </cell>
          <cell r="E8980">
            <v>485097.45199999993</v>
          </cell>
          <cell r="F8980">
            <v>9</v>
          </cell>
        </row>
        <row r="8981">
          <cell r="A8981">
            <v>2018</v>
          </cell>
          <cell r="B8981" t="str">
            <v>Budget</v>
          </cell>
          <cell r="C8981" t="str">
            <v>Sep</v>
          </cell>
          <cell r="D8981" t="str">
            <v>Tables</v>
          </cell>
          <cell r="E8981">
            <v>615594.80499999993</v>
          </cell>
          <cell r="F8981">
            <v>9</v>
          </cell>
        </row>
        <row r="8982">
          <cell r="A8982">
            <v>2019</v>
          </cell>
          <cell r="B8982" t="str">
            <v>Actual</v>
          </cell>
          <cell r="C8982" t="str">
            <v>Sep</v>
          </cell>
          <cell r="D8982" t="str">
            <v>Kitchen</v>
          </cell>
          <cell r="E8982">
            <v>653484.62199999997</v>
          </cell>
          <cell r="F8982">
            <v>9</v>
          </cell>
        </row>
        <row r="8983">
          <cell r="A8983">
            <v>2018</v>
          </cell>
          <cell r="B8983" t="str">
            <v>Budget</v>
          </cell>
          <cell r="C8983" t="str">
            <v>Sep</v>
          </cell>
          <cell r="D8983" t="str">
            <v>Accessories</v>
          </cell>
          <cell r="E8983">
            <v>265836.2</v>
          </cell>
          <cell r="F8983">
            <v>9</v>
          </cell>
        </row>
        <row r="8984">
          <cell r="A8984">
            <v>2019</v>
          </cell>
          <cell r="B8984" t="str">
            <v>Actual</v>
          </cell>
          <cell r="C8984" t="str">
            <v>Sep</v>
          </cell>
          <cell r="D8984" t="str">
            <v>Chairs</v>
          </cell>
          <cell r="E8984">
            <v>187900.28599999996</v>
          </cell>
          <cell r="F8984">
            <v>9</v>
          </cell>
        </row>
        <row r="8985">
          <cell r="A8985">
            <v>2018</v>
          </cell>
          <cell r="B8985" t="str">
            <v>Budget</v>
          </cell>
          <cell r="C8985" t="str">
            <v>Sep</v>
          </cell>
          <cell r="D8985" t="str">
            <v>Tables</v>
          </cell>
          <cell r="E8985">
            <v>28541.107</v>
          </cell>
          <cell r="F8985">
            <v>9</v>
          </cell>
        </row>
        <row r="8986">
          <cell r="A8986">
            <v>2018</v>
          </cell>
          <cell r="B8986" t="str">
            <v>Actual</v>
          </cell>
          <cell r="C8986" t="str">
            <v>Sep</v>
          </cell>
          <cell r="D8986" t="str">
            <v>Kitchen</v>
          </cell>
          <cell r="E8986">
            <v>26565.756000000001</v>
          </cell>
          <cell r="F8986">
            <v>9</v>
          </cell>
        </row>
        <row r="8987">
          <cell r="A8987">
            <v>2019</v>
          </cell>
          <cell r="B8987" t="str">
            <v>Budget</v>
          </cell>
          <cell r="C8987" t="str">
            <v>Sep</v>
          </cell>
          <cell r="D8987" t="str">
            <v>Accessories</v>
          </cell>
          <cell r="E8987">
            <v>50659.279999999992</v>
          </cell>
          <cell r="F8987">
            <v>9</v>
          </cell>
        </row>
        <row r="8988">
          <cell r="A8988">
            <v>2019</v>
          </cell>
          <cell r="B8988" t="str">
            <v>Actual</v>
          </cell>
          <cell r="C8988" t="str">
            <v>Sep</v>
          </cell>
          <cell r="D8988" t="str">
            <v>Chairs</v>
          </cell>
          <cell r="E8988">
            <v>651337.03599999996</v>
          </cell>
          <cell r="F8988">
            <v>9</v>
          </cell>
        </row>
        <row r="8989">
          <cell r="A8989">
            <v>2018</v>
          </cell>
          <cell r="B8989" t="str">
            <v>Budget</v>
          </cell>
          <cell r="C8989" t="str">
            <v>Sep</v>
          </cell>
          <cell r="D8989" t="str">
            <v>Chairs</v>
          </cell>
          <cell r="E8989">
            <v>26389.768999999997</v>
          </cell>
          <cell r="F8989">
            <v>9</v>
          </cell>
        </row>
        <row r="8990">
          <cell r="A8990">
            <v>2019</v>
          </cell>
          <cell r="B8990" t="str">
            <v>Actual</v>
          </cell>
          <cell r="C8990" t="str">
            <v>Sep</v>
          </cell>
          <cell r="D8990" t="str">
            <v>Tables</v>
          </cell>
          <cell r="E8990">
            <v>984441.22</v>
          </cell>
          <cell r="F8990">
            <v>9</v>
          </cell>
        </row>
        <row r="8991">
          <cell r="A8991">
            <v>2019</v>
          </cell>
          <cell r="B8991" t="str">
            <v>Budget</v>
          </cell>
          <cell r="C8991" t="str">
            <v>Sep</v>
          </cell>
          <cell r="D8991" t="str">
            <v>Kitchen</v>
          </cell>
          <cell r="E8991">
            <v>-17759.734999999997</v>
          </cell>
          <cell r="F8991">
            <v>9</v>
          </cell>
        </row>
        <row r="8992">
          <cell r="A8992">
            <v>2019</v>
          </cell>
          <cell r="B8992" t="str">
            <v>Actual</v>
          </cell>
          <cell r="C8992" t="str">
            <v>Sep</v>
          </cell>
          <cell r="D8992" t="str">
            <v>Chairs</v>
          </cell>
          <cell r="E8992">
            <v>867414.85600000003</v>
          </cell>
          <cell r="F8992">
            <v>9</v>
          </cell>
        </row>
        <row r="8993">
          <cell r="A8993">
            <v>2018</v>
          </cell>
          <cell r="B8993" t="str">
            <v>Budget</v>
          </cell>
          <cell r="C8993" t="str">
            <v>Sep</v>
          </cell>
          <cell r="D8993" t="str">
            <v>Tables</v>
          </cell>
          <cell r="E8993">
            <v>-18970.846999999998</v>
          </cell>
          <cell r="F8993">
            <v>9</v>
          </cell>
        </row>
        <row r="8994">
          <cell r="A8994">
            <v>2019</v>
          </cell>
          <cell r="B8994" t="str">
            <v>Actual</v>
          </cell>
          <cell r="C8994" t="str">
            <v>Sep</v>
          </cell>
          <cell r="D8994" t="str">
            <v>Kitchen</v>
          </cell>
          <cell r="E8994">
            <v>-12347.432999999999</v>
          </cell>
          <cell r="F8994">
            <v>9</v>
          </cell>
        </row>
        <row r="8995">
          <cell r="A8995">
            <v>2018</v>
          </cell>
          <cell r="B8995" t="str">
            <v>Budget</v>
          </cell>
          <cell r="C8995" t="str">
            <v>Sep</v>
          </cell>
          <cell r="D8995" t="str">
            <v>Chairs</v>
          </cell>
          <cell r="E8995">
            <v>92535.478000000003</v>
          </cell>
          <cell r="F8995">
            <v>9</v>
          </cell>
        </row>
        <row r="8996">
          <cell r="A8996">
            <v>2019</v>
          </cell>
          <cell r="B8996" t="str">
            <v>Actual</v>
          </cell>
          <cell r="C8996" t="str">
            <v>Sep</v>
          </cell>
          <cell r="D8996" t="str">
            <v>Tables</v>
          </cell>
          <cell r="E8996">
            <v>-275171.37899999996</v>
          </cell>
          <cell r="F8996">
            <v>9</v>
          </cell>
        </row>
        <row r="8997">
          <cell r="A8997">
            <v>2019</v>
          </cell>
          <cell r="B8997" t="str">
            <v>Budget</v>
          </cell>
          <cell r="C8997" t="str">
            <v>Sep</v>
          </cell>
          <cell r="D8997" t="str">
            <v>Kitchen</v>
          </cell>
          <cell r="E8997">
            <v>103852.06999999999</v>
          </cell>
          <cell r="F8997">
            <v>9</v>
          </cell>
        </row>
        <row r="8998">
          <cell r="A8998">
            <v>2019</v>
          </cell>
          <cell r="B8998" t="str">
            <v>Actual</v>
          </cell>
          <cell r="C8998" t="str">
            <v>Sep</v>
          </cell>
          <cell r="D8998" t="str">
            <v>Chairs</v>
          </cell>
          <cell r="E8998">
            <v>93631.957999999999</v>
          </cell>
          <cell r="F8998">
            <v>9</v>
          </cell>
        </row>
        <row r="8999">
          <cell r="A8999">
            <v>2019</v>
          </cell>
          <cell r="B8999" t="str">
            <v>Budget</v>
          </cell>
          <cell r="C8999" t="str">
            <v>Sep</v>
          </cell>
          <cell r="D8999" t="str">
            <v>Chairs</v>
          </cell>
          <cell r="E8999">
            <v>120252.60799999999</v>
          </cell>
          <cell r="F8999">
            <v>9</v>
          </cell>
        </row>
        <row r="9000">
          <cell r="A9000">
            <v>2019</v>
          </cell>
          <cell r="B9000" t="str">
            <v>Actual</v>
          </cell>
          <cell r="C9000" t="str">
            <v>Sep</v>
          </cell>
          <cell r="D9000" t="str">
            <v>Chairs</v>
          </cell>
          <cell r="E9000">
            <v>121126.74699999999</v>
          </cell>
          <cell r="F9000">
            <v>9</v>
          </cell>
        </row>
        <row r="9001">
          <cell r="A9001">
            <v>2019</v>
          </cell>
          <cell r="B9001" t="str">
            <v>Budget</v>
          </cell>
          <cell r="C9001" t="str">
            <v>Sep</v>
          </cell>
          <cell r="D9001" t="str">
            <v>Chairs</v>
          </cell>
          <cell r="E9001">
            <v>241772.05499999999</v>
          </cell>
          <cell r="F9001">
            <v>9</v>
          </cell>
        </row>
        <row r="9002">
          <cell r="A9002">
            <v>2018</v>
          </cell>
          <cell r="B9002" t="str">
            <v>Actual</v>
          </cell>
          <cell r="C9002" t="str">
            <v>Sep</v>
          </cell>
          <cell r="D9002" t="str">
            <v>Chairs</v>
          </cell>
          <cell r="E9002">
            <v>121925.454</v>
          </cell>
          <cell r="F9002">
            <v>9</v>
          </cell>
        </row>
        <row r="9003">
          <cell r="A9003">
            <v>2019</v>
          </cell>
          <cell r="B9003" t="str">
            <v>Budget</v>
          </cell>
          <cell r="C9003" t="str">
            <v>Sep</v>
          </cell>
          <cell r="D9003" t="str">
            <v>Chairs</v>
          </cell>
          <cell r="E9003">
            <v>2945.8519999999994</v>
          </cell>
          <cell r="F9003">
            <v>9</v>
          </cell>
        </row>
        <row r="9004">
          <cell r="A9004">
            <v>2018</v>
          </cell>
          <cell r="B9004" t="str">
            <v>Actual</v>
          </cell>
          <cell r="C9004" t="str">
            <v>Sep</v>
          </cell>
          <cell r="D9004" t="str">
            <v>Chairs</v>
          </cell>
          <cell r="E9004">
            <v>5207.0269999999991</v>
          </cell>
          <cell r="F9004">
            <v>9</v>
          </cell>
        </row>
        <row r="9005">
          <cell r="A9005">
            <v>2019</v>
          </cell>
          <cell r="B9005" t="str">
            <v>Budget</v>
          </cell>
          <cell r="C9005" t="str">
            <v>Sep</v>
          </cell>
          <cell r="D9005" t="str">
            <v>Chairs</v>
          </cell>
          <cell r="E9005">
            <v>24935.812999999995</v>
          </cell>
          <cell r="F9005">
            <v>9</v>
          </cell>
        </row>
        <row r="9006">
          <cell r="A9006">
            <v>2019</v>
          </cell>
          <cell r="B9006" t="str">
            <v>Actual</v>
          </cell>
          <cell r="C9006" t="str">
            <v>Sep</v>
          </cell>
          <cell r="D9006" t="str">
            <v>Chairs</v>
          </cell>
          <cell r="E9006">
            <v>14826.181999999997</v>
          </cell>
          <cell r="F9006">
            <v>9</v>
          </cell>
        </row>
        <row r="9007">
          <cell r="A9007">
            <v>2018</v>
          </cell>
          <cell r="B9007" t="str">
            <v>Budget</v>
          </cell>
          <cell r="C9007" t="str">
            <v>Sep</v>
          </cell>
          <cell r="D9007" t="str">
            <v>Chairs</v>
          </cell>
          <cell r="E9007">
            <v>18253.794999999998</v>
          </cell>
          <cell r="F9007">
            <v>9</v>
          </cell>
        </row>
        <row r="9008">
          <cell r="A9008">
            <v>2019</v>
          </cell>
          <cell r="B9008" t="str">
            <v>Actual</v>
          </cell>
          <cell r="C9008" t="str">
            <v>Sep</v>
          </cell>
          <cell r="D9008" t="str">
            <v>Chairs</v>
          </cell>
          <cell r="E9008">
            <v>185265.98299999998</v>
          </cell>
          <cell r="F9008">
            <v>9</v>
          </cell>
        </row>
        <row r="9009">
          <cell r="A9009">
            <v>2019</v>
          </cell>
          <cell r="B9009" t="str">
            <v>Budget</v>
          </cell>
          <cell r="C9009" t="str">
            <v>Sep</v>
          </cell>
          <cell r="D9009" t="str">
            <v>Chairs</v>
          </cell>
          <cell r="E9009">
            <v>97193.09599999999</v>
          </cell>
          <cell r="F9009">
            <v>9</v>
          </cell>
        </row>
        <row r="9010">
          <cell r="A9010">
            <v>2018</v>
          </cell>
          <cell r="B9010" t="str">
            <v>Actual</v>
          </cell>
          <cell r="C9010" t="str">
            <v>Sep</v>
          </cell>
          <cell r="D9010" t="str">
            <v>Chairs</v>
          </cell>
          <cell r="E9010">
            <v>32681.291999999998</v>
          </cell>
          <cell r="F9010">
            <v>9</v>
          </cell>
        </row>
        <row r="9011">
          <cell r="A9011">
            <v>2019</v>
          </cell>
          <cell r="B9011" t="str">
            <v>Budget</v>
          </cell>
          <cell r="C9011" t="str">
            <v>Sep</v>
          </cell>
          <cell r="D9011" t="str">
            <v>Chairs</v>
          </cell>
          <cell r="E9011">
            <v>85941.05799999999</v>
          </cell>
          <cell r="F9011">
            <v>9</v>
          </cell>
        </row>
        <row r="9012">
          <cell r="A9012">
            <v>2019</v>
          </cell>
          <cell r="B9012" t="str">
            <v>Actual</v>
          </cell>
          <cell r="C9012" t="str">
            <v>Sep</v>
          </cell>
          <cell r="D9012" t="str">
            <v>Chairs</v>
          </cell>
          <cell r="E9012">
            <v>32932.606</v>
          </cell>
          <cell r="F9012">
            <v>9</v>
          </cell>
        </row>
        <row r="9013">
          <cell r="A9013">
            <v>2019</v>
          </cell>
          <cell r="B9013" t="str">
            <v>Budget</v>
          </cell>
          <cell r="C9013" t="str">
            <v>Sep</v>
          </cell>
          <cell r="D9013" t="str">
            <v>Chairs</v>
          </cell>
          <cell r="E9013">
            <v>32104.134999999998</v>
          </cell>
          <cell r="F9013">
            <v>9</v>
          </cell>
        </row>
        <row r="9014">
          <cell r="A9014">
            <v>2018</v>
          </cell>
          <cell r="B9014" t="str">
            <v>Actual</v>
          </cell>
          <cell r="C9014" t="str">
            <v>Sep</v>
          </cell>
          <cell r="D9014" t="str">
            <v>Chairs</v>
          </cell>
          <cell r="E9014">
            <v>47424.663999999997</v>
          </cell>
          <cell r="F9014">
            <v>9</v>
          </cell>
        </row>
        <row r="9015">
          <cell r="A9015">
            <v>2018</v>
          </cell>
          <cell r="B9015" t="str">
            <v>Budget</v>
          </cell>
          <cell r="C9015" t="str">
            <v>Sep</v>
          </cell>
          <cell r="D9015" t="str">
            <v>Chairs</v>
          </cell>
          <cell r="E9015">
            <v>24861.606</v>
          </cell>
          <cell r="F9015">
            <v>9</v>
          </cell>
        </row>
        <row r="9016">
          <cell r="A9016">
            <v>2019</v>
          </cell>
          <cell r="B9016" t="str">
            <v>Actual</v>
          </cell>
          <cell r="C9016" t="str">
            <v>Sep</v>
          </cell>
          <cell r="D9016" t="str">
            <v>Chairs</v>
          </cell>
          <cell r="E9016">
            <v>218809.31099999999</v>
          </cell>
          <cell r="F9016">
            <v>9</v>
          </cell>
        </row>
        <row r="9017">
          <cell r="A9017">
            <v>2018</v>
          </cell>
          <cell r="B9017" t="str">
            <v>Budget</v>
          </cell>
          <cell r="C9017" t="str">
            <v>Sep</v>
          </cell>
          <cell r="D9017" t="str">
            <v>Chairs</v>
          </cell>
          <cell r="E9017">
            <v>14788.171999999999</v>
          </cell>
          <cell r="F9017">
            <v>9</v>
          </cell>
        </row>
        <row r="9018">
          <cell r="A9018">
            <v>2019</v>
          </cell>
          <cell r="B9018" t="str">
            <v>Actual</v>
          </cell>
          <cell r="C9018" t="str">
            <v>Sep</v>
          </cell>
          <cell r="D9018" t="str">
            <v>Chairs</v>
          </cell>
          <cell r="E9018">
            <v>184748.69</v>
          </cell>
          <cell r="F9018">
            <v>9</v>
          </cell>
        </row>
        <row r="9019">
          <cell r="A9019">
            <v>2018</v>
          </cell>
          <cell r="B9019" t="str">
            <v>Budget</v>
          </cell>
          <cell r="C9019" t="str">
            <v>Sep</v>
          </cell>
          <cell r="D9019" t="str">
            <v>Chairs</v>
          </cell>
          <cell r="E9019">
            <v>463782.66899999999</v>
          </cell>
          <cell r="F9019">
            <v>9</v>
          </cell>
        </row>
        <row r="9020">
          <cell r="A9020">
            <v>2018</v>
          </cell>
          <cell r="B9020" t="str">
            <v>Actual</v>
          </cell>
          <cell r="C9020" t="str">
            <v>Sep</v>
          </cell>
          <cell r="D9020" t="str">
            <v>Chairs</v>
          </cell>
          <cell r="E9020">
            <v>146408.136</v>
          </cell>
          <cell r="F9020">
            <v>9</v>
          </cell>
        </row>
        <row r="9021">
          <cell r="A9021">
            <v>2018</v>
          </cell>
          <cell r="B9021" t="str">
            <v>Budget</v>
          </cell>
          <cell r="C9021" t="str">
            <v>Sep</v>
          </cell>
          <cell r="D9021" t="str">
            <v>Chairs</v>
          </cell>
          <cell r="E9021">
            <v>115727.178</v>
          </cell>
          <cell r="F9021">
            <v>9</v>
          </cell>
        </row>
        <row r="9022">
          <cell r="A9022">
            <v>2019</v>
          </cell>
          <cell r="B9022" t="str">
            <v>Actual</v>
          </cell>
          <cell r="C9022" t="str">
            <v>Sep</v>
          </cell>
          <cell r="D9022" t="str">
            <v>Chairs</v>
          </cell>
          <cell r="E9022">
            <v>9224.235999999999</v>
          </cell>
          <cell r="F9022">
            <v>9</v>
          </cell>
        </row>
        <row r="9023">
          <cell r="A9023">
            <v>2018</v>
          </cell>
          <cell r="B9023" t="str">
            <v>Budget</v>
          </cell>
          <cell r="C9023" t="str">
            <v>Sep</v>
          </cell>
          <cell r="D9023" t="str">
            <v>Chairs</v>
          </cell>
          <cell r="E9023">
            <v>140834.28099999999</v>
          </cell>
          <cell r="F9023">
            <v>9</v>
          </cell>
        </row>
        <row r="9024">
          <cell r="A9024">
            <v>2019</v>
          </cell>
          <cell r="B9024" t="str">
            <v>Actual</v>
          </cell>
          <cell r="C9024" t="str">
            <v>Sep</v>
          </cell>
          <cell r="D9024" t="str">
            <v>Tables</v>
          </cell>
          <cell r="E9024">
            <v>79638.320999999996</v>
          </cell>
          <cell r="F9024">
            <v>9</v>
          </cell>
        </row>
        <row r="9025">
          <cell r="A9025">
            <v>2018</v>
          </cell>
          <cell r="B9025" t="str">
            <v>Budget</v>
          </cell>
          <cell r="C9025" t="str">
            <v>Sep</v>
          </cell>
          <cell r="D9025" t="str">
            <v>Kitchen</v>
          </cell>
          <cell r="E9025">
            <v>48278.831999999995</v>
          </cell>
          <cell r="F9025">
            <v>9</v>
          </cell>
        </row>
        <row r="9026">
          <cell r="A9026">
            <v>2018</v>
          </cell>
          <cell r="B9026" t="str">
            <v>Actual</v>
          </cell>
          <cell r="C9026" t="str">
            <v>Sep</v>
          </cell>
          <cell r="D9026" t="str">
            <v>Chairs</v>
          </cell>
          <cell r="E9026">
            <v>32402.789999999997</v>
          </cell>
          <cell r="F9026">
            <v>9</v>
          </cell>
        </row>
        <row r="9027">
          <cell r="A9027">
            <v>2019</v>
          </cell>
          <cell r="B9027" t="str">
            <v>Budget</v>
          </cell>
          <cell r="C9027" t="str">
            <v>Sep</v>
          </cell>
          <cell r="D9027" t="str">
            <v>Chairs</v>
          </cell>
          <cell r="E9027">
            <v>78616.98599999999</v>
          </cell>
          <cell r="F9027">
            <v>9</v>
          </cell>
        </row>
        <row r="9028">
          <cell r="A9028">
            <v>2018</v>
          </cell>
          <cell r="B9028" t="str">
            <v>Actual</v>
          </cell>
          <cell r="C9028" t="str">
            <v>Sep</v>
          </cell>
          <cell r="D9028" t="str">
            <v>Chairs</v>
          </cell>
          <cell r="E9028">
            <v>6616.2809999999999</v>
          </cell>
          <cell r="F9028">
            <v>9</v>
          </cell>
        </row>
        <row r="9029">
          <cell r="A9029">
            <v>2019</v>
          </cell>
          <cell r="B9029" t="str">
            <v>Budget</v>
          </cell>
          <cell r="C9029" t="str">
            <v>Sep</v>
          </cell>
          <cell r="D9029" t="str">
            <v>Chairs</v>
          </cell>
          <cell r="E9029">
            <v>5816843.4169999994</v>
          </cell>
          <cell r="F9029">
            <v>9</v>
          </cell>
        </row>
        <row r="9030">
          <cell r="A9030">
            <v>2018</v>
          </cell>
          <cell r="B9030" t="str">
            <v>Actual</v>
          </cell>
          <cell r="C9030" t="str">
            <v>Sep</v>
          </cell>
          <cell r="D9030" t="str">
            <v>Chairs</v>
          </cell>
          <cell r="E9030">
            <v>53947.593000000001</v>
          </cell>
          <cell r="F9030">
            <v>9</v>
          </cell>
        </row>
        <row r="9031">
          <cell r="A9031">
            <v>2019</v>
          </cell>
          <cell r="B9031" t="str">
            <v>Budget</v>
          </cell>
          <cell r="C9031" t="str">
            <v>Sep</v>
          </cell>
          <cell r="D9031" t="str">
            <v>Tables</v>
          </cell>
          <cell r="E9031">
            <v>76361.200999999986</v>
          </cell>
          <cell r="F9031">
            <v>9</v>
          </cell>
        </row>
        <row r="9032">
          <cell r="A9032">
            <v>2019</v>
          </cell>
          <cell r="B9032" t="str">
            <v>Actual</v>
          </cell>
          <cell r="C9032" t="str">
            <v>Sep</v>
          </cell>
          <cell r="D9032" t="str">
            <v>Kitchen</v>
          </cell>
          <cell r="E9032">
            <v>4997.5450000000001</v>
          </cell>
          <cell r="F9032">
            <v>9</v>
          </cell>
        </row>
        <row r="9033">
          <cell r="A9033">
            <v>2019</v>
          </cell>
          <cell r="B9033" t="str">
            <v>Budget</v>
          </cell>
          <cell r="C9033" t="str">
            <v>Sep</v>
          </cell>
          <cell r="D9033" t="str">
            <v>Chairs</v>
          </cell>
          <cell r="E9033">
            <v>31962.553</v>
          </cell>
          <cell r="F9033">
            <v>9</v>
          </cell>
        </row>
        <row r="9034">
          <cell r="A9034">
            <v>2019</v>
          </cell>
          <cell r="B9034" t="str">
            <v>Actual</v>
          </cell>
          <cell r="C9034" t="str">
            <v>Sep</v>
          </cell>
          <cell r="D9034" t="str">
            <v>Chairs</v>
          </cell>
          <cell r="E9034">
            <v>23822.406999999999</v>
          </cell>
          <cell r="F9034">
            <v>9</v>
          </cell>
        </row>
        <row r="9035">
          <cell r="A9035">
            <v>2019</v>
          </cell>
          <cell r="B9035" t="str">
            <v>Budget</v>
          </cell>
          <cell r="C9035" t="str">
            <v>Sep</v>
          </cell>
          <cell r="D9035" t="str">
            <v>Chairs</v>
          </cell>
          <cell r="E9035">
            <v>45048.478999999999</v>
          </cell>
          <cell r="F9035">
            <v>9</v>
          </cell>
        </row>
        <row r="9036">
          <cell r="A9036">
            <v>2019</v>
          </cell>
          <cell r="B9036" t="str">
            <v>Actual</v>
          </cell>
          <cell r="C9036" t="str">
            <v>Sep</v>
          </cell>
          <cell r="D9036" t="str">
            <v>Tables</v>
          </cell>
          <cell r="E9036">
            <v>33142.514999999999</v>
          </cell>
          <cell r="F9036">
            <v>9</v>
          </cell>
        </row>
        <row r="9037">
          <cell r="A9037">
            <v>2019</v>
          </cell>
          <cell r="B9037" t="str">
            <v>Budget</v>
          </cell>
          <cell r="C9037" t="str">
            <v>Sep</v>
          </cell>
          <cell r="D9037" t="str">
            <v>Kitchen</v>
          </cell>
          <cell r="E9037">
            <v>60744.354999999989</v>
          </cell>
          <cell r="F9037">
            <v>9</v>
          </cell>
        </row>
        <row r="9038">
          <cell r="A9038">
            <v>2019</v>
          </cell>
          <cell r="B9038" t="str">
            <v>Actual</v>
          </cell>
          <cell r="C9038" t="str">
            <v>Sep</v>
          </cell>
          <cell r="D9038" t="str">
            <v>Chairs</v>
          </cell>
          <cell r="E9038">
            <v>8982.6869999999999</v>
          </cell>
          <cell r="F9038">
            <v>9</v>
          </cell>
        </row>
        <row r="9039">
          <cell r="A9039">
            <v>2018</v>
          </cell>
          <cell r="B9039" t="str">
            <v>Budget</v>
          </cell>
          <cell r="C9039" t="str">
            <v>Sep</v>
          </cell>
          <cell r="D9039" t="str">
            <v>Chairs</v>
          </cell>
          <cell r="E9039">
            <v>60225.466</v>
          </cell>
          <cell r="F9039">
            <v>9</v>
          </cell>
        </row>
        <row r="9040">
          <cell r="A9040">
            <v>2019</v>
          </cell>
          <cell r="B9040" t="str">
            <v>Actual</v>
          </cell>
          <cell r="C9040" t="str">
            <v>Sep</v>
          </cell>
          <cell r="D9040" t="str">
            <v>Tables</v>
          </cell>
          <cell r="E9040">
            <v>66639.243999999992</v>
          </cell>
          <cell r="F9040">
            <v>9</v>
          </cell>
        </row>
        <row r="9041">
          <cell r="A9041">
            <v>2019</v>
          </cell>
          <cell r="B9041" t="str">
            <v>Budget</v>
          </cell>
          <cell r="C9041" t="str">
            <v>Sep</v>
          </cell>
          <cell r="D9041" t="str">
            <v>Kitchen</v>
          </cell>
          <cell r="E9041">
            <v>2696.5889999999999</v>
          </cell>
          <cell r="F9041">
            <v>9</v>
          </cell>
        </row>
        <row r="9042">
          <cell r="A9042">
            <v>2019</v>
          </cell>
          <cell r="B9042" t="str">
            <v>Actual</v>
          </cell>
          <cell r="C9042" t="str">
            <v>Sep</v>
          </cell>
          <cell r="D9042" t="str">
            <v>Chairs</v>
          </cell>
          <cell r="E9042">
            <v>4181348.199</v>
          </cell>
          <cell r="F9042">
            <v>9</v>
          </cell>
        </row>
        <row r="9043">
          <cell r="A9043">
            <v>2018</v>
          </cell>
          <cell r="B9043" t="str">
            <v>Budget</v>
          </cell>
          <cell r="C9043" t="str">
            <v>Sep</v>
          </cell>
          <cell r="D9043" t="str">
            <v>Chairs</v>
          </cell>
          <cell r="E9043">
            <v>2084705.0629999998</v>
          </cell>
          <cell r="F9043">
            <v>9</v>
          </cell>
        </row>
        <row r="9044">
          <cell r="A9044">
            <v>2019</v>
          </cell>
          <cell r="B9044" t="str">
            <v>Actual</v>
          </cell>
          <cell r="C9044" t="str">
            <v>Sep</v>
          </cell>
          <cell r="D9044" t="str">
            <v>Chairs</v>
          </cell>
          <cell r="E9044">
            <v>266325.22699999996</v>
          </cell>
          <cell r="F9044">
            <v>9</v>
          </cell>
        </row>
        <row r="9045">
          <cell r="A9045">
            <v>2019</v>
          </cell>
          <cell r="B9045" t="str">
            <v>Budget</v>
          </cell>
          <cell r="C9045" t="str">
            <v>Sep</v>
          </cell>
          <cell r="D9045" t="str">
            <v>Tables</v>
          </cell>
          <cell r="E9045">
            <v>1519165.3049999999</v>
          </cell>
          <cell r="F9045">
            <v>9</v>
          </cell>
        </row>
        <row r="9046">
          <cell r="A9046">
            <v>2019</v>
          </cell>
          <cell r="B9046" t="str">
            <v>Actual</v>
          </cell>
          <cell r="C9046" t="str">
            <v>Sep</v>
          </cell>
          <cell r="D9046" t="str">
            <v>Kitchen</v>
          </cell>
          <cell r="E9046">
            <v>83231.106</v>
          </cell>
          <cell r="F9046">
            <v>9</v>
          </cell>
        </row>
        <row r="9047">
          <cell r="A9047">
            <v>2018</v>
          </cell>
          <cell r="B9047" t="str">
            <v>Budget</v>
          </cell>
          <cell r="C9047" t="str">
            <v>Sep</v>
          </cell>
          <cell r="D9047" t="str">
            <v>Accessories</v>
          </cell>
          <cell r="E9047">
            <v>149212.41999999998</v>
          </cell>
          <cell r="F9047">
            <v>9</v>
          </cell>
        </row>
        <row r="9048">
          <cell r="A9048">
            <v>2018</v>
          </cell>
          <cell r="B9048" t="str">
            <v>Actual</v>
          </cell>
          <cell r="C9048" t="str">
            <v>Sep</v>
          </cell>
          <cell r="D9048" t="str">
            <v>Chairs</v>
          </cell>
          <cell r="E9048">
            <v>543861.28299999994</v>
          </cell>
          <cell r="F9048">
            <v>9</v>
          </cell>
        </row>
        <row r="9049">
          <cell r="A9049">
            <v>2019</v>
          </cell>
          <cell r="B9049" t="str">
            <v>Budget</v>
          </cell>
          <cell r="C9049" t="str">
            <v>Sep</v>
          </cell>
          <cell r="D9049" t="str">
            <v>Tables</v>
          </cell>
          <cell r="E9049">
            <v>209350.30899999998</v>
          </cell>
          <cell r="F9049">
            <v>9</v>
          </cell>
        </row>
        <row r="9050">
          <cell r="A9050">
            <v>2018</v>
          </cell>
          <cell r="B9050" t="str">
            <v>Actual</v>
          </cell>
          <cell r="C9050" t="str">
            <v>Sep</v>
          </cell>
          <cell r="D9050" t="str">
            <v>Kitchen</v>
          </cell>
          <cell r="E9050">
            <v>5816.8460000000005</v>
          </cell>
          <cell r="F9050">
            <v>9</v>
          </cell>
        </row>
        <row r="9051">
          <cell r="A9051">
            <v>2019</v>
          </cell>
          <cell r="B9051" t="str">
            <v>Budget</v>
          </cell>
          <cell r="C9051" t="str">
            <v>Sep</v>
          </cell>
          <cell r="D9051" t="str">
            <v>Accessories</v>
          </cell>
          <cell r="E9051">
            <v>-211.72900000000001</v>
          </cell>
          <cell r="F9051">
            <v>9</v>
          </cell>
        </row>
        <row r="9052">
          <cell r="A9052">
            <v>2018</v>
          </cell>
          <cell r="B9052" t="str">
            <v>Actual</v>
          </cell>
          <cell r="C9052" t="str">
            <v>Sep</v>
          </cell>
          <cell r="D9052" t="str">
            <v>Chairs</v>
          </cell>
          <cell r="E9052">
            <v>228707.21300000002</v>
          </cell>
          <cell r="F9052">
            <v>9</v>
          </cell>
        </row>
        <row r="9053">
          <cell r="A9053">
            <v>2018</v>
          </cell>
          <cell r="B9053" t="str">
            <v>Budget</v>
          </cell>
          <cell r="C9053" t="str">
            <v>Sep</v>
          </cell>
          <cell r="D9053" t="str">
            <v>Tables</v>
          </cell>
          <cell r="E9053">
            <v>1720543.4959999998</v>
          </cell>
          <cell r="F9053">
            <v>9</v>
          </cell>
        </row>
        <row r="9054">
          <cell r="A9054">
            <v>2018</v>
          </cell>
          <cell r="B9054" t="str">
            <v>Actual</v>
          </cell>
          <cell r="C9054" t="str">
            <v>Sep</v>
          </cell>
          <cell r="D9054" t="str">
            <v>Kitchen</v>
          </cell>
          <cell r="E9054">
            <v>191629.72499999998</v>
          </cell>
          <cell r="F9054">
            <v>9</v>
          </cell>
        </row>
        <row r="9055">
          <cell r="A9055">
            <v>2019</v>
          </cell>
          <cell r="B9055" t="str">
            <v>Budget</v>
          </cell>
          <cell r="C9055" t="str">
            <v>Sep</v>
          </cell>
          <cell r="D9055" t="str">
            <v>Accessories</v>
          </cell>
          <cell r="E9055">
            <v>1616378.9109999998</v>
          </cell>
          <cell r="F9055">
            <v>9</v>
          </cell>
        </row>
        <row r="9056">
          <cell r="A9056">
            <v>2019</v>
          </cell>
          <cell r="B9056" t="str">
            <v>Actual</v>
          </cell>
          <cell r="C9056" t="str">
            <v>Sep</v>
          </cell>
          <cell r="D9056" t="str">
            <v>Chairs</v>
          </cell>
          <cell r="E9056">
            <v>1924299.4539999999</v>
          </cell>
          <cell r="F9056">
            <v>9</v>
          </cell>
        </row>
        <row r="9057">
          <cell r="A9057">
            <v>2018</v>
          </cell>
          <cell r="B9057" t="str">
            <v>Budget</v>
          </cell>
          <cell r="C9057" t="str">
            <v>Sep</v>
          </cell>
          <cell r="D9057" t="str">
            <v>Tables</v>
          </cell>
          <cell r="E9057">
            <v>3808071.8339999998</v>
          </cell>
          <cell r="F9057">
            <v>9</v>
          </cell>
        </row>
        <row r="9058">
          <cell r="A9058">
            <v>2018</v>
          </cell>
          <cell r="B9058" t="str">
            <v>Actual</v>
          </cell>
          <cell r="C9058" t="str">
            <v>Sep</v>
          </cell>
          <cell r="D9058" t="str">
            <v>Kitchen</v>
          </cell>
          <cell r="E9058">
            <v>-18747.490999999998</v>
          </cell>
          <cell r="F9058">
            <v>9</v>
          </cell>
        </row>
        <row r="9059">
          <cell r="A9059">
            <v>2018</v>
          </cell>
          <cell r="B9059" t="str">
            <v>Budget</v>
          </cell>
          <cell r="C9059" t="str">
            <v>Sep</v>
          </cell>
          <cell r="D9059" t="str">
            <v>Accessories</v>
          </cell>
          <cell r="E9059">
            <v>-17840.297999999999</v>
          </cell>
          <cell r="F9059">
            <v>9</v>
          </cell>
        </row>
        <row r="9060">
          <cell r="A9060">
            <v>2019</v>
          </cell>
          <cell r="B9060" t="str">
            <v>Actual</v>
          </cell>
          <cell r="C9060" t="str">
            <v>Sep</v>
          </cell>
          <cell r="D9060" t="str">
            <v>Chairs</v>
          </cell>
          <cell r="E9060">
            <v>36506.917999999998</v>
          </cell>
          <cell r="F9060">
            <v>9</v>
          </cell>
        </row>
        <row r="9061">
          <cell r="A9061">
            <v>2019</v>
          </cell>
          <cell r="B9061" t="str">
            <v>Budget</v>
          </cell>
          <cell r="C9061" t="str">
            <v>Sep</v>
          </cell>
          <cell r="D9061" t="str">
            <v>Chairs</v>
          </cell>
          <cell r="E9061">
            <v>321311.56400000001</v>
          </cell>
          <cell r="F9061">
            <v>9</v>
          </cell>
        </row>
        <row r="9062">
          <cell r="A9062">
            <v>2019</v>
          </cell>
          <cell r="B9062" t="str">
            <v>Actual</v>
          </cell>
          <cell r="C9062" t="str">
            <v>Sep</v>
          </cell>
          <cell r="D9062" t="str">
            <v>Tables</v>
          </cell>
          <cell r="E9062">
            <v>65938.656000000003</v>
          </cell>
          <cell r="F9062">
            <v>9</v>
          </cell>
        </row>
        <row r="9063">
          <cell r="A9063">
            <v>2019</v>
          </cell>
          <cell r="B9063" t="str">
            <v>Budget</v>
          </cell>
          <cell r="C9063" t="str">
            <v>Sep</v>
          </cell>
          <cell r="D9063" t="str">
            <v>Kitchen</v>
          </cell>
          <cell r="E9063">
            <v>29795.191999999995</v>
          </cell>
          <cell r="F9063">
            <v>9</v>
          </cell>
        </row>
        <row r="9064">
          <cell r="A9064">
            <v>2018</v>
          </cell>
          <cell r="B9064" t="str">
            <v>Actual</v>
          </cell>
          <cell r="C9064" t="str">
            <v>Sep</v>
          </cell>
          <cell r="D9064" t="str">
            <v>Chairs</v>
          </cell>
          <cell r="E9064">
            <v>290432.09999999998</v>
          </cell>
          <cell r="F9064">
            <v>9</v>
          </cell>
        </row>
        <row r="9065">
          <cell r="A9065">
            <v>2019</v>
          </cell>
          <cell r="B9065" t="str">
            <v>Budget</v>
          </cell>
          <cell r="C9065" t="str">
            <v>Sep</v>
          </cell>
          <cell r="D9065" t="str">
            <v>Tables</v>
          </cell>
          <cell r="E9065">
            <v>92125.782000000007</v>
          </cell>
          <cell r="F9065">
            <v>9</v>
          </cell>
        </row>
        <row r="9066">
          <cell r="A9066">
            <v>2019</v>
          </cell>
          <cell r="B9066" t="str">
            <v>Actual</v>
          </cell>
          <cell r="C9066" t="str">
            <v>Sep</v>
          </cell>
          <cell r="D9066" t="str">
            <v>Kitchen</v>
          </cell>
          <cell r="E9066">
            <v>519115.42199999996</v>
          </cell>
          <cell r="F9066">
            <v>9</v>
          </cell>
        </row>
        <row r="9067">
          <cell r="A9067">
            <v>2019</v>
          </cell>
          <cell r="B9067" t="str">
            <v>Budget</v>
          </cell>
          <cell r="C9067" t="str">
            <v>Sep</v>
          </cell>
          <cell r="D9067" t="str">
            <v>Chairs</v>
          </cell>
          <cell r="E9067">
            <v>568583.14099999995</v>
          </cell>
          <cell r="F9067">
            <v>9</v>
          </cell>
        </row>
        <row r="9068">
          <cell r="A9068">
            <v>2018</v>
          </cell>
          <cell r="B9068" t="str">
            <v>Actual</v>
          </cell>
          <cell r="C9068" t="str">
            <v>Sep</v>
          </cell>
          <cell r="D9068" t="str">
            <v>Tables</v>
          </cell>
          <cell r="E9068">
            <v>-11976.082999999999</v>
          </cell>
          <cell r="F9068">
            <v>9</v>
          </cell>
        </row>
        <row r="9069">
          <cell r="A9069">
            <v>2018</v>
          </cell>
          <cell r="B9069" t="str">
            <v>Budget</v>
          </cell>
          <cell r="C9069" t="str">
            <v>Sep</v>
          </cell>
          <cell r="D9069" t="str">
            <v>Kitchen</v>
          </cell>
          <cell r="E9069">
            <v>133291.19999999998</v>
          </cell>
          <cell r="F9069">
            <v>9</v>
          </cell>
        </row>
        <row r="9070">
          <cell r="A9070">
            <v>2019</v>
          </cell>
          <cell r="B9070" t="str">
            <v>Actual</v>
          </cell>
          <cell r="C9070" t="str">
            <v>Sep</v>
          </cell>
          <cell r="D9070" t="str">
            <v>Chairs</v>
          </cell>
          <cell r="E9070">
            <v>287468.71299999999</v>
          </cell>
          <cell r="F9070">
            <v>9</v>
          </cell>
        </row>
        <row r="9071">
          <cell r="A9071">
            <v>2019</v>
          </cell>
          <cell r="B9071" t="str">
            <v>Budget</v>
          </cell>
          <cell r="C9071" t="str">
            <v>Sep</v>
          </cell>
          <cell r="D9071" t="str">
            <v>Chairs</v>
          </cell>
          <cell r="E9071">
            <v>147913.486</v>
          </cell>
          <cell r="F9071">
            <v>9</v>
          </cell>
        </row>
        <row r="9072">
          <cell r="A9072">
            <v>2018</v>
          </cell>
          <cell r="B9072" t="str">
            <v>Actual</v>
          </cell>
          <cell r="C9072" t="str">
            <v>Sep</v>
          </cell>
          <cell r="D9072" t="str">
            <v>Chairs</v>
          </cell>
          <cell r="E9072">
            <v>247447.71099999998</v>
          </cell>
          <cell r="F9072">
            <v>9</v>
          </cell>
        </row>
        <row r="9073">
          <cell r="A9073">
            <v>2018</v>
          </cell>
          <cell r="B9073" t="str">
            <v>Budget</v>
          </cell>
          <cell r="C9073" t="str">
            <v>Sep</v>
          </cell>
          <cell r="D9073" t="str">
            <v>Chairs</v>
          </cell>
          <cell r="E9073">
            <v>146266.43499999997</v>
          </cell>
          <cell r="F9073">
            <v>9</v>
          </cell>
        </row>
        <row r="9074">
          <cell r="A9074">
            <v>2018</v>
          </cell>
          <cell r="B9074" t="str">
            <v>Actual</v>
          </cell>
          <cell r="C9074" t="str">
            <v>Sep</v>
          </cell>
          <cell r="D9074" t="str">
            <v>Chairs</v>
          </cell>
          <cell r="E9074">
            <v>131931.394</v>
          </cell>
          <cell r="F9074">
            <v>9</v>
          </cell>
        </row>
        <row r="9075">
          <cell r="A9075">
            <v>2019</v>
          </cell>
          <cell r="B9075" t="str">
            <v>Budget</v>
          </cell>
          <cell r="C9075" t="str">
            <v>Sep</v>
          </cell>
          <cell r="D9075" t="str">
            <v>Chairs</v>
          </cell>
          <cell r="E9075">
            <v>166681.19999999998</v>
          </cell>
          <cell r="F9075">
            <v>9</v>
          </cell>
        </row>
        <row r="9076">
          <cell r="A9076">
            <v>2019</v>
          </cell>
          <cell r="B9076" t="str">
            <v>Actual</v>
          </cell>
          <cell r="C9076" t="str">
            <v>Sep</v>
          </cell>
          <cell r="D9076" t="str">
            <v>Chairs</v>
          </cell>
          <cell r="E9076">
            <v>-358.38599999999997</v>
          </cell>
          <cell r="F9076">
            <v>9</v>
          </cell>
        </row>
        <row r="9077">
          <cell r="A9077">
            <v>2018</v>
          </cell>
          <cell r="B9077" t="str">
            <v>Budget</v>
          </cell>
          <cell r="C9077" t="str">
            <v>Sep</v>
          </cell>
          <cell r="D9077" t="str">
            <v>Chairs</v>
          </cell>
          <cell r="E9077">
            <v>-208.124</v>
          </cell>
          <cell r="F9077">
            <v>9</v>
          </cell>
        </row>
        <row r="9078">
          <cell r="A9078">
            <v>2019</v>
          </cell>
          <cell r="B9078" t="str">
            <v>Actual</v>
          </cell>
          <cell r="C9078" t="str">
            <v>Sep</v>
          </cell>
          <cell r="D9078" t="str">
            <v>Chairs</v>
          </cell>
          <cell r="E9078">
            <v>-453.28499999999991</v>
          </cell>
          <cell r="F9078">
            <v>9</v>
          </cell>
        </row>
        <row r="9079">
          <cell r="A9079">
            <v>2019</v>
          </cell>
          <cell r="B9079" t="str">
            <v>Budget</v>
          </cell>
          <cell r="C9079" t="str">
            <v>Sep</v>
          </cell>
          <cell r="D9079" t="str">
            <v>Chairs</v>
          </cell>
          <cell r="E9079">
            <v>397451.38299999991</v>
          </cell>
          <cell r="F9079">
            <v>9</v>
          </cell>
        </row>
        <row r="9080">
          <cell r="A9080">
            <v>2019</v>
          </cell>
          <cell r="B9080" t="str">
            <v>Actual</v>
          </cell>
          <cell r="C9080" t="str">
            <v>Sep</v>
          </cell>
          <cell r="D9080" t="str">
            <v>Chairs</v>
          </cell>
          <cell r="E9080">
            <v>139665.533</v>
          </cell>
          <cell r="F9080">
            <v>9</v>
          </cell>
        </row>
        <row r="9081">
          <cell r="A9081">
            <v>2018</v>
          </cell>
          <cell r="B9081" t="str">
            <v>Budget</v>
          </cell>
          <cell r="C9081" t="str">
            <v>Sep</v>
          </cell>
          <cell r="D9081" t="str">
            <v>Chairs</v>
          </cell>
          <cell r="E9081">
            <v>84611.120999999999</v>
          </cell>
          <cell r="F9081">
            <v>9</v>
          </cell>
        </row>
        <row r="9082">
          <cell r="A9082">
            <v>2019</v>
          </cell>
          <cell r="B9082" t="str">
            <v>Actual</v>
          </cell>
          <cell r="C9082" t="str">
            <v>Sep</v>
          </cell>
          <cell r="D9082" t="str">
            <v>Chairs</v>
          </cell>
          <cell r="E9082">
            <v>644690.08099999989</v>
          </cell>
          <cell r="F9082">
            <v>9</v>
          </cell>
        </row>
        <row r="9083">
          <cell r="A9083">
            <v>2018</v>
          </cell>
          <cell r="B9083" t="str">
            <v>Budget</v>
          </cell>
          <cell r="C9083" t="str">
            <v>Sep</v>
          </cell>
          <cell r="D9083" t="str">
            <v>Chairs</v>
          </cell>
          <cell r="E9083">
            <v>34046.508999999998</v>
          </cell>
          <cell r="F9083">
            <v>9</v>
          </cell>
        </row>
        <row r="9084">
          <cell r="A9084">
            <v>2018</v>
          </cell>
          <cell r="B9084" t="str">
            <v>Actual</v>
          </cell>
          <cell r="C9084" t="str">
            <v>Sep</v>
          </cell>
          <cell r="D9084" t="str">
            <v>Chairs</v>
          </cell>
          <cell r="E9084">
            <v>207583.92899999997</v>
          </cell>
          <cell r="F9084">
            <v>9</v>
          </cell>
        </row>
        <row r="9085">
          <cell r="A9085">
            <v>2019</v>
          </cell>
          <cell r="B9085" t="str">
            <v>Budget</v>
          </cell>
          <cell r="C9085" t="str">
            <v>Sep</v>
          </cell>
          <cell r="D9085" t="str">
            <v>Chairs</v>
          </cell>
          <cell r="E9085">
            <v>434817.16599999997</v>
          </cell>
          <cell r="F9085">
            <v>9</v>
          </cell>
        </row>
        <row r="9086">
          <cell r="A9086">
            <v>2019</v>
          </cell>
          <cell r="B9086" t="str">
            <v>Actual</v>
          </cell>
          <cell r="C9086" t="str">
            <v>Sep</v>
          </cell>
          <cell r="D9086" t="str">
            <v>Chairs</v>
          </cell>
          <cell r="E9086">
            <v>198983.239</v>
          </cell>
          <cell r="F9086">
            <v>9</v>
          </cell>
        </row>
        <row r="9087">
          <cell r="A9087">
            <v>2019</v>
          </cell>
          <cell r="B9087" t="str">
            <v>Budget</v>
          </cell>
          <cell r="C9087" t="str">
            <v>Sep</v>
          </cell>
          <cell r="D9087" t="str">
            <v>Chairs</v>
          </cell>
          <cell r="E9087">
            <v>117074.62199999999</v>
          </cell>
          <cell r="F9087">
            <v>9</v>
          </cell>
        </row>
        <row r="9088">
          <cell r="A9088">
            <v>2019</v>
          </cell>
          <cell r="B9088" t="str">
            <v>Actual</v>
          </cell>
          <cell r="C9088" t="str">
            <v>Sep</v>
          </cell>
          <cell r="D9088" t="str">
            <v>Chairs</v>
          </cell>
          <cell r="E9088">
            <v>511783.06199999998</v>
          </cell>
          <cell r="F9088">
            <v>9</v>
          </cell>
        </row>
        <row r="9089">
          <cell r="A9089">
            <v>2018</v>
          </cell>
          <cell r="B9089" t="str">
            <v>Budget</v>
          </cell>
          <cell r="C9089" t="str">
            <v>Sep</v>
          </cell>
          <cell r="D9089" t="str">
            <v>Chairs</v>
          </cell>
          <cell r="E9089">
            <v>25427.136000000002</v>
          </cell>
          <cell r="F9089">
            <v>9</v>
          </cell>
        </row>
        <row r="9090">
          <cell r="A9090">
            <v>2019</v>
          </cell>
          <cell r="B9090" t="str">
            <v>Actual</v>
          </cell>
          <cell r="C9090" t="str">
            <v>Sep</v>
          </cell>
          <cell r="D9090" t="str">
            <v>Chairs</v>
          </cell>
          <cell r="E9090">
            <v>432999.06999999995</v>
          </cell>
          <cell r="F9090">
            <v>9</v>
          </cell>
        </row>
        <row r="9091">
          <cell r="A9091">
            <v>2018</v>
          </cell>
          <cell r="B9091" t="str">
            <v>Budget</v>
          </cell>
          <cell r="C9091" t="str">
            <v>Sep</v>
          </cell>
          <cell r="D9091" t="str">
            <v>Chairs</v>
          </cell>
          <cell r="E9091">
            <v>84229.270999999993</v>
          </cell>
          <cell r="F9091">
            <v>9</v>
          </cell>
        </row>
        <row r="9092">
          <cell r="A9092">
            <v>2019</v>
          </cell>
          <cell r="B9092" t="str">
            <v>Actual</v>
          </cell>
          <cell r="C9092" t="str">
            <v>Sep</v>
          </cell>
          <cell r="D9092" t="str">
            <v>Chairs</v>
          </cell>
          <cell r="E9092">
            <v>208611.389</v>
          </cell>
          <cell r="F9092">
            <v>9</v>
          </cell>
        </row>
        <row r="9093">
          <cell r="A9093">
            <v>2018</v>
          </cell>
          <cell r="B9093" t="str">
            <v>Budget</v>
          </cell>
          <cell r="C9093" t="str">
            <v>Sep</v>
          </cell>
          <cell r="D9093" t="str">
            <v>Chairs</v>
          </cell>
          <cell r="E9093">
            <v>136110.36600000001</v>
          </cell>
          <cell r="F9093">
            <v>9</v>
          </cell>
        </row>
        <row r="9094">
          <cell r="A9094">
            <v>2019</v>
          </cell>
          <cell r="B9094" t="str">
            <v>Actual</v>
          </cell>
          <cell r="C9094" t="str">
            <v>Sep</v>
          </cell>
          <cell r="D9094" t="str">
            <v>Chairs</v>
          </cell>
          <cell r="E9094">
            <v>172949.77</v>
          </cell>
          <cell r="F9094">
            <v>9</v>
          </cell>
        </row>
        <row r="9095">
          <cell r="A9095">
            <v>2018</v>
          </cell>
          <cell r="B9095" t="str">
            <v>Budget</v>
          </cell>
          <cell r="C9095" t="str">
            <v>Sep</v>
          </cell>
          <cell r="D9095" t="str">
            <v>Chairs</v>
          </cell>
          <cell r="E9095">
            <v>75571.978999999992</v>
          </cell>
          <cell r="F9095">
            <v>9</v>
          </cell>
        </row>
        <row r="9096">
          <cell r="A9096">
            <v>2018</v>
          </cell>
          <cell r="B9096" t="str">
            <v>Actual</v>
          </cell>
          <cell r="C9096" t="str">
            <v>Sep</v>
          </cell>
          <cell r="D9096" t="str">
            <v>Tables</v>
          </cell>
          <cell r="E9096">
            <v>41268.324999999997</v>
          </cell>
          <cell r="F9096">
            <v>9</v>
          </cell>
        </row>
        <row r="9097">
          <cell r="A9097">
            <v>2018</v>
          </cell>
          <cell r="B9097" t="str">
            <v>Budget</v>
          </cell>
          <cell r="C9097" t="str">
            <v>Sep</v>
          </cell>
          <cell r="D9097" t="str">
            <v>Kitchen</v>
          </cell>
          <cell r="E9097">
            <v>407234.54099999997</v>
          </cell>
          <cell r="F9097">
            <v>9</v>
          </cell>
        </row>
        <row r="9098">
          <cell r="A9098">
            <v>2018</v>
          </cell>
          <cell r="B9098" t="str">
            <v>Actual</v>
          </cell>
          <cell r="C9098" t="str">
            <v>Sep</v>
          </cell>
          <cell r="D9098" t="str">
            <v>Chairs</v>
          </cell>
          <cell r="E9098">
            <v>34730.36</v>
          </cell>
          <cell r="F9098">
            <v>9</v>
          </cell>
        </row>
        <row r="9099">
          <cell r="A9099">
            <v>2019</v>
          </cell>
          <cell r="B9099" t="str">
            <v>Budget</v>
          </cell>
          <cell r="C9099" t="str">
            <v>Sep</v>
          </cell>
          <cell r="D9099" t="str">
            <v>Chairs</v>
          </cell>
          <cell r="E9099">
            <v>656930.98099999991</v>
          </cell>
          <cell r="F9099">
            <v>9</v>
          </cell>
        </row>
        <row r="9100">
          <cell r="A9100">
            <v>2019</v>
          </cell>
          <cell r="B9100" t="str">
            <v>Actual</v>
          </cell>
          <cell r="C9100" t="str">
            <v>Sep</v>
          </cell>
          <cell r="D9100" t="str">
            <v>Chairs</v>
          </cell>
          <cell r="E9100">
            <v>140453.57199999999</v>
          </cell>
          <cell r="F9100">
            <v>9</v>
          </cell>
        </row>
        <row r="9101">
          <cell r="A9101">
            <v>2019</v>
          </cell>
          <cell r="B9101" t="str">
            <v>Budget</v>
          </cell>
          <cell r="C9101" t="str">
            <v>Sep</v>
          </cell>
          <cell r="D9101" t="str">
            <v>Chairs</v>
          </cell>
          <cell r="E9101">
            <v>151697.133</v>
          </cell>
          <cell r="F9101">
            <v>9</v>
          </cell>
        </row>
        <row r="9102">
          <cell r="A9102">
            <v>2018</v>
          </cell>
          <cell r="B9102" t="str">
            <v>Actual</v>
          </cell>
          <cell r="C9102" t="str">
            <v>Sep</v>
          </cell>
          <cell r="D9102" t="str">
            <v>Chairs</v>
          </cell>
          <cell r="E9102">
            <v>15700.033999999998</v>
          </cell>
          <cell r="F9102">
            <v>9</v>
          </cell>
        </row>
        <row r="9103">
          <cell r="A9103">
            <v>2019</v>
          </cell>
          <cell r="B9103" t="str">
            <v>Budget</v>
          </cell>
          <cell r="C9103" t="str">
            <v>Sep</v>
          </cell>
          <cell r="D9103" t="str">
            <v>Tables</v>
          </cell>
          <cell r="E9103">
            <v>373801.70799999993</v>
          </cell>
          <cell r="F9103">
            <v>9</v>
          </cell>
        </row>
        <row r="9104">
          <cell r="A9104">
            <v>2019</v>
          </cell>
          <cell r="B9104" t="str">
            <v>Actual</v>
          </cell>
          <cell r="C9104" t="str">
            <v>Sep</v>
          </cell>
          <cell r="D9104" t="str">
            <v>Kitchen</v>
          </cell>
          <cell r="E9104">
            <v>1069137.013</v>
          </cell>
          <cell r="F9104">
            <v>9</v>
          </cell>
        </row>
        <row r="9105">
          <cell r="A9105">
            <v>2019</v>
          </cell>
          <cell r="B9105" t="str">
            <v>Budget</v>
          </cell>
          <cell r="C9105" t="str">
            <v>Sep</v>
          </cell>
          <cell r="D9105" t="str">
            <v>Chairs</v>
          </cell>
          <cell r="E9105">
            <v>4865.21</v>
          </cell>
          <cell r="F9105">
            <v>9</v>
          </cell>
        </row>
        <row r="9106">
          <cell r="A9106">
            <v>2019</v>
          </cell>
          <cell r="B9106" t="str">
            <v>Actual</v>
          </cell>
          <cell r="C9106" t="str">
            <v>Sep</v>
          </cell>
          <cell r="D9106" t="str">
            <v>Chairs</v>
          </cell>
          <cell r="E9106">
            <v>1446733.246</v>
          </cell>
          <cell r="F9106">
            <v>9</v>
          </cell>
        </row>
        <row r="9107">
          <cell r="A9107">
            <v>2019</v>
          </cell>
          <cell r="B9107" t="str">
            <v>Budget</v>
          </cell>
          <cell r="C9107" t="str">
            <v>Sep</v>
          </cell>
          <cell r="D9107" t="str">
            <v>Chairs</v>
          </cell>
          <cell r="E9107">
            <v>539332.96900000004</v>
          </cell>
          <cell r="F9107">
            <v>9</v>
          </cell>
        </row>
        <row r="9108">
          <cell r="A9108">
            <v>2019</v>
          </cell>
          <cell r="B9108" t="str">
            <v>Actual</v>
          </cell>
          <cell r="C9108" t="str">
            <v>Sep</v>
          </cell>
          <cell r="D9108" t="str">
            <v>Tables</v>
          </cell>
          <cell r="E9108">
            <v>30167.878999999997</v>
          </cell>
          <cell r="F9108">
            <v>9</v>
          </cell>
        </row>
        <row r="9109">
          <cell r="A9109">
            <v>2019</v>
          </cell>
          <cell r="B9109" t="str">
            <v>Budget</v>
          </cell>
          <cell r="C9109" t="str">
            <v>Sep</v>
          </cell>
          <cell r="D9109" t="str">
            <v>Kitchen</v>
          </cell>
          <cell r="E9109">
            <v>800207.64599999995</v>
          </cell>
          <cell r="F9109">
            <v>9</v>
          </cell>
        </row>
        <row r="9110">
          <cell r="A9110">
            <v>2019</v>
          </cell>
          <cell r="B9110" t="str">
            <v>Actual</v>
          </cell>
          <cell r="C9110" t="str">
            <v>Sep</v>
          </cell>
          <cell r="D9110" t="str">
            <v>Chairs</v>
          </cell>
          <cell r="E9110">
            <v>113004.353</v>
          </cell>
          <cell r="F9110">
            <v>9</v>
          </cell>
        </row>
        <row r="9111">
          <cell r="A9111">
            <v>2018</v>
          </cell>
          <cell r="B9111" t="str">
            <v>Budget</v>
          </cell>
          <cell r="C9111" t="str">
            <v>Sep</v>
          </cell>
          <cell r="D9111" t="str">
            <v>Chairs</v>
          </cell>
          <cell r="E9111">
            <v>733756.45699999994</v>
          </cell>
          <cell r="F9111">
            <v>9</v>
          </cell>
        </row>
        <row r="9112">
          <cell r="A9112">
            <v>2018</v>
          </cell>
          <cell r="B9112" t="str">
            <v>Actual</v>
          </cell>
          <cell r="C9112" t="str">
            <v>Sep</v>
          </cell>
          <cell r="D9112" t="str">
            <v>Tables</v>
          </cell>
          <cell r="E9112">
            <v>126477.344</v>
          </cell>
          <cell r="F9112">
            <v>9</v>
          </cell>
        </row>
        <row r="9113">
          <cell r="A9113">
            <v>2018</v>
          </cell>
          <cell r="B9113" t="str">
            <v>Budget</v>
          </cell>
          <cell r="C9113" t="str">
            <v>Sep</v>
          </cell>
          <cell r="D9113" t="str">
            <v>Kitchen</v>
          </cell>
          <cell r="E9113">
            <v>66431.616999999998</v>
          </cell>
          <cell r="F9113">
            <v>9</v>
          </cell>
        </row>
        <row r="9114">
          <cell r="A9114">
            <v>2019</v>
          </cell>
          <cell r="B9114" t="str">
            <v>Actual</v>
          </cell>
          <cell r="C9114" t="str">
            <v>Sep</v>
          </cell>
          <cell r="D9114" t="str">
            <v>Chairs</v>
          </cell>
          <cell r="E9114">
            <v>407918.04200000002</v>
          </cell>
          <cell r="F9114">
            <v>9</v>
          </cell>
        </row>
        <row r="9115">
          <cell r="A9115">
            <v>2018</v>
          </cell>
          <cell r="B9115" t="str">
            <v>Budget</v>
          </cell>
          <cell r="C9115" t="str">
            <v>Sep</v>
          </cell>
          <cell r="D9115" t="str">
            <v>Chairs</v>
          </cell>
          <cell r="E9115">
            <v>148723.519</v>
          </cell>
          <cell r="F9115">
            <v>9</v>
          </cell>
        </row>
        <row r="9116">
          <cell r="A9116">
            <v>2019</v>
          </cell>
          <cell r="B9116" t="str">
            <v>Actual</v>
          </cell>
          <cell r="C9116" t="str">
            <v>Sep</v>
          </cell>
          <cell r="D9116" t="str">
            <v>Chairs</v>
          </cell>
          <cell r="E9116">
            <v>211931.01300000001</v>
          </cell>
          <cell r="F9116">
            <v>9</v>
          </cell>
        </row>
        <row r="9117">
          <cell r="A9117">
            <v>2018</v>
          </cell>
          <cell r="B9117" t="str">
            <v>Budget</v>
          </cell>
          <cell r="C9117" t="str">
            <v>Sep</v>
          </cell>
          <cell r="D9117" t="str">
            <v>Tables</v>
          </cell>
          <cell r="E9117">
            <v>310616.76099999994</v>
          </cell>
          <cell r="F9117">
            <v>9</v>
          </cell>
        </row>
        <row r="9118">
          <cell r="A9118">
            <v>2019</v>
          </cell>
          <cell r="B9118" t="str">
            <v>Actual</v>
          </cell>
          <cell r="C9118" t="str">
            <v>Sep</v>
          </cell>
          <cell r="D9118" t="str">
            <v>Kitchen</v>
          </cell>
          <cell r="E9118">
            <v>20365.694999999996</v>
          </cell>
          <cell r="F9118">
            <v>9</v>
          </cell>
        </row>
        <row r="9119">
          <cell r="A9119">
            <v>2018</v>
          </cell>
          <cell r="B9119" t="str">
            <v>Budget</v>
          </cell>
          <cell r="C9119" t="str">
            <v>Sep</v>
          </cell>
          <cell r="D9119" t="str">
            <v>Accessories</v>
          </cell>
          <cell r="E9119">
            <v>247190.88099999999</v>
          </cell>
          <cell r="F9119">
            <v>9</v>
          </cell>
        </row>
        <row r="9120">
          <cell r="A9120">
            <v>2019</v>
          </cell>
          <cell r="B9120" t="str">
            <v>Actual</v>
          </cell>
          <cell r="C9120" t="str">
            <v>Sep</v>
          </cell>
          <cell r="D9120" t="str">
            <v>Chairs</v>
          </cell>
          <cell r="E9120">
            <v>107927.30199999998</v>
          </cell>
          <cell r="F9120">
            <v>9</v>
          </cell>
        </row>
        <row r="9121">
          <cell r="A9121">
            <v>2018</v>
          </cell>
          <cell r="B9121" t="str">
            <v>Budget</v>
          </cell>
          <cell r="C9121" t="str">
            <v>Sep</v>
          </cell>
          <cell r="D9121" t="str">
            <v>Tables</v>
          </cell>
          <cell r="E9121">
            <v>13654.753000000001</v>
          </cell>
          <cell r="F9121">
            <v>9</v>
          </cell>
        </row>
        <row r="9122">
          <cell r="A9122">
            <v>2019</v>
          </cell>
          <cell r="B9122" t="str">
            <v>Actual</v>
          </cell>
          <cell r="C9122" t="str">
            <v>Sep</v>
          </cell>
          <cell r="D9122" t="str">
            <v>Kitchen</v>
          </cell>
          <cell r="E9122">
            <v>67581.297000000006</v>
          </cell>
          <cell r="F9122">
            <v>9</v>
          </cell>
        </row>
        <row r="9123">
          <cell r="A9123">
            <v>2018</v>
          </cell>
          <cell r="B9123" t="str">
            <v>Budget</v>
          </cell>
          <cell r="C9123" t="str">
            <v>Sep</v>
          </cell>
          <cell r="D9123" t="str">
            <v>Accessories</v>
          </cell>
          <cell r="E9123">
            <v>525254.22600000002</v>
          </cell>
          <cell r="F9123">
            <v>9</v>
          </cell>
        </row>
        <row r="9124">
          <cell r="A9124">
            <v>2019</v>
          </cell>
          <cell r="B9124" t="str">
            <v>Actual</v>
          </cell>
          <cell r="C9124" t="str">
            <v>Sep</v>
          </cell>
          <cell r="D9124" t="str">
            <v>Chairs</v>
          </cell>
          <cell r="E9124">
            <v>570458.18900000001</v>
          </cell>
          <cell r="F9124">
            <v>9</v>
          </cell>
        </row>
        <row r="9125">
          <cell r="A9125">
            <v>2019</v>
          </cell>
          <cell r="B9125" t="str">
            <v>Budget</v>
          </cell>
          <cell r="C9125" t="str">
            <v>Sep</v>
          </cell>
          <cell r="D9125" t="str">
            <v>Tables</v>
          </cell>
          <cell r="E9125">
            <v>473852.71499999991</v>
          </cell>
          <cell r="F9125">
            <v>9</v>
          </cell>
        </row>
        <row r="9126">
          <cell r="A9126">
            <v>2019</v>
          </cell>
          <cell r="B9126" t="str">
            <v>Actual</v>
          </cell>
          <cell r="C9126" t="str">
            <v>Sep</v>
          </cell>
          <cell r="D9126" t="str">
            <v>Kitchen</v>
          </cell>
          <cell r="E9126">
            <v>292066.11</v>
          </cell>
          <cell r="F9126">
            <v>9</v>
          </cell>
        </row>
        <row r="9127">
          <cell r="A9127">
            <v>2019</v>
          </cell>
          <cell r="B9127" t="str">
            <v>Budget</v>
          </cell>
          <cell r="C9127" t="str">
            <v>Sep</v>
          </cell>
          <cell r="D9127" t="str">
            <v>Accessories</v>
          </cell>
          <cell r="E9127">
            <v>256133.08</v>
          </cell>
          <cell r="F9127">
            <v>9</v>
          </cell>
        </row>
        <row r="9128">
          <cell r="A9128">
            <v>2019</v>
          </cell>
          <cell r="B9128" t="str">
            <v>Actual</v>
          </cell>
          <cell r="C9128" t="str">
            <v>Sep</v>
          </cell>
          <cell r="D9128" t="str">
            <v>Chairs</v>
          </cell>
          <cell r="E9128">
            <v>61758.416999999994</v>
          </cell>
          <cell r="F9128">
            <v>9</v>
          </cell>
        </row>
        <row r="9129">
          <cell r="A9129">
            <v>2019</v>
          </cell>
          <cell r="B9129" t="str">
            <v>Budget</v>
          </cell>
          <cell r="C9129" t="str">
            <v>Sep</v>
          </cell>
          <cell r="D9129" t="str">
            <v>Tables</v>
          </cell>
          <cell r="E9129">
            <v>337188.58599999995</v>
          </cell>
          <cell r="F9129">
            <v>9</v>
          </cell>
        </row>
        <row r="9130">
          <cell r="A9130">
            <v>2018</v>
          </cell>
          <cell r="B9130" t="str">
            <v>Actual</v>
          </cell>
          <cell r="C9130" t="str">
            <v>Sep</v>
          </cell>
          <cell r="D9130" t="str">
            <v>Kitchen</v>
          </cell>
          <cell r="E9130">
            <v>5528791.4009999996</v>
          </cell>
          <cell r="F9130">
            <v>9</v>
          </cell>
        </row>
        <row r="9131">
          <cell r="A9131">
            <v>2019</v>
          </cell>
          <cell r="B9131" t="str">
            <v>Budget</v>
          </cell>
          <cell r="C9131" t="str">
            <v>Sep</v>
          </cell>
          <cell r="D9131" t="str">
            <v>Accessories</v>
          </cell>
          <cell r="E9131">
            <v>570136.59499999997</v>
          </cell>
          <cell r="F9131">
            <v>9</v>
          </cell>
        </row>
        <row r="9132">
          <cell r="A9132">
            <v>2018</v>
          </cell>
          <cell r="B9132" t="str">
            <v>Actual</v>
          </cell>
          <cell r="C9132" t="str">
            <v>Sep</v>
          </cell>
          <cell r="D9132" t="str">
            <v>Chairs</v>
          </cell>
          <cell r="E9132">
            <v>240715.18099999998</v>
          </cell>
          <cell r="F9132">
            <v>9</v>
          </cell>
        </row>
        <row r="9133">
          <cell r="A9133">
            <v>2019</v>
          </cell>
          <cell r="B9133" t="str">
            <v>Budget</v>
          </cell>
          <cell r="C9133" t="str">
            <v>Sep</v>
          </cell>
          <cell r="D9133" t="str">
            <v>Chairs</v>
          </cell>
          <cell r="E9133">
            <v>75832.364999999991</v>
          </cell>
          <cell r="F9133">
            <v>9</v>
          </cell>
        </row>
        <row r="9134">
          <cell r="A9134">
            <v>2019</v>
          </cell>
          <cell r="B9134" t="str">
            <v>Actual</v>
          </cell>
          <cell r="C9134" t="str">
            <v>Sep</v>
          </cell>
          <cell r="D9134" t="str">
            <v>Tables</v>
          </cell>
          <cell r="E9134">
            <v>1056.4749999999999</v>
          </cell>
          <cell r="F9134">
            <v>9</v>
          </cell>
        </row>
        <row r="9135">
          <cell r="A9135">
            <v>2018</v>
          </cell>
          <cell r="B9135" t="str">
            <v>Budget</v>
          </cell>
          <cell r="C9135" t="str">
            <v>Sep</v>
          </cell>
          <cell r="D9135" t="str">
            <v>Kitchen</v>
          </cell>
          <cell r="E9135">
            <v>33476.764999999999</v>
          </cell>
          <cell r="F9135">
            <v>9</v>
          </cell>
        </row>
        <row r="9136">
          <cell r="A9136">
            <v>2018</v>
          </cell>
          <cell r="B9136" t="str">
            <v>Actual</v>
          </cell>
          <cell r="C9136" t="str">
            <v>Sep</v>
          </cell>
          <cell r="D9136" t="str">
            <v>Chairs</v>
          </cell>
          <cell r="E9136">
            <v>71818.319999999992</v>
          </cell>
          <cell r="F9136">
            <v>9</v>
          </cell>
        </row>
        <row r="9137">
          <cell r="A9137">
            <v>2018</v>
          </cell>
          <cell r="B9137" t="str">
            <v>Budget</v>
          </cell>
          <cell r="C9137" t="str">
            <v>Sep</v>
          </cell>
          <cell r="D9137" t="str">
            <v>Tables</v>
          </cell>
          <cell r="E9137">
            <v>132206.97699999998</v>
          </cell>
          <cell r="F9137">
            <v>9</v>
          </cell>
        </row>
        <row r="9138">
          <cell r="A9138">
            <v>2019</v>
          </cell>
          <cell r="B9138" t="str">
            <v>Actual</v>
          </cell>
          <cell r="C9138" t="str">
            <v>Sep</v>
          </cell>
          <cell r="D9138" t="str">
            <v>Kitchen</v>
          </cell>
          <cell r="E9138">
            <v>240458.87599999999</v>
          </cell>
          <cell r="F9138">
            <v>9</v>
          </cell>
        </row>
        <row r="9139">
          <cell r="A9139">
            <v>2018</v>
          </cell>
          <cell r="B9139" t="str">
            <v>Budget</v>
          </cell>
          <cell r="C9139" t="str">
            <v>Sep</v>
          </cell>
          <cell r="D9139" t="str">
            <v>Chairs</v>
          </cell>
          <cell r="E9139">
            <v>161637.55999999997</v>
          </cell>
          <cell r="F9139">
            <v>9</v>
          </cell>
        </row>
        <row r="9140">
          <cell r="A9140">
            <v>2019</v>
          </cell>
          <cell r="B9140" t="str">
            <v>Actual</v>
          </cell>
          <cell r="C9140" t="str">
            <v>Sep</v>
          </cell>
          <cell r="D9140" t="str">
            <v>Tables</v>
          </cell>
          <cell r="E9140">
            <v>35517.110999999997</v>
          </cell>
          <cell r="F9140">
            <v>9</v>
          </cell>
        </row>
        <row r="9141">
          <cell r="A9141">
            <v>2018</v>
          </cell>
          <cell r="B9141" t="str">
            <v>Budget</v>
          </cell>
          <cell r="C9141" t="str">
            <v>Sep</v>
          </cell>
          <cell r="D9141" t="str">
            <v>Kitchen</v>
          </cell>
          <cell r="E9141">
            <v>425679.13500000001</v>
          </cell>
          <cell r="F9141">
            <v>9</v>
          </cell>
        </row>
        <row r="9142">
          <cell r="A9142">
            <v>2018</v>
          </cell>
          <cell r="B9142" t="str">
            <v>Actual</v>
          </cell>
          <cell r="C9142" t="str">
            <v>Sep</v>
          </cell>
          <cell r="D9142" t="str">
            <v>Chairs</v>
          </cell>
          <cell r="E9142">
            <v>1320945.6469999999</v>
          </cell>
          <cell r="F9142">
            <v>9</v>
          </cell>
        </row>
        <row r="9143">
          <cell r="A9143">
            <v>2019</v>
          </cell>
          <cell r="B9143" t="str">
            <v>Budget</v>
          </cell>
          <cell r="C9143" t="str">
            <v>Sep</v>
          </cell>
          <cell r="D9143" t="str">
            <v>Chairs</v>
          </cell>
          <cell r="E9143">
            <v>31682.657999999999</v>
          </cell>
          <cell r="F9143">
            <v>9</v>
          </cell>
        </row>
        <row r="9144">
          <cell r="A9144">
            <v>2018</v>
          </cell>
          <cell r="B9144" t="str">
            <v>Actual</v>
          </cell>
          <cell r="C9144" t="str">
            <v>Sep</v>
          </cell>
          <cell r="D9144" t="str">
            <v>Chairs</v>
          </cell>
          <cell r="E9144">
            <v>17723.152999999998</v>
          </cell>
          <cell r="F9144">
            <v>9</v>
          </cell>
        </row>
        <row r="9145">
          <cell r="A9145">
            <v>2019</v>
          </cell>
          <cell r="B9145" t="str">
            <v>Budget</v>
          </cell>
          <cell r="C9145" t="str">
            <v>Sep</v>
          </cell>
          <cell r="D9145" t="str">
            <v>Chairs</v>
          </cell>
          <cell r="E9145">
            <v>17831.085999999999</v>
          </cell>
          <cell r="F9145">
            <v>9</v>
          </cell>
        </row>
        <row r="9146">
          <cell r="A9146">
            <v>2019</v>
          </cell>
          <cell r="B9146" t="str">
            <v>Actual</v>
          </cell>
          <cell r="C9146" t="str">
            <v>Sep</v>
          </cell>
          <cell r="D9146" t="str">
            <v>Chairs</v>
          </cell>
          <cell r="E9146">
            <v>794695.66399999999</v>
          </cell>
          <cell r="F9146">
            <v>9</v>
          </cell>
        </row>
        <row r="9147">
          <cell r="A9147">
            <v>2019</v>
          </cell>
          <cell r="B9147" t="str">
            <v>Budget</v>
          </cell>
          <cell r="C9147" t="str">
            <v>Sep</v>
          </cell>
          <cell r="D9147" t="str">
            <v>Chairs</v>
          </cell>
          <cell r="E9147">
            <v>1962319.548</v>
          </cell>
          <cell r="F9147">
            <v>9</v>
          </cell>
        </row>
        <row r="9148">
          <cell r="A9148">
            <v>2019</v>
          </cell>
          <cell r="B9148" t="str">
            <v>Actual</v>
          </cell>
          <cell r="C9148" t="str">
            <v>Sep</v>
          </cell>
          <cell r="D9148" t="str">
            <v>Chairs</v>
          </cell>
          <cell r="E9148">
            <v>182662.89299999998</v>
          </cell>
          <cell r="F9148">
            <v>9</v>
          </cell>
        </row>
        <row r="9149">
          <cell r="A9149">
            <v>2019</v>
          </cell>
          <cell r="B9149" t="str">
            <v>Budget</v>
          </cell>
          <cell r="C9149" t="str">
            <v>Sep</v>
          </cell>
          <cell r="D9149" t="str">
            <v>Chairs</v>
          </cell>
          <cell r="E9149">
            <v>11414.956</v>
          </cell>
          <cell r="F9149">
            <v>9</v>
          </cell>
        </row>
        <row r="9150">
          <cell r="A9150">
            <v>2019</v>
          </cell>
          <cell r="B9150" t="str">
            <v>Actual</v>
          </cell>
          <cell r="C9150" t="str">
            <v>Sep</v>
          </cell>
          <cell r="D9150" t="str">
            <v>Chairs</v>
          </cell>
          <cell r="E9150">
            <v>1197788.8439999998</v>
          </cell>
          <cell r="F9150">
            <v>9</v>
          </cell>
        </row>
        <row r="9151">
          <cell r="A9151">
            <v>2018</v>
          </cell>
          <cell r="B9151" t="str">
            <v>Budget</v>
          </cell>
          <cell r="C9151" t="str">
            <v>Sep</v>
          </cell>
          <cell r="D9151" t="str">
            <v>Chairs</v>
          </cell>
          <cell r="E9151">
            <v>33645.633000000002</v>
          </cell>
          <cell r="F9151">
            <v>9</v>
          </cell>
        </row>
        <row r="9152">
          <cell r="A9152">
            <v>2019</v>
          </cell>
          <cell r="B9152" t="str">
            <v>Actual</v>
          </cell>
          <cell r="C9152" t="str">
            <v>Sep</v>
          </cell>
          <cell r="D9152" t="str">
            <v>Chairs</v>
          </cell>
          <cell r="E9152">
            <v>2965376.6520000002</v>
          </cell>
          <cell r="F9152">
            <v>9</v>
          </cell>
        </row>
        <row r="9153">
          <cell r="A9153">
            <v>2019</v>
          </cell>
          <cell r="B9153" t="str">
            <v>Budget</v>
          </cell>
          <cell r="C9153" t="str">
            <v>Sep</v>
          </cell>
          <cell r="D9153" t="str">
            <v>Chairs</v>
          </cell>
          <cell r="E9153">
            <v>189176.799</v>
          </cell>
          <cell r="F9153">
            <v>9</v>
          </cell>
        </row>
        <row r="9154">
          <cell r="A9154">
            <v>2019</v>
          </cell>
          <cell r="B9154" t="str">
            <v>Actual</v>
          </cell>
          <cell r="C9154" t="str">
            <v>Sep</v>
          </cell>
          <cell r="D9154" t="str">
            <v>Chairs</v>
          </cell>
          <cell r="E9154">
            <v>1603832.5730000001</v>
          </cell>
          <cell r="F9154">
            <v>9</v>
          </cell>
        </row>
        <row r="9155">
          <cell r="A9155">
            <v>2018</v>
          </cell>
          <cell r="B9155" t="str">
            <v>Budget</v>
          </cell>
          <cell r="C9155" t="str">
            <v>Sep</v>
          </cell>
          <cell r="D9155" t="str">
            <v>Chairs</v>
          </cell>
          <cell r="E9155">
            <v>1834901.2290000001</v>
          </cell>
          <cell r="F9155">
            <v>9</v>
          </cell>
        </row>
        <row r="9156">
          <cell r="A9156">
            <v>2019</v>
          </cell>
          <cell r="B9156" t="str">
            <v>Actual</v>
          </cell>
          <cell r="C9156" t="str">
            <v>Sep</v>
          </cell>
          <cell r="D9156" t="str">
            <v>Chairs</v>
          </cell>
          <cell r="E9156">
            <v>1315427.932</v>
          </cell>
          <cell r="F9156">
            <v>9</v>
          </cell>
        </row>
        <row r="9157">
          <cell r="A9157">
            <v>2019</v>
          </cell>
          <cell r="B9157" t="str">
            <v>Budget</v>
          </cell>
          <cell r="C9157" t="str">
            <v>Sep</v>
          </cell>
          <cell r="D9157" t="str">
            <v>Chairs</v>
          </cell>
          <cell r="E9157">
            <v>136195.04499999998</v>
          </cell>
          <cell r="F9157">
            <v>9</v>
          </cell>
        </row>
        <row r="9158">
          <cell r="A9158">
            <v>2018</v>
          </cell>
          <cell r="B9158" t="str">
            <v>Actual</v>
          </cell>
          <cell r="C9158" t="str">
            <v>Sep</v>
          </cell>
          <cell r="D9158" t="str">
            <v>Chairs</v>
          </cell>
          <cell r="E9158">
            <v>340794.61499999999</v>
          </cell>
          <cell r="F9158">
            <v>9</v>
          </cell>
        </row>
        <row r="9159">
          <cell r="A9159">
            <v>2018</v>
          </cell>
          <cell r="B9159" t="str">
            <v>Budget</v>
          </cell>
          <cell r="C9159" t="str">
            <v>Sep</v>
          </cell>
          <cell r="D9159" t="str">
            <v>Chairs</v>
          </cell>
          <cell r="E9159">
            <v>706254.745</v>
          </cell>
          <cell r="F9159">
            <v>9</v>
          </cell>
        </row>
        <row r="9160">
          <cell r="A9160">
            <v>2018</v>
          </cell>
          <cell r="B9160" t="str">
            <v>Actual</v>
          </cell>
          <cell r="C9160" t="str">
            <v>Sep</v>
          </cell>
          <cell r="D9160" t="str">
            <v>Chairs</v>
          </cell>
          <cell r="E9160">
            <v>9350561.527999999</v>
          </cell>
          <cell r="F9160">
            <v>9</v>
          </cell>
        </row>
        <row r="9161">
          <cell r="A9161">
            <v>2019</v>
          </cell>
          <cell r="B9161" t="str">
            <v>Budget</v>
          </cell>
          <cell r="C9161" t="str">
            <v>Sep</v>
          </cell>
          <cell r="D9161" t="str">
            <v>Chairs</v>
          </cell>
          <cell r="E9161">
            <v>1073259.7189999998</v>
          </cell>
          <cell r="F9161">
            <v>9</v>
          </cell>
        </row>
        <row r="9162">
          <cell r="A9162">
            <v>2018</v>
          </cell>
          <cell r="B9162" t="str">
            <v>Actual</v>
          </cell>
          <cell r="C9162" t="str">
            <v>Sep</v>
          </cell>
          <cell r="D9162" t="str">
            <v>Chairs</v>
          </cell>
          <cell r="E9162">
            <v>926356.43099999998</v>
          </cell>
          <cell r="F9162">
            <v>9</v>
          </cell>
        </row>
        <row r="9163">
          <cell r="A9163">
            <v>2019</v>
          </cell>
          <cell r="B9163" t="str">
            <v>Budget</v>
          </cell>
          <cell r="C9163" t="str">
            <v>Sep</v>
          </cell>
          <cell r="D9163" t="str">
            <v>Chairs</v>
          </cell>
          <cell r="E9163">
            <v>2037919.723</v>
          </cell>
          <cell r="F9163">
            <v>9</v>
          </cell>
        </row>
        <row r="9164">
          <cell r="A9164">
            <v>2019</v>
          </cell>
          <cell r="B9164" t="str">
            <v>Actual</v>
          </cell>
          <cell r="C9164" t="str">
            <v>Sep</v>
          </cell>
          <cell r="D9164" t="str">
            <v>Chairs</v>
          </cell>
          <cell r="E9164">
            <v>3514426.2650000001</v>
          </cell>
          <cell r="F9164">
            <v>9</v>
          </cell>
        </row>
        <row r="9165">
          <cell r="A9165">
            <v>2019</v>
          </cell>
          <cell r="B9165" t="str">
            <v>Budget</v>
          </cell>
          <cell r="C9165" t="str">
            <v>Sep</v>
          </cell>
          <cell r="D9165" t="str">
            <v>Chairs</v>
          </cell>
          <cell r="E9165">
            <v>1310042.1039999998</v>
          </cell>
          <cell r="F9165">
            <v>9</v>
          </cell>
        </row>
        <row r="9166">
          <cell r="A9166">
            <v>2019</v>
          </cell>
          <cell r="B9166" t="str">
            <v>Actual</v>
          </cell>
          <cell r="C9166" t="str">
            <v>Sep</v>
          </cell>
          <cell r="D9166" t="str">
            <v>Chairs</v>
          </cell>
          <cell r="E9166">
            <v>6635190.6739999996</v>
          </cell>
          <cell r="F9166">
            <v>9</v>
          </cell>
        </row>
        <row r="9167">
          <cell r="A9167">
            <v>2019</v>
          </cell>
          <cell r="B9167" t="str">
            <v>Budget</v>
          </cell>
          <cell r="C9167" t="str">
            <v>Sep</v>
          </cell>
          <cell r="D9167" t="str">
            <v>Chairs</v>
          </cell>
          <cell r="E9167">
            <v>2574654.1310000001</v>
          </cell>
          <cell r="F9167">
            <v>9</v>
          </cell>
        </row>
        <row r="9168">
          <cell r="A9168">
            <v>2019</v>
          </cell>
          <cell r="B9168" t="str">
            <v>Actual</v>
          </cell>
          <cell r="C9168" t="str">
            <v>Sep</v>
          </cell>
          <cell r="D9168" t="str">
            <v>Tables</v>
          </cell>
          <cell r="E9168">
            <v>511626.451</v>
          </cell>
          <cell r="F9168">
            <v>9</v>
          </cell>
        </row>
        <row r="9169">
          <cell r="A9169">
            <v>2019</v>
          </cell>
          <cell r="B9169" t="str">
            <v>Budget</v>
          </cell>
          <cell r="C9169" t="str">
            <v>Sep</v>
          </cell>
          <cell r="D9169" t="str">
            <v>Kitchen</v>
          </cell>
          <cell r="E9169">
            <v>1675618.0209999997</v>
          </cell>
          <cell r="F9169">
            <v>9</v>
          </cell>
        </row>
        <row r="9170">
          <cell r="A9170">
            <v>2019</v>
          </cell>
          <cell r="B9170" t="str">
            <v>Actual</v>
          </cell>
          <cell r="C9170" t="str">
            <v>Sep</v>
          </cell>
          <cell r="D9170" t="str">
            <v>Chairs</v>
          </cell>
          <cell r="E9170">
            <v>614703.40399999998</v>
          </cell>
          <cell r="F9170">
            <v>9</v>
          </cell>
        </row>
        <row r="9171">
          <cell r="A9171">
            <v>2018</v>
          </cell>
          <cell r="B9171" t="str">
            <v>Budget</v>
          </cell>
          <cell r="C9171" t="str">
            <v>Sep</v>
          </cell>
          <cell r="D9171" t="str">
            <v>Chairs</v>
          </cell>
          <cell r="E9171">
            <v>8938080.9699999988</v>
          </cell>
          <cell r="F9171">
            <v>9</v>
          </cell>
        </row>
        <row r="9172">
          <cell r="A9172">
            <v>2019</v>
          </cell>
          <cell r="B9172" t="str">
            <v>Actual</v>
          </cell>
          <cell r="C9172" t="str">
            <v>Sep</v>
          </cell>
          <cell r="D9172" t="str">
            <v>Chairs</v>
          </cell>
          <cell r="E9172">
            <v>1309108.8289999999</v>
          </cell>
          <cell r="F9172">
            <v>9</v>
          </cell>
        </row>
        <row r="9173">
          <cell r="A9173">
            <v>2018</v>
          </cell>
          <cell r="B9173" t="str">
            <v>Budget</v>
          </cell>
          <cell r="C9173" t="str">
            <v>Sep</v>
          </cell>
          <cell r="D9173" t="str">
            <v>Chairs</v>
          </cell>
          <cell r="E9173">
            <v>3078506.3819999998</v>
          </cell>
          <cell r="F9173">
            <v>9</v>
          </cell>
        </row>
        <row r="9174">
          <cell r="A9174">
            <v>2018</v>
          </cell>
          <cell r="B9174" t="str">
            <v>Actual</v>
          </cell>
          <cell r="C9174" t="str">
            <v>Sep</v>
          </cell>
          <cell r="D9174" t="str">
            <v>Chairs</v>
          </cell>
          <cell r="E9174">
            <v>415024.15499999997</v>
          </cell>
          <cell r="F9174">
            <v>9</v>
          </cell>
        </row>
        <row r="9175">
          <cell r="A9175">
            <v>2019</v>
          </cell>
          <cell r="B9175" t="str">
            <v>Budget</v>
          </cell>
          <cell r="C9175" t="str">
            <v>Sep</v>
          </cell>
          <cell r="D9175" t="str">
            <v>Tables</v>
          </cell>
          <cell r="E9175">
            <v>1232309.7779999999</v>
          </cell>
          <cell r="F9175">
            <v>9</v>
          </cell>
        </row>
        <row r="9176">
          <cell r="A9176">
            <v>2018</v>
          </cell>
          <cell r="B9176" t="str">
            <v>Actual</v>
          </cell>
          <cell r="C9176" t="str">
            <v>Sep</v>
          </cell>
          <cell r="D9176" t="str">
            <v>Kitchen</v>
          </cell>
          <cell r="E9176">
            <v>1678798.9469999999</v>
          </cell>
          <cell r="F9176">
            <v>9</v>
          </cell>
        </row>
        <row r="9177">
          <cell r="A9177">
            <v>2018</v>
          </cell>
          <cell r="B9177" t="str">
            <v>Budget</v>
          </cell>
          <cell r="C9177" t="str">
            <v>Sep</v>
          </cell>
          <cell r="D9177" t="str">
            <v>Chairs</v>
          </cell>
          <cell r="E9177">
            <v>967929.30499999982</v>
          </cell>
          <cell r="F9177">
            <v>9</v>
          </cell>
        </row>
        <row r="9178">
          <cell r="A9178">
            <v>2018</v>
          </cell>
          <cell r="B9178" t="str">
            <v>Actual</v>
          </cell>
          <cell r="C9178" t="str">
            <v>Sep</v>
          </cell>
          <cell r="D9178" t="str">
            <v>Chairs</v>
          </cell>
          <cell r="E9178">
            <v>2288092.5689999997</v>
          </cell>
          <cell r="F9178">
            <v>9</v>
          </cell>
        </row>
        <row r="9179">
          <cell r="A9179">
            <v>2019</v>
          </cell>
          <cell r="B9179" t="str">
            <v>Budget</v>
          </cell>
          <cell r="C9179" t="str">
            <v>Sep</v>
          </cell>
          <cell r="D9179" t="str">
            <v>Chairs</v>
          </cell>
          <cell r="E9179">
            <v>5024619.6139999991</v>
          </cell>
          <cell r="F9179">
            <v>9</v>
          </cell>
        </row>
        <row r="9180">
          <cell r="A9180">
            <v>2018</v>
          </cell>
          <cell r="B9180" t="str">
            <v>Actual</v>
          </cell>
          <cell r="C9180" t="str">
            <v>Sep</v>
          </cell>
          <cell r="D9180" t="str">
            <v>Tables</v>
          </cell>
          <cell r="E9180">
            <v>1743502.0189999999</v>
          </cell>
          <cell r="F9180">
            <v>9</v>
          </cell>
        </row>
        <row r="9181">
          <cell r="A9181">
            <v>2018</v>
          </cell>
          <cell r="B9181" t="str">
            <v>Budget</v>
          </cell>
          <cell r="C9181" t="str">
            <v>Sep</v>
          </cell>
          <cell r="D9181" t="str">
            <v>Kitchen</v>
          </cell>
          <cell r="E9181">
            <v>2823202.7390000001</v>
          </cell>
          <cell r="F9181">
            <v>9</v>
          </cell>
        </row>
        <row r="9182">
          <cell r="A9182">
            <v>2019</v>
          </cell>
          <cell r="B9182" t="str">
            <v>Actual</v>
          </cell>
          <cell r="C9182" t="str">
            <v>Sep</v>
          </cell>
          <cell r="D9182" t="str">
            <v>Chairs</v>
          </cell>
          <cell r="E9182">
            <v>760435.32599999988</v>
          </cell>
          <cell r="F9182">
            <v>9</v>
          </cell>
        </row>
        <row r="9183">
          <cell r="A9183">
            <v>2019</v>
          </cell>
          <cell r="B9183" t="str">
            <v>Budget</v>
          </cell>
          <cell r="C9183" t="str">
            <v>Sep</v>
          </cell>
          <cell r="D9183" t="str">
            <v>Chairs</v>
          </cell>
          <cell r="E9183">
            <v>279374.69</v>
          </cell>
          <cell r="F9183">
            <v>9</v>
          </cell>
        </row>
        <row r="9184">
          <cell r="A9184">
            <v>2019</v>
          </cell>
          <cell r="B9184" t="str">
            <v>Actual</v>
          </cell>
          <cell r="C9184" t="str">
            <v>Sep</v>
          </cell>
          <cell r="D9184" t="str">
            <v>Tables</v>
          </cell>
          <cell r="E9184">
            <v>2005651.5359999998</v>
          </cell>
          <cell r="F9184">
            <v>9</v>
          </cell>
        </row>
        <row r="9185">
          <cell r="A9185">
            <v>2019</v>
          </cell>
          <cell r="B9185" t="str">
            <v>Budget</v>
          </cell>
          <cell r="C9185" t="str">
            <v>Sep</v>
          </cell>
          <cell r="D9185" t="str">
            <v>Kitchen</v>
          </cell>
          <cell r="E9185">
            <v>249860.57599999997</v>
          </cell>
          <cell r="F9185">
            <v>9</v>
          </cell>
        </row>
        <row r="9186">
          <cell r="A9186">
            <v>2019</v>
          </cell>
          <cell r="B9186" t="str">
            <v>Actual</v>
          </cell>
          <cell r="C9186" t="str">
            <v>Sep</v>
          </cell>
          <cell r="D9186" t="str">
            <v>Chairs</v>
          </cell>
          <cell r="E9186">
            <v>-179120.68299999999</v>
          </cell>
          <cell r="F9186">
            <v>9</v>
          </cell>
        </row>
        <row r="9187">
          <cell r="A9187">
            <v>2018</v>
          </cell>
          <cell r="B9187" t="str">
            <v>Budget</v>
          </cell>
          <cell r="C9187" t="str">
            <v>Sep</v>
          </cell>
          <cell r="D9187" t="str">
            <v>Chairs</v>
          </cell>
          <cell r="E9187">
            <v>2205994.4269999997</v>
          </cell>
          <cell r="F9187">
            <v>9</v>
          </cell>
        </row>
        <row r="9188">
          <cell r="A9188">
            <v>2018</v>
          </cell>
          <cell r="B9188" t="str">
            <v>Actual</v>
          </cell>
          <cell r="C9188" t="str">
            <v>Sep</v>
          </cell>
          <cell r="D9188" t="str">
            <v>Chairs</v>
          </cell>
          <cell r="E9188">
            <v>351046.34600000002</v>
          </cell>
          <cell r="F9188">
            <v>9</v>
          </cell>
        </row>
        <row r="9189">
          <cell r="A9189">
            <v>2019</v>
          </cell>
          <cell r="B9189" t="str">
            <v>Budget</v>
          </cell>
          <cell r="C9189" t="str">
            <v>Sep</v>
          </cell>
          <cell r="D9189" t="str">
            <v>Tables</v>
          </cell>
          <cell r="E9189">
            <v>1571067.8549999997</v>
          </cell>
          <cell r="F9189">
            <v>9</v>
          </cell>
        </row>
        <row r="9190">
          <cell r="A9190">
            <v>2018</v>
          </cell>
          <cell r="B9190" t="str">
            <v>Actual</v>
          </cell>
          <cell r="C9190" t="str">
            <v>Sep</v>
          </cell>
          <cell r="D9190" t="str">
            <v>Kitchen</v>
          </cell>
          <cell r="E9190">
            <v>767345.34799999988</v>
          </cell>
          <cell r="F9190">
            <v>9</v>
          </cell>
        </row>
        <row r="9191">
          <cell r="A9191">
            <v>2018</v>
          </cell>
          <cell r="B9191" t="str">
            <v>Budget</v>
          </cell>
          <cell r="C9191" t="str">
            <v>Sep</v>
          </cell>
          <cell r="D9191" t="str">
            <v>Accessories</v>
          </cell>
          <cell r="E9191">
            <v>91672.573999999993</v>
          </cell>
          <cell r="F9191">
            <v>9</v>
          </cell>
        </row>
        <row r="9192">
          <cell r="A9192">
            <v>2019</v>
          </cell>
          <cell r="B9192" t="str">
            <v>Actual</v>
          </cell>
          <cell r="C9192" t="str">
            <v>Sep</v>
          </cell>
          <cell r="D9192" t="str">
            <v>Chairs</v>
          </cell>
          <cell r="E9192">
            <v>96704.404999999984</v>
          </cell>
          <cell r="F9192">
            <v>9</v>
          </cell>
        </row>
        <row r="9193">
          <cell r="A9193">
            <v>2019</v>
          </cell>
          <cell r="B9193" t="str">
            <v>Budget</v>
          </cell>
          <cell r="C9193" t="str">
            <v>Sep</v>
          </cell>
          <cell r="D9193" t="str">
            <v>Tables</v>
          </cell>
          <cell r="E9193">
            <v>484513.46299999993</v>
          </cell>
          <cell r="F9193">
            <v>9</v>
          </cell>
        </row>
        <row r="9194">
          <cell r="A9194">
            <v>2019</v>
          </cell>
          <cell r="B9194" t="str">
            <v>Actual</v>
          </cell>
          <cell r="C9194" t="str">
            <v>Sep</v>
          </cell>
          <cell r="D9194" t="str">
            <v>Kitchen</v>
          </cell>
          <cell r="E9194">
            <v>2870637.0909999995</v>
          </cell>
          <cell r="F9194">
            <v>9</v>
          </cell>
        </row>
        <row r="9195">
          <cell r="A9195">
            <v>2019</v>
          </cell>
          <cell r="B9195" t="str">
            <v>Budget</v>
          </cell>
          <cell r="C9195" t="str">
            <v>Sep</v>
          </cell>
          <cell r="D9195" t="str">
            <v>Accessories</v>
          </cell>
          <cell r="E9195">
            <v>1819154.1129999999</v>
          </cell>
          <cell r="F9195">
            <v>9</v>
          </cell>
        </row>
        <row r="9196">
          <cell r="A9196">
            <v>2018</v>
          </cell>
          <cell r="B9196" t="str">
            <v>Actual</v>
          </cell>
          <cell r="C9196" t="str">
            <v>Sep</v>
          </cell>
          <cell r="D9196" t="str">
            <v>Chairs</v>
          </cell>
          <cell r="E9196">
            <v>1465222.4369999999</v>
          </cell>
          <cell r="F9196">
            <v>9</v>
          </cell>
        </row>
        <row r="9197">
          <cell r="A9197">
            <v>2019</v>
          </cell>
          <cell r="B9197" t="str">
            <v>Budget</v>
          </cell>
          <cell r="C9197" t="str">
            <v>Sep</v>
          </cell>
          <cell r="D9197" t="str">
            <v>Tables</v>
          </cell>
          <cell r="E9197">
            <v>1098871.27</v>
          </cell>
          <cell r="F9197">
            <v>9</v>
          </cell>
        </row>
        <row r="9198">
          <cell r="A9198">
            <v>2019</v>
          </cell>
          <cell r="B9198" t="str">
            <v>Actual</v>
          </cell>
          <cell r="C9198" t="str">
            <v>Sep</v>
          </cell>
          <cell r="D9198" t="str">
            <v>Kitchen</v>
          </cell>
          <cell r="E9198">
            <v>-56627.108999999997</v>
          </cell>
          <cell r="F9198">
            <v>9</v>
          </cell>
        </row>
        <row r="9199">
          <cell r="A9199">
            <v>2018</v>
          </cell>
          <cell r="B9199" t="str">
            <v>Budget</v>
          </cell>
          <cell r="C9199" t="str">
            <v>Sep</v>
          </cell>
          <cell r="D9199" t="str">
            <v>Accessories</v>
          </cell>
          <cell r="E9199">
            <v>6905793.7410000004</v>
          </cell>
          <cell r="F9199">
            <v>9</v>
          </cell>
        </row>
        <row r="9200">
          <cell r="A9200">
            <v>2019</v>
          </cell>
          <cell r="B9200" t="str">
            <v>Actual</v>
          </cell>
          <cell r="C9200" t="str">
            <v>Sep</v>
          </cell>
          <cell r="D9200" t="str">
            <v>Chairs</v>
          </cell>
          <cell r="E9200">
            <v>6466624.5489999996</v>
          </cell>
          <cell r="F9200">
            <v>9</v>
          </cell>
        </row>
        <row r="9201">
          <cell r="A9201">
            <v>2018</v>
          </cell>
          <cell r="B9201" t="str">
            <v>Budget</v>
          </cell>
          <cell r="C9201" t="str">
            <v>Sep</v>
          </cell>
          <cell r="D9201" t="str">
            <v>Tables</v>
          </cell>
          <cell r="E9201">
            <v>3451054.6839999999</v>
          </cell>
          <cell r="F9201">
            <v>9</v>
          </cell>
        </row>
        <row r="9202">
          <cell r="A9202">
            <v>2019</v>
          </cell>
          <cell r="B9202" t="str">
            <v>Actual</v>
          </cell>
          <cell r="C9202" t="str">
            <v>Sep</v>
          </cell>
          <cell r="D9202" t="str">
            <v>Kitchen</v>
          </cell>
          <cell r="E9202">
            <v>14916.159999999998</v>
          </cell>
          <cell r="F9202">
            <v>9</v>
          </cell>
        </row>
        <row r="9203">
          <cell r="A9203">
            <v>2019</v>
          </cell>
          <cell r="B9203" t="str">
            <v>Budget</v>
          </cell>
          <cell r="C9203" t="str">
            <v>Sep</v>
          </cell>
          <cell r="D9203" t="str">
            <v>Accessories</v>
          </cell>
          <cell r="E9203">
            <v>10667.803999999998</v>
          </cell>
          <cell r="F9203">
            <v>9</v>
          </cell>
        </row>
        <row r="9204">
          <cell r="A9204">
            <v>2018</v>
          </cell>
          <cell r="B9204" t="str">
            <v>Actual</v>
          </cell>
          <cell r="C9204" t="str">
            <v>Sep</v>
          </cell>
          <cell r="D9204" t="str">
            <v>Chairs</v>
          </cell>
          <cell r="E9204">
            <v>3113300.1059999997</v>
          </cell>
          <cell r="F9204">
            <v>9</v>
          </cell>
        </row>
        <row r="9205">
          <cell r="A9205">
            <v>2018</v>
          </cell>
          <cell r="B9205" t="str">
            <v>Budget</v>
          </cell>
          <cell r="C9205" t="str">
            <v>Sep</v>
          </cell>
          <cell r="D9205" t="str">
            <v>Chairs</v>
          </cell>
          <cell r="E9205">
            <v>3079435.3449999997</v>
          </cell>
          <cell r="F9205">
            <v>9</v>
          </cell>
        </row>
        <row r="9206">
          <cell r="A9206">
            <v>2018</v>
          </cell>
          <cell r="B9206" t="str">
            <v>Actual</v>
          </cell>
          <cell r="C9206" t="str">
            <v>Sep</v>
          </cell>
          <cell r="D9206" t="str">
            <v>Tables</v>
          </cell>
          <cell r="E9206">
            <v>202650.69299999997</v>
          </cell>
          <cell r="F9206">
            <v>9</v>
          </cell>
        </row>
        <row r="9207">
          <cell r="A9207">
            <v>2018</v>
          </cell>
          <cell r="B9207" t="str">
            <v>Budget</v>
          </cell>
          <cell r="C9207" t="str">
            <v>Sep</v>
          </cell>
          <cell r="D9207" t="str">
            <v>Kitchen</v>
          </cell>
          <cell r="E9207">
            <v>413227.46499999997</v>
          </cell>
          <cell r="F9207">
            <v>9</v>
          </cell>
        </row>
        <row r="9208">
          <cell r="A9208">
            <v>2019</v>
          </cell>
          <cell r="B9208" t="str">
            <v>Actual</v>
          </cell>
          <cell r="C9208" t="str">
            <v>Sep</v>
          </cell>
          <cell r="D9208" t="str">
            <v>Chairs</v>
          </cell>
          <cell r="E9208">
            <v>296320.09399999998</v>
          </cell>
          <cell r="F9208">
            <v>9</v>
          </cell>
        </row>
        <row r="9209">
          <cell r="A9209">
            <v>2019</v>
          </cell>
          <cell r="B9209" t="str">
            <v>Budget</v>
          </cell>
          <cell r="C9209" t="str">
            <v>Sep</v>
          </cell>
          <cell r="D9209" t="str">
            <v>Tables</v>
          </cell>
          <cell r="E9209">
            <v>4567008.2009999994</v>
          </cell>
          <cell r="F9209">
            <v>9</v>
          </cell>
        </row>
        <row r="9210">
          <cell r="A9210">
            <v>2019</v>
          </cell>
          <cell r="B9210" t="str">
            <v>Actual</v>
          </cell>
          <cell r="C9210" t="str">
            <v>Sep</v>
          </cell>
          <cell r="D9210" t="str">
            <v>Kitchen</v>
          </cell>
          <cell r="E9210">
            <v>1730421.784</v>
          </cell>
          <cell r="F9210">
            <v>9</v>
          </cell>
        </row>
        <row r="9211">
          <cell r="A9211">
            <v>2018</v>
          </cell>
          <cell r="B9211" t="str">
            <v>Budget</v>
          </cell>
          <cell r="C9211" t="str">
            <v>Sep</v>
          </cell>
          <cell r="D9211" t="str">
            <v>Chairs</v>
          </cell>
          <cell r="E9211">
            <v>640730.54499999993</v>
          </cell>
          <cell r="F9211">
            <v>9</v>
          </cell>
        </row>
        <row r="9212">
          <cell r="A9212">
            <v>2018</v>
          </cell>
          <cell r="B9212" t="str">
            <v>Actual</v>
          </cell>
          <cell r="C9212" t="str">
            <v>Sep</v>
          </cell>
          <cell r="D9212" t="str">
            <v>Tables</v>
          </cell>
          <cell r="E9212">
            <v>850543.75</v>
          </cell>
          <cell r="F9212">
            <v>9</v>
          </cell>
        </row>
        <row r="9213">
          <cell r="A9213">
            <v>2019</v>
          </cell>
          <cell r="B9213" t="str">
            <v>Budget</v>
          </cell>
          <cell r="C9213" t="str">
            <v>Sep</v>
          </cell>
          <cell r="D9213" t="str">
            <v>Kitchen</v>
          </cell>
          <cell r="E9213">
            <v>2580752.4469999997</v>
          </cell>
          <cell r="F9213">
            <v>9</v>
          </cell>
        </row>
        <row r="9214">
          <cell r="A9214">
            <v>2018</v>
          </cell>
          <cell r="B9214" t="str">
            <v>Actual</v>
          </cell>
          <cell r="C9214" t="str">
            <v>Sep</v>
          </cell>
          <cell r="D9214" t="str">
            <v>Chairs</v>
          </cell>
          <cell r="E9214">
            <v>1168286.3149999999</v>
          </cell>
          <cell r="F9214">
            <v>9</v>
          </cell>
        </row>
        <row r="9215">
          <cell r="A9215">
            <v>2018</v>
          </cell>
          <cell r="B9215" t="str">
            <v>Budget</v>
          </cell>
          <cell r="C9215" t="str">
            <v>Sep</v>
          </cell>
          <cell r="D9215" t="str">
            <v>Chairs</v>
          </cell>
          <cell r="E9215">
            <v>401028.13099999994</v>
          </cell>
          <cell r="F9215">
            <v>9</v>
          </cell>
        </row>
        <row r="9216">
          <cell r="A9216">
            <v>2018</v>
          </cell>
          <cell r="B9216" t="str">
            <v>Actual</v>
          </cell>
          <cell r="C9216" t="str">
            <v>Sep</v>
          </cell>
          <cell r="D9216" t="str">
            <v>Chairs</v>
          </cell>
          <cell r="E9216">
            <v>3342262.0699999994</v>
          </cell>
          <cell r="F9216">
            <v>9</v>
          </cell>
        </row>
        <row r="9217">
          <cell r="A9217">
            <v>2018</v>
          </cell>
          <cell r="B9217" t="str">
            <v>Budget</v>
          </cell>
          <cell r="C9217" t="str">
            <v>Sep</v>
          </cell>
          <cell r="D9217" t="str">
            <v>Chairs</v>
          </cell>
          <cell r="E9217">
            <v>814065.11199999985</v>
          </cell>
          <cell r="F9217">
            <v>9</v>
          </cell>
        </row>
        <row r="9218">
          <cell r="A9218">
            <v>2019</v>
          </cell>
          <cell r="B9218" t="str">
            <v>Actual</v>
          </cell>
          <cell r="C9218" t="str">
            <v>Sep</v>
          </cell>
          <cell r="D9218" t="str">
            <v>Chairs</v>
          </cell>
          <cell r="E9218">
            <v>-1509.277</v>
          </cell>
          <cell r="F9218">
            <v>9</v>
          </cell>
        </row>
        <row r="9219">
          <cell r="A9219">
            <v>2018</v>
          </cell>
          <cell r="B9219" t="str">
            <v>Budget</v>
          </cell>
          <cell r="C9219" t="str">
            <v>Sep</v>
          </cell>
          <cell r="D9219" t="str">
            <v>Chairs</v>
          </cell>
          <cell r="E9219">
            <v>195760.215</v>
          </cell>
          <cell r="F9219">
            <v>9</v>
          </cell>
        </row>
        <row r="9220">
          <cell r="A9220">
            <v>2018</v>
          </cell>
          <cell r="B9220" t="str">
            <v>Actual</v>
          </cell>
          <cell r="C9220" t="str">
            <v>Sep</v>
          </cell>
          <cell r="D9220" t="str">
            <v>Chairs</v>
          </cell>
          <cell r="E9220">
            <v>1496577.3759999999</v>
          </cell>
          <cell r="F9220">
            <v>9</v>
          </cell>
        </row>
        <row r="9221">
          <cell r="A9221">
            <v>2019</v>
          </cell>
          <cell r="B9221" t="str">
            <v>Budget</v>
          </cell>
          <cell r="C9221" t="str">
            <v>Sep</v>
          </cell>
          <cell r="D9221" t="str">
            <v>Chairs</v>
          </cell>
          <cell r="E9221">
            <v>454136.67600000004</v>
          </cell>
          <cell r="F9221">
            <v>9</v>
          </cell>
        </row>
        <row r="9222">
          <cell r="A9222">
            <v>2018</v>
          </cell>
          <cell r="B9222" t="str">
            <v>Actual</v>
          </cell>
          <cell r="C9222" t="str">
            <v>Sep</v>
          </cell>
          <cell r="D9222" t="str">
            <v>Chairs</v>
          </cell>
          <cell r="E9222">
            <v>1183127.1689999998</v>
          </cell>
          <cell r="F9222">
            <v>9</v>
          </cell>
        </row>
        <row r="9223">
          <cell r="A9223">
            <v>2019</v>
          </cell>
          <cell r="B9223" t="str">
            <v>Budget</v>
          </cell>
          <cell r="C9223" t="str">
            <v>Sep</v>
          </cell>
          <cell r="D9223" t="str">
            <v>Chairs</v>
          </cell>
          <cell r="E9223">
            <v>3178757.5330000003</v>
          </cell>
          <cell r="F9223">
            <v>9</v>
          </cell>
        </row>
        <row r="9224">
          <cell r="A9224">
            <v>2019</v>
          </cell>
          <cell r="B9224" t="str">
            <v>Actual</v>
          </cell>
          <cell r="C9224" t="str">
            <v>Sep</v>
          </cell>
          <cell r="D9224" t="str">
            <v>Chairs</v>
          </cell>
          <cell r="E9224">
            <v>6931.1759999999995</v>
          </cell>
          <cell r="F9224">
            <v>9</v>
          </cell>
        </row>
        <row r="9225">
          <cell r="A9225">
            <v>2019</v>
          </cell>
          <cell r="B9225" t="str">
            <v>Budget</v>
          </cell>
          <cell r="C9225" t="str">
            <v>Sep</v>
          </cell>
          <cell r="D9225" t="str">
            <v>Chairs</v>
          </cell>
          <cell r="E9225">
            <v>96448.407999999996</v>
          </cell>
          <cell r="F9225">
            <v>9</v>
          </cell>
        </row>
        <row r="9226">
          <cell r="A9226">
            <v>2019</v>
          </cell>
          <cell r="B9226" t="str">
            <v>Actual</v>
          </cell>
          <cell r="C9226" t="str">
            <v>Sep</v>
          </cell>
          <cell r="D9226" t="str">
            <v>Chairs</v>
          </cell>
          <cell r="E9226">
            <v>15024.974999999999</v>
          </cell>
          <cell r="F9226">
            <v>9</v>
          </cell>
        </row>
        <row r="9227">
          <cell r="A9227">
            <v>2018</v>
          </cell>
          <cell r="B9227" t="str">
            <v>Budget</v>
          </cell>
          <cell r="C9227" t="str">
            <v>Sep</v>
          </cell>
          <cell r="D9227" t="str">
            <v>Chairs</v>
          </cell>
          <cell r="E9227">
            <v>295658.16699999996</v>
          </cell>
          <cell r="F9227">
            <v>9</v>
          </cell>
        </row>
        <row r="9228">
          <cell r="A9228">
            <v>2019</v>
          </cell>
          <cell r="B9228" t="str">
            <v>Actual</v>
          </cell>
          <cell r="C9228" t="str">
            <v>Sep</v>
          </cell>
          <cell r="D9228" t="str">
            <v>Chairs</v>
          </cell>
          <cell r="E9228">
            <v>615756.06400000001</v>
          </cell>
          <cell r="F9228">
            <v>9</v>
          </cell>
        </row>
        <row r="9229">
          <cell r="A9229">
            <v>2018</v>
          </cell>
          <cell r="B9229" t="str">
            <v>Budget</v>
          </cell>
          <cell r="C9229" t="str">
            <v>Sep</v>
          </cell>
          <cell r="D9229" t="str">
            <v>Chairs</v>
          </cell>
          <cell r="E9229">
            <v>820752.625</v>
          </cell>
          <cell r="F9229">
            <v>9</v>
          </cell>
        </row>
        <row r="9230">
          <cell r="A9230">
            <v>2018</v>
          </cell>
          <cell r="B9230" t="str">
            <v>Actual</v>
          </cell>
          <cell r="C9230" t="str">
            <v>Sep</v>
          </cell>
          <cell r="D9230" t="str">
            <v>Chairs</v>
          </cell>
          <cell r="E9230">
            <v>613326.99399999995</v>
          </cell>
          <cell r="F9230">
            <v>9</v>
          </cell>
        </row>
        <row r="9231">
          <cell r="A9231">
            <v>2018</v>
          </cell>
          <cell r="B9231" t="str">
            <v>Budget</v>
          </cell>
          <cell r="C9231" t="str">
            <v>Sep</v>
          </cell>
          <cell r="D9231" t="str">
            <v>Chairs</v>
          </cell>
          <cell r="E9231">
            <v>40896.758000000002</v>
          </cell>
          <cell r="F9231">
            <v>9</v>
          </cell>
        </row>
        <row r="9232">
          <cell r="A9232">
            <v>2019</v>
          </cell>
          <cell r="B9232" t="str">
            <v>Actual</v>
          </cell>
          <cell r="C9232" t="str">
            <v>Sep</v>
          </cell>
          <cell r="D9232" t="str">
            <v>Chairs</v>
          </cell>
          <cell r="E9232">
            <v>85808.625</v>
          </cell>
          <cell r="F9232">
            <v>9</v>
          </cell>
        </row>
        <row r="9233">
          <cell r="A9233">
            <v>2019</v>
          </cell>
          <cell r="B9233" t="str">
            <v>Budget</v>
          </cell>
          <cell r="C9233" t="str">
            <v>Sep</v>
          </cell>
          <cell r="D9233" t="str">
            <v>Chairs</v>
          </cell>
          <cell r="E9233">
            <v>25701.794999999998</v>
          </cell>
          <cell r="F9233">
            <v>9</v>
          </cell>
        </row>
        <row r="9234">
          <cell r="A9234">
            <v>2019</v>
          </cell>
          <cell r="B9234" t="str">
            <v>Actual</v>
          </cell>
          <cell r="C9234" t="str">
            <v>Sep</v>
          </cell>
          <cell r="D9234" t="str">
            <v>Chairs</v>
          </cell>
          <cell r="E9234">
            <v>129763.97</v>
          </cell>
          <cell r="F9234">
            <v>9</v>
          </cell>
        </row>
        <row r="9235">
          <cell r="A9235">
            <v>2019</v>
          </cell>
          <cell r="B9235" t="str">
            <v>Budget</v>
          </cell>
          <cell r="C9235" t="str">
            <v>Sep</v>
          </cell>
          <cell r="D9235" t="str">
            <v>Chairs</v>
          </cell>
          <cell r="E9235">
            <v>66147.514999999999</v>
          </cell>
          <cell r="F9235">
            <v>9</v>
          </cell>
        </row>
        <row r="9236">
          <cell r="A9236">
            <v>2019</v>
          </cell>
          <cell r="B9236" t="str">
            <v>Actual</v>
          </cell>
          <cell r="C9236" t="str">
            <v>Sep</v>
          </cell>
          <cell r="D9236" t="str">
            <v>Chairs</v>
          </cell>
          <cell r="E9236">
            <v>28094.674999999999</v>
          </cell>
          <cell r="F9236">
            <v>9</v>
          </cell>
        </row>
        <row r="9237">
          <cell r="A9237">
            <v>2019</v>
          </cell>
          <cell r="B9237" t="str">
            <v>Budget</v>
          </cell>
          <cell r="C9237" t="str">
            <v>Sep</v>
          </cell>
          <cell r="D9237" t="str">
            <v>Chairs</v>
          </cell>
          <cell r="E9237">
            <v>205143.42799999999</v>
          </cell>
          <cell r="F9237">
            <v>9</v>
          </cell>
        </row>
        <row r="9238">
          <cell r="A9238">
            <v>2018</v>
          </cell>
          <cell r="B9238" t="str">
            <v>Actual</v>
          </cell>
          <cell r="C9238" t="str">
            <v>Sep</v>
          </cell>
          <cell r="D9238" t="str">
            <v>Chairs</v>
          </cell>
          <cell r="E9238">
            <v>6345.4650000000001</v>
          </cell>
          <cell r="F9238">
            <v>9</v>
          </cell>
        </row>
        <row r="9239">
          <cell r="A9239">
            <v>2019</v>
          </cell>
          <cell r="B9239" t="str">
            <v>Budget</v>
          </cell>
          <cell r="C9239" t="str">
            <v>Sep</v>
          </cell>
          <cell r="D9239" t="str">
            <v>Chairs</v>
          </cell>
          <cell r="E9239">
            <v>140292.41099999999</v>
          </cell>
          <cell r="F9239">
            <v>9</v>
          </cell>
        </row>
        <row r="9240">
          <cell r="A9240">
            <v>2018</v>
          </cell>
          <cell r="B9240" t="str">
            <v>Actual</v>
          </cell>
          <cell r="C9240" t="str">
            <v>Sep</v>
          </cell>
          <cell r="D9240" t="str">
            <v>Tables</v>
          </cell>
          <cell r="E9240">
            <v>214686.33900000001</v>
          </cell>
          <cell r="F9240">
            <v>9</v>
          </cell>
        </row>
        <row r="9241">
          <cell r="A9241">
            <v>2019</v>
          </cell>
          <cell r="B9241" t="str">
            <v>Budget</v>
          </cell>
          <cell r="C9241" t="str">
            <v>Sep</v>
          </cell>
          <cell r="D9241" t="str">
            <v>Kitchen</v>
          </cell>
          <cell r="E9241">
            <v>69685.30799999999</v>
          </cell>
          <cell r="F9241">
            <v>9</v>
          </cell>
        </row>
        <row r="9242">
          <cell r="A9242">
            <v>2018</v>
          </cell>
          <cell r="B9242" t="str">
            <v>Actual</v>
          </cell>
          <cell r="C9242" t="str">
            <v>Sep</v>
          </cell>
          <cell r="D9242" t="str">
            <v>Chairs</v>
          </cell>
          <cell r="E9242">
            <v>99720.837999999989</v>
          </cell>
          <cell r="F9242">
            <v>9</v>
          </cell>
        </row>
        <row r="9243">
          <cell r="A9243">
            <v>2018</v>
          </cell>
          <cell r="B9243" t="str">
            <v>Budget</v>
          </cell>
          <cell r="C9243" t="str">
            <v>Sep</v>
          </cell>
          <cell r="D9243" t="str">
            <v>Chairs</v>
          </cell>
          <cell r="E9243">
            <v>335425.78999999998</v>
          </cell>
          <cell r="F9243">
            <v>9</v>
          </cell>
        </row>
        <row r="9244">
          <cell r="A9244">
            <v>2019</v>
          </cell>
          <cell r="B9244" t="str">
            <v>Actual</v>
          </cell>
          <cell r="C9244" t="str">
            <v>Sep</v>
          </cell>
          <cell r="D9244" t="str">
            <v>Chairs</v>
          </cell>
          <cell r="E9244">
            <v>66084.55</v>
          </cell>
          <cell r="F9244">
            <v>9</v>
          </cell>
        </row>
        <row r="9245">
          <cell r="A9245">
            <v>2018</v>
          </cell>
          <cell r="B9245" t="str">
            <v>Budget</v>
          </cell>
          <cell r="C9245" t="str">
            <v>Sep</v>
          </cell>
          <cell r="D9245" t="str">
            <v>Chairs</v>
          </cell>
          <cell r="E9245">
            <v>27407.009000000002</v>
          </cell>
          <cell r="F9245">
            <v>9</v>
          </cell>
        </row>
        <row r="9246">
          <cell r="A9246">
            <v>2018</v>
          </cell>
          <cell r="B9246" t="str">
            <v>Actual</v>
          </cell>
          <cell r="C9246" t="str">
            <v>Sep</v>
          </cell>
          <cell r="D9246" t="str">
            <v>Chairs</v>
          </cell>
          <cell r="E9246">
            <v>64796.27</v>
          </cell>
          <cell r="F9246">
            <v>9</v>
          </cell>
        </row>
        <row r="9247">
          <cell r="A9247">
            <v>2018</v>
          </cell>
          <cell r="B9247" t="str">
            <v>Budget</v>
          </cell>
          <cell r="C9247" t="str">
            <v>Sep</v>
          </cell>
          <cell r="D9247" t="str">
            <v>Tables</v>
          </cell>
          <cell r="E9247">
            <v>88998.972999999998</v>
          </cell>
          <cell r="F9247">
            <v>9</v>
          </cell>
        </row>
        <row r="9248">
          <cell r="A9248">
            <v>2018</v>
          </cell>
          <cell r="B9248" t="str">
            <v>Actual</v>
          </cell>
          <cell r="C9248" t="str">
            <v>Sep</v>
          </cell>
          <cell r="D9248" t="str">
            <v>Kitchen</v>
          </cell>
          <cell r="E9248">
            <v>46581.87799999999</v>
          </cell>
          <cell r="F9248">
            <v>9</v>
          </cell>
        </row>
        <row r="9249">
          <cell r="A9249">
            <v>2018</v>
          </cell>
          <cell r="B9249" t="str">
            <v>Budget</v>
          </cell>
          <cell r="C9249" t="str">
            <v>Sep</v>
          </cell>
          <cell r="D9249" t="str">
            <v>Chairs</v>
          </cell>
          <cell r="E9249">
            <v>10491.712</v>
          </cell>
          <cell r="F9249">
            <v>9</v>
          </cell>
        </row>
        <row r="9250">
          <cell r="A9250">
            <v>2019</v>
          </cell>
          <cell r="B9250" t="str">
            <v>Actual</v>
          </cell>
          <cell r="C9250" t="str">
            <v>Sep</v>
          </cell>
          <cell r="D9250" t="str">
            <v>Chairs</v>
          </cell>
          <cell r="E9250">
            <v>123814.10999999999</v>
          </cell>
          <cell r="F9250">
            <v>9</v>
          </cell>
        </row>
        <row r="9251">
          <cell r="A9251">
            <v>2019</v>
          </cell>
          <cell r="B9251" t="str">
            <v>Budget</v>
          </cell>
          <cell r="C9251" t="str">
            <v>Sep</v>
          </cell>
          <cell r="D9251" t="str">
            <v>Chairs</v>
          </cell>
          <cell r="E9251">
            <v>125643.26599999999</v>
          </cell>
          <cell r="F9251">
            <v>9</v>
          </cell>
        </row>
        <row r="9252">
          <cell r="A9252">
            <v>2018</v>
          </cell>
          <cell r="B9252" t="str">
            <v>Actual</v>
          </cell>
          <cell r="C9252" t="str">
            <v>Sep</v>
          </cell>
          <cell r="D9252" t="str">
            <v>Tables</v>
          </cell>
          <cell r="E9252">
            <v>68684.237999999998</v>
          </cell>
          <cell r="F9252">
            <v>9</v>
          </cell>
        </row>
        <row r="9253">
          <cell r="A9253">
            <v>2018</v>
          </cell>
          <cell r="B9253" t="str">
            <v>Budget</v>
          </cell>
          <cell r="C9253" t="str">
            <v>Sep</v>
          </cell>
          <cell r="D9253" t="str">
            <v>Kitchen</v>
          </cell>
          <cell r="E9253">
            <v>31274.571999999996</v>
          </cell>
          <cell r="F9253">
            <v>9</v>
          </cell>
        </row>
        <row r="9254">
          <cell r="A9254">
            <v>2019</v>
          </cell>
          <cell r="B9254" t="str">
            <v>Actual</v>
          </cell>
          <cell r="C9254" t="str">
            <v>Sep</v>
          </cell>
          <cell r="D9254" t="str">
            <v>Chairs</v>
          </cell>
          <cell r="E9254">
            <v>21072.757999999998</v>
          </cell>
          <cell r="F9254">
            <v>9</v>
          </cell>
        </row>
        <row r="9255">
          <cell r="A9255">
            <v>2019</v>
          </cell>
          <cell r="B9255" t="str">
            <v>Budget</v>
          </cell>
          <cell r="C9255" t="str">
            <v>Sep</v>
          </cell>
          <cell r="D9255" t="str">
            <v>Chairs</v>
          </cell>
          <cell r="E9255">
            <v>81777.569999999992</v>
          </cell>
          <cell r="F9255">
            <v>9</v>
          </cell>
        </row>
        <row r="9256">
          <cell r="A9256">
            <v>2018</v>
          </cell>
          <cell r="B9256" t="str">
            <v>Actual</v>
          </cell>
          <cell r="C9256" t="str">
            <v>Sep</v>
          </cell>
          <cell r="D9256" t="str">
            <v>Tables</v>
          </cell>
          <cell r="E9256">
            <v>621497.84199999995</v>
          </cell>
          <cell r="F9256">
            <v>9</v>
          </cell>
        </row>
        <row r="9257">
          <cell r="A9257">
            <v>2019</v>
          </cell>
          <cell r="B9257" t="str">
            <v>Budget</v>
          </cell>
          <cell r="C9257" t="str">
            <v>Sep</v>
          </cell>
          <cell r="D9257" t="str">
            <v>Kitchen</v>
          </cell>
          <cell r="E9257">
            <v>19227.256999999998</v>
          </cell>
          <cell r="F9257">
            <v>9</v>
          </cell>
        </row>
        <row r="9258">
          <cell r="A9258">
            <v>2018</v>
          </cell>
          <cell r="B9258" t="str">
            <v>Actual</v>
          </cell>
          <cell r="C9258" t="str">
            <v>Sep</v>
          </cell>
          <cell r="D9258" t="str">
            <v>Chairs</v>
          </cell>
          <cell r="E9258">
            <v>110446.25199999998</v>
          </cell>
          <cell r="F9258">
            <v>9</v>
          </cell>
        </row>
        <row r="9259">
          <cell r="A9259">
            <v>2018</v>
          </cell>
          <cell r="B9259" t="str">
            <v>Budget</v>
          </cell>
          <cell r="C9259" t="str">
            <v>Sep</v>
          </cell>
          <cell r="D9259" t="str">
            <v>Chairs</v>
          </cell>
          <cell r="E9259">
            <v>2587017.9299999997</v>
          </cell>
          <cell r="F9259">
            <v>9</v>
          </cell>
        </row>
        <row r="9260">
          <cell r="A9260">
            <v>2019</v>
          </cell>
          <cell r="B9260" t="str">
            <v>Actual</v>
          </cell>
          <cell r="C9260" t="str">
            <v>Sep</v>
          </cell>
          <cell r="D9260" t="str">
            <v>Chairs</v>
          </cell>
          <cell r="E9260">
            <v>476903.95899999997</v>
          </cell>
          <cell r="F9260">
            <v>9</v>
          </cell>
        </row>
        <row r="9261">
          <cell r="A9261">
            <v>2018</v>
          </cell>
          <cell r="B9261" t="str">
            <v>Budget</v>
          </cell>
          <cell r="C9261" t="str">
            <v>Sep</v>
          </cell>
          <cell r="D9261" t="str">
            <v>Tables</v>
          </cell>
          <cell r="E9261">
            <v>479979.21299999993</v>
          </cell>
          <cell r="F9261">
            <v>9</v>
          </cell>
        </row>
        <row r="9262">
          <cell r="A9262">
            <v>2019</v>
          </cell>
          <cell r="B9262" t="str">
            <v>Actual</v>
          </cell>
          <cell r="C9262" t="str">
            <v>Sep</v>
          </cell>
          <cell r="D9262" t="str">
            <v>Kitchen</v>
          </cell>
          <cell r="E9262">
            <v>43162.048999999999</v>
          </cell>
          <cell r="F9262">
            <v>9</v>
          </cell>
        </row>
        <row r="9263">
          <cell r="A9263">
            <v>2018</v>
          </cell>
          <cell r="B9263" t="str">
            <v>Budget</v>
          </cell>
          <cell r="C9263" t="str">
            <v>Sep</v>
          </cell>
          <cell r="D9263" t="str">
            <v>Accessories</v>
          </cell>
          <cell r="E9263">
            <v>0</v>
          </cell>
          <cell r="F9263">
            <v>9</v>
          </cell>
        </row>
        <row r="9264">
          <cell r="A9264">
            <v>2019</v>
          </cell>
          <cell r="B9264" t="str">
            <v>Actual</v>
          </cell>
          <cell r="C9264" t="str">
            <v>Sep</v>
          </cell>
          <cell r="D9264" t="str">
            <v>Chairs</v>
          </cell>
          <cell r="E9264">
            <v>0</v>
          </cell>
          <cell r="F9264">
            <v>9</v>
          </cell>
        </row>
        <row r="9265">
          <cell r="A9265">
            <v>2019</v>
          </cell>
          <cell r="B9265" t="str">
            <v>Budget</v>
          </cell>
          <cell r="C9265" t="str">
            <v>Sep</v>
          </cell>
          <cell r="D9265" t="str">
            <v>Tables</v>
          </cell>
          <cell r="E9265">
            <v>64095.926999999996</v>
          </cell>
          <cell r="F9265">
            <v>9</v>
          </cell>
        </row>
        <row r="9266">
          <cell r="A9266">
            <v>2019</v>
          </cell>
          <cell r="B9266" t="str">
            <v>Actual</v>
          </cell>
          <cell r="C9266" t="str">
            <v>Sep</v>
          </cell>
          <cell r="D9266" t="str">
            <v>Kitchen</v>
          </cell>
          <cell r="E9266">
            <v>488216.62399999995</v>
          </cell>
          <cell r="F9266">
            <v>9</v>
          </cell>
        </row>
        <row r="9267">
          <cell r="A9267">
            <v>2018</v>
          </cell>
          <cell r="B9267" t="str">
            <v>Budget</v>
          </cell>
          <cell r="C9267" t="str">
            <v>Sep</v>
          </cell>
          <cell r="D9267" t="str">
            <v>Accessories</v>
          </cell>
          <cell r="E9267">
            <v>807238.75399999996</v>
          </cell>
          <cell r="F9267">
            <v>9</v>
          </cell>
        </row>
        <row r="9268">
          <cell r="A9268">
            <v>2018</v>
          </cell>
          <cell r="B9268" t="str">
            <v>Actual</v>
          </cell>
          <cell r="C9268" t="str">
            <v>Sep</v>
          </cell>
          <cell r="D9268" t="str">
            <v>Chairs</v>
          </cell>
          <cell r="E9268">
            <v>487684.16200000001</v>
          </cell>
          <cell r="F9268">
            <v>9</v>
          </cell>
        </row>
        <row r="9269">
          <cell r="A9269">
            <v>2018</v>
          </cell>
          <cell r="B9269" t="str">
            <v>Budget</v>
          </cell>
          <cell r="C9269" t="str">
            <v>Sep</v>
          </cell>
          <cell r="D9269" t="str">
            <v>Tables</v>
          </cell>
          <cell r="E9269">
            <v>256316.57799999998</v>
          </cell>
          <cell r="F9269">
            <v>9</v>
          </cell>
        </row>
        <row r="9270">
          <cell r="A9270">
            <v>2018</v>
          </cell>
          <cell r="B9270" t="str">
            <v>Actual</v>
          </cell>
          <cell r="C9270" t="str">
            <v>Sep</v>
          </cell>
          <cell r="D9270" t="str">
            <v>Kitchen</v>
          </cell>
          <cell r="E9270">
            <v>55089.489000000001</v>
          </cell>
          <cell r="F9270">
            <v>9</v>
          </cell>
        </row>
        <row r="9271">
          <cell r="A9271">
            <v>2018</v>
          </cell>
          <cell r="B9271" t="str">
            <v>Budget</v>
          </cell>
          <cell r="C9271" t="str">
            <v>Sep</v>
          </cell>
          <cell r="D9271" t="str">
            <v>Accessories</v>
          </cell>
          <cell r="E9271">
            <v>115228.22499999999</v>
          </cell>
          <cell r="F9271">
            <v>9</v>
          </cell>
        </row>
        <row r="9272">
          <cell r="A9272">
            <v>2018</v>
          </cell>
          <cell r="B9272" t="str">
            <v>Actual</v>
          </cell>
          <cell r="C9272" t="str">
            <v>Sep</v>
          </cell>
          <cell r="D9272" t="str">
            <v>Chairs</v>
          </cell>
          <cell r="E9272">
            <v>6185579.0429999996</v>
          </cell>
          <cell r="F9272">
            <v>9</v>
          </cell>
        </row>
        <row r="9273">
          <cell r="A9273">
            <v>2019</v>
          </cell>
          <cell r="B9273" t="str">
            <v>Budget</v>
          </cell>
          <cell r="C9273" t="str">
            <v>Sep</v>
          </cell>
          <cell r="D9273" t="str">
            <v>Tables</v>
          </cell>
          <cell r="E9273">
            <v>4661588.33</v>
          </cell>
          <cell r="F9273">
            <v>9</v>
          </cell>
        </row>
        <row r="9274">
          <cell r="A9274">
            <v>2018</v>
          </cell>
          <cell r="B9274" t="str">
            <v>Actual</v>
          </cell>
          <cell r="C9274" t="str">
            <v>Sep</v>
          </cell>
          <cell r="D9274" t="str">
            <v>Kitchen</v>
          </cell>
          <cell r="E9274">
            <v>139538.53200000001</v>
          </cell>
          <cell r="F9274">
            <v>9</v>
          </cell>
        </row>
        <row r="9275">
          <cell r="A9275">
            <v>2019</v>
          </cell>
          <cell r="B9275" t="str">
            <v>Budget</v>
          </cell>
          <cell r="C9275" t="str">
            <v>Sep</v>
          </cell>
          <cell r="D9275" t="str">
            <v>Accessories</v>
          </cell>
          <cell r="E9275">
            <v>22405.628000000001</v>
          </cell>
          <cell r="F9275">
            <v>9</v>
          </cell>
        </row>
        <row r="9276">
          <cell r="A9276">
            <v>2018</v>
          </cell>
          <cell r="B9276" t="str">
            <v>Actual</v>
          </cell>
          <cell r="C9276" t="str">
            <v>Sep</v>
          </cell>
          <cell r="D9276" t="str">
            <v>Chairs</v>
          </cell>
          <cell r="E9276">
            <v>125367.63399999999</v>
          </cell>
          <cell r="F9276">
            <v>9</v>
          </cell>
        </row>
        <row r="9277">
          <cell r="A9277">
            <v>2018</v>
          </cell>
          <cell r="B9277" t="str">
            <v>Budget</v>
          </cell>
          <cell r="C9277" t="str">
            <v>Sep</v>
          </cell>
          <cell r="D9277" t="str">
            <v>Chairs</v>
          </cell>
          <cell r="E9277">
            <v>338128.973</v>
          </cell>
          <cell r="F9277">
            <v>9</v>
          </cell>
        </row>
        <row r="9278">
          <cell r="A9278">
            <v>2018</v>
          </cell>
          <cell r="B9278" t="str">
            <v>Actual</v>
          </cell>
          <cell r="C9278" t="str">
            <v>Sep</v>
          </cell>
          <cell r="D9278" t="str">
            <v>Tables</v>
          </cell>
          <cell r="E9278">
            <v>18963.875</v>
          </cell>
          <cell r="F9278">
            <v>9</v>
          </cell>
        </row>
        <row r="9279">
          <cell r="A9279">
            <v>2019</v>
          </cell>
          <cell r="B9279" t="str">
            <v>Budget</v>
          </cell>
          <cell r="C9279" t="str">
            <v>Sep</v>
          </cell>
          <cell r="D9279" t="str">
            <v>Kitchen</v>
          </cell>
          <cell r="E9279">
            <v>265573.30799999996</v>
          </cell>
          <cell r="F9279">
            <v>9</v>
          </cell>
        </row>
        <row r="9280">
          <cell r="A9280">
            <v>2019</v>
          </cell>
          <cell r="B9280" t="str">
            <v>Actual</v>
          </cell>
          <cell r="C9280" t="str">
            <v>Sep</v>
          </cell>
          <cell r="D9280" t="str">
            <v>Chairs</v>
          </cell>
          <cell r="E9280">
            <v>67293.939999999988</v>
          </cell>
          <cell r="F9280">
            <v>9</v>
          </cell>
        </row>
        <row r="9281">
          <cell r="A9281">
            <v>2018</v>
          </cell>
          <cell r="B9281" t="str">
            <v>Budget</v>
          </cell>
          <cell r="C9281" t="str">
            <v>Sep</v>
          </cell>
          <cell r="D9281" t="str">
            <v>Tables</v>
          </cell>
          <cell r="E9281">
            <v>222940.85799999998</v>
          </cell>
          <cell r="F9281">
            <v>9</v>
          </cell>
        </row>
        <row r="9282">
          <cell r="A9282">
            <v>2018</v>
          </cell>
          <cell r="B9282" t="str">
            <v>Actual</v>
          </cell>
          <cell r="C9282" t="str">
            <v>Sep</v>
          </cell>
          <cell r="D9282" t="str">
            <v>Kitchen</v>
          </cell>
          <cell r="E9282">
            <v>35975.625</v>
          </cell>
          <cell r="F9282">
            <v>9</v>
          </cell>
        </row>
        <row r="9283">
          <cell r="A9283">
            <v>2019</v>
          </cell>
          <cell r="B9283" t="str">
            <v>Budget</v>
          </cell>
          <cell r="C9283" t="str">
            <v>Sep</v>
          </cell>
          <cell r="D9283" t="str">
            <v>Chairs</v>
          </cell>
          <cell r="E9283">
            <v>335139.196</v>
          </cell>
          <cell r="F9283">
            <v>9</v>
          </cell>
        </row>
        <row r="9284">
          <cell r="A9284">
            <v>2018</v>
          </cell>
          <cell r="B9284" t="str">
            <v>Actual</v>
          </cell>
          <cell r="C9284" t="str">
            <v>Sep</v>
          </cell>
          <cell r="D9284" t="str">
            <v>Tables</v>
          </cell>
          <cell r="E9284">
            <v>5215196.3710000003</v>
          </cell>
          <cell r="F9284">
            <v>9</v>
          </cell>
        </row>
        <row r="9285">
          <cell r="A9285">
            <v>2019</v>
          </cell>
          <cell r="B9285" t="str">
            <v>Budget</v>
          </cell>
          <cell r="C9285" t="str">
            <v>Sep</v>
          </cell>
          <cell r="D9285" t="str">
            <v>Kitchen</v>
          </cell>
          <cell r="E9285">
            <v>186582.73199999999</v>
          </cell>
          <cell r="F9285">
            <v>9</v>
          </cell>
        </row>
        <row r="9286">
          <cell r="A9286">
            <v>2019</v>
          </cell>
          <cell r="B9286" t="str">
            <v>Actual</v>
          </cell>
          <cell r="C9286" t="str">
            <v>Sep</v>
          </cell>
          <cell r="D9286" t="str">
            <v>Chairs</v>
          </cell>
          <cell r="E9286">
            <v>190674.47699999998</v>
          </cell>
          <cell r="F9286">
            <v>9</v>
          </cell>
        </row>
        <row r="9287">
          <cell r="A9287">
            <v>2018</v>
          </cell>
          <cell r="B9287" t="str">
            <v>Budget</v>
          </cell>
          <cell r="C9287" t="str">
            <v>Sep</v>
          </cell>
          <cell r="D9287" t="str">
            <v>Chairs</v>
          </cell>
          <cell r="E9287">
            <v>47718.334999999999</v>
          </cell>
          <cell r="F9287">
            <v>9</v>
          </cell>
        </row>
        <row r="9288">
          <cell r="A9288">
            <v>2019</v>
          </cell>
          <cell r="B9288" t="str">
            <v>Actual</v>
          </cell>
          <cell r="C9288" t="str">
            <v>Sep</v>
          </cell>
          <cell r="D9288" t="str">
            <v>Chairs</v>
          </cell>
          <cell r="E9288">
            <v>1558436.5859999999</v>
          </cell>
          <cell r="F9288">
            <v>9</v>
          </cell>
        </row>
        <row r="9289">
          <cell r="A9289">
            <v>2018</v>
          </cell>
          <cell r="B9289" t="str">
            <v>Budget</v>
          </cell>
          <cell r="C9289" t="str">
            <v>Sep</v>
          </cell>
          <cell r="D9289" t="str">
            <v>Chairs</v>
          </cell>
          <cell r="E9289">
            <v>416558.21899999998</v>
          </cell>
          <cell r="F9289">
            <v>9</v>
          </cell>
        </row>
        <row r="9290">
          <cell r="A9290">
            <v>2018</v>
          </cell>
          <cell r="B9290" t="str">
            <v>Actual</v>
          </cell>
          <cell r="C9290" t="str">
            <v>Sep</v>
          </cell>
          <cell r="D9290" t="str">
            <v>Chairs</v>
          </cell>
          <cell r="E9290">
            <v>14281.861999999999</v>
          </cell>
          <cell r="F9290">
            <v>9</v>
          </cell>
        </row>
        <row r="9291">
          <cell r="A9291">
            <v>2018</v>
          </cell>
          <cell r="B9291" t="str">
            <v>Budget</v>
          </cell>
          <cell r="C9291" t="str">
            <v>Sep</v>
          </cell>
          <cell r="D9291" t="str">
            <v>Chairs</v>
          </cell>
          <cell r="E9291">
            <v>15242505.082</v>
          </cell>
          <cell r="F9291">
            <v>9</v>
          </cell>
        </row>
        <row r="9292">
          <cell r="A9292">
            <v>2019</v>
          </cell>
          <cell r="B9292" t="str">
            <v>Actual</v>
          </cell>
          <cell r="C9292" t="str">
            <v>Sep</v>
          </cell>
          <cell r="D9292" t="str">
            <v>Chairs</v>
          </cell>
          <cell r="E9292">
            <v>167878.473</v>
          </cell>
          <cell r="F9292">
            <v>9</v>
          </cell>
        </row>
        <row r="9293">
          <cell r="A9293">
            <v>2019</v>
          </cell>
          <cell r="B9293" t="str">
            <v>Budget</v>
          </cell>
          <cell r="C9293" t="str">
            <v>Sep</v>
          </cell>
          <cell r="D9293" t="str">
            <v>Chairs</v>
          </cell>
          <cell r="E9293">
            <v>58330.733999999989</v>
          </cell>
          <cell r="F9293">
            <v>9</v>
          </cell>
        </row>
        <row r="9294">
          <cell r="A9294">
            <v>2019</v>
          </cell>
          <cell r="B9294" t="str">
            <v>Actual</v>
          </cell>
          <cell r="C9294" t="str">
            <v>Sep</v>
          </cell>
          <cell r="D9294" t="str">
            <v>Chairs</v>
          </cell>
          <cell r="E9294">
            <v>1114282.1129999999</v>
          </cell>
          <cell r="F9294">
            <v>9</v>
          </cell>
        </row>
        <row r="9295">
          <cell r="A9295">
            <v>2019</v>
          </cell>
          <cell r="B9295" t="str">
            <v>Budget</v>
          </cell>
          <cell r="C9295" t="str">
            <v>Sep</v>
          </cell>
          <cell r="D9295" t="str">
            <v>Chairs</v>
          </cell>
          <cell r="E9295">
            <v>222485.33299999998</v>
          </cell>
          <cell r="F9295">
            <v>9</v>
          </cell>
        </row>
        <row r="9296">
          <cell r="A9296">
            <v>2019</v>
          </cell>
          <cell r="B9296" t="str">
            <v>Actual</v>
          </cell>
          <cell r="C9296" t="str">
            <v>Sep</v>
          </cell>
          <cell r="D9296" t="str">
            <v>Chairs</v>
          </cell>
          <cell r="E9296">
            <v>30744.090999999997</v>
          </cell>
          <cell r="F9296">
            <v>9</v>
          </cell>
        </row>
        <row r="9297">
          <cell r="A9297">
            <v>2018</v>
          </cell>
          <cell r="B9297" t="str">
            <v>Budget</v>
          </cell>
          <cell r="C9297" t="str">
            <v>Sep</v>
          </cell>
          <cell r="D9297" t="str">
            <v>Chairs</v>
          </cell>
          <cell r="E9297">
            <v>199813.09600000002</v>
          </cell>
          <cell r="F9297">
            <v>9</v>
          </cell>
        </row>
        <row r="9298">
          <cell r="A9298">
            <v>2018</v>
          </cell>
          <cell r="B9298" t="str">
            <v>Actual</v>
          </cell>
          <cell r="C9298" t="str">
            <v>Sep</v>
          </cell>
          <cell r="D9298" t="str">
            <v>Chairs</v>
          </cell>
          <cell r="E9298">
            <v>625654.30900000001</v>
          </cell>
          <cell r="F9298">
            <v>9</v>
          </cell>
        </row>
        <row r="9299">
          <cell r="A9299">
            <v>2019</v>
          </cell>
          <cell r="B9299" t="str">
            <v>Budget</v>
          </cell>
          <cell r="C9299" t="str">
            <v>Sep</v>
          </cell>
          <cell r="D9299" t="str">
            <v>Chairs</v>
          </cell>
          <cell r="E9299">
            <v>3723102.8869999996</v>
          </cell>
          <cell r="F9299">
            <v>9</v>
          </cell>
        </row>
        <row r="9300">
          <cell r="A9300">
            <v>2019</v>
          </cell>
          <cell r="B9300" t="str">
            <v>Actual</v>
          </cell>
          <cell r="C9300" t="str">
            <v>Sep</v>
          </cell>
          <cell r="D9300" t="str">
            <v>Chairs</v>
          </cell>
          <cell r="E9300">
            <v>-51760.554999999993</v>
          </cell>
          <cell r="F9300">
            <v>9</v>
          </cell>
        </row>
        <row r="9301">
          <cell r="A9301">
            <v>2018</v>
          </cell>
          <cell r="B9301" t="str">
            <v>Budget</v>
          </cell>
          <cell r="C9301" t="str">
            <v>Sep</v>
          </cell>
          <cell r="D9301" t="str">
            <v>Chairs</v>
          </cell>
          <cell r="E9301">
            <v>991242.22399999993</v>
          </cell>
          <cell r="F9301">
            <v>9</v>
          </cell>
        </row>
        <row r="9302">
          <cell r="A9302">
            <v>2019</v>
          </cell>
          <cell r="B9302" t="str">
            <v>Actual</v>
          </cell>
          <cell r="C9302" t="str">
            <v>Sep</v>
          </cell>
          <cell r="D9302" t="str">
            <v>Chairs</v>
          </cell>
          <cell r="E9302">
            <v>18847048.107999999</v>
          </cell>
          <cell r="F9302">
            <v>9</v>
          </cell>
        </row>
        <row r="9303">
          <cell r="A9303">
            <v>2019</v>
          </cell>
          <cell r="B9303" t="str">
            <v>Budget</v>
          </cell>
          <cell r="C9303" t="str">
            <v>Sep</v>
          </cell>
          <cell r="D9303" t="str">
            <v>Chairs</v>
          </cell>
          <cell r="E9303">
            <v>2693594.2879999997</v>
          </cell>
          <cell r="F9303">
            <v>9</v>
          </cell>
        </row>
        <row r="9304">
          <cell r="A9304">
            <v>2018</v>
          </cell>
          <cell r="B9304" t="str">
            <v>Actual</v>
          </cell>
          <cell r="C9304" t="str">
            <v>Sep</v>
          </cell>
          <cell r="D9304" t="str">
            <v>Chairs</v>
          </cell>
          <cell r="E9304">
            <v>868873.03299999994</v>
          </cell>
          <cell r="F9304">
            <v>9</v>
          </cell>
        </row>
        <row r="9305">
          <cell r="A9305">
            <v>2018</v>
          </cell>
          <cell r="B9305" t="str">
            <v>Budget</v>
          </cell>
          <cell r="C9305" t="str">
            <v>Sep</v>
          </cell>
          <cell r="D9305" t="str">
            <v>Chairs</v>
          </cell>
          <cell r="E9305">
            <v>2410398.9419999998</v>
          </cell>
          <cell r="F9305">
            <v>9</v>
          </cell>
        </row>
        <row r="9306">
          <cell r="A9306">
            <v>2018</v>
          </cell>
          <cell r="B9306" t="str">
            <v>Actual</v>
          </cell>
          <cell r="C9306" t="str">
            <v>Sep</v>
          </cell>
          <cell r="D9306" t="str">
            <v>Chairs</v>
          </cell>
          <cell r="E9306">
            <v>474662.57299999997</v>
          </cell>
          <cell r="F9306">
            <v>9</v>
          </cell>
        </row>
        <row r="9307">
          <cell r="A9307">
            <v>2018</v>
          </cell>
          <cell r="B9307" t="str">
            <v>Budget</v>
          </cell>
          <cell r="C9307" t="str">
            <v>Sep</v>
          </cell>
          <cell r="D9307" t="str">
            <v>Chairs</v>
          </cell>
          <cell r="E9307">
            <v>235534.88</v>
          </cell>
          <cell r="F9307">
            <v>9</v>
          </cell>
        </row>
        <row r="9308">
          <cell r="A9308">
            <v>2019</v>
          </cell>
          <cell r="B9308" t="str">
            <v>Actual</v>
          </cell>
          <cell r="C9308" t="str">
            <v>Sep</v>
          </cell>
          <cell r="D9308" t="str">
            <v>Chairs</v>
          </cell>
          <cell r="E9308">
            <v>736988.91700000002</v>
          </cell>
          <cell r="F9308">
            <v>9</v>
          </cell>
        </row>
        <row r="9309">
          <cell r="A9309">
            <v>2018</v>
          </cell>
          <cell r="B9309" t="str">
            <v>Budget</v>
          </cell>
          <cell r="C9309" t="str">
            <v>Sep</v>
          </cell>
          <cell r="D9309" t="str">
            <v>Chairs</v>
          </cell>
          <cell r="E9309">
            <v>57808.17</v>
          </cell>
          <cell r="F9309">
            <v>9</v>
          </cell>
        </row>
        <row r="9310">
          <cell r="A9310">
            <v>2018</v>
          </cell>
          <cell r="B9310" t="str">
            <v>Actual</v>
          </cell>
          <cell r="C9310" t="str">
            <v>Sep</v>
          </cell>
          <cell r="D9310" t="str">
            <v>Chairs</v>
          </cell>
          <cell r="E9310">
            <v>1142928.3319999999</v>
          </cell>
          <cell r="F9310">
            <v>9</v>
          </cell>
        </row>
        <row r="9311">
          <cell r="A9311">
            <v>2018</v>
          </cell>
          <cell r="B9311" t="str">
            <v>Budget</v>
          </cell>
          <cell r="C9311" t="str">
            <v>Sep</v>
          </cell>
          <cell r="D9311" t="str">
            <v>Chairs</v>
          </cell>
          <cell r="E9311">
            <v>14035.525</v>
          </cell>
          <cell r="F9311">
            <v>9</v>
          </cell>
        </row>
        <row r="9312">
          <cell r="A9312">
            <v>2018</v>
          </cell>
          <cell r="B9312" t="str">
            <v>Actual</v>
          </cell>
          <cell r="C9312" t="str">
            <v>Sep</v>
          </cell>
          <cell r="D9312" t="str">
            <v>Tables</v>
          </cell>
          <cell r="E9312">
            <v>836167.88500000001</v>
          </cell>
          <cell r="F9312">
            <v>9</v>
          </cell>
        </row>
        <row r="9313">
          <cell r="A9313">
            <v>2018</v>
          </cell>
          <cell r="B9313" t="str">
            <v>Budget</v>
          </cell>
          <cell r="C9313" t="str">
            <v>Sep</v>
          </cell>
          <cell r="D9313" t="str">
            <v>Kitchen</v>
          </cell>
          <cell r="E9313">
            <v>6243.6779999999999</v>
          </cell>
          <cell r="F9313">
            <v>9</v>
          </cell>
        </row>
        <row r="9314">
          <cell r="A9314">
            <v>2018</v>
          </cell>
          <cell r="B9314" t="str">
            <v>Actual</v>
          </cell>
          <cell r="C9314" t="str">
            <v>Sep</v>
          </cell>
          <cell r="D9314" t="str">
            <v>Chairs</v>
          </cell>
          <cell r="E9314">
            <v>34093.975999999995</v>
          </cell>
          <cell r="F9314">
            <v>9</v>
          </cell>
        </row>
        <row r="9315">
          <cell r="A9315">
            <v>2019</v>
          </cell>
          <cell r="B9315" t="str">
            <v>Budget</v>
          </cell>
          <cell r="C9315" t="str">
            <v>Sep</v>
          </cell>
          <cell r="D9315" t="str">
            <v>Chairs</v>
          </cell>
          <cell r="E9315">
            <v>937833.37199999986</v>
          </cell>
          <cell r="F9315">
            <v>9</v>
          </cell>
        </row>
        <row r="9316">
          <cell r="A9316">
            <v>2018</v>
          </cell>
          <cell r="B9316" t="str">
            <v>Actual</v>
          </cell>
          <cell r="C9316" t="str">
            <v>Sep</v>
          </cell>
          <cell r="D9316" t="str">
            <v>Chairs</v>
          </cell>
          <cell r="E9316">
            <v>101167.42300000001</v>
          </cell>
          <cell r="F9316">
            <v>9</v>
          </cell>
        </row>
        <row r="9317">
          <cell r="A9317">
            <v>2019</v>
          </cell>
          <cell r="B9317" t="str">
            <v>Budget</v>
          </cell>
          <cell r="C9317" t="str">
            <v>Sep</v>
          </cell>
          <cell r="D9317" t="str">
            <v>Chairs</v>
          </cell>
          <cell r="E9317">
            <v>525580.87399999995</v>
          </cell>
          <cell r="F9317">
            <v>9</v>
          </cell>
        </row>
        <row r="9318">
          <cell r="A9318">
            <v>2019</v>
          </cell>
          <cell r="B9318" t="str">
            <v>Actual</v>
          </cell>
          <cell r="C9318" t="str">
            <v>Sep</v>
          </cell>
          <cell r="D9318" t="str">
            <v>Chairs</v>
          </cell>
          <cell r="E9318">
            <v>692356.09100000001</v>
          </cell>
          <cell r="F9318">
            <v>9</v>
          </cell>
        </row>
        <row r="9319">
          <cell r="A9319">
            <v>2019</v>
          </cell>
          <cell r="B9319" t="str">
            <v>Budget</v>
          </cell>
          <cell r="C9319" t="str">
            <v>Sep</v>
          </cell>
          <cell r="D9319" t="str">
            <v>Tables</v>
          </cell>
          <cell r="E9319">
            <v>168353.12199999997</v>
          </cell>
          <cell r="F9319">
            <v>9</v>
          </cell>
        </row>
        <row r="9320">
          <cell r="A9320">
            <v>2018</v>
          </cell>
          <cell r="B9320" t="str">
            <v>Actual</v>
          </cell>
          <cell r="C9320" t="str">
            <v>Sep</v>
          </cell>
          <cell r="D9320" t="str">
            <v>Kitchen</v>
          </cell>
          <cell r="E9320">
            <v>118558.636</v>
          </cell>
          <cell r="F9320">
            <v>9</v>
          </cell>
        </row>
        <row r="9321">
          <cell r="A9321">
            <v>2019</v>
          </cell>
          <cell r="B9321" t="str">
            <v>Budget</v>
          </cell>
          <cell r="C9321" t="str">
            <v>Sep</v>
          </cell>
          <cell r="D9321" t="str">
            <v>Chairs</v>
          </cell>
          <cell r="E9321">
            <v>280771.288</v>
          </cell>
          <cell r="F9321">
            <v>9</v>
          </cell>
        </row>
        <row r="9322">
          <cell r="A9322">
            <v>2018</v>
          </cell>
          <cell r="B9322" t="str">
            <v>Actual</v>
          </cell>
          <cell r="C9322" t="str">
            <v>Sep</v>
          </cell>
          <cell r="D9322" t="str">
            <v>Chairs</v>
          </cell>
          <cell r="E9322">
            <v>283497.01099999994</v>
          </cell>
          <cell r="F9322">
            <v>9</v>
          </cell>
        </row>
        <row r="9323">
          <cell r="A9323">
            <v>2019</v>
          </cell>
          <cell r="B9323" t="str">
            <v>Budget</v>
          </cell>
          <cell r="C9323" t="str">
            <v>Sep</v>
          </cell>
          <cell r="D9323" t="str">
            <v>Chairs</v>
          </cell>
          <cell r="E9323">
            <v>1560431.915</v>
          </cell>
          <cell r="F9323">
            <v>9</v>
          </cell>
        </row>
        <row r="9324">
          <cell r="A9324">
            <v>2019</v>
          </cell>
          <cell r="B9324" t="str">
            <v>Actual</v>
          </cell>
          <cell r="C9324" t="str">
            <v>Sep</v>
          </cell>
          <cell r="D9324" t="str">
            <v>Tables</v>
          </cell>
          <cell r="E9324">
            <v>972761.53799999994</v>
          </cell>
          <cell r="F9324">
            <v>9</v>
          </cell>
        </row>
        <row r="9325">
          <cell r="A9325">
            <v>2019</v>
          </cell>
          <cell r="B9325" t="str">
            <v>Budget</v>
          </cell>
          <cell r="C9325" t="str">
            <v>Sep</v>
          </cell>
          <cell r="D9325" t="str">
            <v>Kitchen</v>
          </cell>
          <cell r="E9325">
            <v>583006.35399999993</v>
          </cell>
          <cell r="F9325">
            <v>9</v>
          </cell>
        </row>
        <row r="9326">
          <cell r="A9326">
            <v>2018</v>
          </cell>
          <cell r="B9326" t="str">
            <v>Actual</v>
          </cell>
          <cell r="C9326" t="str">
            <v>Sep</v>
          </cell>
          <cell r="D9326" t="str">
            <v>Chairs</v>
          </cell>
          <cell r="E9326">
            <v>178448.86499999999</v>
          </cell>
          <cell r="F9326">
            <v>9</v>
          </cell>
        </row>
        <row r="9327">
          <cell r="A9327">
            <v>2018</v>
          </cell>
          <cell r="B9327" t="str">
            <v>Budget</v>
          </cell>
          <cell r="C9327" t="str">
            <v>Sep</v>
          </cell>
          <cell r="D9327" t="str">
            <v>Chairs</v>
          </cell>
          <cell r="E9327">
            <v>344031.76500000001</v>
          </cell>
          <cell r="F9327">
            <v>9</v>
          </cell>
        </row>
        <row r="9328">
          <cell r="A9328">
            <v>2018</v>
          </cell>
          <cell r="B9328" t="str">
            <v>Actual</v>
          </cell>
          <cell r="C9328" t="str">
            <v>Sep</v>
          </cell>
          <cell r="D9328" t="str">
            <v>Tables</v>
          </cell>
          <cell r="E9328">
            <v>203394.891</v>
          </cell>
          <cell r="F9328">
            <v>9</v>
          </cell>
        </row>
        <row r="9329">
          <cell r="A9329">
            <v>2018</v>
          </cell>
          <cell r="B9329" t="str">
            <v>Budget</v>
          </cell>
          <cell r="C9329" t="str">
            <v>Sep</v>
          </cell>
          <cell r="D9329" t="str">
            <v>Kitchen</v>
          </cell>
          <cell r="E9329">
            <v>1427963.1869999999</v>
          </cell>
          <cell r="F9329">
            <v>9</v>
          </cell>
        </row>
        <row r="9330">
          <cell r="A9330">
            <v>2019</v>
          </cell>
          <cell r="B9330" t="str">
            <v>Actual</v>
          </cell>
          <cell r="C9330" t="str">
            <v>Sep</v>
          </cell>
          <cell r="D9330" t="str">
            <v>Chairs</v>
          </cell>
          <cell r="E9330">
            <v>944187.13899999997</v>
          </cell>
          <cell r="F9330">
            <v>9</v>
          </cell>
        </row>
        <row r="9331">
          <cell r="A9331">
            <v>2018</v>
          </cell>
          <cell r="B9331" t="str">
            <v>Budget</v>
          </cell>
          <cell r="C9331" t="str">
            <v>Sep</v>
          </cell>
          <cell r="D9331" t="str">
            <v>Chairs</v>
          </cell>
          <cell r="E9331">
            <v>2602609.5549999997</v>
          </cell>
          <cell r="F9331">
            <v>9</v>
          </cell>
        </row>
        <row r="9332">
          <cell r="A9332">
            <v>2018</v>
          </cell>
          <cell r="B9332" t="str">
            <v>Actual</v>
          </cell>
          <cell r="C9332" t="str">
            <v>Sep</v>
          </cell>
          <cell r="D9332" t="str">
            <v>Chairs</v>
          </cell>
          <cell r="E9332">
            <v>458623.19999999995</v>
          </cell>
          <cell r="F9332">
            <v>9</v>
          </cell>
        </row>
        <row r="9333">
          <cell r="A9333">
            <v>2019</v>
          </cell>
          <cell r="B9333" t="str">
            <v>Budget</v>
          </cell>
          <cell r="C9333" t="str">
            <v>Sep</v>
          </cell>
          <cell r="D9333" t="str">
            <v>Tables</v>
          </cell>
          <cell r="E9333">
            <v>459241.64999999997</v>
          </cell>
          <cell r="F9333">
            <v>9</v>
          </cell>
        </row>
        <row r="9334">
          <cell r="A9334">
            <v>2018</v>
          </cell>
          <cell r="B9334" t="str">
            <v>Actual</v>
          </cell>
          <cell r="C9334" t="str">
            <v>Sep</v>
          </cell>
          <cell r="D9334" t="str">
            <v>Kitchen</v>
          </cell>
          <cell r="E9334">
            <v>65407.628999999994</v>
          </cell>
          <cell r="F9334">
            <v>9</v>
          </cell>
        </row>
        <row r="9335">
          <cell r="A9335">
            <v>2018</v>
          </cell>
          <cell r="B9335" t="str">
            <v>Budget</v>
          </cell>
          <cell r="C9335" t="str">
            <v>Sep</v>
          </cell>
          <cell r="D9335" t="str">
            <v>Accessories</v>
          </cell>
          <cell r="E9335">
            <v>49867.881000000001</v>
          </cell>
          <cell r="F9335">
            <v>9</v>
          </cell>
        </row>
        <row r="9336">
          <cell r="A9336">
            <v>2019</v>
          </cell>
          <cell r="B9336" t="str">
            <v>Actual</v>
          </cell>
          <cell r="C9336" t="str">
            <v>Sep</v>
          </cell>
          <cell r="D9336" t="str">
            <v>Chairs</v>
          </cell>
          <cell r="E9336">
            <v>99964.144</v>
          </cell>
          <cell r="F9336">
            <v>9</v>
          </cell>
        </row>
        <row r="9337">
          <cell r="A9337">
            <v>2018</v>
          </cell>
          <cell r="B9337" t="str">
            <v>Budget</v>
          </cell>
          <cell r="C9337" t="str">
            <v>Sep</v>
          </cell>
          <cell r="D9337" t="str">
            <v>Tables</v>
          </cell>
          <cell r="E9337">
            <v>55115.774000000005</v>
          </cell>
          <cell r="F9337">
            <v>9</v>
          </cell>
        </row>
        <row r="9338">
          <cell r="A9338">
            <v>2019</v>
          </cell>
          <cell r="B9338" t="str">
            <v>Actual</v>
          </cell>
          <cell r="C9338" t="str">
            <v>Sep</v>
          </cell>
          <cell r="D9338" t="str">
            <v>Kitchen</v>
          </cell>
          <cell r="E9338">
            <v>298440.51999999996</v>
          </cell>
          <cell r="F9338">
            <v>9</v>
          </cell>
        </row>
        <row r="9339">
          <cell r="A9339">
            <v>2018</v>
          </cell>
          <cell r="B9339" t="str">
            <v>Budget</v>
          </cell>
          <cell r="C9339" t="str">
            <v>Sep</v>
          </cell>
          <cell r="D9339" t="str">
            <v>Accessories</v>
          </cell>
          <cell r="E9339">
            <v>85703.638999999996</v>
          </cell>
          <cell r="F9339">
            <v>9</v>
          </cell>
        </row>
        <row r="9340">
          <cell r="A9340">
            <v>2018</v>
          </cell>
          <cell r="B9340" t="str">
            <v>Actual</v>
          </cell>
          <cell r="C9340" t="str">
            <v>Sep</v>
          </cell>
          <cell r="D9340" t="str">
            <v>Chairs</v>
          </cell>
          <cell r="E9340">
            <v>246428.37100000001</v>
          </cell>
          <cell r="F9340">
            <v>9</v>
          </cell>
        </row>
        <row r="9341">
          <cell r="A9341">
            <v>2019</v>
          </cell>
          <cell r="B9341" t="str">
            <v>Budget</v>
          </cell>
          <cell r="C9341" t="str">
            <v>Sep</v>
          </cell>
          <cell r="D9341" t="str">
            <v>Tables</v>
          </cell>
          <cell r="E9341">
            <v>239329.89499999996</v>
          </cell>
          <cell r="F9341">
            <v>9</v>
          </cell>
        </row>
        <row r="9342">
          <cell r="A9342">
            <v>2019</v>
          </cell>
          <cell r="B9342" t="str">
            <v>Actual</v>
          </cell>
          <cell r="C9342" t="str">
            <v>Sep</v>
          </cell>
          <cell r="D9342" t="str">
            <v>Kitchen</v>
          </cell>
          <cell r="E9342">
            <v>11514.894999999999</v>
          </cell>
          <cell r="F9342">
            <v>9</v>
          </cell>
        </row>
        <row r="9343">
          <cell r="A9343">
            <v>2019</v>
          </cell>
          <cell r="B9343" t="str">
            <v>Budget</v>
          </cell>
          <cell r="C9343" t="str">
            <v>Sep</v>
          </cell>
          <cell r="D9343" t="str">
            <v>Accessories</v>
          </cell>
          <cell r="E9343">
            <v>67343.646999999997</v>
          </cell>
          <cell r="F9343">
            <v>9</v>
          </cell>
        </row>
        <row r="9344">
          <cell r="A9344">
            <v>2019</v>
          </cell>
          <cell r="B9344" t="str">
            <v>Actual</v>
          </cell>
          <cell r="C9344" t="str">
            <v>Sep</v>
          </cell>
          <cell r="D9344" t="str">
            <v>Chairs</v>
          </cell>
          <cell r="E9344">
            <v>210627.07399999999</v>
          </cell>
          <cell r="F9344">
            <v>9</v>
          </cell>
        </row>
        <row r="9345">
          <cell r="A9345">
            <v>2019</v>
          </cell>
          <cell r="B9345" t="str">
            <v>Budget</v>
          </cell>
          <cell r="C9345" t="str">
            <v>Sep</v>
          </cell>
          <cell r="D9345" t="str">
            <v>Tables</v>
          </cell>
          <cell r="E9345">
            <v>2366.2939999999999</v>
          </cell>
          <cell r="F9345">
            <v>9</v>
          </cell>
        </row>
        <row r="9346">
          <cell r="A9346">
            <v>2019</v>
          </cell>
          <cell r="B9346" t="str">
            <v>Actual</v>
          </cell>
          <cell r="C9346" t="str">
            <v>Sep</v>
          </cell>
          <cell r="D9346" t="str">
            <v>Kitchen</v>
          </cell>
          <cell r="E9346">
            <v>512.23899999999992</v>
          </cell>
          <cell r="F9346">
            <v>9</v>
          </cell>
        </row>
        <row r="9347">
          <cell r="A9347">
            <v>2018</v>
          </cell>
          <cell r="B9347" t="str">
            <v>Budget</v>
          </cell>
          <cell r="C9347" t="str">
            <v>Sep</v>
          </cell>
          <cell r="D9347" t="str">
            <v>Accessories</v>
          </cell>
          <cell r="E9347">
            <v>38815.21</v>
          </cell>
          <cell r="F9347">
            <v>9</v>
          </cell>
        </row>
        <row r="9348">
          <cell r="A9348">
            <v>2019</v>
          </cell>
          <cell r="B9348" t="str">
            <v>Actual</v>
          </cell>
          <cell r="C9348" t="str">
            <v>Sep</v>
          </cell>
          <cell r="D9348" t="str">
            <v>Chairs</v>
          </cell>
          <cell r="E9348">
            <v>9713.0249999999996</v>
          </cell>
          <cell r="F9348">
            <v>9</v>
          </cell>
        </row>
        <row r="9349">
          <cell r="A9349">
            <v>2018</v>
          </cell>
          <cell r="B9349" t="str">
            <v>Budget</v>
          </cell>
          <cell r="C9349" t="str">
            <v>Sep</v>
          </cell>
          <cell r="D9349" t="str">
            <v>Chairs</v>
          </cell>
          <cell r="E9349">
            <v>46762.435999999994</v>
          </cell>
          <cell r="F9349">
            <v>9</v>
          </cell>
        </row>
        <row r="9350">
          <cell r="A9350">
            <v>2019</v>
          </cell>
          <cell r="B9350" t="str">
            <v>Actual</v>
          </cell>
          <cell r="C9350" t="str">
            <v>Sep</v>
          </cell>
          <cell r="D9350" t="str">
            <v>Tables</v>
          </cell>
          <cell r="E9350">
            <v>38356.92</v>
          </cell>
          <cell r="F9350">
            <v>9</v>
          </cell>
        </row>
        <row r="9351">
          <cell r="A9351">
            <v>2019</v>
          </cell>
          <cell r="B9351" t="str">
            <v>Budget</v>
          </cell>
          <cell r="C9351" t="str">
            <v>Sep</v>
          </cell>
          <cell r="D9351" t="str">
            <v>Kitchen</v>
          </cell>
          <cell r="E9351">
            <v>678950.08299999987</v>
          </cell>
          <cell r="F9351">
            <v>9</v>
          </cell>
        </row>
        <row r="9352">
          <cell r="A9352">
            <v>2019</v>
          </cell>
          <cell r="B9352" t="str">
            <v>Actual</v>
          </cell>
          <cell r="C9352" t="str">
            <v>Sep</v>
          </cell>
          <cell r="D9352" t="str">
            <v>Chairs</v>
          </cell>
          <cell r="E9352">
            <v>10016.377</v>
          </cell>
          <cell r="F9352">
            <v>9</v>
          </cell>
        </row>
        <row r="9353">
          <cell r="A9353">
            <v>2018</v>
          </cell>
          <cell r="B9353" t="str">
            <v>Budget</v>
          </cell>
          <cell r="C9353" t="str">
            <v>Sep</v>
          </cell>
          <cell r="D9353" t="str">
            <v>Tables</v>
          </cell>
          <cell r="E9353">
            <v>50830.814999999995</v>
          </cell>
          <cell r="F9353">
            <v>9</v>
          </cell>
        </row>
        <row r="9354">
          <cell r="A9354">
            <v>2018</v>
          </cell>
          <cell r="B9354" t="str">
            <v>Actual</v>
          </cell>
          <cell r="C9354" t="str">
            <v>Sep</v>
          </cell>
          <cell r="D9354" t="str">
            <v>Kitchen</v>
          </cell>
          <cell r="E9354">
            <v>61075.258999999991</v>
          </cell>
          <cell r="F9354">
            <v>9</v>
          </cell>
        </row>
        <row r="9355">
          <cell r="A9355">
            <v>2018</v>
          </cell>
          <cell r="B9355" t="str">
            <v>Budget</v>
          </cell>
          <cell r="C9355" t="str">
            <v>Sep</v>
          </cell>
          <cell r="D9355" t="str">
            <v>Chairs</v>
          </cell>
          <cell r="E9355">
            <v>72123.345000000001</v>
          </cell>
          <cell r="F9355">
            <v>9</v>
          </cell>
        </row>
        <row r="9356">
          <cell r="A9356">
            <v>2019</v>
          </cell>
          <cell r="B9356" t="str">
            <v>Actual</v>
          </cell>
          <cell r="C9356" t="str">
            <v>Sep</v>
          </cell>
          <cell r="D9356" t="str">
            <v>Tables</v>
          </cell>
          <cell r="E9356">
            <v>6661.0320000000002</v>
          </cell>
          <cell r="F9356">
            <v>9</v>
          </cell>
        </row>
        <row r="9357">
          <cell r="A9357">
            <v>2019</v>
          </cell>
          <cell r="B9357" t="str">
            <v>Budget</v>
          </cell>
          <cell r="C9357" t="str">
            <v>Sep</v>
          </cell>
          <cell r="D9357" t="str">
            <v>Kitchen</v>
          </cell>
          <cell r="E9357">
            <v>31119.235000000001</v>
          </cell>
          <cell r="F9357">
            <v>9</v>
          </cell>
        </row>
        <row r="9358">
          <cell r="A9358">
            <v>2018</v>
          </cell>
          <cell r="B9358" t="str">
            <v>Actual</v>
          </cell>
          <cell r="C9358" t="str">
            <v>Sep</v>
          </cell>
          <cell r="D9358" t="str">
            <v>Chairs</v>
          </cell>
          <cell r="E9358">
            <v>73501.623999999996</v>
          </cell>
          <cell r="F9358">
            <v>9</v>
          </cell>
        </row>
        <row r="9359">
          <cell r="A9359">
            <v>2018</v>
          </cell>
          <cell r="B9359" t="str">
            <v>Budget</v>
          </cell>
          <cell r="C9359" t="str">
            <v>Sep</v>
          </cell>
          <cell r="D9359" t="str">
            <v>Chairs</v>
          </cell>
          <cell r="E9359">
            <v>109725.973</v>
          </cell>
          <cell r="F9359">
            <v>9</v>
          </cell>
        </row>
        <row r="9360">
          <cell r="A9360">
            <v>2019</v>
          </cell>
          <cell r="B9360" t="str">
            <v>Actual</v>
          </cell>
          <cell r="C9360" t="str">
            <v>Sep</v>
          </cell>
          <cell r="D9360" t="str">
            <v>Chairs</v>
          </cell>
          <cell r="E9360">
            <v>347752.538</v>
          </cell>
          <cell r="F9360">
            <v>9</v>
          </cell>
        </row>
        <row r="9361">
          <cell r="A9361">
            <v>2019</v>
          </cell>
          <cell r="B9361" t="str">
            <v>Budget</v>
          </cell>
          <cell r="C9361" t="str">
            <v>Sep</v>
          </cell>
          <cell r="D9361" t="str">
            <v>Chairs</v>
          </cell>
          <cell r="E9361">
            <v>2051016.6529999999</v>
          </cell>
          <cell r="F9361">
            <v>9</v>
          </cell>
        </row>
        <row r="9362">
          <cell r="A9362">
            <v>2018</v>
          </cell>
          <cell r="B9362" t="str">
            <v>Actual</v>
          </cell>
          <cell r="C9362" t="str">
            <v>Sep</v>
          </cell>
          <cell r="D9362" t="str">
            <v>Chairs</v>
          </cell>
          <cell r="E9362">
            <v>163319.394</v>
          </cell>
          <cell r="F9362">
            <v>9</v>
          </cell>
        </row>
        <row r="9363">
          <cell r="A9363">
            <v>2018</v>
          </cell>
          <cell r="B9363" t="str">
            <v>Budget</v>
          </cell>
          <cell r="C9363" t="str">
            <v>Sep</v>
          </cell>
          <cell r="D9363" t="str">
            <v>Chairs</v>
          </cell>
          <cell r="E9363">
            <v>178230.598</v>
          </cell>
          <cell r="F9363">
            <v>9</v>
          </cell>
        </row>
        <row r="9364">
          <cell r="A9364">
            <v>2019</v>
          </cell>
          <cell r="B9364" t="str">
            <v>Actual</v>
          </cell>
          <cell r="C9364" t="str">
            <v>Sep</v>
          </cell>
          <cell r="D9364" t="str">
            <v>Chairs</v>
          </cell>
          <cell r="E9364">
            <v>85119.299999999988</v>
          </cell>
          <cell r="F9364">
            <v>9</v>
          </cell>
        </row>
        <row r="9365">
          <cell r="A9365">
            <v>2019</v>
          </cell>
          <cell r="B9365" t="str">
            <v>Budget</v>
          </cell>
          <cell r="C9365" t="str">
            <v>Sep</v>
          </cell>
          <cell r="D9365" t="str">
            <v>Chairs</v>
          </cell>
          <cell r="E9365">
            <v>56655.031999999992</v>
          </cell>
          <cell r="F9365">
            <v>9</v>
          </cell>
        </row>
        <row r="9366">
          <cell r="A9366">
            <v>2018</v>
          </cell>
          <cell r="B9366" t="str">
            <v>Actual</v>
          </cell>
          <cell r="C9366" t="str">
            <v>Sep</v>
          </cell>
          <cell r="D9366" t="str">
            <v>Chairs</v>
          </cell>
          <cell r="E9366">
            <v>163070.95699999999</v>
          </cell>
          <cell r="F9366">
            <v>9</v>
          </cell>
        </row>
        <row r="9367">
          <cell r="A9367">
            <v>2018</v>
          </cell>
          <cell r="B9367" t="str">
            <v>Budget</v>
          </cell>
          <cell r="C9367" t="str">
            <v>Sep</v>
          </cell>
          <cell r="D9367" t="str">
            <v>Chairs</v>
          </cell>
          <cell r="E9367">
            <v>381855.21499999997</v>
          </cell>
          <cell r="F9367">
            <v>9</v>
          </cell>
        </row>
        <row r="9368">
          <cell r="A9368">
            <v>2019</v>
          </cell>
          <cell r="B9368" t="str">
            <v>Actual</v>
          </cell>
          <cell r="C9368" t="str">
            <v>Sep</v>
          </cell>
          <cell r="D9368" t="str">
            <v>Chairs</v>
          </cell>
          <cell r="E9368">
            <v>166862.33199999999</v>
          </cell>
          <cell r="F9368">
            <v>9</v>
          </cell>
        </row>
        <row r="9369">
          <cell r="A9369">
            <v>2019</v>
          </cell>
          <cell r="B9369" t="str">
            <v>Budget</v>
          </cell>
          <cell r="C9369" t="str">
            <v>Sep</v>
          </cell>
          <cell r="D9369" t="str">
            <v>Chairs</v>
          </cell>
          <cell r="E9369">
            <v>63193.75299999999</v>
          </cell>
          <cell r="F9369">
            <v>9</v>
          </cell>
        </row>
        <row r="9370">
          <cell r="A9370">
            <v>2019</v>
          </cell>
          <cell r="B9370" t="str">
            <v>Actual</v>
          </cell>
          <cell r="C9370" t="str">
            <v>Sep</v>
          </cell>
          <cell r="D9370" t="str">
            <v>Chairs</v>
          </cell>
          <cell r="E9370">
            <v>73298.841</v>
          </cell>
          <cell r="F9370">
            <v>9</v>
          </cell>
        </row>
        <row r="9371">
          <cell r="A9371">
            <v>2019</v>
          </cell>
          <cell r="B9371" t="str">
            <v>Budget</v>
          </cell>
          <cell r="C9371" t="str">
            <v>Sep</v>
          </cell>
          <cell r="D9371" t="str">
            <v>Chairs</v>
          </cell>
          <cell r="E9371">
            <v>546638.8899999999</v>
          </cell>
          <cell r="F9371">
            <v>9</v>
          </cell>
        </row>
        <row r="9372">
          <cell r="A9372">
            <v>2019</v>
          </cell>
          <cell r="B9372" t="str">
            <v>Actual</v>
          </cell>
          <cell r="C9372" t="str">
            <v>Sep</v>
          </cell>
          <cell r="D9372" t="str">
            <v>Chairs</v>
          </cell>
          <cell r="E9372">
            <v>978649.43400000001</v>
          </cell>
          <cell r="F9372">
            <v>9</v>
          </cell>
        </row>
        <row r="9373">
          <cell r="A9373">
            <v>2019</v>
          </cell>
          <cell r="B9373" t="str">
            <v>Budget</v>
          </cell>
          <cell r="C9373" t="str">
            <v>Sep</v>
          </cell>
          <cell r="D9373" t="str">
            <v>Chairs</v>
          </cell>
          <cell r="E9373">
            <v>344358.73499999999</v>
          </cell>
          <cell r="F9373">
            <v>9</v>
          </cell>
        </row>
        <row r="9374">
          <cell r="A9374">
            <v>2018</v>
          </cell>
          <cell r="B9374" t="str">
            <v>Actual</v>
          </cell>
          <cell r="C9374" t="str">
            <v>Sep</v>
          </cell>
          <cell r="D9374" t="str">
            <v>Chairs</v>
          </cell>
          <cell r="E9374">
            <v>134287.90199999997</v>
          </cell>
          <cell r="F9374">
            <v>9</v>
          </cell>
        </row>
        <row r="9375">
          <cell r="A9375">
            <v>2019</v>
          </cell>
          <cell r="B9375" t="str">
            <v>Budget</v>
          </cell>
          <cell r="C9375" t="str">
            <v>Sep</v>
          </cell>
          <cell r="D9375" t="str">
            <v>Chairs</v>
          </cell>
          <cell r="E9375">
            <v>135087.44199999998</v>
          </cell>
          <cell r="F9375">
            <v>9</v>
          </cell>
        </row>
        <row r="9376">
          <cell r="A9376">
            <v>2019</v>
          </cell>
          <cell r="B9376" t="str">
            <v>Actual</v>
          </cell>
          <cell r="C9376" t="str">
            <v>Sep</v>
          </cell>
          <cell r="D9376" t="str">
            <v>Chairs</v>
          </cell>
          <cell r="E9376">
            <v>51757.643000000004</v>
          </cell>
          <cell r="F9376">
            <v>9</v>
          </cell>
        </row>
        <row r="9377">
          <cell r="A9377">
            <v>2018</v>
          </cell>
          <cell r="B9377" t="str">
            <v>Budget</v>
          </cell>
          <cell r="C9377" t="str">
            <v>Sep</v>
          </cell>
          <cell r="D9377" t="str">
            <v>Chairs</v>
          </cell>
          <cell r="E9377">
            <v>56312.311999999998</v>
          </cell>
          <cell r="F9377">
            <v>9</v>
          </cell>
        </row>
        <row r="9378">
          <cell r="A9378">
            <v>2018</v>
          </cell>
          <cell r="B9378" t="str">
            <v>Actual</v>
          </cell>
          <cell r="C9378" t="str">
            <v>Sep</v>
          </cell>
          <cell r="D9378" t="str">
            <v>Chairs</v>
          </cell>
          <cell r="E9378">
            <v>217806.505</v>
          </cell>
          <cell r="F9378">
            <v>9</v>
          </cell>
        </row>
        <row r="9379">
          <cell r="A9379">
            <v>2019</v>
          </cell>
          <cell r="B9379" t="str">
            <v>Budget</v>
          </cell>
          <cell r="C9379" t="str">
            <v>Sep</v>
          </cell>
          <cell r="D9379" t="str">
            <v>Chairs</v>
          </cell>
          <cell r="E9379">
            <v>19929.923999999999</v>
          </cell>
          <cell r="F9379">
            <v>9</v>
          </cell>
        </row>
        <row r="9380">
          <cell r="A9380">
            <v>2018</v>
          </cell>
          <cell r="B9380" t="str">
            <v>Actual</v>
          </cell>
          <cell r="C9380" t="str">
            <v>Sep</v>
          </cell>
          <cell r="D9380" t="str">
            <v>Chairs</v>
          </cell>
          <cell r="E9380">
            <v>86023.006999999998</v>
          </cell>
          <cell r="F9380">
            <v>9</v>
          </cell>
        </row>
        <row r="9381">
          <cell r="A9381">
            <v>2018</v>
          </cell>
          <cell r="B9381" t="str">
            <v>Budget</v>
          </cell>
          <cell r="C9381" t="str">
            <v>Sep</v>
          </cell>
          <cell r="D9381" t="str">
            <v>Chairs</v>
          </cell>
          <cell r="E9381">
            <v>35860.034</v>
          </cell>
          <cell r="F9381">
            <v>9</v>
          </cell>
        </row>
        <row r="9382">
          <cell r="A9382">
            <v>2018</v>
          </cell>
          <cell r="B9382" t="str">
            <v>Actual</v>
          </cell>
          <cell r="C9382" t="str">
            <v>Sep</v>
          </cell>
          <cell r="D9382" t="str">
            <v>Chairs</v>
          </cell>
          <cell r="E9382">
            <v>60971.644999999997</v>
          </cell>
          <cell r="F9382">
            <v>9</v>
          </cell>
        </row>
        <row r="9383">
          <cell r="A9383">
            <v>2018</v>
          </cell>
          <cell r="B9383" t="str">
            <v>Budget</v>
          </cell>
          <cell r="C9383" t="str">
            <v>Sep</v>
          </cell>
          <cell r="D9383" t="str">
            <v>Chairs</v>
          </cell>
          <cell r="E9383">
            <v>299659.46499999997</v>
          </cell>
          <cell r="F9383">
            <v>9</v>
          </cell>
        </row>
        <row r="9384">
          <cell r="A9384">
            <v>2018</v>
          </cell>
          <cell r="B9384" t="str">
            <v>Actual</v>
          </cell>
          <cell r="C9384" t="str">
            <v>Sep</v>
          </cell>
          <cell r="D9384" t="str">
            <v>Tables</v>
          </cell>
          <cell r="E9384">
            <v>100155.31399999998</v>
          </cell>
          <cell r="F9384">
            <v>9</v>
          </cell>
        </row>
        <row r="9385">
          <cell r="A9385">
            <v>2019</v>
          </cell>
          <cell r="B9385" t="str">
            <v>Budget</v>
          </cell>
          <cell r="C9385" t="str">
            <v>Sep</v>
          </cell>
          <cell r="D9385" t="str">
            <v>Kitchen</v>
          </cell>
          <cell r="E9385">
            <v>231902.671</v>
          </cell>
          <cell r="F9385">
            <v>9</v>
          </cell>
        </row>
        <row r="9386">
          <cell r="A9386">
            <v>2018</v>
          </cell>
          <cell r="B9386" t="str">
            <v>Actual</v>
          </cell>
          <cell r="C9386" t="str">
            <v>Sep</v>
          </cell>
          <cell r="D9386" t="str">
            <v>Chairs</v>
          </cell>
          <cell r="E9386">
            <v>2214387.0909999995</v>
          </cell>
          <cell r="F9386">
            <v>9</v>
          </cell>
        </row>
        <row r="9387">
          <cell r="A9387">
            <v>2018</v>
          </cell>
          <cell r="B9387" t="str">
            <v>Budget</v>
          </cell>
          <cell r="C9387" t="str">
            <v>Sep</v>
          </cell>
          <cell r="D9387" t="str">
            <v>Chairs</v>
          </cell>
          <cell r="E9387">
            <v>2145098.977</v>
          </cell>
          <cell r="F9387">
            <v>9</v>
          </cell>
        </row>
        <row r="9388">
          <cell r="A9388">
            <v>2018</v>
          </cell>
          <cell r="B9388" t="str">
            <v>Actual</v>
          </cell>
          <cell r="C9388" t="str">
            <v>Sep</v>
          </cell>
          <cell r="D9388" t="str">
            <v>Chairs</v>
          </cell>
          <cell r="E9388">
            <v>96253.842999999993</v>
          </cell>
          <cell r="F9388">
            <v>9</v>
          </cell>
        </row>
        <row r="9389">
          <cell r="A9389">
            <v>2019</v>
          </cell>
          <cell r="B9389" t="str">
            <v>Budget</v>
          </cell>
          <cell r="C9389" t="str">
            <v>Sep</v>
          </cell>
          <cell r="D9389" t="str">
            <v>Chairs</v>
          </cell>
          <cell r="E9389">
            <v>61083.875999999989</v>
          </cell>
          <cell r="F9389">
            <v>9</v>
          </cell>
        </row>
        <row r="9390">
          <cell r="A9390">
            <v>2019</v>
          </cell>
          <cell r="B9390" t="str">
            <v>Actual</v>
          </cell>
          <cell r="C9390" t="str">
            <v>Sep</v>
          </cell>
          <cell r="D9390" t="str">
            <v>Chairs</v>
          </cell>
          <cell r="E9390">
            <v>6954.9269999999997</v>
          </cell>
          <cell r="F9390">
            <v>9</v>
          </cell>
        </row>
        <row r="9391">
          <cell r="A9391">
            <v>2018</v>
          </cell>
          <cell r="B9391" t="str">
            <v>Budget</v>
          </cell>
          <cell r="C9391" t="str">
            <v>Sep</v>
          </cell>
          <cell r="D9391" t="str">
            <v>Tables</v>
          </cell>
          <cell r="E9391">
            <v>7559.0479999999989</v>
          </cell>
          <cell r="F9391">
            <v>9</v>
          </cell>
        </row>
        <row r="9392">
          <cell r="A9392">
            <v>2018</v>
          </cell>
          <cell r="B9392" t="str">
            <v>Actual</v>
          </cell>
          <cell r="C9392" t="str">
            <v>Sep</v>
          </cell>
          <cell r="D9392" t="str">
            <v>Kitchen</v>
          </cell>
          <cell r="E9392">
            <v>28278.131000000001</v>
          </cell>
          <cell r="F9392">
            <v>9</v>
          </cell>
        </row>
        <row r="9393">
          <cell r="A9393">
            <v>2019</v>
          </cell>
          <cell r="B9393" t="str">
            <v>Budget</v>
          </cell>
          <cell r="C9393" t="str">
            <v>Sep</v>
          </cell>
          <cell r="D9393" t="str">
            <v>Chairs</v>
          </cell>
          <cell r="E9393">
            <v>139790.72099999999</v>
          </cell>
          <cell r="F9393">
            <v>9</v>
          </cell>
        </row>
        <row r="9394">
          <cell r="A9394">
            <v>2019</v>
          </cell>
          <cell r="B9394" t="str">
            <v>Actual</v>
          </cell>
          <cell r="C9394" t="str">
            <v>Sep</v>
          </cell>
          <cell r="D9394" t="str">
            <v>Chairs</v>
          </cell>
          <cell r="E9394">
            <v>158365.89299999998</v>
          </cell>
          <cell r="F9394">
            <v>9</v>
          </cell>
        </row>
        <row r="9395">
          <cell r="A9395">
            <v>2018</v>
          </cell>
          <cell r="B9395" t="str">
            <v>Budget</v>
          </cell>
          <cell r="C9395" t="str">
            <v>Sep</v>
          </cell>
          <cell r="D9395" t="str">
            <v>Chairs</v>
          </cell>
          <cell r="E9395">
            <v>95616.891999999993</v>
          </cell>
          <cell r="F9395">
            <v>9</v>
          </cell>
        </row>
        <row r="9396">
          <cell r="A9396">
            <v>2019</v>
          </cell>
          <cell r="B9396" t="str">
            <v>Actual</v>
          </cell>
          <cell r="C9396" t="str">
            <v>Sep</v>
          </cell>
          <cell r="D9396" t="str">
            <v>Tables</v>
          </cell>
          <cell r="E9396">
            <v>229107.557</v>
          </cell>
          <cell r="F9396">
            <v>9</v>
          </cell>
        </row>
        <row r="9397">
          <cell r="A9397">
            <v>2019</v>
          </cell>
          <cell r="B9397" t="str">
            <v>Budget</v>
          </cell>
          <cell r="C9397" t="str">
            <v>Sep</v>
          </cell>
          <cell r="D9397" t="str">
            <v>Kitchen</v>
          </cell>
          <cell r="E9397">
            <v>329659.967</v>
          </cell>
          <cell r="F9397">
            <v>9</v>
          </cell>
        </row>
        <row r="9398">
          <cell r="A9398">
            <v>2019</v>
          </cell>
          <cell r="B9398" t="str">
            <v>Actual</v>
          </cell>
          <cell r="C9398" t="str">
            <v>Sep</v>
          </cell>
          <cell r="D9398" t="str">
            <v>Chairs</v>
          </cell>
          <cell r="E9398">
            <v>9380771.1199999992</v>
          </cell>
          <cell r="F9398">
            <v>9</v>
          </cell>
        </row>
        <row r="9399">
          <cell r="A9399">
            <v>2018</v>
          </cell>
          <cell r="B9399" t="str">
            <v>Budget</v>
          </cell>
          <cell r="C9399" t="str">
            <v>Sep</v>
          </cell>
          <cell r="D9399" t="str">
            <v>Chairs</v>
          </cell>
          <cell r="E9399">
            <v>60217.429999999993</v>
          </cell>
          <cell r="F9399">
            <v>9</v>
          </cell>
        </row>
        <row r="9400">
          <cell r="A9400">
            <v>2019</v>
          </cell>
          <cell r="B9400" t="str">
            <v>Actual</v>
          </cell>
          <cell r="C9400" t="str">
            <v>Sep</v>
          </cell>
          <cell r="D9400" t="str">
            <v>Tables</v>
          </cell>
          <cell r="E9400">
            <v>142474.22699999998</v>
          </cell>
          <cell r="F9400">
            <v>9</v>
          </cell>
        </row>
        <row r="9401">
          <cell r="A9401">
            <v>2019</v>
          </cell>
          <cell r="B9401" t="str">
            <v>Budget</v>
          </cell>
          <cell r="C9401" t="str">
            <v>Sep</v>
          </cell>
          <cell r="D9401" t="str">
            <v>Kitchen</v>
          </cell>
          <cell r="E9401">
            <v>1747276.6359999999</v>
          </cell>
          <cell r="F9401">
            <v>9</v>
          </cell>
        </row>
        <row r="9402">
          <cell r="A9402">
            <v>2019</v>
          </cell>
          <cell r="B9402" t="str">
            <v>Actual</v>
          </cell>
          <cell r="C9402" t="str">
            <v>Sep</v>
          </cell>
          <cell r="D9402" t="str">
            <v>Chairs</v>
          </cell>
          <cell r="E9402">
            <v>423920.58799999993</v>
          </cell>
          <cell r="F9402">
            <v>9</v>
          </cell>
        </row>
        <row r="9403">
          <cell r="A9403">
            <v>2018</v>
          </cell>
          <cell r="B9403" t="str">
            <v>Budget</v>
          </cell>
          <cell r="C9403" t="str">
            <v>Sep</v>
          </cell>
          <cell r="D9403" t="str">
            <v>Chairs</v>
          </cell>
          <cell r="E9403">
            <v>4955.3069999999998</v>
          </cell>
          <cell r="F9403">
            <v>9</v>
          </cell>
        </row>
        <row r="9404">
          <cell r="A9404">
            <v>2019</v>
          </cell>
          <cell r="B9404" t="str">
            <v>Actual</v>
          </cell>
          <cell r="C9404" t="str">
            <v>Sep</v>
          </cell>
          <cell r="D9404" t="str">
            <v>Tables</v>
          </cell>
          <cell r="E9404">
            <v>18941.348999999998</v>
          </cell>
          <cell r="F9404">
            <v>9</v>
          </cell>
        </row>
        <row r="9405">
          <cell r="A9405">
            <v>2018</v>
          </cell>
          <cell r="B9405" t="str">
            <v>Budget</v>
          </cell>
          <cell r="C9405" t="str">
            <v>Sep</v>
          </cell>
          <cell r="D9405" t="str">
            <v>Chairs</v>
          </cell>
          <cell r="E9405">
            <v>1033621.988</v>
          </cell>
          <cell r="F9405">
            <v>9</v>
          </cell>
        </row>
        <row r="9406">
          <cell r="A9406">
            <v>2019</v>
          </cell>
          <cell r="B9406" t="str">
            <v>Actual</v>
          </cell>
          <cell r="C9406" t="str">
            <v>Sep</v>
          </cell>
          <cell r="D9406" t="str">
            <v>Tables</v>
          </cell>
          <cell r="E9406">
            <v>1700528.5569999998</v>
          </cell>
          <cell r="F9406">
            <v>9</v>
          </cell>
        </row>
        <row r="9407">
          <cell r="A9407">
            <v>2018</v>
          </cell>
          <cell r="B9407" t="str">
            <v>Budget</v>
          </cell>
          <cell r="C9407" t="str">
            <v>Sep</v>
          </cell>
          <cell r="D9407" t="str">
            <v>Kitchen</v>
          </cell>
          <cell r="E9407">
            <v>479170.3</v>
          </cell>
          <cell r="F9407">
            <v>9</v>
          </cell>
        </row>
        <row r="9408">
          <cell r="A9408">
            <v>2018</v>
          </cell>
          <cell r="B9408" t="str">
            <v>Actual</v>
          </cell>
          <cell r="C9408" t="str">
            <v>Sep</v>
          </cell>
          <cell r="D9408" t="str">
            <v>Accessories</v>
          </cell>
          <cell r="E9408">
            <v>757871.12099999993</v>
          </cell>
          <cell r="F9408">
            <v>9</v>
          </cell>
        </row>
        <row r="9409">
          <cell r="A9409">
            <v>2019</v>
          </cell>
          <cell r="B9409" t="str">
            <v>Budget</v>
          </cell>
          <cell r="C9409" t="str">
            <v>Sep</v>
          </cell>
          <cell r="D9409" t="str">
            <v>Chairs</v>
          </cell>
          <cell r="E9409">
            <v>930901.15299999993</v>
          </cell>
          <cell r="F9409">
            <v>9</v>
          </cell>
        </row>
        <row r="9410">
          <cell r="A9410">
            <v>2019</v>
          </cell>
          <cell r="B9410" t="str">
            <v>Actual</v>
          </cell>
          <cell r="C9410" t="str">
            <v>Sep</v>
          </cell>
          <cell r="D9410" t="str">
            <v>Tables</v>
          </cell>
          <cell r="E9410">
            <v>471249.62499999994</v>
          </cell>
          <cell r="F9410">
            <v>9</v>
          </cell>
        </row>
        <row r="9411">
          <cell r="A9411">
            <v>2018</v>
          </cell>
          <cell r="B9411" t="str">
            <v>Budget</v>
          </cell>
          <cell r="C9411" t="str">
            <v>Sep</v>
          </cell>
          <cell r="D9411" t="str">
            <v>Kitchen</v>
          </cell>
          <cell r="E9411">
            <v>499777.96399999998</v>
          </cell>
          <cell r="F9411">
            <v>9</v>
          </cell>
        </row>
        <row r="9412">
          <cell r="A9412">
            <v>2019</v>
          </cell>
          <cell r="B9412" t="str">
            <v>Actual</v>
          </cell>
          <cell r="C9412" t="str">
            <v>Sep</v>
          </cell>
          <cell r="D9412" t="str">
            <v>Accessories</v>
          </cell>
          <cell r="E9412">
            <v>281323.39899999998</v>
          </cell>
          <cell r="F9412">
            <v>9</v>
          </cell>
        </row>
        <row r="9413">
          <cell r="A9413">
            <v>2019</v>
          </cell>
          <cell r="B9413" t="str">
            <v>Budget</v>
          </cell>
          <cell r="C9413" t="str">
            <v>Sep</v>
          </cell>
          <cell r="D9413" t="str">
            <v>Chairs</v>
          </cell>
          <cell r="E9413">
            <v>1441444.2560000001</v>
          </cell>
          <cell r="F9413">
            <v>9</v>
          </cell>
        </row>
        <row r="9414">
          <cell r="A9414">
            <v>2019</v>
          </cell>
          <cell r="B9414" t="str">
            <v>Actual</v>
          </cell>
          <cell r="C9414" t="str">
            <v>Sep</v>
          </cell>
          <cell r="D9414" t="str">
            <v>Tables</v>
          </cell>
          <cell r="E9414">
            <v>1586259.7590000001</v>
          </cell>
          <cell r="F9414">
            <v>9</v>
          </cell>
        </row>
        <row r="9415">
          <cell r="A9415">
            <v>2018</v>
          </cell>
          <cell r="B9415" t="str">
            <v>Budget</v>
          </cell>
          <cell r="C9415" t="str">
            <v>Sep</v>
          </cell>
          <cell r="D9415" t="str">
            <v>Kitchen</v>
          </cell>
          <cell r="E9415">
            <v>106290.821</v>
          </cell>
          <cell r="F9415">
            <v>9</v>
          </cell>
        </row>
        <row r="9416">
          <cell r="A9416">
            <v>2019</v>
          </cell>
          <cell r="B9416" t="str">
            <v>Actual</v>
          </cell>
          <cell r="C9416" t="str">
            <v>Sep</v>
          </cell>
          <cell r="D9416" t="str">
            <v>Accessories</v>
          </cell>
          <cell r="E9416">
            <v>369135.52899999998</v>
          </cell>
          <cell r="F9416">
            <v>9</v>
          </cell>
        </row>
        <row r="9417">
          <cell r="A9417">
            <v>2018</v>
          </cell>
          <cell r="B9417" t="str">
            <v>Budget</v>
          </cell>
          <cell r="C9417" t="str">
            <v>Sep</v>
          </cell>
          <cell r="D9417" t="str">
            <v>Chairs</v>
          </cell>
          <cell r="E9417">
            <v>1531494.7479999999</v>
          </cell>
          <cell r="F9417">
            <v>9</v>
          </cell>
        </row>
        <row r="9418">
          <cell r="A9418">
            <v>2018</v>
          </cell>
          <cell r="B9418" t="str">
            <v>Actual</v>
          </cell>
          <cell r="C9418" t="str">
            <v>Sep</v>
          </cell>
          <cell r="D9418" t="str">
            <v>Tables</v>
          </cell>
          <cell r="E9418">
            <v>24555.495999999999</v>
          </cell>
          <cell r="F9418">
            <v>9</v>
          </cell>
        </row>
        <row r="9419">
          <cell r="A9419">
            <v>2018</v>
          </cell>
          <cell r="B9419" t="str">
            <v>Budget</v>
          </cell>
          <cell r="C9419" t="str">
            <v>Sep</v>
          </cell>
          <cell r="D9419" t="str">
            <v>Kitchen</v>
          </cell>
          <cell r="E9419">
            <v>204604.26699999999</v>
          </cell>
          <cell r="F9419">
            <v>9</v>
          </cell>
        </row>
        <row r="9420">
          <cell r="A9420">
            <v>2018</v>
          </cell>
          <cell r="B9420" t="str">
            <v>Actual</v>
          </cell>
          <cell r="C9420" t="str">
            <v>Sep</v>
          </cell>
          <cell r="D9420" t="str">
            <v>Accessories</v>
          </cell>
          <cell r="E9420">
            <v>1190748.1599999999</v>
          </cell>
          <cell r="F9420">
            <v>9</v>
          </cell>
        </row>
        <row r="9421">
          <cell r="A9421">
            <v>2018</v>
          </cell>
          <cell r="B9421" t="str">
            <v>Budget</v>
          </cell>
          <cell r="C9421" t="str">
            <v>Sep</v>
          </cell>
          <cell r="D9421" t="str">
            <v>Chairs</v>
          </cell>
          <cell r="E9421">
            <v>815652.35499999986</v>
          </cell>
          <cell r="F9421">
            <v>9</v>
          </cell>
        </row>
        <row r="9422">
          <cell r="A9422">
            <v>2019</v>
          </cell>
          <cell r="B9422" t="str">
            <v>Actual</v>
          </cell>
          <cell r="C9422" t="str">
            <v>Sep</v>
          </cell>
          <cell r="D9422" t="str">
            <v>Chairs</v>
          </cell>
          <cell r="E9422">
            <v>2239462.1269999999</v>
          </cell>
          <cell r="F9422">
            <v>9</v>
          </cell>
        </row>
        <row r="9423">
          <cell r="A9423">
            <v>2019</v>
          </cell>
          <cell r="B9423" t="str">
            <v>Budget</v>
          </cell>
          <cell r="C9423" t="str">
            <v>Sep</v>
          </cell>
          <cell r="D9423" t="str">
            <v>Tables</v>
          </cell>
          <cell r="E9423">
            <v>1163059.8419999999</v>
          </cell>
          <cell r="F9423">
            <v>9</v>
          </cell>
        </row>
        <row r="9424">
          <cell r="A9424">
            <v>2018</v>
          </cell>
          <cell r="B9424" t="str">
            <v>Actual</v>
          </cell>
          <cell r="C9424" t="str">
            <v>Sep</v>
          </cell>
          <cell r="D9424" t="str">
            <v>Kitchen</v>
          </cell>
          <cell r="E9424">
            <v>264610.08699999994</v>
          </cell>
          <cell r="F9424">
            <v>9</v>
          </cell>
        </row>
        <row r="9425">
          <cell r="A9425">
            <v>2019</v>
          </cell>
          <cell r="B9425" t="str">
            <v>Budget</v>
          </cell>
          <cell r="C9425" t="str">
            <v>Sep</v>
          </cell>
          <cell r="D9425" t="str">
            <v>Chairs</v>
          </cell>
          <cell r="E9425">
            <v>1084639.3599999999</v>
          </cell>
          <cell r="F9425">
            <v>9</v>
          </cell>
        </row>
        <row r="9426">
          <cell r="A9426">
            <v>2019</v>
          </cell>
          <cell r="B9426" t="str">
            <v>Actual</v>
          </cell>
          <cell r="C9426" t="str">
            <v>Sep</v>
          </cell>
          <cell r="D9426" t="str">
            <v>Tables</v>
          </cell>
          <cell r="E9426">
            <v>306925.94799999997</v>
          </cell>
          <cell r="F9426">
            <v>9</v>
          </cell>
        </row>
        <row r="9427">
          <cell r="A9427">
            <v>2019</v>
          </cell>
          <cell r="B9427" t="str">
            <v>Budget</v>
          </cell>
          <cell r="C9427" t="str">
            <v>Sep</v>
          </cell>
          <cell r="D9427" t="str">
            <v>Kitchen</v>
          </cell>
          <cell r="E9427">
            <v>225989.421</v>
          </cell>
          <cell r="F9427">
            <v>9</v>
          </cell>
        </row>
        <row r="9428">
          <cell r="A9428">
            <v>2019</v>
          </cell>
          <cell r="B9428" t="str">
            <v>Actual</v>
          </cell>
          <cell r="C9428" t="str">
            <v>Sep</v>
          </cell>
          <cell r="D9428" t="str">
            <v>Chairs</v>
          </cell>
          <cell r="E9428">
            <v>455049.41299999994</v>
          </cell>
          <cell r="F9428">
            <v>9</v>
          </cell>
        </row>
        <row r="9429">
          <cell r="A9429">
            <v>2019</v>
          </cell>
          <cell r="B9429" t="str">
            <v>Budget</v>
          </cell>
          <cell r="C9429" t="str">
            <v>Sep</v>
          </cell>
          <cell r="D9429" t="str">
            <v>Tables</v>
          </cell>
          <cell r="E9429">
            <v>107972.69699999999</v>
          </cell>
          <cell r="F9429">
            <v>9</v>
          </cell>
        </row>
        <row r="9430">
          <cell r="A9430">
            <v>2018</v>
          </cell>
          <cell r="B9430" t="str">
            <v>Actual</v>
          </cell>
          <cell r="C9430" t="str">
            <v>Sep</v>
          </cell>
          <cell r="D9430" t="str">
            <v>Kitchen</v>
          </cell>
          <cell r="E9430">
            <v>117539.55499999999</v>
          </cell>
          <cell r="F9430">
            <v>9</v>
          </cell>
        </row>
        <row r="9431">
          <cell r="A9431">
            <v>2019</v>
          </cell>
          <cell r="B9431" t="str">
            <v>Budget</v>
          </cell>
          <cell r="C9431" t="str">
            <v>Sep</v>
          </cell>
          <cell r="D9431" t="str">
            <v>Chairs</v>
          </cell>
          <cell r="E9431">
            <v>475981.09299999994</v>
          </cell>
          <cell r="F9431">
            <v>9</v>
          </cell>
        </row>
        <row r="9432">
          <cell r="A9432">
            <v>2019</v>
          </cell>
          <cell r="B9432" t="str">
            <v>Actual</v>
          </cell>
          <cell r="C9432" t="str">
            <v>Sep</v>
          </cell>
          <cell r="D9432" t="str">
            <v>Chairs</v>
          </cell>
          <cell r="E9432">
            <v>94409.468999999997</v>
          </cell>
          <cell r="F9432">
            <v>9</v>
          </cell>
        </row>
        <row r="9433">
          <cell r="A9433">
            <v>2019</v>
          </cell>
          <cell r="B9433" t="str">
            <v>Budget</v>
          </cell>
          <cell r="C9433" t="str">
            <v>Sep</v>
          </cell>
          <cell r="D9433" t="str">
            <v>Chairs</v>
          </cell>
          <cell r="E9433">
            <v>1441216.9239999999</v>
          </cell>
          <cell r="F9433">
            <v>9</v>
          </cell>
        </row>
        <row r="9434">
          <cell r="A9434">
            <v>2018</v>
          </cell>
          <cell r="B9434" t="str">
            <v>Actual</v>
          </cell>
          <cell r="C9434" t="str">
            <v>Sep</v>
          </cell>
          <cell r="D9434" t="str">
            <v>Chairs</v>
          </cell>
          <cell r="E9434">
            <v>173368.804</v>
          </cell>
          <cell r="F9434">
            <v>9</v>
          </cell>
        </row>
        <row r="9435">
          <cell r="A9435">
            <v>2019</v>
          </cell>
          <cell r="B9435" t="str">
            <v>Budget</v>
          </cell>
          <cell r="C9435" t="str">
            <v>Sep</v>
          </cell>
          <cell r="D9435" t="str">
            <v>Chairs</v>
          </cell>
          <cell r="E9435">
            <v>3918126.4849999994</v>
          </cell>
          <cell r="F9435">
            <v>9</v>
          </cell>
        </row>
        <row r="9436">
          <cell r="A9436">
            <v>2018</v>
          </cell>
          <cell r="B9436" t="str">
            <v>Actual</v>
          </cell>
          <cell r="C9436" t="str">
            <v>Sep</v>
          </cell>
          <cell r="D9436" t="str">
            <v>Chairs</v>
          </cell>
          <cell r="E9436">
            <v>423846.87800000003</v>
          </cell>
          <cell r="F9436">
            <v>9</v>
          </cell>
        </row>
        <row r="9437">
          <cell r="A9437">
            <v>2019</v>
          </cell>
          <cell r="B9437" t="str">
            <v>Budget</v>
          </cell>
          <cell r="C9437" t="str">
            <v>Sep</v>
          </cell>
          <cell r="D9437" t="str">
            <v>Chairs</v>
          </cell>
          <cell r="E9437">
            <v>1215954.7749999999</v>
          </cell>
          <cell r="F9437">
            <v>9</v>
          </cell>
        </row>
        <row r="9438">
          <cell r="A9438">
            <v>2019</v>
          </cell>
          <cell r="B9438" t="str">
            <v>Actual</v>
          </cell>
          <cell r="C9438" t="str">
            <v>Sep</v>
          </cell>
          <cell r="D9438" t="str">
            <v>Chairs</v>
          </cell>
          <cell r="E9438">
            <v>127168.216</v>
          </cell>
          <cell r="F9438">
            <v>9</v>
          </cell>
        </row>
        <row r="9439">
          <cell r="A9439">
            <v>2019</v>
          </cell>
          <cell r="B9439" t="str">
            <v>Budget</v>
          </cell>
          <cell r="C9439" t="str">
            <v>Sep</v>
          </cell>
          <cell r="D9439" t="str">
            <v>Chairs</v>
          </cell>
          <cell r="E9439">
            <v>359395.18299999996</v>
          </cell>
          <cell r="F9439">
            <v>9</v>
          </cell>
        </row>
        <row r="9440">
          <cell r="A9440">
            <v>2019</v>
          </cell>
          <cell r="B9440" t="str">
            <v>Actual</v>
          </cell>
          <cell r="C9440" t="str">
            <v>Sep</v>
          </cell>
          <cell r="D9440" t="str">
            <v>Chairs</v>
          </cell>
          <cell r="E9440">
            <v>1593948.9650000001</v>
          </cell>
          <cell r="F9440">
            <v>9</v>
          </cell>
        </row>
        <row r="9441">
          <cell r="A9441">
            <v>2018</v>
          </cell>
          <cell r="B9441" t="str">
            <v>Budget</v>
          </cell>
          <cell r="C9441" t="str">
            <v>Sep</v>
          </cell>
          <cell r="D9441" t="str">
            <v>Chairs</v>
          </cell>
          <cell r="E9441">
            <v>1666929.7749999999</v>
          </cell>
          <cell r="F9441">
            <v>9</v>
          </cell>
        </row>
        <row r="9442">
          <cell r="A9442">
            <v>2019</v>
          </cell>
          <cell r="B9442" t="str">
            <v>Actual</v>
          </cell>
          <cell r="C9442" t="str">
            <v>Sep</v>
          </cell>
          <cell r="D9442" t="str">
            <v>Chairs</v>
          </cell>
          <cell r="E9442">
            <v>1165342.1429999999</v>
          </cell>
          <cell r="F9442">
            <v>9</v>
          </cell>
        </row>
        <row r="9443">
          <cell r="A9443">
            <v>2019</v>
          </cell>
          <cell r="B9443" t="str">
            <v>Budget</v>
          </cell>
          <cell r="C9443" t="str">
            <v>Sep</v>
          </cell>
          <cell r="D9443" t="str">
            <v>Chairs</v>
          </cell>
          <cell r="E9443">
            <v>119523.94299999998</v>
          </cell>
          <cell r="F9443">
            <v>9</v>
          </cell>
        </row>
        <row r="9444">
          <cell r="A9444">
            <v>2018</v>
          </cell>
          <cell r="B9444" t="str">
            <v>Actual</v>
          </cell>
          <cell r="C9444" t="str">
            <v>Sep</v>
          </cell>
          <cell r="D9444" t="str">
            <v>Chairs</v>
          </cell>
          <cell r="E9444">
            <v>120245.986</v>
          </cell>
          <cell r="F9444">
            <v>9</v>
          </cell>
        </row>
        <row r="9445">
          <cell r="A9445">
            <v>2019</v>
          </cell>
          <cell r="B9445" t="str">
            <v>Budget</v>
          </cell>
          <cell r="C9445" t="str">
            <v>Sep</v>
          </cell>
          <cell r="D9445" t="str">
            <v>Chairs</v>
          </cell>
          <cell r="E9445">
            <v>240588.68399999998</v>
          </cell>
          <cell r="F9445">
            <v>9</v>
          </cell>
        </row>
        <row r="9446">
          <cell r="A9446">
            <v>2019</v>
          </cell>
          <cell r="B9446" t="str">
            <v>Actual</v>
          </cell>
          <cell r="C9446" t="str">
            <v>Sep</v>
          </cell>
          <cell r="D9446" t="str">
            <v>Chairs</v>
          </cell>
          <cell r="E9446">
            <v>480430.04799999995</v>
          </cell>
          <cell r="F9446">
            <v>9</v>
          </cell>
        </row>
        <row r="9447">
          <cell r="A9447">
            <v>2019</v>
          </cell>
          <cell r="B9447" t="str">
            <v>Budget</v>
          </cell>
          <cell r="C9447" t="str">
            <v>Sep</v>
          </cell>
          <cell r="D9447" t="str">
            <v>Chairs</v>
          </cell>
          <cell r="E9447">
            <v>113890.23099999999</v>
          </cell>
          <cell r="F9447">
            <v>9</v>
          </cell>
        </row>
        <row r="9448">
          <cell r="A9448">
            <v>2019</v>
          </cell>
          <cell r="B9448" t="str">
            <v>Actual</v>
          </cell>
          <cell r="C9448" t="str">
            <v>Sep</v>
          </cell>
          <cell r="D9448" t="str">
            <v>Chairs</v>
          </cell>
          <cell r="E9448">
            <v>135444.34400000001</v>
          </cell>
          <cell r="F9448">
            <v>9</v>
          </cell>
        </row>
        <row r="9449">
          <cell r="A9449">
            <v>2018</v>
          </cell>
          <cell r="B9449" t="str">
            <v>Budget</v>
          </cell>
          <cell r="C9449" t="str">
            <v>Sep</v>
          </cell>
          <cell r="D9449" t="str">
            <v>Chairs</v>
          </cell>
          <cell r="E9449">
            <v>131210.56200000001</v>
          </cell>
          <cell r="F9449">
            <v>9</v>
          </cell>
        </row>
        <row r="9450">
          <cell r="A9450">
            <v>2018</v>
          </cell>
          <cell r="B9450" t="str">
            <v>Actual</v>
          </cell>
          <cell r="C9450" t="str">
            <v>Sep</v>
          </cell>
          <cell r="D9450" t="str">
            <v>Chairs</v>
          </cell>
          <cell r="E9450">
            <v>91012.767999999996</v>
          </cell>
          <cell r="F9450">
            <v>9</v>
          </cell>
        </row>
        <row r="9451">
          <cell r="A9451">
            <v>2019</v>
          </cell>
          <cell r="B9451" t="str">
            <v>Budget</v>
          </cell>
          <cell r="C9451" t="str">
            <v>Sep</v>
          </cell>
          <cell r="D9451" t="str">
            <v>Chairs</v>
          </cell>
          <cell r="E9451">
            <v>106432.641</v>
          </cell>
          <cell r="F9451">
            <v>9</v>
          </cell>
        </row>
        <row r="9452">
          <cell r="A9452">
            <v>2019</v>
          </cell>
          <cell r="B9452" t="str">
            <v>Actual</v>
          </cell>
          <cell r="C9452" t="str">
            <v>Sep</v>
          </cell>
          <cell r="D9452" t="str">
            <v>Chairs</v>
          </cell>
          <cell r="E9452">
            <v>93784.998999999996</v>
          </cell>
          <cell r="F9452">
            <v>9</v>
          </cell>
        </row>
        <row r="9453">
          <cell r="A9453">
            <v>2019</v>
          </cell>
          <cell r="B9453" t="str">
            <v>Budget</v>
          </cell>
          <cell r="C9453" t="str">
            <v>Sep</v>
          </cell>
          <cell r="D9453" t="str">
            <v>Chairs</v>
          </cell>
          <cell r="E9453">
            <v>43540.784</v>
          </cell>
          <cell r="F9453">
            <v>9</v>
          </cell>
        </row>
        <row r="9454">
          <cell r="A9454">
            <v>2018</v>
          </cell>
          <cell r="B9454" t="str">
            <v>Actual</v>
          </cell>
          <cell r="C9454" t="str">
            <v>Sep</v>
          </cell>
          <cell r="D9454" t="str">
            <v>Chairs</v>
          </cell>
          <cell r="E9454">
            <v>19768.615999999998</v>
          </cell>
          <cell r="F9454">
            <v>9</v>
          </cell>
        </row>
        <row r="9455">
          <cell r="A9455">
            <v>2018</v>
          </cell>
          <cell r="B9455" t="str">
            <v>Budget</v>
          </cell>
          <cell r="C9455" t="str">
            <v>Sep</v>
          </cell>
          <cell r="D9455" t="str">
            <v>Chairs</v>
          </cell>
          <cell r="E9455">
            <v>21049.559999999998</v>
          </cell>
          <cell r="F9455">
            <v>9</v>
          </cell>
        </row>
        <row r="9456">
          <cell r="A9456">
            <v>2018</v>
          </cell>
          <cell r="B9456" t="str">
            <v>Actual</v>
          </cell>
          <cell r="C9456" t="str">
            <v>Sep</v>
          </cell>
          <cell r="D9456" t="str">
            <v>Chairs</v>
          </cell>
          <cell r="E9456">
            <v>96107.508000000002</v>
          </cell>
          <cell r="F9456">
            <v>9</v>
          </cell>
        </row>
        <row r="9457">
          <cell r="A9457">
            <v>2018</v>
          </cell>
          <cell r="B9457" t="str">
            <v>Budget</v>
          </cell>
          <cell r="C9457" t="str">
            <v>Sep</v>
          </cell>
          <cell r="D9457" t="str">
            <v>Tables</v>
          </cell>
          <cell r="E9457">
            <v>103231.92599999999</v>
          </cell>
          <cell r="F9457">
            <v>9</v>
          </cell>
        </row>
        <row r="9458">
          <cell r="A9458">
            <v>2019</v>
          </cell>
          <cell r="B9458" t="str">
            <v>Actual</v>
          </cell>
          <cell r="C9458" t="str">
            <v>Sep</v>
          </cell>
          <cell r="D9458" t="str">
            <v>Kitchen</v>
          </cell>
          <cell r="E9458">
            <v>63777.286999999997</v>
          </cell>
          <cell r="F9458">
            <v>9</v>
          </cell>
        </row>
        <row r="9459">
          <cell r="A9459">
            <v>2019</v>
          </cell>
          <cell r="B9459" t="str">
            <v>Budget</v>
          </cell>
          <cell r="C9459" t="str">
            <v>Sep</v>
          </cell>
          <cell r="D9459" t="str">
            <v>Chairs</v>
          </cell>
          <cell r="E9459">
            <v>771.44199999999989</v>
          </cell>
          <cell r="F9459">
            <v>9</v>
          </cell>
        </row>
        <row r="9460">
          <cell r="A9460">
            <v>2018</v>
          </cell>
          <cell r="B9460" t="str">
            <v>Actual</v>
          </cell>
          <cell r="C9460" t="str">
            <v>Sep</v>
          </cell>
          <cell r="D9460" t="str">
            <v>Chairs</v>
          </cell>
          <cell r="E9460">
            <v>1742.482</v>
          </cell>
          <cell r="F9460">
            <v>9</v>
          </cell>
        </row>
        <row r="9461">
          <cell r="A9461">
            <v>2019</v>
          </cell>
          <cell r="B9461" t="str">
            <v>Budget</v>
          </cell>
          <cell r="C9461" t="str">
            <v>Sep</v>
          </cell>
          <cell r="D9461" t="str">
            <v>Chairs</v>
          </cell>
          <cell r="E9461">
            <v>75001.975999999995</v>
          </cell>
          <cell r="F9461">
            <v>9</v>
          </cell>
        </row>
        <row r="9462">
          <cell r="A9462">
            <v>2019</v>
          </cell>
          <cell r="B9462" t="str">
            <v>Actual</v>
          </cell>
          <cell r="C9462" t="str">
            <v>Sep</v>
          </cell>
          <cell r="D9462" t="str">
            <v>Chairs</v>
          </cell>
          <cell r="E9462">
            <v>142486.67300000001</v>
          </cell>
          <cell r="F9462">
            <v>9</v>
          </cell>
        </row>
        <row r="9463">
          <cell r="A9463">
            <v>2018</v>
          </cell>
          <cell r="B9463" t="str">
            <v>Budget</v>
          </cell>
          <cell r="C9463" t="str">
            <v>Sep</v>
          </cell>
          <cell r="D9463" t="str">
            <v>Chairs</v>
          </cell>
          <cell r="E9463">
            <v>538162.69499999995</v>
          </cell>
          <cell r="F9463">
            <v>9</v>
          </cell>
        </row>
        <row r="9464">
          <cell r="A9464">
            <v>2019</v>
          </cell>
          <cell r="B9464" t="str">
            <v>Actual</v>
          </cell>
          <cell r="C9464" t="str">
            <v>Sep</v>
          </cell>
          <cell r="D9464" t="str">
            <v>Tables</v>
          </cell>
          <cell r="E9464">
            <v>80130.043000000005</v>
          </cell>
          <cell r="F9464">
            <v>9</v>
          </cell>
        </row>
        <row r="9465">
          <cell r="A9465">
            <v>2018</v>
          </cell>
          <cell r="B9465" t="str">
            <v>Budget</v>
          </cell>
          <cell r="C9465" t="str">
            <v>Sep</v>
          </cell>
          <cell r="D9465" t="str">
            <v>Kitchen</v>
          </cell>
          <cell r="E9465">
            <v>146528.39599999998</v>
          </cell>
          <cell r="F9465">
            <v>9</v>
          </cell>
        </row>
        <row r="9466">
          <cell r="A9466">
            <v>2019</v>
          </cell>
          <cell r="B9466" t="str">
            <v>Actual</v>
          </cell>
          <cell r="C9466" t="str">
            <v>Sep</v>
          </cell>
          <cell r="D9466" t="str">
            <v>Chairs</v>
          </cell>
          <cell r="E9466">
            <v>772367.07799999998</v>
          </cell>
          <cell r="F9466">
            <v>9</v>
          </cell>
        </row>
        <row r="9467">
          <cell r="A9467">
            <v>2018</v>
          </cell>
          <cell r="B9467" t="str">
            <v>Budget</v>
          </cell>
          <cell r="C9467" t="str">
            <v>Sep</v>
          </cell>
          <cell r="D9467" t="str">
            <v>Chairs</v>
          </cell>
          <cell r="E9467">
            <v>274401.76400000002</v>
          </cell>
          <cell r="F9467">
            <v>9</v>
          </cell>
        </row>
        <row r="9468">
          <cell r="A9468">
            <v>2019</v>
          </cell>
          <cell r="B9468" t="str">
            <v>Actual</v>
          </cell>
          <cell r="C9468" t="str">
            <v>Sep</v>
          </cell>
          <cell r="D9468" t="str">
            <v>Chairs</v>
          </cell>
          <cell r="E9468">
            <v>820295.83299999987</v>
          </cell>
          <cell r="F9468">
            <v>9</v>
          </cell>
        </row>
        <row r="9469">
          <cell r="A9469">
            <v>2018</v>
          </cell>
          <cell r="B9469" t="str">
            <v>Budget</v>
          </cell>
          <cell r="C9469" t="str">
            <v>Sep</v>
          </cell>
          <cell r="D9469" t="str">
            <v>Tables</v>
          </cell>
          <cell r="E9469">
            <v>556501.42799999996</v>
          </cell>
          <cell r="F9469">
            <v>9</v>
          </cell>
        </row>
        <row r="9470">
          <cell r="A9470">
            <v>2018</v>
          </cell>
          <cell r="B9470" t="str">
            <v>Actual</v>
          </cell>
          <cell r="C9470" t="str">
            <v>Sep</v>
          </cell>
          <cell r="D9470" t="str">
            <v>Kitchen</v>
          </cell>
          <cell r="E9470">
            <v>246060.75899999999</v>
          </cell>
          <cell r="F9470">
            <v>9</v>
          </cell>
        </row>
        <row r="9471">
          <cell r="A9471">
            <v>2019</v>
          </cell>
          <cell r="B9471" t="str">
            <v>Budget</v>
          </cell>
          <cell r="C9471" t="str">
            <v>Sep</v>
          </cell>
          <cell r="D9471" t="str">
            <v>Chairs</v>
          </cell>
          <cell r="E9471">
            <v>352257.10099999997</v>
          </cell>
          <cell r="F9471">
            <v>9</v>
          </cell>
        </row>
        <row r="9472">
          <cell r="A9472">
            <v>2019</v>
          </cell>
          <cell r="B9472" t="str">
            <v>Actual</v>
          </cell>
          <cell r="C9472" t="str">
            <v>Sep</v>
          </cell>
          <cell r="D9472" t="str">
            <v>Chairs</v>
          </cell>
          <cell r="E9472">
            <v>359202.81599999999</v>
          </cell>
          <cell r="F9472">
            <v>9</v>
          </cell>
        </row>
        <row r="9473">
          <cell r="A9473">
            <v>2019</v>
          </cell>
          <cell r="B9473" t="str">
            <v>Budget</v>
          </cell>
          <cell r="C9473" t="str">
            <v>Sep</v>
          </cell>
          <cell r="D9473" t="str">
            <v>Tables</v>
          </cell>
          <cell r="E9473">
            <v>316760.83599999995</v>
          </cell>
          <cell r="F9473">
            <v>9</v>
          </cell>
        </row>
        <row r="9474">
          <cell r="A9474">
            <v>2018</v>
          </cell>
          <cell r="B9474" t="str">
            <v>Actual</v>
          </cell>
          <cell r="C9474" t="str">
            <v>Sep</v>
          </cell>
          <cell r="D9474" t="str">
            <v>Kitchen</v>
          </cell>
          <cell r="E9474">
            <v>1011552.7799999999</v>
          </cell>
          <cell r="F9474">
            <v>9</v>
          </cell>
        </row>
        <row r="9475">
          <cell r="A9475">
            <v>2019</v>
          </cell>
          <cell r="B9475" t="str">
            <v>Budget</v>
          </cell>
          <cell r="C9475" t="str">
            <v>Sep</v>
          </cell>
          <cell r="D9475" t="str">
            <v>Chairs</v>
          </cell>
          <cell r="E9475">
            <v>1087042.2219999998</v>
          </cell>
          <cell r="F9475">
            <v>9</v>
          </cell>
        </row>
        <row r="9476">
          <cell r="A9476">
            <v>2018</v>
          </cell>
          <cell r="B9476" t="str">
            <v>Actual</v>
          </cell>
          <cell r="C9476" t="str">
            <v>Sep</v>
          </cell>
          <cell r="D9476" t="str">
            <v>Chairs</v>
          </cell>
          <cell r="E9476">
            <v>21754844.530999996</v>
          </cell>
          <cell r="F9476">
            <v>9</v>
          </cell>
        </row>
        <row r="9477">
          <cell r="A9477">
            <v>2019</v>
          </cell>
          <cell r="B9477" t="str">
            <v>Budget</v>
          </cell>
          <cell r="C9477" t="str">
            <v>Sep</v>
          </cell>
          <cell r="D9477" t="str">
            <v>Tables</v>
          </cell>
          <cell r="E9477">
            <v>13649.348999999998</v>
          </cell>
          <cell r="F9477">
            <v>9</v>
          </cell>
        </row>
        <row r="9478">
          <cell r="A9478">
            <v>2019</v>
          </cell>
          <cell r="B9478" t="str">
            <v>Actual</v>
          </cell>
          <cell r="C9478" t="str">
            <v>Sep</v>
          </cell>
          <cell r="D9478" t="str">
            <v>Kitchen</v>
          </cell>
          <cell r="E9478">
            <v>34452.957000000002</v>
          </cell>
          <cell r="F9478">
            <v>9</v>
          </cell>
        </row>
        <row r="9479">
          <cell r="A9479">
            <v>2019</v>
          </cell>
          <cell r="B9479" t="str">
            <v>Budget</v>
          </cell>
          <cell r="C9479" t="str">
            <v>Sep</v>
          </cell>
          <cell r="D9479" t="str">
            <v>Accessories</v>
          </cell>
          <cell r="E9479">
            <v>33096.930999999997</v>
          </cell>
          <cell r="F9479">
            <v>9</v>
          </cell>
        </row>
        <row r="9480">
          <cell r="A9480">
            <v>2019</v>
          </cell>
          <cell r="B9480" t="str">
            <v>Actual</v>
          </cell>
          <cell r="C9480" t="str">
            <v>Sep</v>
          </cell>
          <cell r="D9480" t="str">
            <v>Chairs</v>
          </cell>
          <cell r="E9480">
            <v>3642.2890000000002</v>
          </cell>
          <cell r="F9480">
            <v>9</v>
          </cell>
        </row>
        <row r="9481">
          <cell r="A9481">
            <v>2019</v>
          </cell>
          <cell r="B9481" t="str">
            <v>Budget</v>
          </cell>
          <cell r="C9481" t="str">
            <v>Sep</v>
          </cell>
          <cell r="D9481" t="str">
            <v>Tables</v>
          </cell>
          <cell r="E9481">
            <v>8013.7119999999995</v>
          </cell>
          <cell r="F9481">
            <v>9</v>
          </cell>
        </row>
        <row r="9482">
          <cell r="A9482">
            <v>2018</v>
          </cell>
          <cell r="B9482" t="str">
            <v>Actual</v>
          </cell>
          <cell r="C9482" t="str">
            <v>Sep</v>
          </cell>
          <cell r="D9482" t="str">
            <v>Kitchen</v>
          </cell>
          <cell r="E9482">
            <v>54587.294999999998</v>
          </cell>
          <cell r="F9482">
            <v>9</v>
          </cell>
        </row>
        <row r="9483">
          <cell r="A9483">
            <v>2018</v>
          </cell>
          <cell r="B9483" t="str">
            <v>Budget</v>
          </cell>
          <cell r="C9483" t="str">
            <v>Sep</v>
          </cell>
          <cell r="D9483" t="str">
            <v>Accessories</v>
          </cell>
          <cell r="E9483">
            <v>37124.275999999998</v>
          </cell>
          <cell r="F9483">
            <v>9</v>
          </cell>
        </row>
        <row r="9484">
          <cell r="A9484">
            <v>2018</v>
          </cell>
          <cell r="B9484" t="str">
            <v>Actual</v>
          </cell>
          <cell r="C9484" t="str">
            <v>Sep</v>
          </cell>
          <cell r="D9484" t="str">
            <v>Chairs</v>
          </cell>
          <cell r="E9484">
            <v>21747.341</v>
          </cell>
          <cell r="F9484">
            <v>9</v>
          </cell>
        </row>
        <row r="9485">
          <cell r="A9485">
            <v>2019</v>
          </cell>
          <cell r="B9485" t="str">
            <v>Budget</v>
          </cell>
          <cell r="C9485" t="str">
            <v>Sep</v>
          </cell>
          <cell r="D9485" t="str">
            <v>Tables</v>
          </cell>
          <cell r="E9485">
            <v>24145.666999999998</v>
          </cell>
          <cell r="F9485">
            <v>9</v>
          </cell>
        </row>
        <row r="9486">
          <cell r="A9486">
            <v>2018</v>
          </cell>
          <cell r="B9486" t="str">
            <v>Actual</v>
          </cell>
          <cell r="C9486" t="str">
            <v>Sep</v>
          </cell>
          <cell r="D9486" t="str">
            <v>Kitchen</v>
          </cell>
          <cell r="E9486">
            <v>411258.71499999997</v>
          </cell>
          <cell r="F9486">
            <v>9</v>
          </cell>
        </row>
        <row r="9487">
          <cell r="A9487">
            <v>2019</v>
          </cell>
          <cell r="B9487" t="str">
            <v>Budget</v>
          </cell>
          <cell r="C9487" t="str">
            <v>Sep</v>
          </cell>
          <cell r="D9487" t="str">
            <v>Accessories</v>
          </cell>
          <cell r="E9487">
            <v>739106.571</v>
          </cell>
          <cell r="F9487">
            <v>9</v>
          </cell>
        </row>
        <row r="9488">
          <cell r="A9488">
            <v>2019</v>
          </cell>
          <cell r="B9488" t="str">
            <v>Actual</v>
          </cell>
          <cell r="C9488" t="str">
            <v>Sep</v>
          </cell>
          <cell r="D9488" t="str">
            <v>Chairs</v>
          </cell>
          <cell r="E9488">
            <v>578064.19999999995</v>
          </cell>
          <cell r="F9488">
            <v>9</v>
          </cell>
        </row>
        <row r="9489">
          <cell r="A9489">
            <v>2018</v>
          </cell>
          <cell r="B9489" t="str">
            <v>Budget</v>
          </cell>
          <cell r="C9489" t="str">
            <v>Sep</v>
          </cell>
          <cell r="D9489" t="str">
            <v>Tables</v>
          </cell>
          <cell r="E9489">
            <v>111463.77899999999</v>
          </cell>
          <cell r="F9489">
            <v>9</v>
          </cell>
        </row>
        <row r="9490">
          <cell r="A9490">
            <v>2019</v>
          </cell>
          <cell r="B9490" t="str">
            <v>Actual</v>
          </cell>
          <cell r="C9490" t="str">
            <v>Sep</v>
          </cell>
          <cell r="D9490" t="str">
            <v>Kitchen</v>
          </cell>
          <cell r="E9490">
            <v>215318.348</v>
          </cell>
          <cell r="F9490">
            <v>9</v>
          </cell>
        </row>
        <row r="9491">
          <cell r="A9491">
            <v>2019</v>
          </cell>
          <cell r="B9491" t="str">
            <v>Budget</v>
          </cell>
          <cell r="C9491" t="str">
            <v>Sep</v>
          </cell>
          <cell r="D9491" t="str">
            <v>Accessories</v>
          </cell>
          <cell r="E9491">
            <v>136385.011</v>
          </cell>
          <cell r="F9491">
            <v>9</v>
          </cell>
        </row>
        <row r="9492">
          <cell r="A9492">
            <v>2019</v>
          </cell>
          <cell r="B9492" t="str">
            <v>Actual</v>
          </cell>
          <cell r="C9492" t="str">
            <v>Sep</v>
          </cell>
          <cell r="D9492" t="str">
            <v>Chairs</v>
          </cell>
          <cell r="E9492">
            <v>13916.126</v>
          </cell>
          <cell r="F9492">
            <v>9</v>
          </cell>
        </row>
        <row r="9493">
          <cell r="A9493">
            <v>2018</v>
          </cell>
          <cell r="B9493" t="str">
            <v>Budget</v>
          </cell>
          <cell r="C9493" t="str">
            <v>Sep</v>
          </cell>
          <cell r="D9493" t="str">
            <v>Tables</v>
          </cell>
          <cell r="E9493">
            <v>6676.2849999999989</v>
          </cell>
          <cell r="F9493">
            <v>9</v>
          </cell>
        </row>
        <row r="9494">
          <cell r="A9494">
            <v>2018</v>
          </cell>
          <cell r="B9494" t="str">
            <v>Actual</v>
          </cell>
          <cell r="C9494" t="str">
            <v>Sep</v>
          </cell>
          <cell r="D9494" t="str">
            <v>Kitchen</v>
          </cell>
          <cell r="E9494">
            <v>301285.908</v>
          </cell>
          <cell r="F9494">
            <v>9</v>
          </cell>
        </row>
        <row r="9495">
          <cell r="A9495">
            <v>2018</v>
          </cell>
          <cell r="B9495" t="str">
            <v>Budget</v>
          </cell>
          <cell r="C9495" t="str">
            <v>Sep</v>
          </cell>
          <cell r="D9495" t="str">
            <v>Accessories</v>
          </cell>
          <cell r="E9495">
            <v>371751.016</v>
          </cell>
          <cell r="F9495">
            <v>9</v>
          </cell>
        </row>
        <row r="9496">
          <cell r="A9496">
            <v>2018</v>
          </cell>
          <cell r="B9496" t="str">
            <v>Actual</v>
          </cell>
          <cell r="C9496" t="str">
            <v>Sep</v>
          </cell>
          <cell r="D9496" t="str">
            <v>Chairs</v>
          </cell>
          <cell r="E9496">
            <v>10502757.677999999</v>
          </cell>
          <cell r="F9496">
            <v>9</v>
          </cell>
        </row>
        <row r="9497">
          <cell r="A9497">
            <v>2018</v>
          </cell>
          <cell r="B9497" t="str">
            <v>Budget</v>
          </cell>
          <cell r="C9497" t="str">
            <v>Sep</v>
          </cell>
          <cell r="D9497" t="str">
            <v>Chairs</v>
          </cell>
          <cell r="E9497">
            <v>160378.23199999999</v>
          </cell>
          <cell r="F9497">
            <v>9</v>
          </cell>
        </row>
        <row r="9498">
          <cell r="A9498">
            <v>2018</v>
          </cell>
          <cell r="B9498" t="str">
            <v>Actual</v>
          </cell>
          <cell r="C9498" t="str">
            <v>Sep</v>
          </cell>
          <cell r="D9498" t="str">
            <v>Tables</v>
          </cell>
          <cell r="E9498">
            <v>576571.93999999994</v>
          </cell>
          <cell r="F9498">
            <v>9</v>
          </cell>
        </row>
        <row r="9499">
          <cell r="A9499">
            <v>2019</v>
          </cell>
          <cell r="B9499" t="str">
            <v>Budget</v>
          </cell>
          <cell r="C9499" t="str">
            <v>Sep</v>
          </cell>
          <cell r="D9499" t="str">
            <v>Kitchen</v>
          </cell>
          <cell r="E9499">
            <v>510603.40799999994</v>
          </cell>
          <cell r="F9499">
            <v>9</v>
          </cell>
        </row>
        <row r="9500">
          <cell r="A9500">
            <v>2019</v>
          </cell>
          <cell r="B9500" t="str">
            <v>Actual</v>
          </cell>
          <cell r="C9500" t="str">
            <v>Sep</v>
          </cell>
          <cell r="D9500" t="str">
            <v>Chairs</v>
          </cell>
          <cell r="E9500">
            <v>17156.944</v>
          </cell>
          <cell r="F9500">
            <v>9</v>
          </cell>
        </row>
        <row r="9501">
          <cell r="A9501">
            <v>2019</v>
          </cell>
          <cell r="B9501" t="str">
            <v>Budget</v>
          </cell>
          <cell r="C9501" t="str">
            <v>Sep</v>
          </cell>
          <cell r="D9501" t="str">
            <v>Tables</v>
          </cell>
          <cell r="E9501">
            <v>3394333.2569999998</v>
          </cell>
          <cell r="F9501">
            <v>9</v>
          </cell>
        </row>
        <row r="9502">
          <cell r="A9502">
            <v>2018</v>
          </cell>
          <cell r="B9502" t="str">
            <v>Actual</v>
          </cell>
          <cell r="C9502" t="str">
            <v>Sep</v>
          </cell>
          <cell r="D9502" t="str">
            <v>Kitchen</v>
          </cell>
          <cell r="E9502">
            <v>8593306.3089999985</v>
          </cell>
          <cell r="F9502">
            <v>9</v>
          </cell>
        </row>
        <row r="9503">
          <cell r="A9503">
            <v>2019</v>
          </cell>
          <cell r="B9503" t="str">
            <v>Budget</v>
          </cell>
          <cell r="C9503" t="str">
            <v>Sep</v>
          </cell>
          <cell r="D9503" t="str">
            <v>Chairs</v>
          </cell>
          <cell r="E9503">
            <v>275660.875</v>
          </cell>
          <cell r="F9503">
            <v>9</v>
          </cell>
        </row>
        <row r="9504">
          <cell r="A9504">
            <v>2019</v>
          </cell>
          <cell r="B9504" t="str">
            <v>Actual</v>
          </cell>
          <cell r="C9504" t="str">
            <v>Sep</v>
          </cell>
          <cell r="D9504" t="str">
            <v>Tables</v>
          </cell>
          <cell r="E9504">
            <v>39653.557999999997</v>
          </cell>
          <cell r="F9504">
            <v>9</v>
          </cell>
        </row>
        <row r="9505">
          <cell r="A9505">
            <v>2018</v>
          </cell>
          <cell r="B9505" t="str">
            <v>Budget</v>
          </cell>
          <cell r="C9505" t="str">
            <v>Sep</v>
          </cell>
          <cell r="D9505" t="str">
            <v>Kitchen</v>
          </cell>
          <cell r="E9505">
            <v>158732.67199999999</v>
          </cell>
          <cell r="F9505">
            <v>9</v>
          </cell>
        </row>
        <row r="9506">
          <cell r="A9506">
            <v>2019</v>
          </cell>
          <cell r="B9506" t="str">
            <v>Actual</v>
          </cell>
          <cell r="C9506" t="str">
            <v>Sep</v>
          </cell>
          <cell r="D9506" t="str">
            <v>Chairs</v>
          </cell>
          <cell r="E9506">
            <v>5464.4659999999994</v>
          </cell>
          <cell r="F9506">
            <v>9</v>
          </cell>
        </row>
        <row r="9507">
          <cell r="A9507">
            <v>2019</v>
          </cell>
          <cell r="B9507" t="str">
            <v>Budget</v>
          </cell>
          <cell r="C9507" t="str">
            <v>Sep</v>
          </cell>
          <cell r="D9507" t="str">
            <v>Chairs</v>
          </cell>
          <cell r="E9507">
            <v>959208.56499999994</v>
          </cell>
          <cell r="F9507">
            <v>9</v>
          </cell>
        </row>
        <row r="9508">
          <cell r="A9508">
            <v>2019</v>
          </cell>
          <cell r="B9508" t="str">
            <v>Actual</v>
          </cell>
          <cell r="C9508" t="str">
            <v>Sep</v>
          </cell>
          <cell r="D9508" t="str">
            <v>Chairs</v>
          </cell>
          <cell r="E9508">
            <v>1154286.987</v>
          </cell>
          <cell r="F9508">
            <v>9</v>
          </cell>
        </row>
        <row r="9509">
          <cell r="A9509">
            <v>2018</v>
          </cell>
          <cell r="B9509" t="str">
            <v>Budget</v>
          </cell>
          <cell r="C9509" t="str">
            <v>Sep</v>
          </cell>
          <cell r="D9509" t="str">
            <v>Chairs</v>
          </cell>
          <cell r="E9509">
            <v>1063363.7209999999</v>
          </cell>
          <cell r="F9509">
            <v>9</v>
          </cell>
        </row>
        <row r="9510">
          <cell r="A9510">
            <v>2018</v>
          </cell>
          <cell r="B9510" t="str">
            <v>Actual</v>
          </cell>
          <cell r="C9510" t="str">
            <v>Sep</v>
          </cell>
          <cell r="D9510" t="str">
            <v>Chairs</v>
          </cell>
          <cell r="E9510">
            <v>822198.24399999995</v>
          </cell>
          <cell r="F9510">
            <v>9</v>
          </cell>
        </row>
        <row r="9511">
          <cell r="A9511">
            <v>2019</v>
          </cell>
          <cell r="B9511" t="str">
            <v>Budget</v>
          </cell>
          <cell r="C9511" t="str">
            <v>Sep</v>
          </cell>
          <cell r="D9511" t="str">
            <v>Chairs</v>
          </cell>
          <cell r="E9511">
            <v>10286.324999999999</v>
          </cell>
          <cell r="F9511">
            <v>9</v>
          </cell>
        </row>
        <row r="9512">
          <cell r="A9512">
            <v>2018</v>
          </cell>
          <cell r="B9512" t="str">
            <v>Actual</v>
          </cell>
          <cell r="C9512" t="str">
            <v>Sep</v>
          </cell>
          <cell r="D9512" t="str">
            <v>Chairs</v>
          </cell>
          <cell r="E9512">
            <v>2305832.5430000001</v>
          </cell>
          <cell r="F9512">
            <v>9</v>
          </cell>
        </row>
        <row r="9513">
          <cell r="A9513">
            <v>2018</v>
          </cell>
          <cell r="B9513" t="str">
            <v>Budget</v>
          </cell>
          <cell r="C9513" t="str">
            <v>Sep</v>
          </cell>
          <cell r="D9513" t="str">
            <v>Chairs</v>
          </cell>
          <cell r="E9513">
            <v>107731.883</v>
          </cell>
          <cell r="F9513">
            <v>9</v>
          </cell>
        </row>
        <row r="9514">
          <cell r="A9514">
            <v>2019</v>
          </cell>
          <cell r="B9514" t="str">
            <v>Actual</v>
          </cell>
          <cell r="C9514" t="str">
            <v>Sep</v>
          </cell>
          <cell r="D9514" t="str">
            <v>Chairs</v>
          </cell>
          <cell r="E9514">
            <v>1369618.1240000001</v>
          </cell>
          <cell r="F9514">
            <v>9</v>
          </cell>
        </row>
        <row r="9515">
          <cell r="A9515">
            <v>2019</v>
          </cell>
          <cell r="B9515" t="str">
            <v>Budget</v>
          </cell>
          <cell r="C9515" t="str">
            <v>Sep</v>
          </cell>
          <cell r="D9515" t="str">
            <v>Chairs</v>
          </cell>
          <cell r="E9515">
            <v>1874885.8169999998</v>
          </cell>
          <cell r="F9515">
            <v>9</v>
          </cell>
        </row>
        <row r="9516">
          <cell r="A9516">
            <v>2019</v>
          </cell>
          <cell r="B9516" t="str">
            <v>Actual</v>
          </cell>
          <cell r="C9516" t="str">
            <v>Sep</v>
          </cell>
          <cell r="D9516" t="str">
            <v>Chairs</v>
          </cell>
          <cell r="E9516">
            <v>596383.48699999996</v>
          </cell>
          <cell r="F9516">
            <v>9</v>
          </cell>
        </row>
        <row r="9517">
          <cell r="A9517">
            <v>2019</v>
          </cell>
          <cell r="B9517" t="str">
            <v>Budget</v>
          </cell>
          <cell r="C9517" t="str">
            <v>Sep</v>
          </cell>
          <cell r="D9517" t="str">
            <v>Chairs</v>
          </cell>
          <cell r="E9517">
            <v>365386.18199999997</v>
          </cell>
          <cell r="F9517">
            <v>9</v>
          </cell>
        </row>
        <row r="9518">
          <cell r="A9518">
            <v>2018</v>
          </cell>
          <cell r="B9518" t="str">
            <v>Actual</v>
          </cell>
          <cell r="C9518" t="str">
            <v>Sep</v>
          </cell>
          <cell r="D9518" t="str">
            <v>Chairs</v>
          </cell>
          <cell r="E9518">
            <v>23499.63</v>
          </cell>
          <cell r="F9518">
            <v>9</v>
          </cell>
        </row>
        <row r="9519">
          <cell r="A9519">
            <v>2018</v>
          </cell>
          <cell r="B9519" t="str">
            <v>Budget</v>
          </cell>
          <cell r="C9519" t="str">
            <v>Sep</v>
          </cell>
          <cell r="D9519" t="str">
            <v>Chairs</v>
          </cell>
          <cell r="E9519">
            <v>1097836.152</v>
          </cell>
          <cell r="F9519">
            <v>9</v>
          </cell>
        </row>
        <row r="9520">
          <cell r="A9520">
            <v>2018</v>
          </cell>
          <cell r="B9520" t="str">
            <v>Actual</v>
          </cell>
          <cell r="C9520" t="str">
            <v>Sep</v>
          </cell>
          <cell r="D9520" t="str">
            <v>Chairs</v>
          </cell>
          <cell r="E9520">
            <v>2006454.0299999998</v>
          </cell>
          <cell r="F9520">
            <v>9</v>
          </cell>
        </row>
        <row r="9521">
          <cell r="A9521">
            <v>2018</v>
          </cell>
          <cell r="B9521" t="str">
            <v>Budget</v>
          </cell>
          <cell r="C9521" t="str">
            <v>Sep</v>
          </cell>
          <cell r="D9521" t="str">
            <v>Chairs</v>
          </cell>
          <cell r="E9521">
            <v>602963.72499999998</v>
          </cell>
          <cell r="F9521">
            <v>9</v>
          </cell>
        </row>
        <row r="9522">
          <cell r="A9522">
            <v>2019</v>
          </cell>
          <cell r="B9522" t="str">
            <v>Actual</v>
          </cell>
          <cell r="C9522" t="str">
            <v>Sep</v>
          </cell>
          <cell r="D9522" t="str">
            <v>Chairs</v>
          </cell>
          <cell r="E9522">
            <v>156380.45499999999</v>
          </cell>
          <cell r="F9522">
            <v>9</v>
          </cell>
        </row>
        <row r="9523">
          <cell r="A9523">
            <v>2018</v>
          </cell>
          <cell r="B9523" t="str">
            <v>Budget</v>
          </cell>
          <cell r="C9523" t="str">
            <v>Sep</v>
          </cell>
          <cell r="D9523" t="str">
            <v>Chairs</v>
          </cell>
          <cell r="E9523">
            <v>97958.53899999999</v>
          </cell>
          <cell r="F9523">
            <v>9</v>
          </cell>
        </row>
        <row r="9524">
          <cell r="A9524">
            <v>2018</v>
          </cell>
          <cell r="B9524" t="str">
            <v>Actual</v>
          </cell>
          <cell r="C9524" t="str">
            <v>Sep</v>
          </cell>
          <cell r="D9524" t="str">
            <v>Chairs</v>
          </cell>
          <cell r="E9524">
            <v>347250.19</v>
          </cell>
          <cell r="F9524">
            <v>9</v>
          </cell>
        </row>
        <row r="9525">
          <cell r="A9525">
            <v>2018</v>
          </cell>
          <cell r="B9525" t="str">
            <v>Budget</v>
          </cell>
          <cell r="C9525" t="str">
            <v>Sep</v>
          </cell>
          <cell r="D9525" t="str">
            <v>Chairs</v>
          </cell>
          <cell r="E9525">
            <v>214775.46300000002</v>
          </cell>
          <cell r="F9525">
            <v>9</v>
          </cell>
        </row>
        <row r="9526">
          <cell r="A9526">
            <v>2019</v>
          </cell>
          <cell r="B9526" t="str">
            <v>Actual</v>
          </cell>
          <cell r="C9526" t="str">
            <v>Sep</v>
          </cell>
          <cell r="D9526" t="str">
            <v>Chairs</v>
          </cell>
          <cell r="E9526">
            <v>150397.198</v>
          </cell>
          <cell r="F9526">
            <v>9</v>
          </cell>
        </row>
        <row r="9527">
          <cell r="A9527">
            <v>2018</v>
          </cell>
          <cell r="B9527" t="str">
            <v>Budget</v>
          </cell>
          <cell r="C9527" t="str">
            <v>Sep</v>
          </cell>
          <cell r="D9527" t="str">
            <v>Chairs</v>
          </cell>
          <cell r="E9527">
            <v>464125.71099999995</v>
          </cell>
          <cell r="F9527">
            <v>9</v>
          </cell>
        </row>
        <row r="9528">
          <cell r="A9528">
            <v>2019</v>
          </cell>
          <cell r="B9528" t="str">
            <v>Actual</v>
          </cell>
          <cell r="C9528" t="str">
            <v>Sep</v>
          </cell>
          <cell r="D9528" t="str">
            <v>Chairs</v>
          </cell>
          <cell r="E9528">
            <v>594678.34299999999</v>
          </cell>
          <cell r="F9528">
            <v>9</v>
          </cell>
        </row>
        <row r="9529">
          <cell r="A9529">
            <v>2019</v>
          </cell>
          <cell r="B9529" t="str">
            <v>Budget</v>
          </cell>
          <cell r="C9529" t="str">
            <v>Sep</v>
          </cell>
          <cell r="D9529" t="str">
            <v>Chairs</v>
          </cell>
          <cell r="E9529">
            <v>1960607.9639999999</v>
          </cell>
          <cell r="F9529">
            <v>9</v>
          </cell>
        </row>
        <row r="9530">
          <cell r="A9530">
            <v>2019</v>
          </cell>
          <cell r="B9530" t="str">
            <v>Actual</v>
          </cell>
          <cell r="C9530" t="str">
            <v>Sep</v>
          </cell>
          <cell r="D9530" t="str">
            <v>Chairs</v>
          </cell>
          <cell r="E9530">
            <v>1808759.8269999998</v>
          </cell>
          <cell r="F9530">
            <v>9</v>
          </cell>
        </row>
        <row r="9531">
          <cell r="A9531">
            <v>2018</v>
          </cell>
          <cell r="B9531" t="str">
            <v>Budget</v>
          </cell>
          <cell r="C9531" t="str">
            <v>Sep</v>
          </cell>
          <cell r="D9531" t="str">
            <v>Chairs</v>
          </cell>
          <cell r="E9531">
            <v>533828.96700000006</v>
          </cell>
          <cell r="F9531">
            <v>9</v>
          </cell>
        </row>
        <row r="9532">
          <cell r="A9532">
            <v>2019</v>
          </cell>
          <cell r="B9532" t="str">
            <v>Actual</v>
          </cell>
          <cell r="C9532" t="str">
            <v>Sep</v>
          </cell>
          <cell r="D9532" t="str">
            <v>Tables</v>
          </cell>
          <cell r="E9532">
            <v>2729019.6359999999</v>
          </cell>
          <cell r="F9532">
            <v>9</v>
          </cell>
        </row>
        <row r="9533">
          <cell r="A9533">
            <v>2018</v>
          </cell>
          <cell r="B9533" t="str">
            <v>Budget</v>
          </cell>
          <cell r="C9533" t="str">
            <v>Sep</v>
          </cell>
          <cell r="D9533" t="str">
            <v>Kitchen</v>
          </cell>
          <cell r="E9533">
            <v>265584.16499999998</v>
          </cell>
          <cell r="F9533">
            <v>9</v>
          </cell>
        </row>
        <row r="9534">
          <cell r="A9534">
            <v>2018</v>
          </cell>
          <cell r="B9534" t="str">
            <v>Actual</v>
          </cell>
          <cell r="C9534" t="str">
            <v>Sep</v>
          </cell>
          <cell r="D9534" t="str">
            <v>Chairs</v>
          </cell>
          <cell r="E9534">
            <v>268142.15399999998</v>
          </cell>
          <cell r="F9534">
            <v>9</v>
          </cell>
        </row>
        <row r="9535">
          <cell r="A9535">
            <v>2019</v>
          </cell>
          <cell r="B9535" t="str">
            <v>Budget</v>
          </cell>
          <cell r="C9535" t="str">
            <v>Sep</v>
          </cell>
          <cell r="D9535" t="str">
            <v>Chairs</v>
          </cell>
          <cell r="E9535">
            <v>409709.223</v>
          </cell>
          <cell r="F9535">
            <v>9</v>
          </cell>
        </row>
        <row r="9536">
          <cell r="A9536">
            <v>2019</v>
          </cell>
          <cell r="B9536" t="str">
            <v>Actual</v>
          </cell>
          <cell r="C9536" t="str">
            <v>Sep</v>
          </cell>
          <cell r="D9536" t="str">
            <v>Chairs</v>
          </cell>
          <cell r="E9536">
            <v>134071.07699999999</v>
          </cell>
          <cell r="F9536">
            <v>9</v>
          </cell>
        </row>
        <row r="9537">
          <cell r="A9537">
            <v>2018</v>
          </cell>
          <cell r="B9537" t="str">
            <v>Budget</v>
          </cell>
          <cell r="C9537" t="str">
            <v>Sep</v>
          </cell>
          <cell r="D9537" t="str">
            <v>Chairs</v>
          </cell>
          <cell r="E9537">
            <v>244.54499999999999</v>
          </cell>
          <cell r="F9537">
            <v>9</v>
          </cell>
        </row>
        <row r="9538">
          <cell r="A9538">
            <v>2018</v>
          </cell>
          <cell r="B9538" t="str">
            <v>Actual</v>
          </cell>
          <cell r="C9538" t="str">
            <v>Sep</v>
          </cell>
          <cell r="D9538" t="str">
            <v>Chairs</v>
          </cell>
          <cell r="E9538">
            <v>8235.5909999999985</v>
          </cell>
          <cell r="F9538">
            <v>9</v>
          </cell>
        </row>
        <row r="9539">
          <cell r="A9539">
            <v>2019</v>
          </cell>
          <cell r="B9539" t="str">
            <v>Budget</v>
          </cell>
          <cell r="C9539" t="str">
            <v>Sep</v>
          </cell>
          <cell r="D9539" t="str">
            <v>Tables</v>
          </cell>
          <cell r="E9539">
            <v>143022.299</v>
          </cell>
          <cell r="F9539">
            <v>9</v>
          </cell>
        </row>
        <row r="9540">
          <cell r="A9540">
            <v>2019</v>
          </cell>
          <cell r="B9540" t="str">
            <v>Actual</v>
          </cell>
          <cell r="C9540" t="str">
            <v>Sep</v>
          </cell>
          <cell r="D9540" t="str">
            <v>Kitchen</v>
          </cell>
          <cell r="E9540">
            <v>61410.887999999992</v>
          </cell>
          <cell r="F9540">
            <v>9</v>
          </cell>
        </row>
        <row r="9541">
          <cell r="A9541">
            <v>2019</v>
          </cell>
          <cell r="B9541" t="str">
            <v>Budget</v>
          </cell>
          <cell r="C9541" t="str">
            <v>Sep</v>
          </cell>
          <cell r="D9541" t="str">
            <v>Chairs</v>
          </cell>
          <cell r="E9541">
            <v>109866.057</v>
          </cell>
          <cell r="F9541">
            <v>9</v>
          </cell>
        </row>
        <row r="9542">
          <cell r="A9542">
            <v>2018</v>
          </cell>
          <cell r="B9542" t="str">
            <v>Actual</v>
          </cell>
          <cell r="C9542" t="str">
            <v>Sep</v>
          </cell>
          <cell r="D9542" t="str">
            <v>Chairs</v>
          </cell>
          <cell r="E9542">
            <v>90025.067999999999</v>
          </cell>
          <cell r="F9542">
            <v>9</v>
          </cell>
        </row>
        <row r="9543">
          <cell r="A9543">
            <v>2019</v>
          </cell>
          <cell r="B9543" t="str">
            <v>Budget</v>
          </cell>
          <cell r="C9543" t="str">
            <v>Sep</v>
          </cell>
          <cell r="D9543" t="str">
            <v>Chairs</v>
          </cell>
          <cell r="E9543">
            <v>9445.8069999999989</v>
          </cell>
          <cell r="F9543">
            <v>9</v>
          </cell>
        </row>
        <row r="9544">
          <cell r="A9544">
            <v>2019</v>
          </cell>
          <cell r="B9544" t="str">
            <v>Actual</v>
          </cell>
          <cell r="C9544" t="str">
            <v>Sep</v>
          </cell>
          <cell r="D9544" t="str">
            <v>Tables</v>
          </cell>
          <cell r="E9544">
            <v>19115.949999999997</v>
          </cell>
          <cell r="F9544">
            <v>9</v>
          </cell>
        </row>
        <row r="9545">
          <cell r="A9545">
            <v>2018</v>
          </cell>
          <cell r="B9545" t="str">
            <v>Budget</v>
          </cell>
          <cell r="C9545" t="str">
            <v>Sep</v>
          </cell>
          <cell r="D9545" t="str">
            <v>Kitchen</v>
          </cell>
          <cell r="E9545">
            <v>36264.697</v>
          </cell>
          <cell r="F9545">
            <v>9</v>
          </cell>
        </row>
        <row r="9546">
          <cell r="A9546">
            <v>2019</v>
          </cell>
          <cell r="B9546" t="str">
            <v>Actual</v>
          </cell>
          <cell r="C9546" t="str">
            <v>Sep</v>
          </cell>
          <cell r="D9546" t="str">
            <v>Chairs</v>
          </cell>
          <cell r="E9546">
            <v>19665.456999999999</v>
          </cell>
          <cell r="F9546">
            <v>9</v>
          </cell>
        </row>
        <row r="9547">
          <cell r="A9547">
            <v>2019</v>
          </cell>
          <cell r="B9547" t="str">
            <v>Budget</v>
          </cell>
          <cell r="C9547" t="str">
            <v>Sep</v>
          </cell>
          <cell r="D9547" t="str">
            <v>Chairs</v>
          </cell>
          <cell r="E9547">
            <v>6700366.6029999992</v>
          </cell>
          <cell r="F9547">
            <v>9</v>
          </cell>
        </row>
        <row r="9548">
          <cell r="A9548">
            <v>2019</v>
          </cell>
          <cell r="B9548" t="str">
            <v>Actual</v>
          </cell>
          <cell r="C9548" t="str">
            <v>Sep</v>
          </cell>
          <cell r="D9548" t="str">
            <v>Tables</v>
          </cell>
          <cell r="E9548">
            <v>143146.79399999999</v>
          </cell>
          <cell r="F9548">
            <v>9</v>
          </cell>
        </row>
        <row r="9549">
          <cell r="A9549">
            <v>2018</v>
          </cell>
          <cell r="B9549" t="str">
            <v>Budget</v>
          </cell>
          <cell r="C9549" t="str">
            <v>Sep</v>
          </cell>
          <cell r="D9549" t="str">
            <v>Kitchen</v>
          </cell>
          <cell r="E9549">
            <v>65064.341999999997</v>
          </cell>
          <cell r="F9549">
            <v>9</v>
          </cell>
        </row>
        <row r="9550">
          <cell r="A9550">
            <v>2019</v>
          </cell>
          <cell r="B9550" t="str">
            <v>Actual</v>
          </cell>
          <cell r="C9550" t="str">
            <v>Sep</v>
          </cell>
          <cell r="D9550" t="str">
            <v>Chairs</v>
          </cell>
          <cell r="E9550">
            <v>27996.759000000002</v>
          </cell>
          <cell r="F9550">
            <v>9</v>
          </cell>
        </row>
        <row r="9551">
          <cell r="A9551">
            <v>2018</v>
          </cell>
          <cell r="B9551" t="str">
            <v>Budget</v>
          </cell>
          <cell r="C9551" t="str">
            <v>Sep</v>
          </cell>
          <cell r="D9551" t="str">
            <v>Chairs</v>
          </cell>
          <cell r="E9551">
            <v>143597.66399999999</v>
          </cell>
          <cell r="F9551">
            <v>9</v>
          </cell>
        </row>
        <row r="9552">
          <cell r="A9552">
            <v>2019</v>
          </cell>
          <cell r="B9552" t="str">
            <v>Actual</v>
          </cell>
          <cell r="C9552" t="str">
            <v>Sep</v>
          </cell>
          <cell r="D9552" t="str">
            <v>Tables</v>
          </cell>
          <cell r="E9552">
            <v>82794.474000000002</v>
          </cell>
          <cell r="F9552">
            <v>9</v>
          </cell>
        </row>
        <row r="9553">
          <cell r="A9553">
            <v>2018</v>
          </cell>
          <cell r="B9553" t="str">
            <v>Budget</v>
          </cell>
          <cell r="C9553" t="str">
            <v>Sep</v>
          </cell>
          <cell r="D9553" t="str">
            <v>Chairs</v>
          </cell>
          <cell r="E9553">
            <v>119429.89099999999</v>
          </cell>
          <cell r="F9553">
            <v>9</v>
          </cell>
        </row>
        <row r="9554">
          <cell r="A9554">
            <v>2019</v>
          </cell>
          <cell r="B9554" t="str">
            <v>Actual</v>
          </cell>
          <cell r="C9554" t="str">
            <v>Sep</v>
          </cell>
          <cell r="D9554" t="str">
            <v>Tables</v>
          </cell>
          <cell r="E9554">
            <v>243382.36999999997</v>
          </cell>
          <cell r="F9554">
            <v>9</v>
          </cell>
        </row>
        <row r="9555">
          <cell r="A9555">
            <v>2019</v>
          </cell>
          <cell r="B9555" t="str">
            <v>Budget</v>
          </cell>
          <cell r="C9555" t="str">
            <v>Sep</v>
          </cell>
          <cell r="D9555" t="str">
            <v>Kitchen</v>
          </cell>
          <cell r="E9555">
            <v>152319.27899999998</v>
          </cell>
          <cell r="F9555">
            <v>9</v>
          </cell>
        </row>
        <row r="9556">
          <cell r="A9556">
            <v>2018</v>
          </cell>
          <cell r="B9556" t="str">
            <v>Actual</v>
          </cell>
          <cell r="C9556" t="str">
            <v>Sep</v>
          </cell>
          <cell r="D9556" t="str">
            <v>Accessories</v>
          </cell>
          <cell r="E9556">
            <v>155170.92499999999</v>
          </cell>
          <cell r="F9556">
            <v>9</v>
          </cell>
        </row>
        <row r="9557">
          <cell r="A9557">
            <v>2019</v>
          </cell>
          <cell r="B9557" t="str">
            <v>Budget</v>
          </cell>
          <cell r="C9557" t="str">
            <v>Sep</v>
          </cell>
          <cell r="D9557" t="str">
            <v>Chairs</v>
          </cell>
          <cell r="E9557">
            <v>534359.973</v>
          </cell>
          <cell r="F9557">
            <v>9</v>
          </cell>
        </row>
        <row r="9558">
          <cell r="A9558">
            <v>2018</v>
          </cell>
          <cell r="B9558" t="str">
            <v>Actual</v>
          </cell>
          <cell r="C9558" t="str">
            <v>Sep</v>
          </cell>
          <cell r="D9558" t="str">
            <v>Tables</v>
          </cell>
          <cell r="E9558">
            <v>38663.358999999997</v>
          </cell>
          <cell r="F9558">
            <v>9</v>
          </cell>
        </row>
        <row r="9559">
          <cell r="A9559">
            <v>2019</v>
          </cell>
          <cell r="B9559" t="str">
            <v>Budget</v>
          </cell>
          <cell r="C9559" t="str">
            <v>Sep</v>
          </cell>
          <cell r="D9559" t="str">
            <v>Kitchen</v>
          </cell>
          <cell r="E9559">
            <v>12698.329</v>
          </cell>
          <cell r="F9559">
            <v>9</v>
          </cell>
        </row>
        <row r="9560">
          <cell r="A9560">
            <v>2019</v>
          </cell>
          <cell r="B9560" t="str">
            <v>Actual</v>
          </cell>
          <cell r="C9560" t="str">
            <v>Sep</v>
          </cell>
          <cell r="D9560" t="str">
            <v>Accessories</v>
          </cell>
          <cell r="E9560">
            <v>590362.98299999989</v>
          </cell>
          <cell r="F9560">
            <v>9</v>
          </cell>
        </row>
        <row r="9561">
          <cell r="A9561">
            <v>2019</v>
          </cell>
          <cell r="B9561" t="str">
            <v>Budget</v>
          </cell>
          <cell r="C9561" t="str">
            <v>Sep</v>
          </cell>
          <cell r="D9561" t="str">
            <v>Chairs</v>
          </cell>
          <cell r="E9561">
            <v>38056.375</v>
          </cell>
          <cell r="F9561">
            <v>9</v>
          </cell>
        </row>
        <row r="9562">
          <cell r="A9562">
            <v>2018</v>
          </cell>
          <cell r="B9562" t="str">
            <v>Actual</v>
          </cell>
          <cell r="C9562" t="str">
            <v>Sep</v>
          </cell>
          <cell r="D9562" t="str">
            <v>Tables</v>
          </cell>
          <cell r="E9562">
            <v>938.81200000000001</v>
          </cell>
          <cell r="F9562">
            <v>9</v>
          </cell>
        </row>
        <row r="9563">
          <cell r="A9563">
            <v>2018</v>
          </cell>
          <cell r="B9563" t="str">
            <v>Budget</v>
          </cell>
          <cell r="C9563" t="str">
            <v>Sep</v>
          </cell>
          <cell r="D9563" t="str">
            <v>Kitchen</v>
          </cell>
          <cell r="E9563">
            <v>770344.071</v>
          </cell>
          <cell r="F9563">
            <v>9</v>
          </cell>
        </row>
        <row r="9564">
          <cell r="A9564">
            <v>2018</v>
          </cell>
          <cell r="B9564" t="str">
            <v>Actual</v>
          </cell>
          <cell r="C9564" t="str">
            <v>Sep</v>
          </cell>
          <cell r="D9564" t="str">
            <v>Accessories</v>
          </cell>
          <cell r="E9564">
            <v>2041229.645</v>
          </cell>
          <cell r="F9564">
            <v>9</v>
          </cell>
        </row>
        <row r="9565">
          <cell r="A9565">
            <v>2019</v>
          </cell>
          <cell r="B9565" t="str">
            <v>Budget</v>
          </cell>
          <cell r="C9565" t="str">
            <v>Sep</v>
          </cell>
          <cell r="D9565" t="str">
            <v>Chairs</v>
          </cell>
          <cell r="E9565">
            <v>437911.98499999999</v>
          </cell>
          <cell r="F9565">
            <v>9</v>
          </cell>
        </row>
        <row r="9566">
          <cell r="A9566">
            <v>2018</v>
          </cell>
          <cell r="B9566" t="str">
            <v>Actual</v>
          </cell>
          <cell r="C9566" t="str">
            <v>Sep</v>
          </cell>
          <cell r="D9566" t="str">
            <v>Tables</v>
          </cell>
          <cell r="E9566">
            <v>176119.68499999997</v>
          </cell>
          <cell r="F9566">
            <v>9</v>
          </cell>
        </row>
        <row r="9567">
          <cell r="A9567">
            <v>2019</v>
          </cell>
          <cell r="B9567" t="str">
            <v>Budget</v>
          </cell>
          <cell r="C9567" t="str">
            <v>Sep</v>
          </cell>
          <cell r="D9567" t="str">
            <v>Kitchen</v>
          </cell>
          <cell r="E9567">
            <v>3872.4349999999999</v>
          </cell>
          <cell r="F9567">
            <v>9</v>
          </cell>
        </row>
        <row r="9568">
          <cell r="A9568">
            <v>2019</v>
          </cell>
          <cell r="B9568" t="str">
            <v>Actual</v>
          </cell>
          <cell r="C9568" t="str">
            <v>Sep</v>
          </cell>
          <cell r="D9568" t="str">
            <v>Accessories</v>
          </cell>
          <cell r="E9568">
            <v>266880.92899999995</v>
          </cell>
          <cell r="F9568">
            <v>9</v>
          </cell>
        </row>
        <row r="9569">
          <cell r="A9569">
            <v>2018</v>
          </cell>
          <cell r="B9569" t="str">
            <v>Budget</v>
          </cell>
          <cell r="C9569" t="str">
            <v>Sep</v>
          </cell>
          <cell r="D9569" t="str">
            <v>Chairs</v>
          </cell>
          <cell r="E9569">
            <v>864694.99199999997</v>
          </cell>
          <cell r="F9569">
            <v>9</v>
          </cell>
        </row>
        <row r="9570">
          <cell r="A9570">
            <v>2018</v>
          </cell>
          <cell r="B9570" t="str">
            <v>Actual</v>
          </cell>
          <cell r="C9570" t="str">
            <v>Sep</v>
          </cell>
          <cell r="D9570" t="str">
            <v>Chairs</v>
          </cell>
          <cell r="E9570">
            <v>261585.35899999997</v>
          </cell>
          <cell r="F9570">
            <v>9</v>
          </cell>
        </row>
        <row r="9571">
          <cell r="A9571">
            <v>2019</v>
          </cell>
          <cell r="B9571" t="str">
            <v>Budget</v>
          </cell>
          <cell r="C9571" t="str">
            <v>Sep</v>
          </cell>
          <cell r="D9571" t="str">
            <v>Tables</v>
          </cell>
          <cell r="E9571">
            <v>458220.04200000002</v>
          </cell>
          <cell r="F9571">
            <v>9</v>
          </cell>
        </row>
        <row r="9572">
          <cell r="A9572">
            <v>2018</v>
          </cell>
          <cell r="B9572" t="str">
            <v>Actual</v>
          </cell>
          <cell r="C9572" t="str">
            <v>Sep</v>
          </cell>
          <cell r="D9572" t="str">
            <v>Kitchen</v>
          </cell>
          <cell r="E9572">
            <v>36117.549999999996</v>
          </cell>
          <cell r="F9572">
            <v>9</v>
          </cell>
        </row>
        <row r="9573">
          <cell r="A9573">
            <v>2018</v>
          </cell>
          <cell r="B9573" t="str">
            <v>Budget</v>
          </cell>
          <cell r="C9573" t="str">
            <v>Sep</v>
          </cell>
          <cell r="D9573" t="str">
            <v>Chairs</v>
          </cell>
          <cell r="E9573">
            <v>17668.427</v>
          </cell>
          <cell r="F9573">
            <v>9</v>
          </cell>
        </row>
        <row r="9574">
          <cell r="A9574">
            <v>2018</v>
          </cell>
          <cell r="B9574" t="str">
            <v>Actual</v>
          </cell>
          <cell r="C9574" t="str">
            <v>Sep</v>
          </cell>
          <cell r="D9574" t="str">
            <v>Tables</v>
          </cell>
          <cell r="E9574">
            <v>702280.978</v>
          </cell>
          <cell r="F9574">
            <v>9</v>
          </cell>
        </row>
        <row r="9575">
          <cell r="A9575">
            <v>2018</v>
          </cell>
          <cell r="B9575" t="str">
            <v>Budget</v>
          </cell>
          <cell r="C9575" t="str">
            <v>Sep</v>
          </cell>
          <cell r="D9575" t="str">
            <v>Kitchen</v>
          </cell>
          <cell r="E9575">
            <v>1005313.988</v>
          </cell>
          <cell r="F9575">
            <v>9</v>
          </cell>
        </row>
        <row r="9576">
          <cell r="A9576">
            <v>2019</v>
          </cell>
          <cell r="B9576" t="str">
            <v>Actual</v>
          </cell>
          <cell r="C9576" t="str">
            <v>Sep</v>
          </cell>
          <cell r="D9576" t="str">
            <v>Chairs</v>
          </cell>
          <cell r="E9576">
            <v>79843.427999999985</v>
          </cell>
          <cell r="F9576">
            <v>9</v>
          </cell>
        </row>
        <row r="9577">
          <cell r="A9577">
            <v>2019</v>
          </cell>
          <cell r="B9577" t="str">
            <v>Budget</v>
          </cell>
          <cell r="C9577" t="str">
            <v>Sep</v>
          </cell>
          <cell r="D9577" t="str">
            <v>Tables</v>
          </cell>
          <cell r="E9577">
            <v>198638.43299999999</v>
          </cell>
          <cell r="F9577">
            <v>9</v>
          </cell>
        </row>
        <row r="9578">
          <cell r="A9578">
            <v>2019</v>
          </cell>
          <cell r="B9578" t="str">
            <v>Actual</v>
          </cell>
          <cell r="C9578" t="str">
            <v>Sep</v>
          </cell>
          <cell r="D9578" t="str">
            <v>Kitchen</v>
          </cell>
          <cell r="E9578">
            <v>17483.584999999999</v>
          </cell>
          <cell r="F9578">
            <v>9</v>
          </cell>
        </row>
        <row r="9579">
          <cell r="A9579">
            <v>2018</v>
          </cell>
          <cell r="B9579" t="str">
            <v>Budget</v>
          </cell>
          <cell r="C9579" t="str">
            <v>Sep</v>
          </cell>
          <cell r="D9579" t="str">
            <v>Chairs</v>
          </cell>
          <cell r="E9579">
            <v>108079.594</v>
          </cell>
          <cell r="F9579">
            <v>9</v>
          </cell>
        </row>
        <row r="9580">
          <cell r="A9580">
            <v>2018</v>
          </cell>
          <cell r="B9580" t="str">
            <v>Actual</v>
          </cell>
          <cell r="C9580" t="str">
            <v>Sep</v>
          </cell>
          <cell r="D9580" t="str">
            <v>Chairs</v>
          </cell>
          <cell r="E9580">
            <v>62722.043999999994</v>
          </cell>
          <cell r="F9580">
            <v>9</v>
          </cell>
        </row>
        <row r="9581">
          <cell r="A9581">
            <v>2019</v>
          </cell>
          <cell r="B9581" t="str">
            <v>Budget</v>
          </cell>
          <cell r="C9581" t="str">
            <v>Sep</v>
          </cell>
          <cell r="D9581" t="str">
            <v>Chairs</v>
          </cell>
          <cell r="E9581">
            <v>129479.62300000001</v>
          </cell>
          <cell r="F9581">
            <v>9</v>
          </cell>
        </row>
        <row r="9582">
          <cell r="A9582">
            <v>2018</v>
          </cell>
          <cell r="B9582" t="str">
            <v>Actual</v>
          </cell>
          <cell r="C9582" t="str">
            <v>Sep</v>
          </cell>
          <cell r="D9582" t="str">
            <v>Chairs</v>
          </cell>
          <cell r="E9582">
            <v>77936.845000000001</v>
          </cell>
          <cell r="F9582">
            <v>9</v>
          </cell>
        </row>
        <row r="9583">
          <cell r="A9583">
            <v>2018</v>
          </cell>
          <cell r="B9583" t="str">
            <v>Budget</v>
          </cell>
          <cell r="C9583" t="str">
            <v>Sep</v>
          </cell>
          <cell r="D9583" t="str">
            <v>Chairs</v>
          </cell>
          <cell r="E9583">
            <v>17829.252</v>
          </cell>
          <cell r="F9583">
            <v>9</v>
          </cell>
        </row>
        <row r="9584">
          <cell r="A9584">
            <v>2018</v>
          </cell>
          <cell r="B9584" t="str">
            <v>Actual</v>
          </cell>
          <cell r="C9584" t="str">
            <v>Sep</v>
          </cell>
          <cell r="D9584" t="str">
            <v>Chairs</v>
          </cell>
          <cell r="E9584">
            <v>24953.697999999997</v>
          </cell>
          <cell r="F9584">
            <v>9</v>
          </cell>
        </row>
        <row r="9585">
          <cell r="A9585">
            <v>2019</v>
          </cell>
          <cell r="B9585" t="str">
            <v>Budget</v>
          </cell>
          <cell r="C9585" t="str">
            <v>Sep</v>
          </cell>
          <cell r="D9585" t="str">
            <v>Chairs</v>
          </cell>
          <cell r="E9585">
            <v>83498.974999999991</v>
          </cell>
          <cell r="F9585">
            <v>9</v>
          </cell>
        </row>
        <row r="9586">
          <cell r="A9586">
            <v>2019</v>
          </cell>
          <cell r="B9586" t="str">
            <v>Actual</v>
          </cell>
          <cell r="C9586" t="str">
            <v>Sep</v>
          </cell>
          <cell r="D9586" t="str">
            <v>Chairs</v>
          </cell>
          <cell r="E9586">
            <v>341807.17899999995</v>
          </cell>
          <cell r="F9586">
            <v>9</v>
          </cell>
        </row>
        <row r="9587">
          <cell r="A9587">
            <v>2018</v>
          </cell>
          <cell r="B9587" t="str">
            <v>Budget</v>
          </cell>
          <cell r="C9587" t="str">
            <v>Sep</v>
          </cell>
          <cell r="D9587" t="str">
            <v>Chairs</v>
          </cell>
          <cell r="E9587">
            <v>78005.717999999993</v>
          </cell>
          <cell r="F9587">
            <v>9</v>
          </cell>
        </row>
        <row r="9588">
          <cell r="A9588">
            <v>2018</v>
          </cell>
          <cell r="B9588" t="str">
            <v>Actual</v>
          </cell>
          <cell r="C9588" t="str">
            <v>Sep</v>
          </cell>
          <cell r="D9588" t="str">
            <v>Chairs</v>
          </cell>
          <cell r="E9588">
            <v>33376.322</v>
          </cell>
          <cell r="F9588">
            <v>9</v>
          </cell>
        </row>
        <row r="9589">
          <cell r="A9589">
            <v>2018</v>
          </cell>
          <cell r="B9589" t="str">
            <v>Budget</v>
          </cell>
          <cell r="C9589" t="str">
            <v>Sep</v>
          </cell>
          <cell r="D9589" t="str">
            <v>Chairs</v>
          </cell>
          <cell r="E9589">
            <v>22462.817999999999</v>
          </cell>
          <cell r="F9589">
            <v>9</v>
          </cell>
        </row>
        <row r="9590">
          <cell r="A9590">
            <v>2019</v>
          </cell>
          <cell r="B9590" t="str">
            <v>Actual</v>
          </cell>
          <cell r="C9590" t="str">
            <v>Sep</v>
          </cell>
          <cell r="D9590" t="str">
            <v>Chairs</v>
          </cell>
          <cell r="E9590">
            <v>30083.073999999997</v>
          </cell>
          <cell r="F9590">
            <v>9</v>
          </cell>
        </row>
        <row r="9591">
          <cell r="A9591">
            <v>2018</v>
          </cell>
          <cell r="B9591" t="str">
            <v>Budget</v>
          </cell>
          <cell r="C9591" t="str">
            <v>Sep</v>
          </cell>
          <cell r="D9591" t="str">
            <v>Chairs</v>
          </cell>
          <cell r="E9591">
            <v>24070.941999999995</v>
          </cell>
          <cell r="F9591">
            <v>9</v>
          </cell>
        </row>
        <row r="9592">
          <cell r="A9592">
            <v>2018</v>
          </cell>
          <cell r="B9592" t="str">
            <v>Actual</v>
          </cell>
          <cell r="C9592" t="str">
            <v>Sep</v>
          </cell>
          <cell r="D9592" t="str">
            <v>Chairs</v>
          </cell>
          <cell r="E9592">
            <v>24304.958999999999</v>
          </cell>
          <cell r="F9592">
            <v>9</v>
          </cell>
        </row>
        <row r="9593">
          <cell r="A9593">
            <v>2018</v>
          </cell>
          <cell r="B9593" t="str">
            <v>Budget</v>
          </cell>
          <cell r="C9593" t="str">
            <v>Sep</v>
          </cell>
          <cell r="D9593" t="str">
            <v>Chairs</v>
          </cell>
          <cell r="E9593">
            <v>126232.43499999998</v>
          </cell>
          <cell r="F9593">
            <v>9</v>
          </cell>
        </row>
        <row r="9594">
          <cell r="A9594">
            <v>2018</v>
          </cell>
          <cell r="B9594" t="str">
            <v>Actual</v>
          </cell>
          <cell r="C9594" t="str">
            <v>Sep</v>
          </cell>
          <cell r="D9594" t="str">
            <v>Chairs</v>
          </cell>
          <cell r="E9594">
            <v>79850.798999999999</v>
          </cell>
          <cell r="F9594">
            <v>9</v>
          </cell>
        </row>
        <row r="9595">
          <cell r="A9595">
            <v>2018</v>
          </cell>
          <cell r="B9595" t="str">
            <v>Budget</v>
          </cell>
          <cell r="C9595" t="str">
            <v>Sep</v>
          </cell>
          <cell r="D9595" t="str">
            <v>Chairs</v>
          </cell>
          <cell r="E9595">
            <v>107101.58899999999</v>
          </cell>
          <cell r="F9595">
            <v>9</v>
          </cell>
        </row>
        <row r="9596">
          <cell r="A9596">
            <v>2018</v>
          </cell>
          <cell r="B9596" t="str">
            <v>Actual</v>
          </cell>
          <cell r="C9596" t="str">
            <v>Sep</v>
          </cell>
          <cell r="D9596" t="str">
            <v>Chairs</v>
          </cell>
          <cell r="E9596">
            <v>227705.74399999998</v>
          </cell>
          <cell r="F9596">
            <v>9</v>
          </cell>
        </row>
        <row r="9597">
          <cell r="A9597">
            <v>2019</v>
          </cell>
          <cell r="B9597" t="str">
            <v>Budget</v>
          </cell>
          <cell r="C9597" t="str">
            <v>Sep</v>
          </cell>
          <cell r="D9597" t="str">
            <v>Chairs</v>
          </cell>
          <cell r="E9597">
            <v>155358.329</v>
          </cell>
          <cell r="F9597">
            <v>9</v>
          </cell>
        </row>
        <row r="9598">
          <cell r="A9598">
            <v>2019</v>
          </cell>
          <cell r="B9598" t="str">
            <v>Actual</v>
          </cell>
          <cell r="C9598" t="str">
            <v>Sep</v>
          </cell>
          <cell r="D9598" t="str">
            <v>Chairs</v>
          </cell>
          <cell r="E9598">
            <v>125675.56399999998</v>
          </cell>
          <cell r="F9598">
            <v>9</v>
          </cell>
        </row>
        <row r="9599">
          <cell r="A9599">
            <v>2019</v>
          </cell>
          <cell r="B9599" t="str">
            <v>Budget</v>
          </cell>
          <cell r="C9599" t="str">
            <v>Sep</v>
          </cell>
          <cell r="D9599" t="str">
            <v>Chairs</v>
          </cell>
          <cell r="E9599">
            <v>336557.20699999999</v>
          </cell>
          <cell r="F9599">
            <v>9</v>
          </cell>
        </row>
        <row r="9600">
          <cell r="A9600">
            <v>2018</v>
          </cell>
          <cell r="B9600" t="str">
            <v>Actual</v>
          </cell>
          <cell r="C9600" t="str">
            <v>Sep</v>
          </cell>
          <cell r="D9600" t="str">
            <v>Chairs</v>
          </cell>
          <cell r="E9600">
            <v>507074.16200000001</v>
          </cell>
          <cell r="F9600">
            <v>9</v>
          </cell>
        </row>
        <row r="9601">
          <cell r="A9601">
            <v>2018</v>
          </cell>
          <cell r="B9601" t="str">
            <v>Budget</v>
          </cell>
          <cell r="C9601" t="str">
            <v>Sep</v>
          </cell>
          <cell r="D9601" t="str">
            <v>Chairs</v>
          </cell>
          <cell r="E9601">
            <v>219074.52699999997</v>
          </cell>
          <cell r="F9601">
            <v>9</v>
          </cell>
        </row>
        <row r="9602">
          <cell r="A9602">
            <v>2018</v>
          </cell>
          <cell r="B9602" t="str">
            <v>Actual</v>
          </cell>
          <cell r="C9602" t="str">
            <v>Sep</v>
          </cell>
          <cell r="D9602" t="str">
            <v>Chairs</v>
          </cell>
          <cell r="E9602">
            <v>50916.593000000001</v>
          </cell>
          <cell r="F9602">
            <v>9</v>
          </cell>
        </row>
        <row r="9603">
          <cell r="A9603">
            <v>2019</v>
          </cell>
          <cell r="B9603" t="str">
            <v>Budget</v>
          </cell>
          <cell r="C9603" t="str">
            <v>Sep</v>
          </cell>
          <cell r="D9603" t="str">
            <v>Chairs</v>
          </cell>
          <cell r="E9603">
            <v>96695.137000000002</v>
          </cell>
          <cell r="F9603">
            <v>9</v>
          </cell>
        </row>
        <row r="9604">
          <cell r="A9604">
            <v>2018</v>
          </cell>
          <cell r="B9604" t="str">
            <v>Actual</v>
          </cell>
          <cell r="C9604" t="str">
            <v>Sep</v>
          </cell>
          <cell r="D9604" t="str">
            <v>Chairs</v>
          </cell>
          <cell r="E9604">
            <v>220712.00899999999</v>
          </cell>
          <cell r="F9604">
            <v>9</v>
          </cell>
        </row>
        <row r="9605">
          <cell r="A9605">
            <v>2018</v>
          </cell>
          <cell r="B9605" t="str">
            <v>Budget</v>
          </cell>
          <cell r="C9605" t="str">
            <v>Sep</v>
          </cell>
          <cell r="D9605" t="str">
            <v>Tables</v>
          </cell>
          <cell r="E9605">
            <v>103590.095</v>
          </cell>
          <cell r="F9605">
            <v>9</v>
          </cell>
        </row>
        <row r="9606">
          <cell r="A9606">
            <v>2018</v>
          </cell>
          <cell r="B9606" t="str">
            <v>Actual</v>
          </cell>
          <cell r="C9606" t="str">
            <v>Sep</v>
          </cell>
          <cell r="D9606" t="str">
            <v>Kitchen</v>
          </cell>
          <cell r="E9606">
            <v>49376.137999999992</v>
          </cell>
          <cell r="F9606">
            <v>9</v>
          </cell>
        </row>
        <row r="9607">
          <cell r="A9607">
            <v>2018</v>
          </cell>
          <cell r="B9607" t="str">
            <v>Budget</v>
          </cell>
          <cell r="C9607" t="str">
            <v>Sep</v>
          </cell>
          <cell r="D9607" t="str">
            <v>Chairs</v>
          </cell>
          <cell r="E9607">
            <v>203237.53099999999</v>
          </cell>
          <cell r="F9607">
            <v>9</v>
          </cell>
        </row>
        <row r="9608">
          <cell r="A9608">
            <v>2018</v>
          </cell>
          <cell r="B9608" t="str">
            <v>Actual</v>
          </cell>
          <cell r="C9608" t="str">
            <v>Sep</v>
          </cell>
          <cell r="D9608" t="str">
            <v>Chairs</v>
          </cell>
          <cell r="E9608">
            <v>102276.93</v>
          </cell>
          <cell r="F9608">
            <v>9</v>
          </cell>
        </row>
        <row r="9609">
          <cell r="A9609">
            <v>2019</v>
          </cell>
          <cell r="B9609" t="str">
            <v>Budget</v>
          </cell>
          <cell r="C9609" t="str">
            <v>Sep</v>
          </cell>
          <cell r="D9609" t="str">
            <v>Chairs</v>
          </cell>
          <cell r="E9609">
            <v>25569.228999999999</v>
          </cell>
          <cell r="F9609">
            <v>9</v>
          </cell>
        </row>
        <row r="9610">
          <cell r="A9610">
            <v>2019</v>
          </cell>
          <cell r="B9610" t="str">
            <v>Actual</v>
          </cell>
          <cell r="C9610" t="str">
            <v>Sep</v>
          </cell>
          <cell r="D9610" t="str">
            <v>Chairs</v>
          </cell>
          <cell r="E9610">
            <v>13292.006000000001</v>
          </cell>
          <cell r="F9610">
            <v>9</v>
          </cell>
        </row>
        <row r="9611">
          <cell r="A9611">
            <v>2019</v>
          </cell>
          <cell r="B9611" t="str">
            <v>Budget</v>
          </cell>
          <cell r="C9611" t="str">
            <v>Sep</v>
          </cell>
          <cell r="D9611" t="str">
            <v>Chairs</v>
          </cell>
          <cell r="E9611">
            <v>20742.672999999999</v>
          </cell>
          <cell r="F9611">
            <v>9</v>
          </cell>
        </row>
        <row r="9612">
          <cell r="A9612">
            <v>2018</v>
          </cell>
          <cell r="B9612" t="str">
            <v>Actual</v>
          </cell>
          <cell r="C9612" t="str">
            <v>Sep</v>
          </cell>
          <cell r="D9612" t="str">
            <v>Tables</v>
          </cell>
          <cell r="E9612">
            <v>79616.418000000005</v>
          </cell>
          <cell r="F9612">
            <v>9</v>
          </cell>
        </row>
        <row r="9613">
          <cell r="A9613">
            <v>2018</v>
          </cell>
          <cell r="B9613" t="str">
            <v>Budget</v>
          </cell>
          <cell r="C9613" t="str">
            <v>Sep</v>
          </cell>
          <cell r="D9613" t="str">
            <v>Kitchen</v>
          </cell>
          <cell r="E9613">
            <v>30104.465999999997</v>
          </cell>
          <cell r="F9613">
            <v>9</v>
          </cell>
        </row>
        <row r="9614">
          <cell r="A9614">
            <v>2018</v>
          </cell>
          <cell r="B9614" t="str">
            <v>Actual</v>
          </cell>
          <cell r="C9614" t="str">
            <v>Sep</v>
          </cell>
          <cell r="D9614" t="str">
            <v>Chairs</v>
          </cell>
          <cell r="E9614">
            <v>111443.12199999999</v>
          </cell>
          <cell r="F9614">
            <v>9</v>
          </cell>
        </row>
        <row r="9615">
          <cell r="A9615">
            <v>2018</v>
          </cell>
          <cell r="B9615" t="str">
            <v>Budget</v>
          </cell>
          <cell r="C9615" t="str">
            <v>Sep</v>
          </cell>
          <cell r="D9615" t="str">
            <v>Chairs</v>
          </cell>
          <cell r="E9615">
            <v>97777.581999999995</v>
          </cell>
          <cell r="F9615">
            <v>9</v>
          </cell>
        </row>
        <row r="9616">
          <cell r="A9616">
            <v>2019</v>
          </cell>
          <cell r="B9616" t="str">
            <v>Actual</v>
          </cell>
          <cell r="C9616" t="str">
            <v>Sep</v>
          </cell>
          <cell r="D9616" t="str">
            <v>Chairs</v>
          </cell>
          <cell r="E9616">
            <v>50241.883999999991</v>
          </cell>
          <cell r="F9616">
            <v>9</v>
          </cell>
        </row>
        <row r="9617">
          <cell r="A9617">
            <v>2019</v>
          </cell>
          <cell r="B9617" t="str">
            <v>Budget</v>
          </cell>
          <cell r="C9617" t="str">
            <v>Sep</v>
          </cell>
          <cell r="D9617" t="str">
            <v>Tables</v>
          </cell>
          <cell r="E9617">
            <v>111738.48</v>
          </cell>
          <cell r="F9617">
            <v>9</v>
          </cell>
        </row>
        <row r="9618">
          <cell r="A9618">
            <v>2019</v>
          </cell>
          <cell r="B9618" t="str">
            <v>Actual</v>
          </cell>
          <cell r="C9618" t="str">
            <v>Sep</v>
          </cell>
          <cell r="D9618" t="str">
            <v>Kitchen</v>
          </cell>
          <cell r="E9618">
            <v>28545.145999999997</v>
          </cell>
          <cell r="F9618">
            <v>9</v>
          </cell>
        </row>
        <row r="9619">
          <cell r="A9619">
            <v>2019</v>
          </cell>
          <cell r="B9619" t="str">
            <v>Budget</v>
          </cell>
          <cell r="C9619" t="str">
            <v>Sep</v>
          </cell>
          <cell r="D9619" t="str">
            <v>Chairs</v>
          </cell>
          <cell r="E9619">
            <v>198712.37399999998</v>
          </cell>
          <cell r="F9619">
            <v>9</v>
          </cell>
        </row>
        <row r="9620">
          <cell r="A9620">
            <v>2018</v>
          </cell>
          <cell r="B9620" t="str">
            <v>Actual</v>
          </cell>
          <cell r="C9620" t="str">
            <v>Sep</v>
          </cell>
          <cell r="D9620" t="str">
            <v>Chairs</v>
          </cell>
          <cell r="E9620">
            <v>198693.614</v>
          </cell>
          <cell r="F9620">
            <v>9</v>
          </cell>
        </row>
        <row r="9621">
          <cell r="A9621">
            <v>2019</v>
          </cell>
          <cell r="B9621" t="str">
            <v>Budget</v>
          </cell>
          <cell r="C9621" t="str">
            <v>Sep</v>
          </cell>
          <cell r="D9621" t="str">
            <v>Tables</v>
          </cell>
          <cell r="E9621">
            <v>38441.416999999994</v>
          </cell>
          <cell r="F9621">
            <v>9</v>
          </cell>
        </row>
        <row r="9622">
          <cell r="A9622">
            <v>2019</v>
          </cell>
          <cell r="B9622" t="str">
            <v>Actual</v>
          </cell>
          <cell r="C9622" t="str">
            <v>Sep</v>
          </cell>
          <cell r="D9622" t="str">
            <v>Kitchen</v>
          </cell>
          <cell r="E9622">
            <v>459768.08500000002</v>
          </cell>
          <cell r="F9622">
            <v>9</v>
          </cell>
        </row>
        <row r="9623">
          <cell r="A9623">
            <v>2018</v>
          </cell>
          <cell r="B9623" t="str">
            <v>Budget</v>
          </cell>
          <cell r="C9623" t="str">
            <v>Sep</v>
          </cell>
          <cell r="D9623" t="str">
            <v>Chairs</v>
          </cell>
          <cell r="E9623">
            <v>2822955.2259999998</v>
          </cell>
          <cell r="F9623">
            <v>9</v>
          </cell>
        </row>
        <row r="9624">
          <cell r="A9624">
            <v>2019</v>
          </cell>
          <cell r="B9624" t="str">
            <v>Actual</v>
          </cell>
          <cell r="C9624" t="str">
            <v>Sep</v>
          </cell>
          <cell r="D9624" t="str">
            <v>Chairs</v>
          </cell>
          <cell r="E9624">
            <v>123727.303</v>
          </cell>
          <cell r="F9624">
            <v>9</v>
          </cell>
        </row>
        <row r="9625">
          <cell r="A9625">
            <v>2019</v>
          </cell>
          <cell r="B9625" t="str">
            <v>Budget</v>
          </cell>
          <cell r="C9625" t="str">
            <v>Sep</v>
          </cell>
          <cell r="D9625" t="str">
            <v>Chairs</v>
          </cell>
          <cell r="E9625">
            <v>144594.821</v>
          </cell>
          <cell r="F9625">
            <v>9</v>
          </cell>
        </row>
        <row r="9626">
          <cell r="A9626">
            <v>2019</v>
          </cell>
          <cell r="B9626" t="str">
            <v>Actual</v>
          </cell>
          <cell r="C9626" t="str">
            <v>Sep</v>
          </cell>
          <cell r="D9626" t="str">
            <v>Tables</v>
          </cell>
          <cell r="E9626">
            <v>144602.815</v>
          </cell>
          <cell r="F9626">
            <v>9</v>
          </cell>
        </row>
        <row r="9627">
          <cell r="A9627">
            <v>2019</v>
          </cell>
          <cell r="B9627" t="str">
            <v>Budget</v>
          </cell>
          <cell r="C9627" t="str">
            <v>Sep</v>
          </cell>
          <cell r="D9627" t="str">
            <v>Kitchen</v>
          </cell>
          <cell r="E9627">
            <v>173749.905</v>
          </cell>
          <cell r="F9627">
            <v>9</v>
          </cell>
        </row>
        <row r="9628">
          <cell r="A9628">
            <v>2018</v>
          </cell>
          <cell r="B9628" t="str">
            <v>Actual</v>
          </cell>
          <cell r="C9628" t="str">
            <v>Sep</v>
          </cell>
          <cell r="D9628" t="str">
            <v>Accessories</v>
          </cell>
          <cell r="E9628">
            <v>1471318.1489999997</v>
          </cell>
          <cell r="F9628">
            <v>9</v>
          </cell>
        </row>
        <row r="9629">
          <cell r="A9629">
            <v>2019</v>
          </cell>
          <cell r="B9629" t="str">
            <v>Budget</v>
          </cell>
          <cell r="C9629" t="str">
            <v>Sep</v>
          </cell>
          <cell r="D9629" t="str">
            <v>Chairs</v>
          </cell>
          <cell r="E9629">
            <v>2512969.8019999997</v>
          </cell>
          <cell r="F9629">
            <v>9</v>
          </cell>
        </row>
        <row r="9630">
          <cell r="A9630">
            <v>2018</v>
          </cell>
          <cell r="B9630" t="str">
            <v>Actual</v>
          </cell>
          <cell r="C9630" t="str">
            <v>Sep</v>
          </cell>
          <cell r="D9630" t="str">
            <v>Tables</v>
          </cell>
          <cell r="E9630">
            <v>129789.04399999999</v>
          </cell>
          <cell r="F9630">
            <v>9</v>
          </cell>
        </row>
        <row r="9631">
          <cell r="A9631">
            <v>2018</v>
          </cell>
          <cell r="B9631" t="str">
            <v>Budget</v>
          </cell>
          <cell r="C9631" t="str">
            <v>Sep</v>
          </cell>
          <cell r="D9631" t="str">
            <v>Kitchen</v>
          </cell>
          <cell r="E9631">
            <v>326644.19899999996</v>
          </cell>
          <cell r="F9631">
            <v>9</v>
          </cell>
        </row>
        <row r="9632">
          <cell r="A9632">
            <v>2019</v>
          </cell>
          <cell r="B9632" t="str">
            <v>Actual</v>
          </cell>
          <cell r="C9632" t="str">
            <v>Sep</v>
          </cell>
          <cell r="D9632" t="str">
            <v>Accessories</v>
          </cell>
          <cell r="E9632">
            <v>957858.92999999982</v>
          </cell>
          <cell r="F9632">
            <v>9</v>
          </cell>
        </row>
        <row r="9633">
          <cell r="A9633">
            <v>2019</v>
          </cell>
          <cell r="B9633" t="str">
            <v>Budget</v>
          </cell>
          <cell r="C9633" t="str">
            <v>Sep</v>
          </cell>
          <cell r="D9633" t="str">
            <v>Chairs</v>
          </cell>
          <cell r="E9633">
            <v>136510.598</v>
          </cell>
          <cell r="F9633">
            <v>9</v>
          </cell>
        </row>
        <row r="9634">
          <cell r="A9634">
            <v>2018</v>
          </cell>
          <cell r="B9634" t="str">
            <v>Actual</v>
          </cell>
          <cell r="C9634" t="str">
            <v>Sep</v>
          </cell>
          <cell r="D9634" t="str">
            <v>Tables</v>
          </cell>
          <cell r="E9634">
            <v>298753.42699999997</v>
          </cell>
          <cell r="F9634">
            <v>9</v>
          </cell>
        </row>
        <row r="9635">
          <cell r="A9635">
            <v>2019</v>
          </cell>
          <cell r="B9635" t="str">
            <v>Budget</v>
          </cell>
          <cell r="C9635" t="str">
            <v>Sep</v>
          </cell>
          <cell r="D9635" t="str">
            <v>Kitchen</v>
          </cell>
          <cell r="E9635">
            <v>-50116.331999999995</v>
          </cell>
          <cell r="F9635">
            <v>9</v>
          </cell>
        </row>
        <row r="9636">
          <cell r="A9636">
            <v>2019</v>
          </cell>
          <cell r="B9636" t="str">
            <v>Actual</v>
          </cell>
          <cell r="C9636" t="str">
            <v>Sep</v>
          </cell>
          <cell r="D9636" t="str">
            <v>Accessories</v>
          </cell>
          <cell r="E9636">
            <v>-174523.986</v>
          </cell>
          <cell r="F9636">
            <v>9</v>
          </cell>
        </row>
        <row r="9637">
          <cell r="A9637">
            <v>2019</v>
          </cell>
          <cell r="B9637" t="str">
            <v>Budget</v>
          </cell>
          <cell r="C9637" t="str">
            <v>Sep</v>
          </cell>
          <cell r="D9637" t="str">
            <v>Chairs</v>
          </cell>
          <cell r="E9637">
            <v>353303.40499999997</v>
          </cell>
          <cell r="F9637">
            <v>9</v>
          </cell>
        </row>
        <row r="9638">
          <cell r="A9638">
            <v>2019</v>
          </cell>
          <cell r="B9638" t="str">
            <v>Actual</v>
          </cell>
          <cell r="C9638" t="str">
            <v>Sep</v>
          </cell>
          <cell r="D9638" t="str">
            <v>Tables</v>
          </cell>
          <cell r="E9638">
            <v>1629800.13</v>
          </cell>
          <cell r="F9638">
            <v>9</v>
          </cell>
        </row>
        <row r="9639">
          <cell r="A9639">
            <v>2019</v>
          </cell>
          <cell r="B9639" t="str">
            <v>Budget</v>
          </cell>
          <cell r="C9639" t="str">
            <v>Sep</v>
          </cell>
          <cell r="D9639" t="str">
            <v>Kitchen</v>
          </cell>
          <cell r="E9639">
            <v>109022.375</v>
          </cell>
          <cell r="F9639">
            <v>9</v>
          </cell>
        </row>
        <row r="9640">
          <cell r="A9640">
            <v>2018</v>
          </cell>
          <cell r="B9640" t="str">
            <v>Actual</v>
          </cell>
          <cell r="C9640" t="str">
            <v>Sep</v>
          </cell>
          <cell r="D9640" t="str">
            <v>Accessories</v>
          </cell>
          <cell r="E9640">
            <v>-11427.779999999999</v>
          </cell>
          <cell r="F9640">
            <v>9</v>
          </cell>
        </row>
        <row r="9641">
          <cell r="A9641">
            <v>2018</v>
          </cell>
          <cell r="B9641" t="str">
            <v>Budget</v>
          </cell>
          <cell r="C9641" t="str">
            <v>Sep</v>
          </cell>
          <cell r="D9641" t="str">
            <v>Chairs</v>
          </cell>
          <cell r="E9641">
            <v>903243.06099999999</v>
          </cell>
          <cell r="F9641">
            <v>9</v>
          </cell>
        </row>
        <row r="9642">
          <cell r="A9642">
            <v>2019</v>
          </cell>
          <cell r="B9642" t="str">
            <v>Actual</v>
          </cell>
          <cell r="C9642" t="str">
            <v>Sep</v>
          </cell>
          <cell r="D9642" t="str">
            <v>Chairs</v>
          </cell>
          <cell r="E9642">
            <v>-149092.734</v>
          </cell>
          <cell r="F9642">
            <v>9</v>
          </cell>
        </row>
        <row r="9643">
          <cell r="A9643">
            <v>2019</v>
          </cell>
          <cell r="B9643" t="str">
            <v>Budget</v>
          </cell>
          <cell r="C9643" t="str">
            <v>Sep</v>
          </cell>
          <cell r="D9643" t="str">
            <v>Tables</v>
          </cell>
          <cell r="E9643">
            <v>2228876.7760000001</v>
          </cell>
          <cell r="F9643">
            <v>9</v>
          </cell>
        </row>
        <row r="9644">
          <cell r="A9644">
            <v>2018</v>
          </cell>
          <cell r="B9644" t="str">
            <v>Actual</v>
          </cell>
          <cell r="C9644" t="str">
            <v>Sep</v>
          </cell>
          <cell r="D9644" t="str">
            <v>Kitchen</v>
          </cell>
          <cell r="E9644">
            <v>58789.108</v>
          </cell>
          <cell r="F9644">
            <v>9</v>
          </cell>
        </row>
        <row r="9645">
          <cell r="A9645">
            <v>2018</v>
          </cell>
          <cell r="B9645" t="str">
            <v>Budget</v>
          </cell>
          <cell r="C9645" t="str">
            <v>Sep</v>
          </cell>
          <cell r="D9645" t="str">
            <v>Chairs</v>
          </cell>
          <cell r="E9645">
            <v>409184.93699999998</v>
          </cell>
          <cell r="F9645">
            <v>9</v>
          </cell>
        </row>
        <row r="9646">
          <cell r="A9646">
            <v>2018</v>
          </cell>
          <cell r="B9646" t="str">
            <v>Actual</v>
          </cell>
          <cell r="C9646" t="str">
            <v>Sep</v>
          </cell>
          <cell r="D9646" t="str">
            <v>Tables</v>
          </cell>
          <cell r="E9646">
            <v>321929.18099999998</v>
          </cell>
          <cell r="F9646">
            <v>9</v>
          </cell>
        </row>
        <row r="9647">
          <cell r="A9647">
            <v>2018</v>
          </cell>
          <cell r="B9647" t="str">
            <v>Budget</v>
          </cell>
          <cell r="C9647" t="str">
            <v>Sep</v>
          </cell>
          <cell r="D9647" t="str">
            <v>Kitchen</v>
          </cell>
          <cell r="E9647">
            <v>3249381.352</v>
          </cell>
          <cell r="F9647">
            <v>9</v>
          </cell>
        </row>
        <row r="9648">
          <cell r="A9648">
            <v>2019</v>
          </cell>
          <cell r="B9648" t="str">
            <v>Actual</v>
          </cell>
          <cell r="C9648" t="str">
            <v>Sep</v>
          </cell>
          <cell r="D9648" t="str">
            <v>Chairs</v>
          </cell>
          <cell r="E9648">
            <v>4993346.2389999991</v>
          </cell>
          <cell r="F9648">
            <v>9</v>
          </cell>
        </row>
        <row r="9649">
          <cell r="A9649">
            <v>2019</v>
          </cell>
          <cell r="B9649" t="str">
            <v>Budget</v>
          </cell>
          <cell r="C9649" t="str">
            <v>Sep</v>
          </cell>
          <cell r="D9649" t="str">
            <v>Tables</v>
          </cell>
          <cell r="E9649">
            <v>347306.15499999997</v>
          </cell>
          <cell r="F9649">
            <v>9</v>
          </cell>
        </row>
        <row r="9650">
          <cell r="A9650">
            <v>2018</v>
          </cell>
          <cell r="B9650" t="str">
            <v>Actual</v>
          </cell>
          <cell r="C9650" t="str">
            <v>Sep</v>
          </cell>
          <cell r="D9650" t="str">
            <v>Kitchen</v>
          </cell>
          <cell r="E9650">
            <v>967760.80099999986</v>
          </cell>
          <cell r="F9650">
            <v>9</v>
          </cell>
        </row>
        <row r="9651">
          <cell r="A9651">
            <v>2018</v>
          </cell>
          <cell r="B9651" t="str">
            <v>Budget</v>
          </cell>
          <cell r="C9651" t="str">
            <v>Sep</v>
          </cell>
          <cell r="D9651" t="str">
            <v>Chairs</v>
          </cell>
          <cell r="E9651">
            <v>5434814.8959999997</v>
          </cell>
          <cell r="F9651">
            <v>9</v>
          </cell>
        </row>
        <row r="9652">
          <cell r="A9652">
            <v>2018</v>
          </cell>
          <cell r="B9652" t="str">
            <v>Actual</v>
          </cell>
          <cell r="C9652" t="str">
            <v>Sep</v>
          </cell>
          <cell r="D9652" t="str">
            <v>Chairs</v>
          </cell>
          <cell r="E9652">
            <v>115492.41899999999</v>
          </cell>
          <cell r="F9652">
            <v>9</v>
          </cell>
        </row>
        <row r="9653">
          <cell r="A9653">
            <v>2018</v>
          </cell>
          <cell r="B9653" t="str">
            <v>Budget</v>
          </cell>
          <cell r="C9653" t="str">
            <v>Sep</v>
          </cell>
          <cell r="D9653" t="str">
            <v>Chairs</v>
          </cell>
          <cell r="E9653">
            <v>-57831.472999999998</v>
          </cell>
          <cell r="F9653">
            <v>9</v>
          </cell>
        </row>
        <row r="9654">
          <cell r="A9654">
            <v>2018</v>
          </cell>
          <cell r="B9654" t="str">
            <v>Actual</v>
          </cell>
          <cell r="C9654" t="str">
            <v>Sep</v>
          </cell>
          <cell r="D9654" t="str">
            <v>Chairs</v>
          </cell>
          <cell r="E9654">
            <v>4564082.943</v>
          </cell>
          <cell r="F9654">
            <v>9</v>
          </cell>
        </row>
        <row r="9655">
          <cell r="A9655">
            <v>2019</v>
          </cell>
          <cell r="B9655" t="str">
            <v>Budget</v>
          </cell>
          <cell r="C9655" t="str">
            <v>Sep</v>
          </cell>
          <cell r="D9655" t="str">
            <v>Chairs</v>
          </cell>
          <cell r="E9655">
            <v>240891.37799999997</v>
          </cell>
          <cell r="F9655">
            <v>9</v>
          </cell>
        </row>
        <row r="9656">
          <cell r="A9656">
            <v>2018</v>
          </cell>
          <cell r="B9656" t="str">
            <v>Actual</v>
          </cell>
          <cell r="C9656" t="str">
            <v>Sep</v>
          </cell>
          <cell r="D9656" t="str">
            <v>Chairs</v>
          </cell>
          <cell r="E9656">
            <v>1610570.8709999998</v>
          </cell>
          <cell r="F9656">
            <v>9</v>
          </cell>
        </row>
        <row r="9657">
          <cell r="A9657">
            <v>2019</v>
          </cell>
          <cell r="B9657" t="str">
            <v>Budget</v>
          </cell>
          <cell r="C9657" t="str">
            <v>Sep</v>
          </cell>
          <cell r="D9657" t="str">
            <v>Chairs</v>
          </cell>
          <cell r="E9657">
            <v>674287.64899999998</v>
          </cell>
          <cell r="F9657">
            <v>9</v>
          </cell>
        </row>
        <row r="9658">
          <cell r="A9658">
            <v>2018</v>
          </cell>
          <cell r="B9658" t="str">
            <v>Actual</v>
          </cell>
          <cell r="C9658" t="str">
            <v>Sep</v>
          </cell>
          <cell r="D9658" t="str">
            <v>Chairs</v>
          </cell>
          <cell r="E9658">
            <v>1757372.7219999998</v>
          </cell>
          <cell r="F9658">
            <v>9</v>
          </cell>
        </row>
        <row r="9659">
          <cell r="A9659">
            <v>2019</v>
          </cell>
          <cell r="B9659" t="str">
            <v>Budget</v>
          </cell>
          <cell r="C9659" t="str">
            <v>Sep</v>
          </cell>
          <cell r="D9659" t="str">
            <v>Chairs</v>
          </cell>
          <cell r="E9659">
            <v>80682.258999999991</v>
          </cell>
          <cell r="F9659">
            <v>9</v>
          </cell>
        </row>
        <row r="9660">
          <cell r="A9660">
            <v>2018</v>
          </cell>
          <cell r="B9660" t="str">
            <v>Actual</v>
          </cell>
          <cell r="C9660" t="str">
            <v>Sep</v>
          </cell>
          <cell r="D9660" t="str">
            <v>Chairs</v>
          </cell>
          <cell r="E9660">
            <v>27466.487999999998</v>
          </cell>
          <cell r="F9660">
            <v>9</v>
          </cell>
        </row>
        <row r="9661">
          <cell r="A9661">
            <v>2019</v>
          </cell>
          <cell r="B9661" t="str">
            <v>Budget</v>
          </cell>
          <cell r="C9661" t="str">
            <v>Sep</v>
          </cell>
          <cell r="D9661" t="str">
            <v>Chairs</v>
          </cell>
          <cell r="E9661">
            <v>100653.69299999998</v>
          </cell>
          <cell r="F9661">
            <v>9</v>
          </cell>
        </row>
        <row r="9662">
          <cell r="A9662">
            <v>2019</v>
          </cell>
          <cell r="B9662" t="str">
            <v>Actual</v>
          </cell>
          <cell r="C9662" t="str">
            <v>Sep</v>
          </cell>
          <cell r="D9662" t="str">
            <v>Chairs</v>
          </cell>
          <cell r="E9662">
            <v>217029.67300000001</v>
          </cell>
          <cell r="F9662">
            <v>9</v>
          </cell>
        </row>
        <row r="9663">
          <cell r="A9663">
            <v>2019</v>
          </cell>
          <cell r="B9663" t="str">
            <v>Budget</v>
          </cell>
          <cell r="C9663" t="str">
            <v>Sep</v>
          </cell>
          <cell r="D9663" t="str">
            <v>Chairs</v>
          </cell>
          <cell r="E9663">
            <v>74877.536999999997</v>
          </cell>
          <cell r="F9663">
            <v>9</v>
          </cell>
        </row>
        <row r="9664">
          <cell r="A9664">
            <v>2018</v>
          </cell>
          <cell r="B9664" t="str">
            <v>Actual</v>
          </cell>
          <cell r="C9664" t="str">
            <v>Sep</v>
          </cell>
          <cell r="D9664" t="str">
            <v>Chairs</v>
          </cell>
          <cell r="E9664">
            <v>368409.08299999993</v>
          </cell>
          <cell r="F9664">
            <v>9</v>
          </cell>
        </row>
        <row r="9665">
          <cell r="A9665">
            <v>2018</v>
          </cell>
          <cell r="B9665" t="str">
            <v>Budget</v>
          </cell>
          <cell r="C9665" t="str">
            <v>Sep</v>
          </cell>
          <cell r="D9665" t="str">
            <v>Chairs</v>
          </cell>
          <cell r="E9665">
            <v>340071.45899999997</v>
          </cell>
          <cell r="F9665">
            <v>9</v>
          </cell>
        </row>
        <row r="9666">
          <cell r="A9666">
            <v>2018</v>
          </cell>
          <cell r="B9666" t="str">
            <v>Actual</v>
          </cell>
          <cell r="C9666" t="str">
            <v>Sep</v>
          </cell>
          <cell r="D9666" t="str">
            <v>Chairs</v>
          </cell>
          <cell r="E9666">
            <v>94815.279999999984</v>
          </cell>
          <cell r="F9666">
            <v>9</v>
          </cell>
        </row>
        <row r="9667">
          <cell r="A9667">
            <v>2018</v>
          </cell>
          <cell r="B9667" t="str">
            <v>Budget</v>
          </cell>
          <cell r="C9667" t="str">
            <v>Sep</v>
          </cell>
          <cell r="D9667" t="str">
            <v>Chairs</v>
          </cell>
          <cell r="E9667">
            <v>471309.57999999996</v>
          </cell>
          <cell r="F9667">
            <v>9</v>
          </cell>
        </row>
        <row r="9668">
          <cell r="A9668">
            <v>2019</v>
          </cell>
          <cell r="B9668" t="str">
            <v>Actual</v>
          </cell>
          <cell r="C9668" t="str">
            <v>Sep</v>
          </cell>
          <cell r="D9668" t="str">
            <v>Chairs</v>
          </cell>
          <cell r="E9668">
            <v>191458.82699999999</v>
          </cell>
          <cell r="F9668">
            <v>9</v>
          </cell>
        </row>
        <row r="9669">
          <cell r="A9669">
            <v>2018</v>
          </cell>
          <cell r="B9669" t="str">
            <v>Budget</v>
          </cell>
          <cell r="C9669" t="str">
            <v>Sep</v>
          </cell>
          <cell r="D9669" t="str">
            <v>Chairs</v>
          </cell>
          <cell r="E9669">
            <v>229690.965</v>
          </cell>
          <cell r="F9669">
            <v>9</v>
          </cell>
        </row>
        <row r="9670">
          <cell r="A9670">
            <v>2018</v>
          </cell>
          <cell r="B9670" t="str">
            <v>Actual</v>
          </cell>
          <cell r="C9670" t="str">
            <v>Sep</v>
          </cell>
          <cell r="D9670" t="str">
            <v>Chairs</v>
          </cell>
          <cell r="E9670">
            <v>40186.866999999998</v>
          </cell>
          <cell r="F9670">
            <v>9</v>
          </cell>
        </row>
        <row r="9671">
          <cell r="A9671">
            <v>2019</v>
          </cell>
          <cell r="B9671" t="str">
            <v>Budget</v>
          </cell>
          <cell r="C9671" t="str">
            <v>Sep</v>
          </cell>
          <cell r="D9671" t="str">
            <v>Chairs</v>
          </cell>
          <cell r="E9671">
            <v>181911.18399999998</v>
          </cell>
          <cell r="F9671">
            <v>9</v>
          </cell>
        </row>
        <row r="9672">
          <cell r="A9672">
            <v>2019</v>
          </cell>
          <cell r="B9672" t="str">
            <v>Actual</v>
          </cell>
          <cell r="C9672" t="str">
            <v>Sep</v>
          </cell>
          <cell r="D9672" t="str">
            <v>Chairs</v>
          </cell>
          <cell r="E9672">
            <v>130181.11399999999</v>
          </cell>
          <cell r="F9672">
            <v>9</v>
          </cell>
        </row>
        <row r="9673">
          <cell r="A9673">
            <v>2019</v>
          </cell>
          <cell r="B9673" t="str">
            <v>Budget</v>
          </cell>
          <cell r="C9673" t="str">
            <v>Sep</v>
          </cell>
          <cell r="D9673" t="str">
            <v>Chairs</v>
          </cell>
          <cell r="E9673">
            <v>20785.596999999998</v>
          </cell>
          <cell r="F9673">
            <v>9</v>
          </cell>
        </row>
        <row r="9674">
          <cell r="A9674">
            <v>2019</v>
          </cell>
          <cell r="B9674" t="str">
            <v>Actual</v>
          </cell>
          <cell r="C9674" t="str">
            <v>Sep</v>
          </cell>
          <cell r="D9674" t="str">
            <v>Chairs</v>
          </cell>
          <cell r="E9674">
            <v>334910.98199999996</v>
          </cell>
          <cell r="F9674">
            <v>9</v>
          </cell>
        </row>
        <row r="9675">
          <cell r="A9675">
            <v>2019</v>
          </cell>
          <cell r="B9675" t="str">
            <v>Budget</v>
          </cell>
          <cell r="C9675" t="str">
            <v>Sep</v>
          </cell>
          <cell r="D9675" t="str">
            <v>Chairs</v>
          </cell>
          <cell r="E9675">
            <v>154721.29399999999</v>
          </cell>
          <cell r="F9675">
            <v>9</v>
          </cell>
        </row>
        <row r="9676">
          <cell r="A9676">
            <v>2019</v>
          </cell>
          <cell r="B9676" t="str">
            <v>Actual</v>
          </cell>
          <cell r="C9676" t="str">
            <v>Sep</v>
          </cell>
          <cell r="D9676" t="str">
            <v>Chairs</v>
          </cell>
          <cell r="E9676">
            <v>21189.181999999997</v>
          </cell>
          <cell r="F9676">
            <v>9</v>
          </cell>
        </row>
        <row r="9677">
          <cell r="A9677">
            <v>2018</v>
          </cell>
          <cell r="B9677" t="str">
            <v>Budget</v>
          </cell>
          <cell r="C9677" t="str">
            <v>Sep</v>
          </cell>
          <cell r="D9677" t="str">
            <v>Tables</v>
          </cell>
          <cell r="E9677">
            <v>70466.22099999999</v>
          </cell>
          <cell r="F9677">
            <v>9</v>
          </cell>
        </row>
        <row r="9678">
          <cell r="A9678">
            <v>2018</v>
          </cell>
          <cell r="B9678" t="str">
            <v>Actual</v>
          </cell>
          <cell r="C9678" t="str">
            <v>Sep</v>
          </cell>
          <cell r="D9678" t="str">
            <v>Kitchen</v>
          </cell>
          <cell r="E9678">
            <v>218876.20299999998</v>
          </cell>
          <cell r="F9678">
            <v>9</v>
          </cell>
        </row>
        <row r="9679">
          <cell r="A9679">
            <v>2019</v>
          </cell>
          <cell r="B9679" t="str">
            <v>Budget</v>
          </cell>
          <cell r="C9679" t="str">
            <v>Sep</v>
          </cell>
          <cell r="D9679" t="str">
            <v>Chairs</v>
          </cell>
          <cell r="E9679">
            <v>490901.85199999996</v>
          </cell>
          <cell r="F9679">
            <v>9</v>
          </cell>
        </row>
        <row r="9680">
          <cell r="A9680">
            <v>2018</v>
          </cell>
          <cell r="B9680" t="str">
            <v>Actual</v>
          </cell>
          <cell r="C9680" t="str">
            <v>Sep</v>
          </cell>
          <cell r="D9680" t="str">
            <v>Chairs</v>
          </cell>
          <cell r="E9680">
            <v>14009.625</v>
          </cell>
          <cell r="F9680">
            <v>9</v>
          </cell>
        </row>
        <row r="9681">
          <cell r="A9681">
            <v>2019</v>
          </cell>
          <cell r="B9681" t="str">
            <v>Budget</v>
          </cell>
          <cell r="C9681" t="str">
            <v>Sep</v>
          </cell>
          <cell r="D9681" t="str">
            <v>Chairs</v>
          </cell>
          <cell r="E9681">
            <v>28660.373</v>
          </cell>
          <cell r="F9681">
            <v>9</v>
          </cell>
        </row>
        <row r="9682">
          <cell r="A9682">
            <v>2019</v>
          </cell>
          <cell r="B9682" t="str">
            <v>Actual</v>
          </cell>
          <cell r="C9682" t="str">
            <v>Sep</v>
          </cell>
          <cell r="D9682" t="str">
            <v>Chairs</v>
          </cell>
          <cell r="E9682">
            <v>46959.758999999991</v>
          </cell>
          <cell r="F9682">
            <v>9</v>
          </cell>
        </row>
        <row r="9683">
          <cell r="A9683">
            <v>2019</v>
          </cell>
          <cell r="B9683" t="str">
            <v>Budget</v>
          </cell>
          <cell r="C9683" t="str">
            <v>Sep</v>
          </cell>
          <cell r="D9683" t="str">
            <v>Chairs</v>
          </cell>
          <cell r="E9683">
            <v>61510.168999999994</v>
          </cell>
          <cell r="F9683">
            <v>9</v>
          </cell>
        </row>
        <row r="9684">
          <cell r="A9684">
            <v>2018</v>
          </cell>
          <cell r="B9684" t="str">
            <v>Actual</v>
          </cell>
          <cell r="C9684" t="str">
            <v>Sep</v>
          </cell>
          <cell r="D9684" t="str">
            <v>Tables</v>
          </cell>
          <cell r="E9684">
            <v>303338.098</v>
          </cell>
          <cell r="F9684">
            <v>9</v>
          </cell>
        </row>
        <row r="9685">
          <cell r="A9685">
            <v>2018</v>
          </cell>
          <cell r="B9685" t="str">
            <v>Budget</v>
          </cell>
          <cell r="C9685" t="str">
            <v>Sep</v>
          </cell>
          <cell r="D9685" t="str">
            <v>Kitchen</v>
          </cell>
          <cell r="E9685">
            <v>677345.52199999988</v>
          </cell>
          <cell r="F9685">
            <v>9</v>
          </cell>
        </row>
        <row r="9686">
          <cell r="A9686">
            <v>2019</v>
          </cell>
          <cell r="B9686" t="str">
            <v>Actual</v>
          </cell>
          <cell r="C9686" t="str">
            <v>Sep</v>
          </cell>
          <cell r="D9686" t="str">
            <v>Chairs</v>
          </cell>
          <cell r="E9686">
            <v>250570.83100000001</v>
          </cell>
          <cell r="F9686">
            <v>9</v>
          </cell>
        </row>
        <row r="9687">
          <cell r="A9687">
            <v>2018</v>
          </cell>
          <cell r="B9687" t="str">
            <v>Budget</v>
          </cell>
          <cell r="C9687" t="str">
            <v>Sep</v>
          </cell>
          <cell r="D9687" t="str">
            <v>Chairs</v>
          </cell>
          <cell r="E9687">
            <v>62725.760999999991</v>
          </cell>
          <cell r="F9687">
            <v>9</v>
          </cell>
        </row>
        <row r="9688">
          <cell r="A9688">
            <v>2018</v>
          </cell>
          <cell r="B9688" t="str">
            <v>Actual</v>
          </cell>
          <cell r="C9688" t="str">
            <v>Sep</v>
          </cell>
          <cell r="D9688" t="str">
            <v>Chairs</v>
          </cell>
          <cell r="E9688">
            <v>959129.08699999982</v>
          </cell>
          <cell r="F9688">
            <v>9</v>
          </cell>
        </row>
        <row r="9689">
          <cell r="A9689">
            <v>2019</v>
          </cell>
          <cell r="B9689" t="str">
            <v>Budget</v>
          </cell>
          <cell r="C9689" t="str">
            <v>Sep</v>
          </cell>
          <cell r="D9689" t="str">
            <v>Tables</v>
          </cell>
          <cell r="E9689">
            <v>362607.99399999995</v>
          </cell>
          <cell r="F9689">
            <v>9</v>
          </cell>
        </row>
        <row r="9690">
          <cell r="A9690">
            <v>2019</v>
          </cell>
          <cell r="B9690" t="str">
            <v>Actual</v>
          </cell>
          <cell r="C9690" t="str">
            <v>Sep</v>
          </cell>
          <cell r="D9690" t="str">
            <v>Kitchen</v>
          </cell>
          <cell r="E9690">
            <v>371194.90799999994</v>
          </cell>
          <cell r="F9690">
            <v>9</v>
          </cell>
        </row>
        <row r="9691">
          <cell r="A9691">
            <v>2019</v>
          </cell>
          <cell r="B9691" t="str">
            <v>Budget</v>
          </cell>
          <cell r="C9691" t="str">
            <v>Sep</v>
          </cell>
          <cell r="D9691" t="str">
            <v>Chairs</v>
          </cell>
          <cell r="E9691">
            <v>60306.063999999998</v>
          </cell>
          <cell r="F9691">
            <v>9</v>
          </cell>
        </row>
        <row r="9692">
          <cell r="A9692">
            <v>2018</v>
          </cell>
          <cell r="B9692" t="str">
            <v>Actual</v>
          </cell>
          <cell r="C9692" t="str">
            <v>Sep</v>
          </cell>
          <cell r="D9692" t="str">
            <v>Chairs</v>
          </cell>
          <cell r="E9692">
            <v>146432.88099999999</v>
          </cell>
          <cell r="F9692">
            <v>9</v>
          </cell>
        </row>
        <row r="9693">
          <cell r="A9693">
            <v>2019</v>
          </cell>
          <cell r="B9693" t="str">
            <v>Budget</v>
          </cell>
          <cell r="C9693" t="str">
            <v>Sep</v>
          </cell>
          <cell r="D9693" t="str">
            <v>Tables</v>
          </cell>
          <cell r="E9693">
            <v>155293.85199999998</v>
          </cell>
          <cell r="F9693">
            <v>9</v>
          </cell>
        </row>
        <row r="9694">
          <cell r="A9694">
            <v>2018</v>
          </cell>
          <cell r="B9694" t="str">
            <v>Actual</v>
          </cell>
          <cell r="C9694" t="str">
            <v>Sep</v>
          </cell>
          <cell r="D9694" t="str">
            <v>Kitchen</v>
          </cell>
          <cell r="E9694">
            <v>314429.58399999997</v>
          </cell>
          <cell r="F9694">
            <v>9</v>
          </cell>
        </row>
        <row r="9695">
          <cell r="A9695">
            <v>2019</v>
          </cell>
          <cell r="B9695" t="str">
            <v>Budget</v>
          </cell>
          <cell r="C9695" t="str">
            <v>Sep</v>
          </cell>
          <cell r="D9695" t="str">
            <v>Chairs</v>
          </cell>
          <cell r="E9695">
            <v>51645.201999999997</v>
          </cell>
          <cell r="F9695">
            <v>9</v>
          </cell>
        </row>
        <row r="9696">
          <cell r="A9696">
            <v>2019</v>
          </cell>
          <cell r="B9696" t="str">
            <v>Actual</v>
          </cell>
          <cell r="C9696" t="str">
            <v>Sep</v>
          </cell>
          <cell r="D9696" t="str">
            <v>Chairs</v>
          </cell>
          <cell r="E9696">
            <v>144594.15599999999</v>
          </cell>
          <cell r="F9696">
            <v>9</v>
          </cell>
        </row>
        <row r="9697">
          <cell r="A9697">
            <v>2019</v>
          </cell>
          <cell r="B9697" t="str">
            <v>Budget</v>
          </cell>
          <cell r="C9697" t="str">
            <v>Sep</v>
          </cell>
          <cell r="D9697" t="str">
            <v>Chairs</v>
          </cell>
          <cell r="E9697">
            <v>1105359.57</v>
          </cell>
          <cell r="F9697">
            <v>9</v>
          </cell>
        </row>
        <row r="9698">
          <cell r="A9698">
            <v>2018</v>
          </cell>
          <cell r="B9698" t="str">
            <v>Actual</v>
          </cell>
          <cell r="C9698" t="str">
            <v>Sep</v>
          </cell>
          <cell r="D9698" t="str">
            <v>Tables</v>
          </cell>
          <cell r="E9698">
            <v>3693084.4019999998</v>
          </cell>
          <cell r="F9698">
            <v>9</v>
          </cell>
        </row>
        <row r="9699">
          <cell r="A9699">
            <v>2019</v>
          </cell>
          <cell r="B9699" t="str">
            <v>Budget</v>
          </cell>
          <cell r="C9699" t="str">
            <v>Sep</v>
          </cell>
          <cell r="D9699" t="str">
            <v>Kitchen</v>
          </cell>
          <cell r="E9699">
            <v>783163.93400000001</v>
          </cell>
          <cell r="F9699">
            <v>9</v>
          </cell>
        </row>
        <row r="9700">
          <cell r="A9700">
            <v>2018</v>
          </cell>
          <cell r="B9700" t="str">
            <v>Actual</v>
          </cell>
          <cell r="C9700" t="str">
            <v>Sep</v>
          </cell>
          <cell r="D9700" t="str">
            <v>Accessories</v>
          </cell>
          <cell r="E9700">
            <v>157156.68499999997</v>
          </cell>
          <cell r="F9700">
            <v>9</v>
          </cell>
        </row>
        <row r="9701">
          <cell r="A9701">
            <v>2019</v>
          </cell>
          <cell r="B9701" t="str">
            <v>Budget</v>
          </cell>
          <cell r="C9701" t="str">
            <v>Sep</v>
          </cell>
          <cell r="D9701" t="str">
            <v>Chairs</v>
          </cell>
          <cell r="E9701">
            <v>101602.48</v>
          </cell>
          <cell r="F9701">
            <v>9</v>
          </cell>
        </row>
        <row r="9702">
          <cell r="A9702">
            <v>2019</v>
          </cell>
          <cell r="B9702" t="str">
            <v>Actual</v>
          </cell>
          <cell r="C9702" t="str">
            <v>Sep</v>
          </cell>
          <cell r="D9702" t="str">
            <v>Tables</v>
          </cell>
          <cell r="E9702">
            <v>427840.30799999996</v>
          </cell>
          <cell r="F9702">
            <v>9</v>
          </cell>
        </row>
        <row r="9703">
          <cell r="A9703">
            <v>2019</v>
          </cell>
          <cell r="B9703" t="str">
            <v>Budget</v>
          </cell>
          <cell r="C9703" t="str">
            <v>Sep</v>
          </cell>
          <cell r="D9703" t="str">
            <v>Kitchen</v>
          </cell>
          <cell r="E9703">
            <v>156408.29399999999</v>
          </cell>
          <cell r="F9703">
            <v>9</v>
          </cell>
        </row>
        <row r="9704">
          <cell r="A9704">
            <v>2019</v>
          </cell>
          <cell r="B9704" t="str">
            <v>Actual</v>
          </cell>
          <cell r="C9704" t="str">
            <v>Sep</v>
          </cell>
          <cell r="D9704" t="str">
            <v>Accessories</v>
          </cell>
          <cell r="E9704">
            <v>280242.89999999997</v>
          </cell>
          <cell r="F9704">
            <v>9</v>
          </cell>
        </row>
        <row r="9705">
          <cell r="A9705">
            <v>2018</v>
          </cell>
          <cell r="B9705" t="str">
            <v>Budget</v>
          </cell>
          <cell r="C9705" t="str">
            <v>Sep</v>
          </cell>
          <cell r="D9705" t="str">
            <v>Chairs</v>
          </cell>
          <cell r="E9705">
            <v>485914.61799999996</v>
          </cell>
          <cell r="F9705">
            <v>9</v>
          </cell>
        </row>
        <row r="9706">
          <cell r="A9706">
            <v>2018</v>
          </cell>
          <cell r="B9706" t="str">
            <v>Actual</v>
          </cell>
          <cell r="C9706" t="str">
            <v>Sep</v>
          </cell>
          <cell r="D9706" t="str">
            <v>Tables</v>
          </cell>
          <cell r="E9706">
            <v>19123.488999999998</v>
          </cell>
          <cell r="F9706">
            <v>9</v>
          </cell>
        </row>
        <row r="9707">
          <cell r="A9707">
            <v>2019</v>
          </cell>
          <cell r="B9707" t="str">
            <v>Budget</v>
          </cell>
          <cell r="C9707" t="str">
            <v>Sep</v>
          </cell>
          <cell r="D9707" t="str">
            <v>Kitchen</v>
          </cell>
          <cell r="E9707">
            <v>181765.31799999997</v>
          </cell>
          <cell r="F9707">
            <v>9</v>
          </cell>
        </row>
        <row r="9708">
          <cell r="A9708">
            <v>2018</v>
          </cell>
          <cell r="B9708" t="str">
            <v>Actual</v>
          </cell>
          <cell r="C9708" t="str">
            <v>Sep</v>
          </cell>
          <cell r="D9708" t="str">
            <v>Accessories</v>
          </cell>
          <cell r="E9708">
            <v>375082.57499999995</v>
          </cell>
          <cell r="F9708">
            <v>9</v>
          </cell>
        </row>
        <row r="9709">
          <cell r="A9709">
            <v>2019</v>
          </cell>
          <cell r="B9709" t="str">
            <v>Budget</v>
          </cell>
          <cell r="C9709" t="str">
            <v>Sep</v>
          </cell>
          <cell r="D9709" t="str">
            <v>Chairs</v>
          </cell>
          <cell r="E9709">
            <v>282004.772</v>
          </cell>
          <cell r="F9709">
            <v>9</v>
          </cell>
        </row>
        <row r="9710">
          <cell r="A9710">
            <v>2019</v>
          </cell>
          <cell r="B9710" t="str">
            <v>Actual</v>
          </cell>
          <cell r="C9710" t="str">
            <v>Sep</v>
          </cell>
          <cell r="D9710" t="str">
            <v>Tables</v>
          </cell>
          <cell r="E9710">
            <v>361642.092</v>
          </cell>
          <cell r="F9710">
            <v>9</v>
          </cell>
        </row>
        <row r="9711">
          <cell r="A9711">
            <v>2018</v>
          </cell>
          <cell r="B9711" t="str">
            <v>Budget</v>
          </cell>
          <cell r="C9711" t="str">
            <v>Sep</v>
          </cell>
          <cell r="D9711" t="str">
            <v>Kitchen</v>
          </cell>
          <cell r="E9711">
            <v>7661967.6069999989</v>
          </cell>
          <cell r="F9711">
            <v>9</v>
          </cell>
        </row>
        <row r="9712">
          <cell r="A9712">
            <v>2019</v>
          </cell>
          <cell r="B9712" t="str">
            <v>Actual</v>
          </cell>
          <cell r="C9712" t="str">
            <v>Sep</v>
          </cell>
          <cell r="D9712" t="str">
            <v>Accessories</v>
          </cell>
          <cell r="E9712">
            <v>1238.5589999999997</v>
          </cell>
          <cell r="F9712">
            <v>9</v>
          </cell>
        </row>
        <row r="9713">
          <cell r="A9713">
            <v>2019</v>
          </cell>
          <cell r="B9713" t="str">
            <v>Budget</v>
          </cell>
          <cell r="C9713" t="str">
            <v>Sep</v>
          </cell>
          <cell r="D9713" t="str">
            <v>Chairs</v>
          </cell>
          <cell r="E9713">
            <v>1531263.4959999998</v>
          </cell>
          <cell r="F9713">
            <v>9</v>
          </cell>
        </row>
        <row r="9714">
          <cell r="A9714">
            <v>2019</v>
          </cell>
          <cell r="B9714" t="str">
            <v>Actual</v>
          </cell>
          <cell r="C9714" t="str">
            <v>Sep</v>
          </cell>
          <cell r="D9714" t="str">
            <v>Chairs</v>
          </cell>
          <cell r="E9714">
            <v>2846019.0430000001</v>
          </cell>
          <cell r="F9714">
            <v>9</v>
          </cell>
        </row>
        <row r="9715">
          <cell r="A9715">
            <v>2019</v>
          </cell>
          <cell r="B9715" t="str">
            <v>Budget</v>
          </cell>
          <cell r="C9715" t="str">
            <v>Sep</v>
          </cell>
          <cell r="D9715" t="str">
            <v>Tables</v>
          </cell>
          <cell r="E9715">
            <v>405323.47100000002</v>
          </cell>
          <cell r="F9715">
            <v>9</v>
          </cell>
        </row>
        <row r="9716">
          <cell r="A9716">
            <v>2019</v>
          </cell>
          <cell r="B9716" t="str">
            <v>Actual</v>
          </cell>
          <cell r="C9716" t="str">
            <v>Sep</v>
          </cell>
          <cell r="D9716" t="str">
            <v>Kitchen</v>
          </cell>
          <cell r="E9716">
            <v>4540793.8729999997</v>
          </cell>
          <cell r="F9716">
            <v>9</v>
          </cell>
        </row>
        <row r="9717">
          <cell r="A9717">
            <v>2018</v>
          </cell>
          <cell r="B9717" t="str">
            <v>Budget</v>
          </cell>
          <cell r="C9717" t="str">
            <v>Sep</v>
          </cell>
          <cell r="D9717" t="str">
            <v>Chairs</v>
          </cell>
          <cell r="E9717">
            <v>1947138.3819999998</v>
          </cell>
          <cell r="F9717">
            <v>9</v>
          </cell>
        </row>
        <row r="9718">
          <cell r="A9718">
            <v>2019</v>
          </cell>
          <cell r="B9718" t="str">
            <v>Actual</v>
          </cell>
          <cell r="C9718" t="str">
            <v>Sep</v>
          </cell>
          <cell r="D9718" t="str">
            <v>Tables</v>
          </cell>
          <cell r="E9718">
            <v>490434.67199999996</v>
          </cell>
          <cell r="F9718">
            <v>9</v>
          </cell>
        </row>
        <row r="9719">
          <cell r="A9719">
            <v>2019</v>
          </cell>
          <cell r="B9719" t="str">
            <v>Budget</v>
          </cell>
          <cell r="C9719" t="str">
            <v>Sep</v>
          </cell>
          <cell r="D9719" t="str">
            <v>Kitchen</v>
          </cell>
          <cell r="E9719">
            <v>73370.25499999999</v>
          </cell>
          <cell r="F9719">
            <v>9</v>
          </cell>
        </row>
        <row r="9720">
          <cell r="A9720">
            <v>2019</v>
          </cell>
          <cell r="B9720" t="str">
            <v>Actual</v>
          </cell>
          <cell r="C9720" t="str">
            <v>Sep</v>
          </cell>
          <cell r="D9720" t="str">
            <v>Chairs</v>
          </cell>
          <cell r="E9720">
            <v>891839.43799999997</v>
          </cell>
          <cell r="F9720">
            <v>9</v>
          </cell>
        </row>
        <row r="9721">
          <cell r="A9721">
            <v>2019</v>
          </cell>
          <cell r="B9721" t="str">
            <v>Budget</v>
          </cell>
          <cell r="C9721" t="str">
            <v>Sep</v>
          </cell>
          <cell r="D9721" t="str">
            <v>Tables</v>
          </cell>
          <cell r="E9721">
            <v>396908.68699999998</v>
          </cell>
          <cell r="F9721">
            <v>9</v>
          </cell>
        </row>
        <row r="9722">
          <cell r="A9722">
            <v>2019</v>
          </cell>
          <cell r="B9722" t="str">
            <v>Actual</v>
          </cell>
          <cell r="C9722" t="str">
            <v>Sep</v>
          </cell>
          <cell r="D9722" t="str">
            <v>Kitchen</v>
          </cell>
          <cell r="E9722">
            <v>22532.293000000001</v>
          </cell>
          <cell r="F9722">
            <v>9</v>
          </cell>
        </row>
        <row r="9723">
          <cell r="A9723">
            <v>2018</v>
          </cell>
          <cell r="B9723" t="str">
            <v>Budget</v>
          </cell>
          <cell r="C9723" t="str">
            <v>Sep</v>
          </cell>
          <cell r="D9723" t="str">
            <v>Chairs</v>
          </cell>
          <cell r="E9723">
            <v>502361.93699999998</v>
          </cell>
          <cell r="F9723">
            <v>9</v>
          </cell>
        </row>
        <row r="9724">
          <cell r="A9724">
            <v>2019</v>
          </cell>
          <cell r="B9724" t="str">
            <v>Actual</v>
          </cell>
          <cell r="C9724" t="str">
            <v>Sep</v>
          </cell>
          <cell r="D9724" t="str">
            <v>Chairs</v>
          </cell>
          <cell r="E9724">
            <v>111804.20299999999</v>
          </cell>
          <cell r="F9724">
            <v>9</v>
          </cell>
        </row>
        <row r="9725">
          <cell r="A9725">
            <v>2018</v>
          </cell>
          <cell r="B9725" t="str">
            <v>Budget</v>
          </cell>
          <cell r="C9725" t="str">
            <v>Sep</v>
          </cell>
          <cell r="D9725" t="str">
            <v>Chairs</v>
          </cell>
          <cell r="E9725">
            <v>14678725.473999999</v>
          </cell>
          <cell r="F9725">
            <v>9</v>
          </cell>
        </row>
        <row r="9726">
          <cell r="A9726">
            <v>2018</v>
          </cell>
          <cell r="B9726" t="str">
            <v>Actual</v>
          </cell>
          <cell r="C9726" t="str">
            <v>Sep</v>
          </cell>
          <cell r="D9726" t="str">
            <v>Chairs</v>
          </cell>
          <cell r="E9726">
            <v>1840613.0889999999</v>
          </cell>
          <cell r="F9726">
            <v>9</v>
          </cell>
        </row>
        <row r="9727">
          <cell r="A9727">
            <v>2018</v>
          </cell>
          <cell r="B9727" t="str">
            <v>Budget</v>
          </cell>
          <cell r="C9727" t="str">
            <v>Sep</v>
          </cell>
          <cell r="D9727" t="str">
            <v>Chairs</v>
          </cell>
          <cell r="E9727">
            <v>1363521.145</v>
          </cell>
          <cell r="F9727">
            <v>9</v>
          </cell>
        </row>
        <row r="9728">
          <cell r="A9728">
            <v>2019</v>
          </cell>
          <cell r="B9728" t="str">
            <v>Actual</v>
          </cell>
          <cell r="C9728" t="str">
            <v>Sep</v>
          </cell>
          <cell r="D9728" t="str">
            <v>Chairs</v>
          </cell>
          <cell r="E9728">
            <v>704609.56299999997</v>
          </cell>
          <cell r="F9728">
            <v>9</v>
          </cell>
        </row>
        <row r="9729">
          <cell r="A9729">
            <v>2018</v>
          </cell>
          <cell r="B9729" t="str">
            <v>Budget</v>
          </cell>
          <cell r="C9729" t="str">
            <v>Sep</v>
          </cell>
          <cell r="D9729" t="str">
            <v>Chairs</v>
          </cell>
          <cell r="E9729">
            <v>325780.364</v>
          </cell>
          <cell r="F9729">
            <v>9</v>
          </cell>
        </row>
        <row r="9730">
          <cell r="A9730">
            <v>2018</v>
          </cell>
          <cell r="B9730" t="str">
            <v>Actual</v>
          </cell>
          <cell r="C9730" t="str">
            <v>Sep</v>
          </cell>
          <cell r="D9730" t="str">
            <v>Chairs</v>
          </cell>
          <cell r="E9730">
            <v>4190505.8439999996</v>
          </cell>
          <cell r="F9730">
            <v>9</v>
          </cell>
        </row>
        <row r="9731">
          <cell r="A9731">
            <v>2018</v>
          </cell>
          <cell r="B9731" t="str">
            <v>Budget</v>
          </cell>
          <cell r="C9731" t="str">
            <v>Sep</v>
          </cell>
          <cell r="D9731" t="str">
            <v>Chairs</v>
          </cell>
          <cell r="E9731">
            <v>10028126.766000001</v>
          </cell>
          <cell r="F9731">
            <v>9</v>
          </cell>
        </row>
        <row r="9732">
          <cell r="A9732">
            <v>2019</v>
          </cell>
          <cell r="B9732" t="str">
            <v>Actual</v>
          </cell>
          <cell r="C9732" t="str">
            <v>Sep</v>
          </cell>
          <cell r="D9732" t="str">
            <v>Chairs</v>
          </cell>
          <cell r="E9732">
            <v>2312375.1489999997</v>
          </cell>
          <cell r="F9732">
            <v>9</v>
          </cell>
        </row>
        <row r="9733">
          <cell r="A9733">
            <v>2018</v>
          </cell>
          <cell r="B9733" t="str">
            <v>Budget</v>
          </cell>
          <cell r="C9733" t="str">
            <v>Sep</v>
          </cell>
          <cell r="D9733" t="str">
            <v>Chairs</v>
          </cell>
          <cell r="E9733">
            <v>2793.8960000000002</v>
          </cell>
          <cell r="F9733">
            <v>9</v>
          </cell>
        </row>
        <row r="9734">
          <cell r="A9734">
            <v>2018</v>
          </cell>
          <cell r="B9734" t="str">
            <v>Actual</v>
          </cell>
          <cell r="C9734" t="str">
            <v>Sep</v>
          </cell>
          <cell r="D9734" t="str">
            <v>Chairs</v>
          </cell>
          <cell r="E9734">
            <v>63671.565999999999</v>
          </cell>
          <cell r="F9734">
            <v>9</v>
          </cell>
        </row>
        <row r="9735">
          <cell r="A9735">
            <v>2018</v>
          </cell>
          <cell r="B9735" t="str">
            <v>Budget</v>
          </cell>
          <cell r="C9735" t="str">
            <v>Sep</v>
          </cell>
          <cell r="D9735" t="str">
            <v>Chairs</v>
          </cell>
          <cell r="E9735">
            <v>814995.32799999998</v>
          </cell>
          <cell r="F9735">
            <v>9</v>
          </cell>
        </row>
        <row r="9736">
          <cell r="A9736">
            <v>2018</v>
          </cell>
          <cell r="B9736" t="str">
            <v>Actual</v>
          </cell>
          <cell r="C9736" t="str">
            <v>Sep</v>
          </cell>
          <cell r="D9736" t="str">
            <v>Chairs</v>
          </cell>
          <cell r="E9736">
            <v>1533310.1629999997</v>
          </cell>
          <cell r="F9736">
            <v>9</v>
          </cell>
        </row>
        <row r="9737">
          <cell r="A9737">
            <v>2019</v>
          </cell>
          <cell r="B9737" t="str">
            <v>Budget</v>
          </cell>
          <cell r="C9737" t="str">
            <v>Sep</v>
          </cell>
          <cell r="D9737" t="str">
            <v>Chairs</v>
          </cell>
          <cell r="E9737">
            <v>1152227.125</v>
          </cell>
          <cell r="F9737">
            <v>9</v>
          </cell>
        </row>
        <row r="9738">
          <cell r="A9738">
            <v>2018</v>
          </cell>
          <cell r="B9738" t="str">
            <v>Actual</v>
          </cell>
          <cell r="C9738" t="str">
            <v>Sep</v>
          </cell>
          <cell r="D9738" t="str">
            <v>Chairs</v>
          </cell>
          <cell r="E9738">
            <v>2031271.5639999998</v>
          </cell>
          <cell r="F9738">
            <v>9</v>
          </cell>
        </row>
        <row r="9739">
          <cell r="A9739">
            <v>2019</v>
          </cell>
          <cell r="B9739" t="str">
            <v>Budget</v>
          </cell>
          <cell r="C9739" t="str">
            <v>Sep</v>
          </cell>
          <cell r="D9739" t="str">
            <v>Chairs</v>
          </cell>
          <cell r="E9739">
            <v>314636.56699999998</v>
          </cell>
          <cell r="F9739">
            <v>9</v>
          </cell>
        </row>
        <row r="9740">
          <cell r="A9740">
            <v>2018</v>
          </cell>
          <cell r="B9740" t="str">
            <v>Actual</v>
          </cell>
          <cell r="C9740" t="str">
            <v>Sep</v>
          </cell>
          <cell r="D9740" t="str">
            <v>Chairs</v>
          </cell>
          <cell r="E9740">
            <v>303010.68</v>
          </cell>
          <cell r="F9740">
            <v>9</v>
          </cell>
        </row>
        <row r="9741">
          <cell r="A9741">
            <v>2019</v>
          </cell>
          <cell r="B9741" t="str">
            <v>Budget</v>
          </cell>
          <cell r="C9741" t="str">
            <v>Sep</v>
          </cell>
          <cell r="D9741" t="str">
            <v>Chairs</v>
          </cell>
          <cell r="E9741">
            <v>451854.80199999997</v>
          </cell>
          <cell r="F9741">
            <v>9</v>
          </cell>
        </row>
        <row r="9742">
          <cell r="A9742">
            <v>2019</v>
          </cell>
          <cell r="B9742" t="str">
            <v>Actual</v>
          </cell>
          <cell r="C9742" t="str">
            <v>Sep</v>
          </cell>
          <cell r="D9742" t="str">
            <v>Chairs</v>
          </cell>
          <cell r="E9742">
            <v>378947.77899999998</v>
          </cell>
          <cell r="F9742">
            <v>9</v>
          </cell>
        </row>
        <row r="9743">
          <cell r="A9743">
            <v>2019</v>
          </cell>
          <cell r="B9743" t="str">
            <v>Budget</v>
          </cell>
          <cell r="C9743" t="str">
            <v>Sep</v>
          </cell>
          <cell r="D9743" t="str">
            <v>Chairs</v>
          </cell>
          <cell r="E9743">
            <v>540663.76699999999</v>
          </cell>
          <cell r="F9743">
            <v>9</v>
          </cell>
        </row>
        <row r="9744">
          <cell r="A9744">
            <v>2019</v>
          </cell>
          <cell r="B9744" t="str">
            <v>Actual</v>
          </cell>
          <cell r="C9744" t="str">
            <v>Sep</v>
          </cell>
          <cell r="D9744" t="str">
            <v>Chairs</v>
          </cell>
          <cell r="E9744">
            <v>234707.24899999998</v>
          </cell>
          <cell r="F9744">
            <v>9</v>
          </cell>
        </row>
        <row r="9745">
          <cell r="A9745">
            <v>2018</v>
          </cell>
          <cell r="B9745" t="str">
            <v>Budget</v>
          </cell>
          <cell r="C9745" t="str">
            <v>Sep</v>
          </cell>
          <cell r="D9745" t="str">
            <v>Chairs</v>
          </cell>
          <cell r="E9745">
            <v>1215544.8479999998</v>
          </cell>
          <cell r="F9745">
            <v>9</v>
          </cell>
        </row>
        <row r="9746">
          <cell r="A9746">
            <v>2018</v>
          </cell>
          <cell r="B9746" t="str">
            <v>Actual</v>
          </cell>
          <cell r="C9746" t="str">
            <v>Sep</v>
          </cell>
          <cell r="D9746" t="str">
            <v>Chairs</v>
          </cell>
          <cell r="E9746">
            <v>338957.815</v>
          </cell>
          <cell r="F9746">
            <v>9</v>
          </cell>
        </row>
        <row r="9747">
          <cell r="A9747">
            <v>2019</v>
          </cell>
          <cell r="B9747" t="str">
            <v>Budget</v>
          </cell>
          <cell r="C9747" t="str">
            <v>Sep</v>
          </cell>
          <cell r="D9747" t="str">
            <v>Chairs</v>
          </cell>
          <cell r="E9747">
            <v>259121.87699999998</v>
          </cell>
          <cell r="F9747">
            <v>9</v>
          </cell>
        </row>
        <row r="9748">
          <cell r="A9748">
            <v>2018</v>
          </cell>
          <cell r="B9748" t="str">
            <v>Actual</v>
          </cell>
          <cell r="C9748" t="str">
            <v>Sep</v>
          </cell>
          <cell r="D9748" t="str">
            <v>Chairs</v>
          </cell>
          <cell r="E9748">
            <v>1178604.8329999999</v>
          </cell>
          <cell r="F9748">
            <v>9</v>
          </cell>
        </row>
        <row r="9749">
          <cell r="A9749">
            <v>2018</v>
          </cell>
          <cell r="B9749" t="str">
            <v>Budget</v>
          </cell>
          <cell r="C9749" t="str">
            <v>Sep</v>
          </cell>
          <cell r="D9749" t="str">
            <v>Tables</v>
          </cell>
          <cell r="E9749">
            <v>17347821.232000001</v>
          </cell>
          <cell r="F9749">
            <v>9</v>
          </cell>
        </row>
        <row r="9750">
          <cell r="A9750">
            <v>2019</v>
          </cell>
          <cell r="B9750" t="str">
            <v>Actual</v>
          </cell>
          <cell r="C9750" t="str">
            <v>Sep</v>
          </cell>
          <cell r="D9750" t="str">
            <v>Kitchen</v>
          </cell>
          <cell r="E9750">
            <v>1187748.1979999999</v>
          </cell>
          <cell r="F9750">
            <v>9</v>
          </cell>
        </row>
        <row r="9751">
          <cell r="A9751">
            <v>2019</v>
          </cell>
          <cell r="B9751" t="str">
            <v>Budget</v>
          </cell>
          <cell r="C9751" t="str">
            <v>Sep</v>
          </cell>
          <cell r="D9751" t="str">
            <v>Chairs</v>
          </cell>
          <cell r="E9751">
            <v>3057563.8589999997</v>
          </cell>
          <cell r="F9751">
            <v>9</v>
          </cell>
        </row>
        <row r="9752">
          <cell r="A9752">
            <v>2019</v>
          </cell>
          <cell r="B9752" t="str">
            <v>Actual</v>
          </cell>
          <cell r="C9752" t="str">
            <v>Sep</v>
          </cell>
          <cell r="D9752" t="str">
            <v>Chairs</v>
          </cell>
          <cell r="E9752">
            <v>296050.29299999995</v>
          </cell>
          <cell r="F9752">
            <v>9</v>
          </cell>
        </row>
        <row r="9753">
          <cell r="A9753">
            <v>2018</v>
          </cell>
          <cell r="B9753" t="str">
            <v>Budget</v>
          </cell>
          <cell r="C9753" t="str">
            <v>Sep</v>
          </cell>
          <cell r="D9753" t="str">
            <v>Chairs</v>
          </cell>
          <cell r="E9753">
            <v>2977353.7990000001</v>
          </cell>
          <cell r="F9753">
            <v>9</v>
          </cell>
        </row>
        <row r="9754">
          <cell r="A9754">
            <v>2019</v>
          </cell>
          <cell r="B9754" t="str">
            <v>Actual</v>
          </cell>
          <cell r="C9754" t="str">
            <v>Sep</v>
          </cell>
          <cell r="D9754" t="str">
            <v>Chairs</v>
          </cell>
          <cell r="E9754">
            <v>738607.72999999986</v>
          </cell>
          <cell r="F9754">
            <v>9</v>
          </cell>
        </row>
        <row r="9755">
          <cell r="A9755">
            <v>2019</v>
          </cell>
          <cell r="B9755" t="str">
            <v>Budget</v>
          </cell>
          <cell r="C9755" t="str">
            <v>Sep</v>
          </cell>
          <cell r="D9755" t="str">
            <v>Chairs</v>
          </cell>
          <cell r="E9755">
            <v>1347615.0799999998</v>
          </cell>
          <cell r="F9755">
            <v>9</v>
          </cell>
        </row>
        <row r="9756">
          <cell r="A9756">
            <v>2018</v>
          </cell>
          <cell r="B9756" t="str">
            <v>Actual</v>
          </cell>
          <cell r="C9756" t="str">
            <v>Sep</v>
          </cell>
          <cell r="D9756" t="str">
            <v>Tables</v>
          </cell>
          <cell r="E9756">
            <v>4094185.8369999998</v>
          </cell>
          <cell r="F9756">
            <v>9</v>
          </cell>
        </row>
        <row r="9757">
          <cell r="A9757">
            <v>2019</v>
          </cell>
          <cell r="B9757" t="str">
            <v>Budget</v>
          </cell>
          <cell r="C9757" t="str">
            <v>Sep</v>
          </cell>
          <cell r="D9757" t="str">
            <v>Kitchen</v>
          </cell>
          <cell r="E9757">
            <v>1550193.4349999998</v>
          </cell>
          <cell r="F9757">
            <v>9</v>
          </cell>
        </row>
        <row r="9758">
          <cell r="A9758">
            <v>2018</v>
          </cell>
          <cell r="B9758" t="str">
            <v>Actual</v>
          </cell>
          <cell r="C9758" t="str">
            <v>Sep</v>
          </cell>
          <cell r="D9758" t="str">
            <v>Chairs</v>
          </cell>
          <cell r="E9758">
            <v>-16258.346999999998</v>
          </cell>
          <cell r="F9758">
            <v>9</v>
          </cell>
        </row>
        <row r="9759">
          <cell r="A9759">
            <v>2018</v>
          </cell>
          <cell r="B9759" t="str">
            <v>Budget</v>
          </cell>
          <cell r="C9759" t="str">
            <v>Sep</v>
          </cell>
          <cell r="D9759" t="str">
            <v>Chairs</v>
          </cell>
          <cell r="E9759">
            <v>1462547.149</v>
          </cell>
          <cell r="F9759">
            <v>9</v>
          </cell>
        </row>
        <row r="9760">
          <cell r="A9760">
            <v>2018</v>
          </cell>
          <cell r="B9760" t="str">
            <v>Actual</v>
          </cell>
          <cell r="C9760" t="str">
            <v>Sep</v>
          </cell>
          <cell r="D9760" t="str">
            <v>Chairs</v>
          </cell>
          <cell r="E9760">
            <v>3548.9299999999994</v>
          </cell>
          <cell r="F9760">
            <v>9</v>
          </cell>
        </row>
        <row r="9761">
          <cell r="A9761">
            <v>2019</v>
          </cell>
          <cell r="B9761" t="str">
            <v>Budget</v>
          </cell>
          <cell r="C9761" t="str">
            <v>Sep</v>
          </cell>
          <cell r="D9761" t="str">
            <v>Tables</v>
          </cell>
          <cell r="E9761">
            <v>723.226</v>
          </cell>
          <cell r="F9761">
            <v>9</v>
          </cell>
        </row>
        <row r="9762">
          <cell r="A9762">
            <v>2019</v>
          </cell>
          <cell r="B9762" t="str">
            <v>Actual</v>
          </cell>
          <cell r="C9762" t="str">
            <v>Sep</v>
          </cell>
          <cell r="D9762" t="str">
            <v>Kitchen</v>
          </cell>
          <cell r="E9762">
            <v>1205281.7209999999</v>
          </cell>
          <cell r="F9762">
            <v>9</v>
          </cell>
        </row>
        <row r="9763">
          <cell r="A9763">
            <v>2019</v>
          </cell>
          <cell r="B9763" t="str">
            <v>Budget</v>
          </cell>
          <cell r="C9763" t="str">
            <v>Sep</v>
          </cell>
          <cell r="D9763" t="str">
            <v>Chairs</v>
          </cell>
          <cell r="E9763">
            <v>3071905.0669999993</v>
          </cell>
          <cell r="F9763">
            <v>9</v>
          </cell>
        </row>
        <row r="9764">
          <cell r="A9764">
            <v>2018</v>
          </cell>
          <cell r="B9764" t="str">
            <v>Actual</v>
          </cell>
          <cell r="C9764" t="str">
            <v>Sep</v>
          </cell>
          <cell r="D9764" t="str">
            <v>Chairs</v>
          </cell>
          <cell r="E9764">
            <v>191750.69899999999</v>
          </cell>
          <cell r="F9764">
            <v>9</v>
          </cell>
        </row>
        <row r="9765">
          <cell r="A9765">
            <v>2019</v>
          </cell>
          <cell r="B9765" t="str">
            <v>Budget</v>
          </cell>
          <cell r="C9765" t="str">
            <v>Sep</v>
          </cell>
          <cell r="D9765" t="str">
            <v>Tables</v>
          </cell>
          <cell r="E9765">
            <v>1490647.8370000001</v>
          </cell>
          <cell r="F9765">
            <v>9</v>
          </cell>
        </row>
        <row r="9766">
          <cell r="A9766">
            <v>2019</v>
          </cell>
          <cell r="B9766" t="str">
            <v>Actual</v>
          </cell>
          <cell r="C9766" t="str">
            <v>Sep</v>
          </cell>
          <cell r="D9766" t="str">
            <v>Kitchen</v>
          </cell>
          <cell r="E9766">
            <v>456781.22</v>
          </cell>
          <cell r="F9766">
            <v>9</v>
          </cell>
        </row>
        <row r="9767">
          <cell r="A9767">
            <v>2018</v>
          </cell>
          <cell r="B9767" t="str">
            <v>Budget</v>
          </cell>
          <cell r="C9767" t="str">
            <v>Sep</v>
          </cell>
          <cell r="D9767" t="str">
            <v>Chairs</v>
          </cell>
          <cell r="E9767">
            <v>53343.381000000001</v>
          </cell>
          <cell r="F9767">
            <v>9</v>
          </cell>
        </row>
        <row r="9768">
          <cell r="A9768">
            <v>2018</v>
          </cell>
          <cell r="B9768" t="str">
            <v>Actual</v>
          </cell>
          <cell r="C9768" t="str">
            <v>Sep</v>
          </cell>
          <cell r="D9768" t="str">
            <v>Chairs</v>
          </cell>
          <cell r="E9768">
            <v>875755.01300000004</v>
          </cell>
          <cell r="F9768">
            <v>9</v>
          </cell>
        </row>
        <row r="9769">
          <cell r="A9769">
            <v>2018</v>
          </cell>
          <cell r="B9769" t="str">
            <v>Budget</v>
          </cell>
          <cell r="C9769" t="str">
            <v>Sep</v>
          </cell>
          <cell r="D9769" t="str">
            <v>Chairs</v>
          </cell>
          <cell r="E9769">
            <v>538462.10599999991</v>
          </cell>
          <cell r="F9769">
            <v>9</v>
          </cell>
        </row>
        <row r="9770">
          <cell r="A9770">
            <v>2019</v>
          </cell>
          <cell r="B9770" t="str">
            <v>Actual</v>
          </cell>
          <cell r="C9770" t="str">
            <v>Sep</v>
          </cell>
          <cell r="D9770" t="str">
            <v>Tables</v>
          </cell>
          <cell r="E9770">
            <v>95039.21699999999</v>
          </cell>
          <cell r="F9770">
            <v>9</v>
          </cell>
        </row>
        <row r="9771">
          <cell r="A9771">
            <v>2018</v>
          </cell>
          <cell r="B9771" t="str">
            <v>Budget</v>
          </cell>
          <cell r="C9771" t="str">
            <v>Sep</v>
          </cell>
          <cell r="D9771" t="str">
            <v>Kitchen</v>
          </cell>
          <cell r="E9771">
            <v>623639.70899999992</v>
          </cell>
          <cell r="F9771">
            <v>9</v>
          </cell>
        </row>
        <row r="9772">
          <cell r="A9772">
            <v>2018</v>
          </cell>
          <cell r="B9772" t="str">
            <v>Actual</v>
          </cell>
          <cell r="C9772" t="str">
            <v>Sep</v>
          </cell>
          <cell r="D9772" t="str">
            <v>Accessories</v>
          </cell>
          <cell r="E9772">
            <v>569409.82699999993</v>
          </cell>
          <cell r="F9772">
            <v>9</v>
          </cell>
        </row>
        <row r="9773">
          <cell r="A9773">
            <v>2018</v>
          </cell>
          <cell r="B9773" t="str">
            <v>Budget</v>
          </cell>
          <cell r="C9773" t="str">
            <v>Sep</v>
          </cell>
          <cell r="D9773" t="str">
            <v>Chairs</v>
          </cell>
          <cell r="E9773">
            <v>117145.58799999999</v>
          </cell>
          <cell r="F9773">
            <v>9</v>
          </cell>
        </row>
        <row r="9774">
          <cell r="A9774">
            <v>2019</v>
          </cell>
          <cell r="B9774" t="str">
            <v>Actual</v>
          </cell>
          <cell r="C9774" t="str">
            <v>Sep</v>
          </cell>
          <cell r="D9774" t="str">
            <v>Tables</v>
          </cell>
          <cell r="E9774">
            <v>51560.32</v>
          </cell>
          <cell r="F9774">
            <v>9</v>
          </cell>
        </row>
        <row r="9775">
          <cell r="A9775">
            <v>2019</v>
          </cell>
          <cell r="B9775" t="str">
            <v>Budget</v>
          </cell>
          <cell r="C9775" t="str">
            <v>Sep</v>
          </cell>
          <cell r="D9775" t="str">
            <v>Kitchen</v>
          </cell>
          <cell r="E9775">
            <v>270833.22699999996</v>
          </cell>
          <cell r="F9775">
            <v>9</v>
          </cell>
        </row>
        <row r="9776">
          <cell r="A9776">
            <v>2018</v>
          </cell>
          <cell r="B9776" t="str">
            <v>Actual</v>
          </cell>
          <cell r="C9776" t="str">
            <v>Sep</v>
          </cell>
          <cell r="D9776" t="str">
            <v>Accessories</v>
          </cell>
          <cell r="E9776">
            <v>304124.20500000002</v>
          </cell>
          <cell r="F9776">
            <v>9</v>
          </cell>
        </row>
        <row r="9777">
          <cell r="A9777">
            <v>2019</v>
          </cell>
          <cell r="B9777" t="str">
            <v>Budget</v>
          </cell>
          <cell r="C9777" t="str">
            <v>Sep</v>
          </cell>
          <cell r="D9777" t="str">
            <v>Chairs</v>
          </cell>
          <cell r="E9777">
            <v>164492.44</v>
          </cell>
          <cell r="F9777">
            <v>9</v>
          </cell>
        </row>
        <row r="9778">
          <cell r="A9778">
            <v>2018</v>
          </cell>
          <cell r="B9778" t="str">
            <v>Actual</v>
          </cell>
          <cell r="C9778" t="str">
            <v>Sep</v>
          </cell>
          <cell r="D9778" t="str">
            <v>Tables</v>
          </cell>
          <cell r="E9778">
            <v>35113.966999999997</v>
          </cell>
          <cell r="F9778">
            <v>9</v>
          </cell>
        </row>
        <row r="9779">
          <cell r="A9779">
            <v>2018</v>
          </cell>
          <cell r="B9779" t="str">
            <v>Budget</v>
          </cell>
          <cell r="C9779" t="str">
            <v>Sep</v>
          </cell>
          <cell r="D9779" t="str">
            <v>Kitchen</v>
          </cell>
          <cell r="E9779">
            <v>237852.24399999998</v>
          </cell>
          <cell r="F9779">
            <v>9</v>
          </cell>
        </row>
        <row r="9780">
          <cell r="A9780">
            <v>2019</v>
          </cell>
          <cell r="B9780" t="str">
            <v>Actual</v>
          </cell>
          <cell r="C9780" t="str">
            <v>Sep</v>
          </cell>
          <cell r="D9780" t="str">
            <v>Accessories</v>
          </cell>
          <cell r="E9780">
            <v>1334379.564</v>
          </cell>
          <cell r="F9780">
            <v>9</v>
          </cell>
        </row>
        <row r="9781">
          <cell r="A9781">
            <v>2019</v>
          </cell>
          <cell r="B9781" t="str">
            <v>Budget</v>
          </cell>
          <cell r="C9781" t="str">
            <v>Sep</v>
          </cell>
          <cell r="D9781" t="str">
            <v>Chairs</v>
          </cell>
          <cell r="E9781">
            <v>160410.73299999998</v>
          </cell>
          <cell r="F9781">
            <v>9</v>
          </cell>
        </row>
        <row r="9782">
          <cell r="A9782">
            <v>2019</v>
          </cell>
          <cell r="B9782" t="str">
            <v>Actual</v>
          </cell>
          <cell r="C9782" t="str">
            <v>Sep</v>
          </cell>
          <cell r="D9782" t="str">
            <v>Tables</v>
          </cell>
          <cell r="E9782">
            <v>31851.742999999995</v>
          </cell>
          <cell r="F9782">
            <v>9</v>
          </cell>
        </row>
        <row r="9783">
          <cell r="A9783">
            <v>2018</v>
          </cell>
          <cell r="B9783" t="str">
            <v>Budget</v>
          </cell>
          <cell r="C9783" t="str">
            <v>Sep</v>
          </cell>
          <cell r="D9783" t="str">
            <v>Kitchen</v>
          </cell>
          <cell r="E9783">
            <v>373264.63999999996</v>
          </cell>
          <cell r="F9783">
            <v>9</v>
          </cell>
        </row>
        <row r="9784">
          <cell r="A9784">
            <v>2018</v>
          </cell>
          <cell r="B9784" t="str">
            <v>Actual</v>
          </cell>
          <cell r="C9784" t="str">
            <v>Sep</v>
          </cell>
          <cell r="D9784" t="str">
            <v>Accessories</v>
          </cell>
          <cell r="E9784">
            <v>1192741.9909999999</v>
          </cell>
          <cell r="F9784">
            <v>9</v>
          </cell>
        </row>
        <row r="9785">
          <cell r="A9785">
            <v>2019</v>
          </cell>
          <cell r="B9785" t="str">
            <v>Budget</v>
          </cell>
          <cell r="C9785" t="str">
            <v>Sep</v>
          </cell>
          <cell r="D9785" t="str">
            <v>Chairs</v>
          </cell>
          <cell r="E9785">
            <v>999357.07199999993</v>
          </cell>
          <cell r="F9785">
            <v>9</v>
          </cell>
        </row>
        <row r="9786">
          <cell r="A9786">
            <v>2019</v>
          </cell>
          <cell r="B9786" t="str">
            <v>Actual</v>
          </cell>
          <cell r="C9786" t="str">
            <v>Sep</v>
          </cell>
          <cell r="D9786" t="str">
            <v>Chairs</v>
          </cell>
          <cell r="E9786">
            <v>393726.45199999999</v>
          </cell>
          <cell r="F9786">
            <v>9</v>
          </cell>
        </row>
        <row r="9787">
          <cell r="A9787">
            <v>2018</v>
          </cell>
          <cell r="B9787" t="str">
            <v>Budget</v>
          </cell>
          <cell r="C9787" t="str">
            <v>Sep</v>
          </cell>
          <cell r="D9787" t="str">
            <v>Tables</v>
          </cell>
          <cell r="E9787">
            <v>248845.87699999998</v>
          </cell>
          <cell r="F9787">
            <v>9</v>
          </cell>
        </row>
        <row r="9788">
          <cell r="A9788">
            <v>2019</v>
          </cell>
          <cell r="B9788" t="str">
            <v>Actual</v>
          </cell>
          <cell r="C9788" t="str">
            <v>Sep</v>
          </cell>
          <cell r="D9788" t="str">
            <v>Kitchen</v>
          </cell>
          <cell r="E9788">
            <v>231235.59899999999</v>
          </cell>
          <cell r="F9788">
            <v>9</v>
          </cell>
        </row>
        <row r="9789">
          <cell r="A9789">
            <v>2018</v>
          </cell>
          <cell r="B9789" t="str">
            <v>Budget</v>
          </cell>
          <cell r="C9789" t="str">
            <v>Sep</v>
          </cell>
          <cell r="D9789" t="str">
            <v>Chairs</v>
          </cell>
          <cell r="E9789">
            <v>111310.67499999999</v>
          </cell>
          <cell r="F9789">
            <v>9</v>
          </cell>
        </row>
        <row r="9790">
          <cell r="A9790">
            <v>2019</v>
          </cell>
          <cell r="B9790" t="str">
            <v>Actual</v>
          </cell>
          <cell r="C9790" t="str">
            <v>Sep</v>
          </cell>
          <cell r="D9790" t="str">
            <v>Tables</v>
          </cell>
          <cell r="E9790">
            <v>267050.42699999997</v>
          </cell>
          <cell r="F9790">
            <v>9</v>
          </cell>
        </row>
        <row r="9791">
          <cell r="A9791">
            <v>2018</v>
          </cell>
          <cell r="B9791" t="str">
            <v>Budget</v>
          </cell>
          <cell r="C9791" t="str">
            <v>Sep</v>
          </cell>
          <cell r="D9791" t="str">
            <v>Kitchen</v>
          </cell>
          <cell r="E9791">
            <v>330508.07299999997</v>
          </cell>
          <cell r="F9791">
            <v>9</v>
          </cell>
        </row>
        <row r="9792">
          <cell r="A9792">
            <v>2018</v>
          </cell>
          <cell r="B9792" t="str">
            <v>Actual</v>
          </cell>
          <cell r="C9792" t="str">
            <v>Sep</v>
          </cell>
          <cell r="D9792" t="str">
            <v>Chairs</v>
          </cell>
          <cell r="E9792">
            <v>16488.436999999998</v>
          </cell>
          <cell r="F9792">
            <v>9</v>
          </cell>
        </row>
        <row r="9793">
          <cell r="A9793">
            <v>2018</v>
          </cell>
          <cell r="B9793" t="str">
            <v>Budget</v>
          </cell>
          <cell r="C9793" t="str">
            <v>Sep</v>
          </cell>
          <cell r="D9793" t="str">
            <v>Tables</v>
          </cell>
          <cell r="E9793">
            <v>297273.92099999997</v>
          </cell>
          <cell r="F9793">
            <v>9</v>
          </cell>
        </row>
        <row r="9794">
          <cell r="A9794">
            <v>2019</v>
          </cell>
          <cell r="B9794" t="str">
            <v>Actual</v>
          </cell>
          <cell r="C9794" t="str">
            <v>Sep</v>
          </cell>
          <cell r="D9794" t="str">
            <v>Kitchen</v>
          </cell>
          <cell r="E9794">
            <v>10936.414999999999</v>
          </cell>
          <cell r="F9794">
            <v>9</v>
          </cell>
        </row>
        <row r="9795">
          <cell r="A9795">
            <v>2018</v>
          </cell>
          <cell r="B9795" t="str">
            <v>Budget</v>
          </cell>
          <cell r="C9795" t="str">
            <v>Sep</v>
          </cell>
          <cell r="D9795" t="str">
            <v>Chairs</v>
          </cell>
          <cell r="E9795">
            <v>10323.32</v>
          </cell>
          <cell r="F9795">
            <v>9</v>
          </cell>
        </row>
        <row r="9796">
          <cell r="A9796">
            <v>2019</v>
          </cell>
          <cell r="B9796" t="str">
            <v>Actual</v>
          </cell>
          <cell r="C9796" t="str">
            <v>Sep</v>
          </cell>
          <cell r="D9796" t="str">
            <v>Chairs</v>
          </cell>
          <cell r="E9796">
            <v>37664.528999999995</v>
          </cell>
          <cell r="F9796">
            <v>9</v>
          </cell>
        </row>
        <row r="9797">
          <cell r="A9797">
            <v>2018</v>
          </cell>
          <cell r="B9797" t="str">
            <v>Budget</v>
          </cell>
          <cell r="C9797" t="str">
            <v>Sep</v>
          </cell>
          <cell r="D9797" t="str">
            <v>Chairs</v>
          </cell>
          <cell r="E9797">
            <v>24335.5</v>
          </cell>
          <cell r="F9797">
            <v>9</v>
          </cell>
        </row>
        <row r="9798">
          <cell r="A9798">
            <v>2019</v>
          </cell>
          <cell r="B9798" t="str">
            <v>Actual</v>
          </cell>
          <cell r="C9798" t="str">
            <v>Sep</v>
          </cell>
          <cell r="D9798" t="str">
            <v>Chairs</v>
          </cell>
          <cell r="E9798">
            <v>659181.75399999996</v>
          </cell>
          <cell r="F9798">
            <v>9</v>
          </cell>
        </row>
        <row r="9799">
          <cell r="A9799">
            <v>2019</v>
          </cell>
          <cell r="B9799" t="str">
            <v>Budget</v>
          </cell>
          <cell r="C9799" t="str">
            <v>Sep</v>
          </cell>
          <cell r="D9799" t="str">
            <v>Chairs</v>
          </cell>
          <cell r="E9799">
            <v>100617.03399999999</v>
          </cell>
          <cell r="F9799">
            <v>9</v>
          </cell>
        </row>
        <row r="9800">
          <cell r="A9800">
            <v>2019</v>
          </cell>
          <cell r="B9800" t="str">
            <v>Actual</v>
          </cell>
          <cell r="C9800" t="str">
            <v>Sep</v>
          </cell>
          <cell r="D9800" t="str">
            <v>Chairs</v>
          </cell>
          <cell r="E9800">
            <v>169384.348</v>
          </cell>
          <cell r="F9800">
            <v>9</v>
          </cell>
        </row>
        <row r="9801">
          <cell r="A9801">
            <v>2019</v>
          </cell>
          <cell r="B9801" t="str">
            <v>Budget</v>
          </cell>
          <cell r="C9801" t="str">
            <v>Sep</v>
          </cell>
          <cell r="D9801" t="str">
            <v>Chairs</v>
          </cell>
          <cell r="E9801">
            <v>48795.964</v>
          </cell>
          <cell r="F9801">
            <v>9</v>
          </cell>
        </row>
        <row r="9802">
          <cell r="A9802">
            <v>2018</v>
          </cell>
          <cell r="B9802" t="str">
            <v>Actual</v>
          </cell>
          <cell r="C9802" t="str">
            <v>Sep</v>
          </cell>
          <cell r="D9802" t="str">
            <v>Chairs</v>
          </cell>
          <cell r="E9802">
            <v>-260.38600000000002</v>
          </cell>
          <cell r="F9802">
            <v>9</v>
          </cell>
        </row>
        <row r="9803">
          <cell r="A9803">
            <v>2018</v>
          </cell>
          <cell r="B9803" t="str">
            <v>Budget</v>
          </cell>
          <cell r="C9803" t="str">
            <v>Sep</v>
          </cell>
          <cell r="D9803" t="str">
            <v>Chairs</v>
          </cell>
          <cell r="E9803">
            <v>1158547.9849999999</v>
          </cell>
          <cell r="F9803">
            <v>9</v>
          </cell>
        </row>
        <row r="9804">
          <cell r="A9804">
            <v>2018</v>
          </cell>
          <cell r="B9804" t="str">
            <v>Actual</v>
          </cell>
          <cell r="C9804" t="str">
            <v>Sep</v>
          </cell>
          <cell r="D9804" t="str">
            <v>Chairs</v>
          </cell>
          <cell r="E9804">
            <v>-1832983.88</v>
          </cell>
          <cell r="F9804">
            <v>9</v>
          </cell>
        </row>
        <row r="9805">
          <cell r="A9805">
            <v>2018</v>
          </cell>
          <cell r="B9805" t="str">
            <v>Budget</v>
          </cell>
          <cell r="C9805" t="str">
            <v>Sep</v>
          </cell>
          <cell r="D9805" t="str">
            <v>Chairs</v>
          </cell>
          <cell r="E9805">
            <v>416215.56199999998</v>
          </cell>
          <cell r="F9805">
            <v>9</v>
          </cell>
        </row>
        <row r="9806">
          <cell r="A9806">
            <v>2018</v>
          </cell>
          <cell r="B9806" t="str">
            <v>Actual</v>
          </cell>
          <cell r="C9806" t="str">
            <v>Sep</v>
          </cell>
          <cell r="D9806" t="str">
            <v>Chairs</v>
          </cell>
          <cell r="E9806">
            <v>649288.57699999993</v>
          </cell>
          <cell r="F9806">
            <v>9</v>
          </cell>
        </row>
        <row r="9807">
          <cell r="A9807">
            <v>2019</v>
          </cell>
          <cell r="B9807" t="str">
            <v>Budget</v>
          </cell>
          <cell r="C9807" t="str">
            <v>Sep</v>
          </cell>
          <cell r="D9807" t="str">
            <v>Chairs</v>
          </cell>
          <cell r="E9807">
            <v>-13032.844999999998</v>
          </cell>
          <cell r="F9807">
            <v>9</v>
          </cell>
        </row>
        <row r="9808">
          <cell r="A9808">
            <v>2018</v>
          </cell>
          <cell r="B9808" t="str">
            <v>Actual</v>
          </cell>
          <cell r="C9808" t="str">
            <v>Sep</v>
          </cell>
          <cell r="D9808" t="str">
            <v>Chairs</v>
          </cell>
          <cell r="E9808">
            <v>877491.36300000001</v>
          </cell>
          <cell r="F9808">
            <v>9</v>
          </cell>
        </row>
        <row r="9809">
          <cell r="A9809">
            <v>2018</v>
          </cell>
          <cell r="B9809" t="str">
            <v>Budget</v>
          </cell>
          <cell r="C9809" t="str">
            <v>Sep</v>
          </cell>
          <cell r="D9809" t="str">
            <v>Chairs</v>
          </cell>
          <cell r="E9809">
            <v>193364.59099999999</v>
          </cell>
          <cell r="F9809">
            <v>9</v>
          </cell>
        </row>
        <row r="9810">
          <cell r="A9810">
            <v>2019</v>
          </cell>
          <cell r="B9810" t="str">
            <v>Actual</v>
          </cell>
          <cell r="C9810" t="str">
            <v>Sep</v>
          </cell>
          <cell r="D9810" t="str">
            <v>Chairs</v>
          </cell>
          <cell r="E9810">
            <v>25496.387000000002</v>
          </cell>
          <cell r="F9810">
            <v>9</v>
          </cell>
        </row>
        <row r="9811">
          <cell r="A9811">
            <v>2019</v>
          </cell>
          <cell r="B9811" t="str">
            <v>Budget</v>
          </cell>
          <cell r="C9811" t="str">
            <v>Sep</v>
          </cell>
          <cell r="D9811" t="str">
            <v>Chairs</v>
          </cell>
          <cell r="E9811">
            <v>1105301.372</v>
          </cell>
          <cell r="F9811">
            <v>9</v>
          </cell>
        </row>
        <row r="9812">
          <cell r="A9812">
            <v>2018</v>
          </cell>
          <cell r="B9812" t="str">
            <v>Actual</v>
          </cell>
          <cell r="C9812" t="str">
            <v>Sep</v>
          </cell>
          <cell r="D9812" t="str">
            <v>Chairs</v>
          </cell>
          <cell r="E9812">
            <v>53571.860999999997</v>
          </cell>
          <cell r="F9812">
            <v>9</v>
          </cell>
        </row>
        <row r="9813">
          <cell r="A9813">
            <v>2019</v>
          </cell>
          <cell r="B9813" t="str">
            <v>Budget</v>
          </cell>
          <cell r="C9813" t="str">
            <v>Sep</v>
          </cell>
          <cell r="D9813" t="str">
            <v>Chairs</v>
          </cell>
          <cell r="E9813">
            <v>769607.37</v>
          </cell>
          <cell r="F9813">
            <v>9</v>
          </cell>
        </row>
        <row r="9814">
          <cell r="A9814">
            <v>2018</v>
          </cell>
          <cell r="B9814" t="str">
            <v>Actual</v>
          </cell>
          <cell r="C9814" t="str">
            <v>Sep</v>
          </cell>
          <cell r="D9814" t="str">
            <v>Chairs</v>
          </cell>
          <cell r="E9814">
            <v>201388.35500000001</v>
          </cell>
          <cell r="F9814">
            <v>9</v>
          </cell>
        </row>
        <row r="9815">
          <cell r="A9815">
            <v>2018</v>
          </cell>
          <cell r="B9815" t="str">
            <v>Budget</v>
          </cell>
          <cell r="C9815" t="str">
            <v>Sep</v>
          </cell>
          <cell r="D9815" t="str">
            <v>Chairs</v>
          </cell>
          <cell r="E9815">
            <v>-99064.623000000007</v>
          </cell>
          <cell r="F9815">
            <v>9</v>
          </cell>
        </row>
        <row r="9816">
          <cell r="A9816">
            <v>2018</v>
          </cell>
          <cell r="B9816" t="str">
            <v>Actual</v>
          </cell>
          <cell r="C9816" t="str">
            <v>Sep</v>
          </cell>
          <cell r="D9816" t="str">
            <v>Chairs</v>
          </cell>
          <cell r="E9816">
            <v>-10773.986999999999</v>
          </cell>
          <cell r="F9816">
            <v>9</v>
          </cell>
        </row>
        <row r="9817">
          <cell r="A9817">
            <v>2019</v>
          </cell>
          <cell r="B9817" t="str">
            <v>Budget</v>
          </cell>
          <cell r="C9817" t="str">
            <v>Sep</v>
          </cell>
          <cell r="D9817" t="str">
            <v>Chairs</v>
          </cell>
          <cell r="E9817">
            <v>620642.18299999996</v>
          </cell>
          <cell r="F9817">
            <v>9</v>
          </cell>
        </row>
        <row r="9818">
          <cell r="A9818">
            <v>2019</v>
          </cell>
          <cell r="B9818" t="str">
            <v>Actual</v>
          </cell>
          <cell r="C9818" t="str">
            <v>Sep</v>
          </cell>
          <cell r="D9818" t="str">
            <v>Chairs</v>
          </cell>
          <cell r="E9818">
            <v>183440.87999999998</v>
          </cell>
          <cell r="F9818">
            <v>9</v>
          </cell>
        </row>
        <row r="9819">
          <cell r="A9819">
            <v>2019</v>
          </cell>
          <cell r="B9819" t="str">
            <v>Budget</v>
          </cell>
          <cell r="C9819" t="str">
            <v>Sep</v>
          </cell>
          <cell r="D9819" t="str">
            <v>Chairs</v>
          </cell>
          <cell r="E9819">
            <v>42962.772999999994</v>
          </cell>
          <cell r="F9819">
            <v>9</v>
          </cell>
        </row>
        <row r="9820">
          <cell r="A9820">
            <v>2018</v>
          </cell>
          <cell r="B9820" t="str">
            <v>Actual</v>
          </cell>
          <cell r="C9820" t="str">
            <v>Sep</v>
          </cell>
          <cell r="D9820" t="str">
            <v>Chairs</v>
          </cell>
          <cell r="E9820">
            <v>29246.706999999999</v>
          </cell>
          <cell r="F9820">
            <v>9</v>
          </cell>
        </row>
        <row r="9821">
          <cell r="A9821">
            <v>2019</v>
          </cell>
          <cell r="B9821" t="str">
            <v>Budget</v>
          </cell>
          <cell r="C9821" t="str">
            <v>Sep</v>
          </cell>
          <cell r="D9821" t="str">
            <v>Tables</v>
          </cell>
          <cell r="E9821">
            <v>40439.412999999993</v>
          </cell>
          <cell r="F9821">
            <v>9</v>
          </cell>
        </row>
        <row r="9822">
          <cell r="A9822">
            <v>2019</v>
          </cell>
          <cell r="B9822" t="str">
            <v>Actual</v>
          </cell>
          <cell r="C9822" t="str">
            <v>Sep</v>
          </cell>
          <cell r="D9822" t="str">
            <v>Kitchen</v>
          </cell>
          <cell r="E9822">
            <v>81280.513999999996</v>
          </cell>
          <cell r="F9822">
            <v>9</v>
          </cell>
        </row>
        <row r="9823">
          <cell r="A9823">
            <v>2019</v>
          </cell>
          <cell r="B9823" t="str">
            <v>Budget</v>
          </cell>
          <cell r="C9823" t="str">
            <v>Sep</v>
          </cell>
          <cell r="D9823" t="str">
            <v>Chairs</v>
          </cell>
          <cell r="E9823">
            <v>13723.898999999999</v>
          </cell>
          <cell r="F9823">
            <v>9</v>
          </cell>
        </row>
        <row r="9824">
          <cell r="A9824">
            <v>2018</v>
          </cell>
          <cell r="B9824" t="str">
            <v>Actual</v>
          </cell>
          <cell r="C9824" t="str">
            <v>Sep</v>
          </cell>
          <cell r="D9824" t="str">
            <v>Chairs</v>
          </cell>
          <cell r="E9824">
            <v>1948.9259999999997</v>
          </cell>
          <cell r="F9824">
            <v>9</v>
          </cell>
        </row>
        <row r="9825">
          <cell r="A9825">
            <v>2019</v>
          </cell>
          <cell r="B9825" t="str">
            <v>Budget</v>
          </cell>
          <cell r="C9825" t="str">
            <v>Sep</v>
          </cell>
          <cell r="D9825" t="str">
            <v>Chairs</v>
          </cell>
          <cell r="E9825">
            <v>2810.7869999999998</v>
          </cell>
          <cell r="F9825">
            <v>9</v>
          </cell>
        </row>
        <row r="9826">
          <cell r="A9826">
            <v>2018</v>
          </cell>
          <cell r="B9826" t="str">
            <v>Actual</v>
          </cell>
          <cell r="C9826" t="str">
            <v>Sep</v>
          </cell>
          <cell r="D9826" t="str">
            <v>Chairs</v>
          </cell>
          <cell r="E9826">
            <v>466364.04499999993</v>
          </cell>
          <cell r="F9826">
            <v>9</v>
          </cell>
        </row>
        <row r="9827">
          <cell r="A9827">
            <v>2018</v>
          </cell>
          <cell r="B9827" t="str">
            <v>Budget</v>
          </cell>
          <cell r="C9827" t="str">
            <v>Sep</v>
          </cell>
          <cell r="D9827" t="str">
            <v>Chairs</v>
          </cell>
          <cell r="E9827">
            <v>148479.73699999999</v>
          </cell>
          <cell r="F9827">
            <v>9</v>
          </cell>
        </row>
        <row r="9828">
          <cell r="A9828">
            <v>2019</v>
          </cell>
          <cell r="B9828" t="str">
            <v>Actual</v>
          </cell>
          <cell r="C9828" t="str">
            <v>Sep</v>
          </cell>
          <cell r="D9828" t="str">
            <v>Tables</v>
          </cell>
          <cell r="E9828">
            <v>443364.13099999994</v>
          </cell>
          <cell r="F9828">
            <v>9</v>
          </cell>
        </row>
        <row r="9829">
          <cell r="A9829">
            <v>2019</v>
          </cell>
          <cell r="B9829" t="str">
            <v>Budget</v>
          </cell>
          <cell r="C9829" t="str">
            <v>Sep</v>
          </cell>
          <cell r="D9829" t="str">
            <v>Kitchen</v>
          </cell>
          <cell r="E9829">
            <v>56356.320999999996</v>
          </cell>
          <cell r="F9829">
            <v>9</v>
          </cell>
        </row>
        <row r="9830">
          <cell r="A9830">
            <v>2019</v>
          </cell>
          <cell r="B9830" t="str">
            <v>Actual</v>
          </cell>
          <cell r="C9830" t="str">
            <v>Sep</v>
          </cell>
          <cell r="D9830" t="str">
            <v>Chairs</v>
          </cell>
          <cell r="E9830">
            <v>144609.073</v>
          </cell>
          <cell r="F9830">
            <v>9</v>
          </cell>
        </row>
        <row r="9831">
          <cell r="A9831">
            <v>2019</v>
          </cell>
          <cell r="B9831" t="str">
            <v>Budget</v>
          </cell>
          <cell r="C9831" t="str">
            <v>Sep</v>
          </cell>
          <cell r="D9831" t="str">
            <v>Chairs</v>
          </cell>
          <cell r="E9831">
            <v>77338.162999999986</v>
          </cell>
          <cell r="F9831">
            <v>9</v>
          </cell>
        </row>
        <row r="9832">
          <cell r="A9832">
            <v>2018</v>
          </cell>
          <cell r="B9832" t="str">
            <v>Actual</v>
          </cell>
          <cell r="C9832" t="str">
            <v>Sep</v>
          </cell>
          <cell r="D9832" t="str">
            <v>Chairs</v>
          </cell>
          <cell r="E9832">
            <v>24773.545999999998</v>
          </cell>
          <cell r="F9832">
            <v>9</v>
          </cell>
        </row>
        <row r="9833">
          <cell r="A9833">
            <v>2018</v>
          </cell>
          <cell r="B9833" t="str">
            <v>Budget</v>
          </cell>
          <cell r="C9833" t="str">
            <v>Sep</v>
          </cell>
          <cell r="D9833" t="str">
            <v>Tables</v>
          </cell>
          <cell r="E9833">
            <v>17579.464</v>
          </cell>
          <cell r="F9833">
            <v>9</v>
          </cell>
        </row>
        <row r="9834">
          <cell r="A9834">
            <v>2018</v>
          </cell>
          <cell r="B9834" t="str">
            <v>Actual</v>
          </cell>
          <cell r="C9834" t="str">
            <v>Sep</v>
          </cell>
          <cell r="D9834" t="str">
            <v>Kitchen</v>
          </cell>
          <cell r="E9834">
            <v>252573.3</v>
          </cell>
          <cell r="F9834">
            <v>9</v>
          </cell>
        </row>
        <row r="9835">
          <cell r="A9835">
            <v>2018</v>
          </cell>
          <cell r="B9835" t="str">
            <v>Budget</v>
          </cell>
          <cell r="C9835" t="str">
            <v>Sep</v>
          </cell>
          <cell r="D9835" t="str">
            <v>Chairs</v>
          </cell>
          <cell r="E9835">
            <v>-44786.643999999993</v>
          </cell>
          <cell r="F9835">
            <v>9</v>
          </cell>
        </row>
        <row r="9836">
          <cell r="A9836">
            <v>2019</v>
          </cell>
          <cell r="B9836" t="str">
            <v>Actual</v>
          </cell>
          <cell r="C9836" t="str">
            <v>Sep</v>
          </cell>
          <cell r="D9836" t="str">
            <v>Chairs</v>
          </cell>
          <cell r="E9836">
            <v>57278.192999999999</v>
          </cell>
          <cell r="F9836">
            <v>9</v>
          </cell>
        </row>
        <row r="9837">
          <cell r="A9837">
            <v>2018</v>
          </cell>
          <cell r="B9837" t="str">
            <v>Budget</v>
          </cell>
          <cell r="C9837" t="str">
            <v>Sep</v>
          </cell>
          <cell r="D9837" t="str">
            <v>Tables</v>
          </cell>
          <cell r="E9837">
            <v>2143.8409999999999</v>
          </cell>
          <cell r="F9837">
            <v>9</v>
          </cell>
        </row>
        <row r="9838">
          <cell r="A9838">
            <v>2018</v>
          </cell>
          <cell r="B9838" t="str">
            <v>Actual</v>
          </cell>
          <cell r="C9838" t="str">
            <v>Sep</v>
          </cell>
          <cell r="D9838" t="str">
            <v>Kitchen</v>
          </cell>
          <cell r="E9838">
            <v>85165.408999999985</v>
          </cell>
          <cell r="F9838">
            <v>9</v>
          </cell>
        </row>
        <row r="9839">
          <cell r="A9839">
            <v>2018</v>
          </cell>
          <cell r="B9839" t="str">
            <v>Budget</v>
          </cell>
          <cell r="C9839" t="str">
            <v>Sep</v>
          </cell>
          <cell r="D9839" t="str">
            <v>Chairs</v>
          </cell>
          <cell r="E9839">
            <v>292577.78899999999</v>
          </cell>
          <cell r="F9839">
            <v>9</v>
          </cell>
        </row>
        <row r="9840">
          <cell r="A9840">
            <v>2018</v>
          </cell>
          <cell r="B9840" t="str">
            <v>Actual</v>
          </cell>
          <cell r="C9840" t="str">
            <v>Sep</v>
          </cell>
          <cell r="D9840" t="str">
            <v>Chairs</v>
          </cell>
          <cell r="E9840">
            <v>467557.587</v>
          </cell>
          <cell r="F9840">
            <v>9</v>
          </cell>
        </row>
        <row r="9841">
          <cell r="A9841">
            <v>2018</v>
          </cell>
          <cell r="B9841" t="str">
            <v>Budget</v>
          </cell>
          <cell r="C9841" t="str">
            <v>Sep</v>
          </cell>
          <cell r="D9841" t="str">
            <v>Chairs</v>
          </cell>
          <cell r="E9841">
            <v>1226383.6409999998</v>
          </cell>
          <cell r="F9841">
            <v>9</v>
          </cell>
        </row>
        <row r="9842">
          <cell r="A9842">
            <v>2019</v>
          </cell>
          <cell r="B9842" t="str">
            <v>Actual</v>
          </cell>
          <cell r="C9842" t="str">
            <v>Sep</v>
          </cell>
          <cell r="D9842" t="str">
            <v>Tables</v>
          </cell>
          <cell r="E9842">
            <v>3663387.1889999993</v>
          </cell>
          <cell r="F9842">
            <v>9</v>
          </cell>
        </row>
        <row r="9843">
          <cell r="A9843">
            <v>2019</v>
          </cell>
          <cell r="B9843" t="str">
            <v>Budget</v>
          </cell>
          <cell r="C9843" t="str">
            <v>Sep</v>
          </cell>
          <cell r="D9843" t="str">
            <v>Kitchen</v>
          </cell>
          <cell r="E9843">
            <v>506116.1</v>
          </cell>
          <cell r="F9843">
            <v>9</v>
          </cell>
        </row>
        <row r="9844">
          <cell r="A9844">
            <v>2019</v>
          </cell>
          <cell r="B9844" t="str">
            <v>Actual</v>
          </cell>
          <cell r="C9844" t="str">
            <v>Sep</v>
          </cell>
          <cell r="D9844" t="str">
            <v>Accessories</v>
          </cell>
          <cell r="E9844">
            <v>1144331.6429999999</v>
          </cell>
          <cell r="F9844">
            <v>9</v>
          </cell>
        </row>
        <row r="9845">
          <cell r="A9845">
            <v>2018</v>
          </cell>
          <cell r="B9845" t="str">
            <v>Budget</v>
          </cell>
          <cell r="C9845" t="str">
            <v>Sep</v>
          </cell>
          <cell r="D9845" t="str">
            <v>Chairs</v>
          </cell>
          <cell r="E9845">
            <v>19873.468999999997</v>
          </cell>
          <cell r="F9845">
            <v>9</v>
          </cell>
        </row>
        <row r="9846">
          <cell r="A9846">
            <v>2019</v>
          </cell>
          <cell r="B9846" t="str">
            <v>Actual</v>
          </cell>
          <cell r="C9846" t="str">
            <v>Sep</v>
          </cell>
          <cell r="D9846" t="str">
            <v>Tables</v>
          </cell>
          <cell r="E9846">
            <v>1694.8539999999998</v>
          </cell>
          <cell r="F9846">
            <v>9</v>
          </cell>
        </row>
        <row r="9847">
          <cell r="A9847">
            <v>2019</v>
          </cell>
          <cell r="B9847" t="str">
            <v>Budget</v>
          </cell>
          <cell r="C9847" t="str">
            <v>Sep</v>
          </cell>
          <cell r="D9847" t="str">
            <v>Kitchen</v>
          </cell>
          <cell r="E9847">
            <v>1260366.996</v>
          </cell>
          <cell r="F9847">
            <v>9</v>
          </cell>
        </row>
        <row r="9848">
          <cell r="A9848">
            <v>2019</v>
          </cell>
          <cell r="B9848" t="str">
            <v>Actual</v>
          </cell>
          <cell r="C9848" t="str">
            <v>Sep</v>
          </cell>
          <cell r="D9848" t="str">
            <v>Accessories</v>
          </cell>
          <cell r="E9848">
            <v>1518915.2299999997</v>
          </cell>
          <cell r="F9848">
            <v>9</v>
          </cell>
        </row>
        <row r="9849">
          <cell r="A9849">
            <v>2018</v>
          </cell>
          <cell r="B9849" t="str">
            <v>Budget</v>
          </cell>
          <cell r="C9849" t="str">
            <v>Sep</v>
          </cell>
          <cell r="D9849" t="str">
            <v>Chairs</v>
          </cell>
          <cell r="E9849">
            <v>1434180.7829999998</v>
          </cell>
          <cell r="F9849">
            <v>9</v>
          </cell>
        </row>
        <row r="9850">
          <cell r="A9850">
            <v>2018</v>
          </cell>
          <cell r="B9850" t="str">
            <v>Actual</v>
          </cell>
          <cell r="C9850" t="str">
            <v>Sep</v>
          </cell>
          <cell r="D9850" t="str">
            <v>Tables</v>
          </cell>
          <cell r="E9850">
            <v>140088.03200000001</v>
          </cell>
          <cell r="F9850">
            <v>9</v>
          </cell>
        </row>
        <row r="9851">
          <cell r="A9851">
            <v>2018</v>
          </cell>
          <cell r="B9851" t="str">
            <v>Budget</v>
          </cell>
          <cell r="C9851" t="str">
            <v>Sep</v>
          </cell>
          <cell r="D9851" t="str">
            <v>Kitchen</v>
          </cell>
          <cell r="E9851">
            <v>763521.19200000004</v>
          </cell>
          <cell r="F9851">
            <v>9</v>
          </cell>
        </row>
        <row r="9852">
          <cell r="A9852">
            <v>2018</v>
          </cell>
          <cell r="B9852" t="str">
            <v>Actual</v>
          </cell>
          <cell r="C9852" t="str">
            <v>Sep</v>
          </cell>
          <cell r="D9852" t="str">
            <v>Accessories</v>
          </cell>
          <cell r="E9852">
            <v>235651.68899999998</v>
          </cell>
          <cell r="F9852">
            <v>9</v>
          </cell>
        </row>
        <row r="9853">
          <cell r="A9853">
            <v>2019</v>
          </cell>
          <cell r="B9853" t="str">
            <v>Budget</v>
          </cell>
          <cell r="C9853" t="str">
            <v>Sep</v>
          </cell>
          <cell r="D9853" t="str">
            <v>Chairs</v>
          </cell>
          <cell r="E9853">
            <v>1968036.7069999997</v>
          </cell>
          <cell r="F9853">
            <v>9</v>
          </cell>
        </row>
        <row r="9854">
          <cell r="A9854">
            <v>2019</v>
          </cell>
          <cell r="B9854" t="str">
            <v>Actual</v>
          </cell>
          <cell r="C9854" t="str">
            <v>Sep</v>
          </cell>
          <cell r="D9854" t="str">
            <v>Tables</v>
          </cell>
          <cell r="E9854">
            <v>479166.63899999997</v>
          </cell>
          <cell r="F9854">
            <v>9</v>
          </cell>
        </row>
        <row r="9855">
          <cell r="A9855">
            <v>2018</v>
          </cell>
          <cell r="B9855" t="str">
            <v>Budget</v>
          </cell>
          <cell r="C9855" t="str">
            <v>Sep</v>
          </cell>
          <cell r="D9855" t="str">
            <v>Kitchen</v>
          </cell>
          <cell r="E9855">
            <v>298710.95799999998</v>
          </cell>
          <cell r="F9855">
            <v>9</v>
          </cell>
        </row>
        <row r="9856">
          <cell r="A9856">
            <v>2018</v>
          </cell>
          <cell r="B9856" t="str">
            <v>Actual</v>
          </cell>
          <cell r="C9856" t="str">
            <v>Sep</v>
          </cell>
          <cell r="D9856" t="str">
            <v>Accessories</v>
          </cell>
          <cell r="E9856">
            <v>69896.210999999996</v>
          </cell>
          <cell r="F9856">
            <v>9</v>
          </cell>
        </row>
        <row r="9857">
          <cell r="A9857">
            <v>2018</v>
          </cell>
          <cell r="B9857" t="str">
            <v>Budget</v>
          </cell>
          <cell r="C9857" t="str">
            <v>Sep</v>
          </cell>
          <cell r="D9857" t="str">
            <v>Chairs</v>
          </cell>
          <cell r="E9857">
            <v>480644.21299999993</v>
          </cell>
          <cell r="F9857">
            <v>9</v>
          </cell>
        </row>
        <row r="9858">
          <cell r="A9858">
            <v>2018</v>
          </cell>
          <cell r="B9858" t="str">
            <v>Actual</v>
          </cell>
          <cell r="C9858" t="str">
            <v>Sep</v>
          </cell>
          <cell r="D9858" t="str">
            <v>Chairs</v>
          </cell>
          <cell r="E9858">
            <v>276529.25999999995</v>
          </cell>
          <cell r="F9858">
            <v>9</v>
          </cell>
        </row>
        <row r="9859">
          <cell r="A9859">
            <v>2019</v>
          </cell>
          <cell r="B9859" t="str">
            <v>Budget</v>
          </cell>
          <cell r="C9859" t="str">
            <v>Sep</v>
          </cell>
          <cell r="D9859" t="str">
            <v>Tables</v>
          </cell>
          <cell r="E9859">
            <v>150585.43499999997</v>
          </cell>
          <cell r="F9859">
            <v>9</v>
          </cell>
        </row>
        <row r="9860">
          <cell r="A9860">
            <v>2018</v>
          </cell>
          <cell r="B9860" t="str">
            <v>Actual</v>
          </cell>
          <cell r="C9860" t="str">
            <v>Sep</v>
          </cell>
          <cell r="D9860" t="str">
            <v>Kitchen</v>
          </cell>
          <cell r="E9860">
            <v>89046.027000000002</v>
          </cell>
          <cell r="F9860">
            <v>9</v>
          </cell>
        </row>
        <row r="9861">
          <cell r="A9861">
            <v>2019</v>
          </cell>
          <cell r="B9861" t="str">
            <v>Budget</v>
          </cell>
          <cell r="C9861" t="str">
            <v>Sep</v>
          </cell>
          <cell r="D9861" t="str">
            <v>Chairs</v>
          </cell>
          <cell r="E9861">
            <v>41584.850999999995</v>
          </cell>
          <cell r="F9861">
            <v>9</v>
          </cell>
        </row>
        <row r="9862">
          <cell r="A9862">
            <v>2019</v>
          </cell>
          <cell r="B9862" t="str">
            <v>Actual</v>
          </cell>
          <cell r="C9862" t="str">
            <v>Sep</v>
          </cell>
          <cell r="D9862" t="str">
            <v>Tables</v>
          </cell>
          <cell r="E9862">
            <v>34003.375</v>
          </cell>
          <cell r="F9862">
            <v>9</v>
          </cell>
        </row>
        <row r="9863">
          <cell r="A9863">
            <v>2018</v>
          </cell>
          <cell r="B9863" t="str">
            <v>Budget</v>
          </cell>
          <cell r="C9863" t="str">
            <v>Sep</v>
          </cell>
          <cell r="D9863" t="str">
            <v>Kitchen</v>
          </cell>
          <cell r="E9863">
            <v>138102.89499999999</v>
          </cell>
          <cell r="F9863">
            <v>9</v>
          </cell>
        </row>
        <row r="9864">
          <cell r="A9864">
            <v>2019</v>
          </cell>
          <cell r="B9864" t="str">
            <v>Actual</v>
          </cell>
          <cell r="C9864" t="str">
            <v>Sep</v>
          </cell>
          <cell r="D9864" t="str">
            <v>Chairs</v>
          </cell>
          <cell r="E9864">
            <v>108873.84199999999</v>
          </cell>
          <cell r="F9864">
            <v>9</v>
          </cell>
        </row>
        <row r="9865">
          <cell r="A9865">
            <v>2018</v>
          </cell>
          <cell r="B9865" t="str">
            <v>Budget</v>
          </cell>
          <cell r="C9865" t="str">
            <v>Sep</v>
          </cell>
          <cell r="D9865" t="str">
            <v>Tables</v>
          </cell>
          <cell r="E9865">
            <v>36722.42</v>
          </cell>
          <cell r="F9865">
            <v>9</v>
          </cell>
        </row>
        <row r="9866">
          <cell r="A9866">
            <v>2018</v>
          </cell>
          <cell r="B9866" t="str">
            <v>Actual</v>
          </cell>
          <cell r="C9866" t="str">
            <v>Sep</v>
          </cell>
          <cell r="D9866" t="str">
            <v>Kitchen</v>
          </cell>
          <cell r="E9866">
            <v>15963.654</v>
          </cell>
          <cell r="F9866">
            <v>9</v>
          </cell>
        </row>
        <row r="9867">
          <cell r="A9867">
            <v>2018</v>
          </cell>
          <cell r="B9867" t="str">
            <v>Budget</v>
          </cell>
          <cell r="C9867" t="str">
            <v>Sep</v>
          </cell>
          <cell r="D9867" t="str">
            <v>Chairs</v>
          </cell>
          <cell r="E9867">
            <v>13448.078</v>
          </cell>
          <cell r="F9867">
            <v>9</v>
          </cell>
        </row>
        <row r="9868">
          <cell r="A9868">
            <v>2018</v>
          </cell>
          <cell r="B9868" t="str">
            <v>Actual</v>
          </cell>
          <cell r="C9868" t="str">
            <v>Sep</v>
          </cell>
          <cell r="D9868" t="str">
            <v>Chairs</v>
          </cell>
          <cell r="E9868">
            <v>40515.629000000001</v>
          </cell>
          <cell r="F9868">
            <v>9</v>
          </cell>
        </row>
        <row r="9869">
          <cell r="A9869">
            <v>2018</v>
          </cell>
          <cell r="B9869" t="str">
            <v>Budget</v>
          </cell>
          <cell r="C9869" t="str">
            <v>Sep</v>
          </cell>
          <cell r="D9869" t="str">
            <v>Chairs</v>
          </cell>
          <cell r="E9869">
            <v>218341.48699999996</v>
          </cell>
          <cell r="F9869">
            <v>9</v>
          </cell>
        </row>
        <row r="9870">
          <cell r="A9870">
            <v>2019</v>
          </cell>
          <cell r="B9870" t="str">
            <v>Actual</v>
          </cell>
          <cell r="C9870" t="str">
            <v>Sep</v>
          </cell>
          <cell r="D9870" t="str">
            <v>Chairs</v>
          </cell>
          <cell r="E9870">
            <v>92511.173999999999</v>
          </cell>
          <cell r="F9870">
            <v>9</v>
          </cell>
        </row>
        <row r="9871">
          <cell r="A9871">
            <v>2018</v>
          </cell>
          <cell r="B9871" t="str">
            <v>Budget</v>
          </cell>
          <cell r="C9871" t="str">
            <v>Sep</v>
          </cell>
          <cell r="D9871" t="str">
            <v>Chairs</v>
          </cell>
          <cell r="E9871">
            <v>25527.88</v>
          </cell>
          <cell r="F9871">
            <v>9</v>
          </cell>
        </row>
        <row r="9872">
          <cell r="A9872">
            <v>2019</v>
          </cell>
          <cell r="B9872" t="str">
            <v>Actual</v>
          </cell>
          <cell r="C9872" t="str">
            <v>Sep</v>
          </cell>
          <cell r="D9872" t="str">
            <v>Chairs</v>
          </cell>
          <cell r="E9872">
            <v>62707.50499999999</v>
          </cell>
          <cell r="F9872">
            <v>9</v>
          </cell>
        </row>
        <row r="9873">
          <cell r="A9873">
            <v>2018</v>
          </cell>
          <cell r="B9873" t="str">
            <v>Budget</v>
          </cell>
          <cell r="C9873" t="str">
            <v>Sep</v>
          </cell>
          <cell r="D9873" t="str">
            <v>Chairs</v>
          </cell>
          <cell r="E9873">
            <v>2185795.9549999996</v>
          </cell>
          <cell r="F9873">
            <v>9</v>
          </cell>
        </row>
        <row r="9874">
          <cell r="A9874">
            <v>2018</v>
          </cell>
          <cell r="B9874" t="str">
            <v>Actual</v>
          </cell>
          <cell r="C9874" t="str">
            <v>Sep</v>
          </cell>
          <cell r="D9874" t="str">
            <v>Chairs</v>
          </cell>
          <cell r="E9874">
            <v>225018.682</v>
          </cell>
          <cell r="F9874">
            <v>9</v>
          </cell>
        </row>
        <row r="9875">
          <cell r="A9875">
            <v>2018</v>
          </cell>
          <cell r="B9875" t="str">
            <v>Budget</v>
          </cell>
          <cell r="C9875" t="str">
            <v>Sep</v>
          </cell>
          <cell r="D9875" t="str">
            <v>Chairs</v>
          </cell>
          <cell r="E9875">
            <v>111039.537</v>
          </cell>
          <cell r="F9875">
            <v>9</v>
          </cell>
        </row>
        <row r="9876">
          <cell r="A9876">
            <v>2018</v>
          </cell>
          <cell r="B9876" t="str">
            <v>Actual</v>
          </cell>
          <cell r="C9876" t="str">
            <v>Sep</v>
          </cell>
          <cell r="D9876" t="str">
            <v>Chairs</v>
          </cell>
          <cell r="E9876">
            <v>141544.21399999998</v>
          </cell>
          <cell r="F9876">
            <v>9</v>
          </cell>
        </row>
        <row r="9877">
          <cell r="A9877">
            <v>2019</v>
          </cell>
          <cell r="B9877" t="str">
            <v>Budget</v>
          </cell>
          <cell r="C9877" t="str">
            <v>Sep</v>
          </cell>
          <cell r="D9877" t="str">
            <v>Chairs</v>
          </cell>
          <cell r="E9877">
            <v>10348.457</v>
          </cell>
          <cell r="F9877">
            <v>9</v>
          </cell>
        </row>
        <row r="9878">
          <cell r="A9878">
            <v>2018</v>
          </cell>
          <cell r="B9878" t="str">
            <v>Actual</v>
          </cell>
          <cell r="C9878" t="str">
            <v>Sep</v>
          </cell>
          <cell r="D9878" t="str">
            <v>Chairs</v>
          </cell>
          <cell r="E9878">
            <v>59967.081999999995</v>
          </cell>
          <cell r="F9878">
            <v>9</v>
          </cell>
        </row>
        <row r="9879">
          <cell r="A9879">
            <v>2018</v>
          </cell>
          <cell r="B9879" t="str">
            <v>Budget</v>
          </cell>
          <cell r="C9879" t="str">
            <v>Sep</v>
          </cell>
          <cell r="D9879" t="str">
            <v>Chairs</v>
          </cell>
          <cell r="E9879">
            <v>15793.112999999999</v>
          </cell>
          <cell r="F9879">
            <v>9</v>
          </cell>
        </row>
        <row r="9880">
          <cell r="A9880">
            <v>2019</v>
          </cell>
          <cell r="B9880" t="str">
            <v>Actual</v>
          </cell>
          <cell r="C9880" t="str">
            <v>Sep</v>
          </cell>
          <cell r="D9880" t="str">
            <v>Chairs</v>
          </cell>
          <cell r="E9880">
            <v>265909.74900000001</v>
          </cell>
          <cell r="F9880">
            <v>9</v>
          </cell>
        </row>
        <row r="9881">
          <cell r="A9881">
            <v>2018</v>
          </cell>
          <cell r="B9881" t="str">
            <v>Budget</v>
          </cell>
          <cell r="C9881" t="str">
            <v>Sep</v>
          </cell>
          <cell r="D9881" t="str">
            <v>Chairs</v>
          </cell>
          <cell r="E9881">
            <v>10619.126</v>
          </cell>
          <cell r="F9881">
            <v>9</v>
          </cell>
        </row>
        <row r="9882">
          <cell r="A9882">
            <v>2019</v>
          </cell>
          <cell r="B9882" t="str">
            <v>Actual</v>
          </cell>
          <cell r="C9882" t="str">
            <v>Sep</v>
          </cell>
          <cell r="D9882" t="str">
            <v>Chairs</v>
          </cell>
          <cell r="E9882">
            <v>163754.63999999998</v>
          </cell>
          <cell r="F9882">
            <v>9</v>
          </cell>
        </row>
        <row r="9883">
          <cell r="A9883">
            <v>2019</v>
          </cell>
          <cell r="B9883" t="str">
            <v>Budget</v>
          </cell>
          <cell r="C9883" t="str">
            <v>Sep</v>
          </cell>
          <cell r="D9883" t="str">
            <v>Chairs</v>
          </cell>
          <cell r="E9883">
            <v>31929.786</v>
          </cell>
          <cell r="F9883">
            <v>9</v>
          </cell>
        </row>
        <row r="9884">
          <cell r="A9884">
            <v>2018</v>
          </cell>
          <cell r="B9884" t="str">
            <v>Actual</v>
          </cell>
          <cell r="C9884" t="str">
            <v>Sep</v>
          </cell>
          <cell r="D9884" t="str">
            <v>Chairs</v>
          </cell>
          <cell r="E9884">
            <v>168096.63499999998</v>
          </cell>
          <cell r="F9884">
            <v>9</v>
          </cell>
        </row>
        <row r="9885">
          <cell r="A9885">
            <v>2019</v>
          </cell>
          <cell r="B9885" t="str">
            <v>Budget</v>
          </cell>
          <cell r="C9885" t="str">
            <v>Sep</v>
          </cell>
          <cell r="D9885" t="str">
            <v>Chairs</v>
          </cell>
          <cell r="E9885">
            <v>158079.215</v>
          </cell>
          <cell r="F9885">
            <v>9</v>
          </cell>
        </row>
        <row r="9886">
          <cell r="A9886">
            <v>2018</v>
          </cell>
          <cell r="B9886" t="str">
            <v>Actual</v>
          </cell>
          <cell r="C9886" t="str">
            <v>Sep</v>
          </cell>
          <cell r="D9886" t="str">
            <v>Chairs</v>
          </cell>
          <cell r="E9886">
            <v>1720450.7040000001</v>
          </cell>
          <cell r="F9886">
            <v>9</v>
          </cell>
        </row>
        <row r="9887">
          <cell r="A9887">
            <v>2019</v>
          </cell>
          <cell r="B9887" t="str">
            <v>Budget</v>
          </cell>
          <cell r="C9887" t="str">
            <v>Sep</v>
          </cell>
          <cell r="D9887" t="str">
            <v>Chairs</v>
          </cell>
          <cell r="E9887">
            <v>2397811.6819999996</v>
          </cell>
          <cell r="F9887">
            <v>9</v>
          </cell>
        </row>
        <row r="9888">
          <cell r="A9888">
            <v>2018</v>
          </cell>
          <cell r="B9888" t="str">
            <v>Actual</v>
          </cell>
          <cell r="C9888" t="str">
            <v>Sep</v>
          </cell>
          <cell r="D9888" t="str">
            <v>Chairs</v>
          </cell>
          <cell r="E9888">
            <v>129067.90399999999</v>
          </cell>
          <cell r="F9888">
            <v>9</v>
          </cell>
        </row>
        <row r="9889">
          <cell r="A9889">
            <v>2019</v>
          </cell>
          <cell r="B9889" t="str">
            <v>Budget</v>
          </cell>
          <cell r="C9889" t="str">
            <v>Sep</v>
          </cell>
          <cell r="D9889" t="str">
            <v>Chairs</v>
          </cell>
          <cell r="E9889">
            <v>143720.10799999998</v>
          </cell>
          <cell r="F9889">
            <v>9</v>
          </cell>
        </row>
        <row r="9890">
          <cell r="A9890">
            <v>2019</v>
          </cell>
          <cell r="B9890" t="str">
            <v>Actual</v>
          </cell>
          <cell r="C9890" t="str">
            <v>Sep</v>
          </cell>
          <cell r="D9890" t="str">
            <v>Chairs</v>
          </cell>
          <cell r="E9890">
            <v>336669.49399999995</v>
          </cell>
          <cell r="F9890">
            <v>9</v>
          </cell>
        </row>
        <row r="9891">
          <cell r="A9891">
            <v>2019</v>
          </cell>
          <cell r="B9891" t="str">
            <v>Budget</v>
          </cell>
          <cell r="C9891" t="str">
            <v>Sep</v>
          </cell>
          <cell r="D9891" t="str">
            <v>Chairs</v>
          </cell>
          <cell r="E9891">
            <v>232935.47200000001</v>
          </cell>
          <cell r="F9891">
            <v>9</v>
          </cell>
        </row>
        <row r="9892">
          <cell r="A9892">
            <v>2018</v>
          </cell>
          <cell r="B9892" t="str">
            <v>Actual</v>
          </cell>
          <cell r="C9892" t="str">
            <v>Sep</v>
          </cell>
          <cell r="D9892" t="str">
            <v>Chairs</v>
          </cell>
          <cell r="E9892">
            <v>94324.467999999993</v>
          </cell>
          <cell r="F9892">
            <v>9</v>
          </cell>
        </row>
        <row r="9893">
          <cell r="A9893">
            <v>2018</v>
          </cell>
          <cell r="B9893" t="str">
            <v>Budget</v>
          </cell>
          <cell r="C9893" t="str">
            <v>Sep</v>
          </cell>
          <cell r="D9893" t="str">
            <v>Tables</v>
          </cell>
          <cell r="E9893">
            <v>171208.46399999998</v>
          </cell>
          <cell r="F9893">
            <v>9</v>
          </cell>
        </row>
        <row r="9894">
          <cell r="A9894">
            <v>2019</v>
          </cell>
          <cell r="B9894" t="str">
            <v>Actual</v>
          </cell>
          <cell r="C9894" t="str">
            <v>Sep</v>
          </cell>
          <cell r="D9894" t="str">
            <v>Kitchen</v>
          </cell>
          <cell r="E9894">
            <v>800884.77</v>
          </cell>
          <cell r="F9894">
            <v>9</v>
          </cell>
        </row>
        <row r="9895">
          <cell r="A9895">
            <v>2018</v>
          </cell>
          <cell r="B9895" t="str">
            <v>Budget</v>
          </cell>
          <cell r="C9895" t="str">
            <v>Sep</v>
          </cell>
          <cell r="D9895" t="str">
            <v>Chairs</v>
          </cell>
          <cell r="E9895">
            <v>10880959.25</v>
          </cell>
          <cell r="F9895">
            <v>9</v>
          </cell>
        </row>
        <row r="9896">
          <cell r="A9896">
            <v>2019</v>
          </cell>
          <cell r="B9896" t="str">
            <v>Actual</v>
          </cell>
          <cell r="C9896" t="str">
            <v>Sep</v>
          </cell>
          <cell r="D9896" t="str">
            <v>Chairs</v>
          </cell>
          <cell r="E9896">
            <v>464366.364</v>
          </cell>
          <cell r="F9896">
            <v>9</v>
          </cell>
        </row>
        <row r="9897">
          <cell r="A9897">
            <v>2018</v>
          </cell>
          <cell r="B9897" t="str">
            <v>Budget</v>
          </cell>
          <cell r="C9897" t="str">
            <v>Sep</v>
          </cell>
          <cell r="D9897" t="str">
            <v>Chairs</v>
          </cell>
          <cell r="E9897">
            <v>1925434.0559999999</v>
          </cell>
          <cell r="F9897">
            <v>9</v>
          </cell>
        </row>
        <row r="9898">
          <cell r="A9898">
            <v>2019</v>
          </cell>
          <cell r="B9898" t="str">
            <v>Actual</v>
          </cell>
          <cell r="C9898" t="str">
            <v>Sep</v>
          </cell>
          <cell r="D9898" t="str">
            <v>Chairs</v>
          </cell>
          <cell r="E9898">
            <v>297176.39</v>
          </cell>
          <cell r="F9898">
            <v>9</v>
          </cell>
        </row>
        <row r="9899">
          <cell r="A9899">
            <v>2018</v>
          </cell>
          <cell r="B9899" t="str">
            <v>Budget</v>
          </cell>
          <cell r="C9899" t="str">
            <v>Sep</v>
          </cell>
          <cell r="D9899" t="str">
            <v>Chairs</v>
          </cell>
          <cell r="E9899">
            <v>1680191.2749999999</v>
          </cell>
          <cell r="F9899">
            <v>9</v>
          </cell>
        </row>
        <row r="9900">
          <cell r="A9900">
            <v>2019</v>
          </cell>
          <cell r="B9900" t="str">
            <v>Actual</v>
          </cell>
          <cell r="C9900" t="str">
            <v>Sep</v>
          </cell>
          <cell r="D9900" t="str">
            <v>Tables</v>
          </cell>
          <cell r="E9900">
            <v>5913728.7230000002</v>
          </cell>
          <cell r="F9900">
            <v>9</v>
          </cell>
        </row>
        <row r="9901">
          <cell r="A9901">
            <v>2019</v>
          </cell>
          <cell r="B9901" t="str">
            <v>Budget</v>
          </cell>
          <cell r="C9901" t="str">
            <v>Sep</v>
          </cell>
          <cell r="D9901" t="str">
            <v>Kitchen</v>
          </cell>
          <cell r="E9901">
            <v>3073452.5989999999</v>
          </cell>
          <cell r="F9901">
            <v>9</v>
          </cell>
        </row>
        <row r="9902">
          <cell r="A9902">
            <v>2018</v>
          </cell>
          <cell r="B9902" t="str">
            <v>Actual</v>
          </cell>
          <cell r="C9902" t="str">
            <v>Sep</v>
          </cell>
          <cell r="D9902" t="str">
            <v>Chairs</v>
          </cell>
          <cell r="E9902">
            <v>2372052.3679999998</v>
          </cell>
          <cell r="F9902">
            <v>9</v>
          </cell>
        </row>
        <row r="9903">
          <cell r="A9903">
            <v>2019</v>
          </cell>
          <cell r="B9903" t="str">
            <v>Budget</v>
          </cell>
          <cell r="C9903" t="str">
            <v>Sep</v>
          </cell>
          <cell r="D9903" t="str">
            <v>Chairs</v>
          </cell>
          <cell r="E9903">
            <v>131032.944</v>
          </cell>
          <cell r="F9903">
            <v>9</v>
          </cell>
        </row>
        <row r="9904">
          <cell r="A9904">
            <v>2019</v>
          </cell>
          <cell r="B9904" t="str">
            <v>Actual</v>
          </cell>
          <cell r="C9904" t="str">
            <v>Sep</v>
          </cell>
          <cell r="D9904" t="str">
            <v>Chairs</v>
          </cell>
          <cell r="E9904">
            <v>43547.545999999995</v>
          </cell>
          <cell r="F9904">
            <v>9</v>
          </cell>
        </row>
        <row r="9905">
          <cell r="A9905">
            <v>2019</v>
          </cell>
          <cell r="B9905" t="str">
            <v>Budget</v>
          </cell>
          <cell r="C9905" t="str">
            <v>Sep</v>
          </cell>
          <cell r="D9905" t="str">
            <v>Tables</v>
          </cell>
          <cell r="E9905">
            <v>94741.5</v>
          </cell>
          <cell r="F9905">
            <v>9</v>
          </cell>
        </row>
        <row r="9906">
          <cell r="A9906">
            <v>2018</v>
          </cell>
          <cell r="B9906" t="str">
            <v>Actual</v>
          </cell>
          <cell r="C9906" t="str">
            <v>Sep</v>
          </cell>
          <cell r="D9906" t="str">
            <v>Kitchen</v>
          </cell>
          <cell r="E9906">
            <v>12005.258999999998</v>
          </cell>
          <cell r="F9906">
            <v>9</v>
          </cell>
        </row>
        <row r="9907">
          <cell r="A9907">
            <v>2018</v>
          </cell>
          <cell r="B9907" t="str">
            <v>Budget</v>
          </cell>
          <cell r="C9907" t="str">
            <v>Sep</v>
          </cell>
          <cell r="D9907" t="str">
            <v>Chairs</v>
          </cell>
          <cell r="E9907">
            <v>15201.612999999999</v>
          </cell>
          <cell r="F9907">
            <v>9</v>
          </cell>
        </row>
        <row r="9908">
          <cell r="A9908">
            <v>2019</v>
          </cell>
          <cell r="B9908" t="str">
            <v>Actual</v>
          </cell>
          <cell r="C9908" t="str">
            <v>Sep</v>
          </cell>
          <cell r="D9908" t="str">
            <v>Chairs</v>
          </cell>
          <cell r="E9908">
            <v>73521.804999999993</v>
          </cell>
          <cell r="F9908">
            <v>9</v>
          </cell>
        </row>
        <row r="9909">
          <cell r="A9909">
            <v>2019</v>
          </cell>
          <cell r="B9909" t="str">
            <v>Budget</v>
          </cell>
          <cell r="C9909" t="str">
            <v>Sep</v>
          </cell>
          <cell r="D9909" t="str">
            <v>Tables</v>
          </cell>
          <cell r="E9909">
            <v>8316.3780000000006</v>
          </cell>
          <cell r="F9909">
            <v>9</v>
          </cell>
        </row>
        <row r="9910">
          <cell r="A9910">
            <v>2018</v>
          </cell>
          <cell r="B9910" t="str">
            <v>Actual</v>
          </cell>
          <cell r="C9910" t="str">
            <v>Sep</v>
          </cell>
          <cell r="D9910" t="str">
            <v>Kitchen</v>
          </cell>
          <cell r="E9910">
            <v>22687.559999999998</v>
          </cell>
          <cell r="F9910">
            <v>9</v>
          </cell>
        </row>
        <row r="9911">
          <cell r="A9911">
            <v>2019</v>
          </cell>
          <cell r="B9911" t="str">
            <v>Budget</v>
          </cell>
          <cell r="C9911" t="str">
            <v>Sep</v>
          </cell>
          <cell r="D9911" t="str">
            <v>Chairs</v>
          </cell>
          <cell r="E9911">
            <v>64041.116999999991</v>
          </cell>
          <cell r="F9911">
            <v>9</v>
          </cell>
        </row>
        <row r="9912">
          <cell r="A9912">
            <v>2019</v>
          </cell>
          <cell r="B9912" t="str">
            <v>Actual</v>
          </cell>
          <cell r="C9912" t="str">
            <v>Sep</v>
          </cell>
          <cell r="D9912" t="str">
            <v>Chairs</v>
          </cell>
          <cell r="E9912">
            <v>61761.125999999989</v>
          </cell>
          <cell r="F9912">
            <v>9</v>
          </cell>
        </row>
        <row r="9913">
          <cell r="A9913">
            <v>2019</v>
          </cell>
          <cell r="B9913" t="str">
            <v>Budget</v>
          </cell>
          <cell r="C9913" t="str">
            <v>Sep</v>
          </cell>
          <cell r="D9913" t="str">
            <v>Chairs</v>
          </cell>
          <cell r="E9913">
            <v>84911.26</v>
          </cell>
          <cell r="F9913">
            <v>9</v>
          </cell>
        </row>
        <row r="9914">
          <cell r="A9914">
            <v>2018</v>
          </cell>
          <cell r="B9914" t="str">
            <v>Actual</v>
          </cell>
          <cell r="C9914" t="str">
            <v>Sep</v>
          </cell>
          <cell r="D9914" t="str">
            <v>Tables</v>
          </cell>
          <cell r="E9914">
            <v>49454.629000000001</v>
          </cell>
          <cell r="F9914">
            <v>9</v>
          </cell>
        </row>
        <row r="9915">
          <cell r="A9915">
            <v>2018</v>
          </cell>
          <cell r="B9915" t="str">
            <v>Budget</v>
          </cell>
          <cell r="C9915" t="str">
            <v>Sep</v>
          </cell>
          <cell r="D9915" t="str">
            <v>Kitchen</v>
          </cell>
          <cell r="E9915">
            <v>158488.81299999999</v>
          </cell>
          <cell r="F9915">
            <v>9</v>
          </cell>
        </row>
        <row r="9916">
          <cell r="A9916">
            <v>2018</v>
          </cell>
          <cell r="B9916" t="str">
            <v>Actual</v>
          </cell>
          <cell r="C9916" t="str">
            <v>Sep</v>
          </cell>
          <cell r="D9916" t="str">
            <v>Accessories</v>
          </cell>
          <cell r="E9916">
            <v>96849.346999999994</v>
          </cell>
          <cell r="F9916">
            <v>9</v>
          </cell>
        </row>
        <row r="9917">
          <cell r="A9917">
            <v>2019</v>
          </cell>
          <cell r="B9917" t="str">
            <v>Budget</v>
          </cell>
          <cell r="C9917" t="str">
            <v>Sep</v>
          </cell>
          <cell r="D9917" t="str">
            <v>Chairs</v>
          </cell>
          <cell r="E9917">
            <v>467574.31</v>
          </cell>
          <cell r="F9917">
            <v>9</v>
          </cell>
        </row>
        <row r="9918">
          <cell r="A9918">
            <v>2018</v>
          </cell>
          <cell r="B9918" t="str">
            <v>Actual</v>
          </cell>
          <cell r="C9918" t="str">
            <v>Sep</v>
          </cell>
          <cell r="D9918" t="str">
            <v>Tables</v>
          </cell>
          <cell r="E9918">
            <v>220714.72499999998</v>
          </cell>
          <cell r="F9918">
            <v>9</v>
          </cell>
        </row>
        <row r="9919">
          <cell r="A9919">
            <v>2019</v>
          </cell>
          <cell r="B9919" t="str">
            <v>Budget</v>
          </cell>
          <cell r="C9919" t="str">
            <v>Sep</v>
          </cell>
          <cell r="D9919" t="str">
            <v>Kitchen</v>
          </cell>
          <cell r="E9919">
            <v>67495.59599999999</v>
          </cell>
          <cell r="F9919">
            <v>9</v>
          </cell>
        </row>
        <row r="9920">
          <cell r="A9920">
            <v>2018</v>
          </cell>
          <cell r="B9920" t="str">
            <v>Actual</v>
          </cell>
          <cell r="C9920" t="str">
            <v>Sep</v>
          </cell>
          <cell r="D9920" t="str">
            <v>Accessories</v>
          </cell>
          <cell r="E9920">
            <v>24422.587</v>
          </cell>
          <cell r="F9920">
            <v>9</v>
          </cell>
        </row>
        <row r="9921">
          <cell r="A9921">
            <v>2019</v>
          </cell>
          <cell r="B9921" t="str">
            <v>Budget</v>
          </cell>
          <cell r="C9921" t="str">
            <v>Sep</v>
          </cell>
          <cell r="D9921" t="str">
            <v>Chairs</v>
          </cell>
          <cell r="E9921">
            <v>62048.300999999992</v>
          </cell>
          <cell r="F9921">
            <v>9</v>
          </cell>
        </row>
        <row r="9922">
          <cell r="A9922">
            <v>2018</v>
          </cell>
          <cell r="B9922" t="str">
            <v>Actual</v>
          </cell>
          <cell r="C9922" t="str">
            <v>Sep</v>
          </cell>
          <cell r="D9922" t="str">
            <v>Tables</v>
          </cell>
          <cell r="E9922">
            <v>335877.46499999997</v>
          </cell>
          <cell r="F9922">
            <v>9</v>
          </cell>
        </row>
        <row r="9923">
          <cell r="A9923">
            <v>2018</v>
          </cell>
          <cell r="B9923" t="str">
            <v>Budget</v>
          </cell>
          <cell r="C9923" t="str">
            <v>Sep</v>
          </cell>
          <cell r="D9923" t="str">
            <v>Kitchen</v>
          </cell>
          <cell r="E9923">
            <v>43182.845999999998</v>
          </cell>
          <cell r="F9923">
            <v>9</v>
          </cell>
        </row>
        <row r="9924">
          <cell r="A9924">
            <v>2019</v>
          </cell>
          <cell r="B9924" t="str">
            <v>Actual</v>
          </cell>
          <cell r="C9924" t="str">
            <v>Sep</v>
          </cell>
          <cell r="D9924" t="str">
            <v>Accessories</v>
          </cell>
          <cell r="E9924">
            <v>202981.68100000001</v>
          </cell>
          <cell r="F9924">
            <v>9</v>
          </cell>
        </row>
        <row r="9925">
          <cell r="A9925">
            <v>2019</v>
          </cell>
          <cell r="B9925" t="str">
            <v>Budget</v>
          </cell>
          <cell r="C9925" t="str">
            <v>Sep</v>
          </cell>
          <cell r="D9925" t="str">
            <v>Chairs</v>
          </cell>
          <cell r="E9925">
            <v>328465.99099999998</v>
          </cell>
          <cell r="F9925">
            <v>9</v>
          </cell>
        </row>
        <row r="9926">
          <cell r="A9926">
            <v>2018</v>
          </cell>
          <cell r="B9926" t="str">
            <v>Actual</v>
          </cell>
          <cell r="C9926" t="str">
            <v>Sep</v>
          </cell>
          <cell r="D9926" t="str">
            <v>Tables</v>
          </cell>
          <cell r="E9926">
            <v>91191.87</v>
          </cell>
          <cell r="F9926">
            <v>9</v>
          </cell>
        </row>
        <row r="9927">
          <cell r="A9927">
            <v>2019</v>
          </cell>
          <cell r="B9927" t="str">
            <v>Budget</v>
          </cell>
          <cell r="C9927" t="str">
            <v>Sep</v>
          </cell>
          <cell r="D9927" t="str">
            <v>Kitchen</v>
          </cell>
          <cell r="E9927">
            <v>114535.89699999998</v>
          </cell>
          <cell r="F9927">
            <v>9</v>
          </cell>
        </row>
        <row r="9928">
          <cell r="A9928">
            <v>2018</v>
          </cell>
          <cell r="B9928" t="str">
            <v>Actual</v>
          </cell>
          <cell r="C9928" t="str">
            <v>Sep</v>
          </cell>
          <cell r="D9928" t="str">
            <v>Accessories</v>
          </cell>
          <cell r="E9928">
            <v>138798.33799999999</v>
          </cell>
          <cell r="F9928">
            <v>9</v>
          </cell>
        </row>
        <row r="9929">
          <cell r="A9929">
            <v>2019</v>
          </cell>
          <cell r="B9929" t="str">
            <v>Budget</v>
          </cell>
          <cell r="C9929" t="str">
            <v>Sep</v>
          </cell>
          <cell r="D9929" t="str">
            <v>Chairs</v>
          </cell>
          <cell r="E9929">
            <v>100862.57999999999</v>
          </cell>
          <cell r="F9929">
            <v>9</v>
          </cell>
        </row>
        <row r="9930">
          <cell r="A9930">
            <v>2019</v>
          </cell>
          <cell r="B9930" t="str">
            <v>Actual</v>
          </cell>
          <cell r="C9930" t="str">
            <v>Sep</v>
          </cell>
          <cell r="D9930" t="str">
            <v>Chairs</v>
          </cell>
          <cell r="E9930">
            <v>349027.11899999995</v>
          </cell>
          <cell r="F9930">
            <v>9</v>
          </cell>
        </row>
        <row r="9931">
          <cell r="A9931">
            <v>2019</v>
          </cell>
          <cell r="B9931" t="str">
            <v>Budget</v>
          </cell>
          <cell r="C9931" t="str">
            <v>Sep</v>
          </cell>
          <cell r="D9931" t="str">
            <v>Tables</v>
          </cell>
          <cell r="E9931">
            <v>3591299.2919999994</v>
          </cell>
          <cell r="F9931">
            <v>9</v>
          </cell>
        </row>
        <row r="9932">
          <cell r="A9932">
            <v>2018</v>
          </cell>
          <cell r="B9932" t="str">
            <v>Actual</v>
          </cell>
          <cell r="C9932" t="str">
            <v>Sep</v>
          </cell>
          <cell r="D9932" t="str">
            <v>Kitchen</v>
          </cell>
          <cell r="E9932">
            <v>2121780.787</v>
          </cell>
          <cell r="F9932">
            <v>9</v>
          </cell>
        </row>
        <row r="9933">
          <cell r="A9933">
            <v>2019</v>
          </cell>
          <cell r="B9933" t="str">
            <v>Budget</v>
          </cell>
          <cell r="C9933" t="str">
            <v>Sep</v>
          </cell>
          <cell r="D9933" t="str">
            <v>Chairs</v>
          </cell>
          <cell r="E9933">
            <v>504111.26499999996</v>
          </cell>
          <cell r="F9933">
            <v>9</v>
          </cell>
        </row>
        <row r="9934">
          <cell r="A9934">
            <v>2018</v>
          </cell>
          <cell r="B9934" t="str">
            <v>Actual</v>
          </cell>
          <cell r="C9934" t="str">
            <v>Sep</v>
          </cell>
          <cell r="D9934" t="str">
            <v>Tables</v>
          </cell>
          <cell r="E9934">
            <v>78805.271999999997</v>
          </cell>
          <cell r="F9934">
            <v>9</v>
          </cell>
        </row>
        <row r="9935">
          <cell r="A9935">
            <v>2018</v>
          </cell>
          <cell r="B9935" t="str">
            <v>Budget</v>
          </cell>
          <cell r="C9935" t="str">
            <v>Sep</v>
          </cell>
          <cell r="D9935" t="str">
            <v>Kitchen</v>
          </cell>
          <cell r="E9935">
            <v>197766.065</v>
          </cell>
          <cell r="F9935">
            <v>9</v>
          </cell>
        </row>
        <row r="9936">
          <cell r="A9936">
            <v>2018</v>
          </cell>
          <cell r="B9936" t="str">
            <v>Actual</v>
          </cell>
          <cell r="C9936" t="str">
            <v>Sep</v>
          </cell>
          <cell r="D9936" t="str">
            <v>Chairs</v>
          </cell>
          <cell r="E9936">
            <v>27359080.441</v>
          </cell>
          <cell r="F9936">
            <v>9</v>
          </cell>
        </row>
        <row r="9937">
          <cell r="A9937">
            <v>2018</v>
          </cell>
          <cell r="B9937" t="str">
            <v>Budget</v>
          </cell>
          <cell r="C9937" t="str">
            <v>Sep</v>
          </cell>
          <cell r="D9937" t="str">
            <v>Tables</v>
          </cell>
          <cell r="E9937">
            <v>38510.317999999999</v>
          </cell>
          <cell r="F9937">
            <v>9</v>
          </cell>
        </row>
        <row r="9938">
          <cell r="A9938">
            <v>2018</v>
          </cell>
          <cell r="B9938" t="str">
            <v>Actual</v>
          </cell>
          <cell r="C9938" t="str">
            <v>Sep</v>
          </cell>
          <cell r="D9938" t="str">
            <v>Kitchen</v>
          </cell>
          <cell r="E9938">
            <v>9669.771999999999</v>
          </cell>
          <cell r="F9938">
            <v>9</v>
          </cell>
        </row>
        <row r="9939">
          <cell r="A9939">
            <v>2018</v>
          </cell>
          <cell r="B9939" t="str">
            <v>Budget</v>
          </cell>
          <cell r="C9939" t="str">
            <v>Sep</v>
          </cell>
          <cell r="D9939" t="str">
            <v>Chairs</v>
          </cell>
          <cell r="E9939">
            <v>16607633.958999999</v>
          </cell>
          <cell r="F9939">
            <v>9</v>
          </cell>
        </row>
        <row r="9940">
          <cell r="A9940">
            <v>2019</v>
          </cell>
          <cell r="B9940" t="str">
            <v>Actual</v>
          </cell>
          <cell r="C9940" t="str">
            <v>Sep</v>
          </cell>
          <cell r="D9940" t="str">
            <v>Chairs</v>
          </cell>
          <cell r="E9940">
            <v>280691.59999999998</v>
          </cell>
          <cell r="F9940">
            <v>9</v>
          </cell>
        </row>
        <row r="9941">
          <cell r="A9941">
            <v>2019</v>
          </cell>
          <cell r="B9941" t="str">
            <v>Budget</v>
          </cell>
          <cell r="C9941" t="str">
            <v>Sep</v>
          </cell>
          <cell r="D9941" t="str">
            <v>Chairs</v>
          </cell>
          <cell r="E9941">
            <v>38203.129999999997</v>
          </cell>
          <cell r="F9941">
            <v>9</v>
          </cell>
        </row>
        <row r="9942">
          <cell r="A9942">
            <v>2018</v>
          </cell>
          <cell r="B9942" t="str">
            <v>Actual</v>
          </cell>
          <cell r="C9942" t="str">
            <v>Sep</v>
          </cell>
          <cell r="D9942" t="str">
            <v>Chairs</v>
          </cell>
          <cell r="E9942">
            <v>10233.306999999999</v>
          </cell>
          <cell r="F9942">
            <v>9</v>
          </cell>
        </row>
        <row r="9943">
          <cell r="A9943">
            <v>2019</v>
          </cell>
          <cell r="B9943" t="str">
            <v>Budget</v>
          </cell>
          <cell r="C9943" t="str">
            <v>Sep</v>
          </cell>
          <cell r="D9943" t="str">
            <v>Chairs</v>
          </cell>
          <cell r="E9943">
            <v>23471.398999999998</v>
          </cell>
          <cell r="F9943">
            <v>9</v>
          </cell>
        </row>
        <row r="9944">
          <cell r="A9944">
            <v>2018</v>
          </cell>
          <cell r="B9944" t="str">
            <v>Actual</v>
          </cell>
          <cell r="C9944" t="str">
            <v>Sep</v>
          </cell>
          <cell r="D9944" t="str">
            <v>Chairs</v>
          </cell>
          <cell r="E9944">
            <v>158785.73199999999</v>
          </cell>
          <cell r="F9944">
            <v>9</v>
          </cell>
        </row>
        <row r="9945">
          <cell r="A9945">
            <v>2018</v>
          </cell>
          <cell r="B9945" t="str">
            <v>Budget</v>
          </cell>
          <cell r="C9945" t="str">
            <v>Sep</v>
          </cell>
          <cell r="D9945" t="str">
            <v>Chairs</v>
          </cell>
          <cell r="E9945">
            <v>81801.551999999996</v>
          </cell>
          <cell r="F9945">
            <v>9</v>
          </cell>
        </row>
        <row r="9946">
          <cell r="A9946">
            <v>2018</v>
          </cell>
          <cell r="B9946" t="str">
            <v>Actual</v>
          </cell>
          <cell r="C9946" t="str">
            <v>Sep</v>
          </cell>
          <cell r="D9946" t="str">
            <v>Chairs</v>
          </cell>
          <cell r="E9946">
            <v>51325.420999999995</v>
          </cell>
          <cell r="F9946">
            <v>9</v>
          </cell>
        </row>
        <row r="9947">
          <cell r="A9947">
            <v>2019</v>
          </cell>
          <cell r="B9947" t="str">
            <v>Budget</v>
          </cell>
          <cell r="C9947" t="str">
            <v>Sep</v>
          </cell>
          <cell r="D9947" t="str">
            <v>Chairs</v>
          </cell>
          <cell r="E9947">
            <v>84928.837</v>
          </cell>
          <cell r="F9947">
            <v>9</v>
          </cell>
        </row>
        <row r="9948">
          <cell r="A9948">
            <v>2019</v>
          </cell>
          <cell r="B9948" t="str">
            <v>Actual</v>
          </cell>
          <cell r="C9948" t="str">
            <v>Sep</v>
          </cell>
          <cell r="D9948" t="str">
            <v>Chairs</v>
          </cell>
          <cell r="E9948">
            <v>54504883.076000005</v>
          </cell>
          <cell r="F9948">
            <v>9</v>
          </cell>
        </row>
        <row r="9949">
          <cell r="A9949">
            <v>2018</v>
          </cell>
          <cell r="B9949" t="str">
            <v>Budget</v>
          </cell>
          <cell r="C9949" t="str">
            <v>Sep</v>
          </cell>
          <cell r="D9949" t="str">
            <v>Chairs</v>
          </cell>
          <cell r="E9949">
            <v>3833.9629999999997</v>
          </cell>
          <cell r="F9949">
            <v>9</v>
          </cell>
        </row>
        <row r="9950">
          <cell r="A9950">
            <v>2019</v>
          </cell>
          <cell r="B9950" t="str">
            <v>Actual</v>
          </cell>
          <cell r="C9950" t="str">
            <v>Sep</v>
          </cell>
          <cell r="D9950" t="str">
            <v>Chairs</v>
          </cell>
          <cell r="E9950">
            <v>33620.635999999999</v>
          </cell>
          <cell r="F9950">
            <v>9</v>
          </cell>
        </row>
        <row r="9951">
          <cell r="A9951">
            <v>2018</v>
          </cell>
          <cell r="B9951" t="str">
            <v>Budget</v>
          </cell>
          <cell r="C9951" t="str">
            <v>Sep</v>
          </cell>
          <cell r="D9951" t="str">
            <v>Chairs</v>
          </cell>
          <cell r="E9951">
            <v>79728.263999999996</v>
          </cell>
          <cell r="F9951">
            <v>9</v>
          </cell>
        </row>
        <row r="9952">
          <cell r="A9952">
            <v>2018</v>
          </cell>
          <cell r="B9952" t="str">
            <v>Actual</v>
          </cell>
          <cell r="C9952" t="str">
            <v>Sep</v>
          </cell>
          <cell r="D9952" t="str">
            <v>Chairs</v>
          </cell>
          <cell r="E9952">
            <v>78820.153999999995</v>
          </cell>
          <cell r="F9952">
            <v>9</v>
          </cell>
        </row>
        <row r="9953">
          <cell r="A9953">
            <v>2019</v>
          </cell>
          <cell r="B9953" t="str">
            <v>Budget</v>
          </cell>
          <cell r="C9953" t="str">
            <v>Sep</v>
          </cell>
          <cell r="D9953" t="str">
            <v>Chairs</v>
          </cell>
          <cell r="E9953">
            <v>76305.536999999997</v>
          </cell>
          <cell r="F9953">
            <v>9</v>
          </cell>
        </row>
        <row r="9954">
          <cell r="A9954">
            <v>2019</v>
          </cell>
          <cell r="B9954" t="str">
            <v>Actual</v>
          </cell>
          <cell r="C9954" t="str">
            <v>Sep</v>
          </cell>
          <cell r="D9954" t="str">
            <v>Chairs</v>
          </cell>
          <cell r="E9954">
            <v>53662.889000000003</v>
          </cell>
          <cell r="F9954">
            <v>9</v>
          </cell>
        </row>
        <row r="9955">
          <cell r="A9955">
            <v>2019</v>
          </cell>
          <cell r="B9955" t="str">
            <v>Budget</v>
          </cell>
          <cell r="C9955" t="str">
            <v>Sep</v>
          </cell>
          <cell r="D9955" t="str">
            <v>Chairs</v>
          </cell>
          <cell r="E9955">
            <v>12380.179</v>
          </cell>
          <cell r="F9955">
            <v>9</v>
          </cell>
        </row>
        <row r="9956">
          <cell r="A9956">
            <v>2018</v>
          </cell>
          <cell r="B9956" t="str">
            <v>Actual</v>
          </cell>
          <cell r="C9956" t="str">
            <v>Sep</v>
          </cell>
          <cell r="D9956" t="str">
            <v>Chairs</v>
          </cell>
          <cell r="E9956">
            <v>63131.620999999992</v>
          </cell>
          <cell r="F9956">
            <v>9</v>
          </cell>
        </row>
        <row r="9957">
          <cell r="A9957">
            <v>2018</v>
          </cell>
          <cell r="B9957" t="str">
            <v>Budget</v>
          </cell>
          <cell r="C9957" t="str">
            <v>Sep</v>
          </cell>
          <cell r="D9957" t="str">
            <v>Chairs</v>
          </cell>
          <cell r="E9957">
            <v>13983.472999999998</v>
          </cell>
          <cell r="F9957">
            <v>9</v>
          </cell>
        </row>
        <row r="9958">
          <cell r="A9958">
            <v>2019</v>
          </cell>
          <cell r="B9958" t="str">
            <v>Actual</v>
          </cell>
          <cell r="C9958" t="str">
            <v>Sep</v>
          </cell>
          <cell r="D9958" t="str">
            <v>Chairs</v>
          </cell>
          <cell r="E9958">
            <v>15098.047999999999</v>
          </cell>
          <cell r="F9958">
            <v>9</v>
          </cell>
        </row>
        <row r="9959">
          <cell r="A9959">
            <v>2018</v>
          </cell>
          <cell r="B9959" t="str">
            <v>Budget</v>
          </cell>
          <cell r="C9959" t="str">
            <v>Sep</v>
          </cell>
          <cell r="D9959" t="str">
            <v>Chairs</v>
          </cell>
          <cell r="E9959">
            <v>7795.3890000000001</v>
          </cell>
          <cell r="F9959">
            <v>9</v>
          </cell>
        </row>
        <row r="9960">
          <cell r="A9960">
            <v>2018</v>
          </cell>
          <cell r="B9960" t="str">
            <v>Actual</v>
          </cell>
          <cell r="C9960" t="str">
            <v>Sep</v>
          </cell>
          <cell r="D9960" t="str">
            <v>Chairs</v>
          </cell>
          <cell r="E9960">
            <v>44858.758000000002</v>
          </cell>
          <cell r="F9960">
            <v>9</v>
          </cell>
        </row>
        <row r="9961">
          <cell r="A9961">
            <v>2018</v>
          </cell>
          <cell r="B9961" t="str">
            <v>Budget</v>
          </cell>
          <cell r="C9961" t="str">
            <v>Sep</v>
          </cell>
          <cell r="D9961" t="str">
            <v>Chairs</v>
          </cell>
          <cell r="E9961">
            <v>48503.216999999997</v>
          </cell>
          <cell r="F9961">
            <v>9</v>
          </cell>
        </row>
        <row r="9962">
          <cell r="A9962">
            <v>2019</v>
          </cell>
          <cell r="B9962" t="str">
            <v>Actual</v>
          </cell>
          <cell r="C9962" t="str">
            <v>Sep</v>
          </cell>
          <cell r="D9962" t="str">
            <v>Chairs</v>
          </cell>
          <cell r="E9962">
            <v>25540543.496999998</v>
          </cell>
          <cell r="F9962">
            <v>9</v>
          </cell>
        </row>
        <row r="9963">
          <cell r="A9963">
            <v>2019</v>
          </cell>
          <cell r="B9963" t="str">
            <v>Budget</v>
          </cell>
          <cell r="C9963" t="str">
            <v>Sep</v>
          </cell>
          <cell r="D9963" t="str">
            <v>Chairs</v>
          </cell>
          <cell r="E9963">
            <v>124529.77599999998</v>
          </cell>
          <cell r="F9963">
            <v>9</v>
          </cell>
        </row>
        <row r="9964">
          <cell r="A9964">
            <v>2019</v>
          </cell>
          <cell r="B9964" t="str">
            <v>Actual</v>
          </cell>
          <cell r="C9964" t="str">
            <v>Sep</v>
          </cell>
          <cell r="D9964" t="str">
            <v>Chairs</v>
          </cell>
          <cell r="E9964">
            <v>351179.61199999996</v>
          </cell>
          <cell r="F9964">
            <v>9</v>
          </cell>
        </row>
        <row r="9965">
          <cell r="A9965">
            <v>2019</v>
          </cell>
          <cell r="B9965" t="str">
            <v>Budget</v>
          </cell>
          <cell r="C9965" t="str">
            <v>Sep</v>
          </cell>
          <cell r="D9965" t="str">
            <v>Tables</v>
          </cell>
          <cell r="E9965">
            <v>-5496.2669999999998</v>
          </cell>
          <cell r="F9965">
            <v>9</v>
          </cell>
        </row>
        <row r="9966">
          <cell r="A9966">
            <v>2018</v>
          </cell>
          <cell r="B9966" t="str">
            <v>Actual</v>
          </cell>
          <cell r="C9966" t="str">
            <v>Sep</v>
          </cell>
          <cell r="D9966" t="str">
            <v>Kitchen</v>
          </cell>
          <cell r="E9966">
            <v>787759.65099999995</v>
          </cell>
          <cell r="F9966">
            <v>9</v>
          </cell>
        </row>
        <row r="9967">
          <cell r="A9967">
            <v>2018</v>
          </cell>
          <cell r="B9967" t="str">
            <v>Budget</v>
          </cell>
          <cell r="C9967" t="str">
            <v>Sep</v>
          </cell>
          <cell r="D9967" t="str">
            <v>Chairs</v>
          </cell>
          <cell r="E9967">
            <v>-7798.0140000000001</v>
          </cell>
          <cell r="F9967">
            <v>9</v>
          </cell>
        </row>
        <row r="9968">
          <cell r="A9968">
            <v>2019</v>
          </cell>
          <cell r="B9968" t="str">
            <v>Actual</v>
          </cell>
          <cell r="C9968" t="str">
            <v>Sep</v>
          </cell>
          <cell r="D9968" t="str">
            <v>Chairs</v>
          </cell>
          <cell r="E9968">
            <v>338336.74</v>
          </cell>
          <cell r="F9968">
            <v>9</v>
          </cell>
        </row>
        <row r="9969">
          <cell r="A9969">
            <v>2018</v>
          </cell>
          <cell r="B9969" t="str">
            <v>Budget</v>
          </cell>
          <cell r="C9969" t="str">
            <v>Sep</v>
          </cell>
          <cell r="D9969" t="str">
            <v>Chairs</v>
          </cell>
          <cell r="E9969">
            <v>595164.16399999999</v>
          </cell>
          <cell r="F9969">
            <v>9</v>
          </cell>
        </row>
        <row r="9970">
          <cell r="A9970">
            <v>2019</v>
          </cell>
          <cell r="B9970" t="str">
            <v>Actual</v>
          </cell>
          <cell r="C9970" t="str">
            <v>Sep</v>
          </cell>
          <cell r="D9970" t="str">
            <v>Chairs</v>
          </cell>
          <cell r="E9970">
            <v>1099421.05</v>
          </cell>
          <cell r="F9970">
            <v>9</v>
          </cell>
        </row>
        <row r="9971">
          <cell r="A9971">
            <v>2019</v>
          </cell>
          <cell r="B9971" t="str">
            <v>Budget</v>
          </cell>
          <cell r="C9971" t="str">
            <v>Sep</v>
          </cell>
          <cell r="D9971" t="str">
            <v>Chairs</v>
          </cell>
          <cell r="E9971">
            <v>11282.628000000001</v>
          </cell>
          <cell r="F9971">
            <v>9</v>
          </cell>
        </row>
        <row r="9972">
          <cell r="A9972">
            <v>2019</v>
          </cell>
          <cell r="B9972" t="str">
            <v>Actual</v>
          </cell>
          <cell r="C9972" t="str">
            <v>Sep</v>
          </cell>
          <cell r="D9972" t="str">
            <v>Tables</v>
          </cell>
          <cell r="E9972">
            <v>764719.31199999992</v>
          </cell>
          <cell r="F9972">
            <v>9</v>
          </cell>
        </row>
        <row r="9973">
          <cell r="A9973">
            <v>2018</v>
          </cell>
          <cell r="B9973" t="str">
            <v>Budget</v>
          </cell>
          <cell r="C9973" t="str">
            <v>Sep</v>
          </cell>
          <cell r="D9973" t="str">
            <v>Kitchen</v>
          </cell>
          <cell r="E9973">
            <v>408036.33500000002</v>
          </cell>
          <cell r="F9973">
            <v>9</v>
          </cell>
        </row>
        <row r="9974">
          <cell r="A9974">
            <v>2018</v>
          </cell>
          <cell r="B9974" t="str">
            <v>Actual</v>
          </cell>
          <cell r="C9974" t="str">
            <v>Sep</v>
          </cell>
          <cell r="D9974" t="str">
            <v>Chairs</v>
          </cell>
          <cell r="E9974">
            <v>74613.517999999996</v>
          </cell>
          <cell r="F9974">
            <v>9</v>
          </cell>
        </row>
        <row r="9975">
          <cell r="A9975">
            <v>2018</v>
          </cell>
          <cell r="B9975" t="str">
            <v>Budget</v>
          </cell>
          <cell r="C9975" t="str">
            <v>Sep</v>
          </cell>
          <cell r="D9975" t="str">
            <v>Chairs</v>
          </cell>
          <cell r="E9975">
            <v>99074.296999999991</v>
          </cell>
          <cell r="F9975">
            <v>9</v>
          </cell>
        </row>
        <row r="9976">
          <cell r="A9976">
            <v>2018</v>
          </cell>
          <cell r="B9976" t="str">
            <v>Actual</v>
          </cell>
          <cell r="C9976" t="str">
            <v>Sep</v>
          </cell>
          <cell r="D9976" t="str">
            <v>Chairs</v>
          </cell>
          <cell r="E9976">
            <v>48327.460999999996</v>
          </cell>
          <cell r="F9976">
            <v>9</v>
          </cell>
        </row>
        <row r="9977">
          <cell r="A9977">
            <v>2019</v>
          </cell>
          <cell r="B9977" t="str">
            <v>Budget</v>
          </cell>
          <cell r="C9977" t="str">
            <v>Sep</v>
          </cell>
          <cell r="D9977" t="str">
            <v>Tables</v>
          </cell>
          <cell r="E9977">
            <v>49400.875999999989</v>
          </cell>
          <cell r="F9977">
            <v>9</v>
          </cell>
        </row>
        <row r="9978">
          <cell r="A9978">
            <v>2018</v>
          </cell>
          <cell r="B9978" t="str">
            <v>Actual</v>
          </cell>
          <cell r="C9978" t="str">
            <v>Sep</v>
          </cell>
          <cell r="D9978" t="str">
            <v>Kitchen</v>
          </cell>
          <cell r="E9978">
            <v>138740.94500000001</v>
          </cell>
          <cell r="F9978">
            <v>9</v>
          </cell>
        </row>
        <row r="9979">
          <cell r="A9979">
            <v>2018</v>
          </cell>
          <cell r="B9979" t="str">
            <v>Budget</v>
          </cell>
          <cell r="C9979" t="str">
            <v>Sep</v>
          </cell>
          <cell r="D9979" t="str">
            <v>Chairs</v>
          </cell>
          <cell r="E9979">
            <v>1979742.2469999997</v>
          </cell>
          <cell r="F9979">
            <v>9</v>
          </cell>
        </row>
        <row r="9980">
          <cell r="A9980">
            <v>2019</v>
          </cell>
          <cell r="B9980" t="str">
            <v>Actual</v>
          </cell>
          <cell r="C9980" t="str">
            <v>Sep</v>
          </cell>
          <cell r="D9980" t="str">
            <v>Chairs</v>
          </cell>
          <cell r="E9980">
            <v>168304.53499999997</v>
          </cell>
          <cell r="F9980">
            <v>9</v>
          </cell>
        </row>
        <row r="9981">
          <cell r="A9981">
            <v>2018</v>
          </cell>
          <cell r="B9981" t="str">
            <v>Budget</v>
          </cell>
          <cell r="C9981" t="str">
            <v>Sep</v>
          </cell>
          <cell r="D9981" t="str">
            <v>Tables</v>
          </cell>
          <cell r="E9981">
            <v>9739.0719999999983</v>
          </cell>
          <cell r="F9981">
            <v>9</v>
          </cell>
        </row>
        <row r="9982">
          <cell r="A9982">
            <v>2019</v>
          </cell>
          <cell r="B9982" t="str">
            <v>Actual</v>
          </cell>
          <cell r="C9982" t="str">
            <v>Sep</v>
          </cell>
          <cell r="D9982" t="str">
            <v>Kitchen</v>
          </cell>
          <cell r="E9982">
            <v>177529.758</v>
          </cell>
          <cell r="F9982">
            <v>9</v>
          </cell>
        </row>
        <row r="9983">
          <cell r="A9983">
            <v>2018</v>
          </cell>
          <cell r="B9983" t="str">
            <v>Budget</v>
          </cell>
          <cell r="C9983" t="str">
            <v>Sep</v>
          </cell>
          <cell r="D9983" t="str">
            <v>Chairs</v>
          </cell>
          <cell r="E9983">
            <v>-34569.443999999996</v>
          </cell>
          <cell r="F9983">
            <v>9</v>
          </cell>
        </row>
        <row r="9984">
          <cell r="A9984">
            <v>2018</v>
          </cell>
          <cell r="B9984" t="str">
            <v>Actual</v>
          </cell>
          <cell r="C9984" t="str">
            <v>Sep</v>
          </cell>
          <cell r="D9984" t="str">
            <v>Chairs</v>
          </cell>
          <cell r="E9984">
            <v>569619.49099999992</v>
          </cell>
          <cell r="F9984">
            <v>9</v>
          </cell>
        </row>
        <row r="9985">
          <cell r="A9985">
            <v>2018</v>
          </cell>
          <cell r="B9985" t="str">
            <v>Budget</v>
          </cell>
          <cell r="C9985" t="str">
            <v>Sep</v>
          </cell>
          <cell r="D9985" t="str">
            <v>Chairs</v>
          </cell>
          <cell r="E9985">
            <v>119278.94299999998</v>
          </cell>
          <cell r="F9985">
            <v>9</v>
          </cell>
        </row>
        <row r="9986">
          <cell r="A9986">
            <v>2018</v>
          </cell>
          <cell r="B9986" t="str">
            <v>Actual</v>
          </cell>
          <cell r="C9986" t="str">
            <v>Sep</v>
          </cell>
          <cell r="D9986" t="str">
            <v>Tables</v>
          </cell>
          <cell r="E9986">
            <v>22259.187999999998</v>
          </cell>
          <cell r="F9986">
            <v>9</v>
          </cell>
        </row>
        <row r="9987">
          <cell r="A9987">
            <v>2018</v>
          </cell>
          <cell r="B9987" t="str">
            <v>Budget</v>
          </cell>
          <cell r="C9987" t="str">
            <v>Sep</v>
          </cell>
          <cell r="D9987" t="str">
            <v>Kitchen</v>
          </cell>
          <cell r="E9987">
            <v>65075.310999999994</v>
          </cell>
          <cell r="F9987">
            <v>9</v>
          </cell>
        </row>
        <row r="9988">
          <cell r="A9988">
            <v>2019</v>
          </cell>
          <cell r="B9988" t="str">
            <v>Actual</v>
          </cell>
          <cell r="C9988" t="str">
            <v>Sep</v>
          </cell>
          <cell r="D9988" t="str">
            <v>Accessories</v>
          </cell>
          <cell r="E9988">
            <v>251009.30399999997</v>
          </cell>
          <cell r="F9988">
            <v>9</v>
          </cell>
        </row>
        <row r="9989">
          <cell r="A9989">
            <v>2019</v>
          </cell>
          <cell r="B9989" t="str">
            <v>Budget</v>
          </cell>
          <cell r="C9989" t="str">
            <v>Sep</v>
          </cell>
          <cell r="D9989" t="str">
            <v>Chairs</v>
          </cell>
          <cell r="E9989">
            <v>10282.965</v>
          </cell>
          <cell r="F9989">
            <v>9</v>
          </cell>
        </row>
        <row r="9990">
          <cell r="A9990">
            <v>2018</v>
          </cell>
          <cell r="B9990" t="str">
            <v>Actual</v>
          </cell>
          <cell r="C9990" t="str">
            <v>Sep</v>
          </cell>
          <cell r="D9990" t="str">
            <v>Tables</v>
          </cell>
          <cell r="E9990">
            <v>71254.141000000003</v>
          </cell>
          <cell r="F9990">
            <v>9</v>
          </cell>
        </row>
        <row r="9991">
          <cell r="A9991">
            <v>2019</v>
          </cell>
          <cell r="B9991" t="str">
            <v>Budget</v>
          </cell>
          <cell r="C9991" t="str">
            <v>Sep</v>
          </cell>
          <cell r="D9991" t="str">
            <v>Kitchen</v>
          </cell>
          <cell r="E9991">
            <v>68474.672000000006</v>
          </cell>
          <cell r="F9991">
            <v>9</v>
          </cell>
        </row>
        <row r="9992">
          <cell r="A9992">
            <v>2018</v>
          </cell>
          <cell r="B9992" t="str">
            <v>Actual</v>
          </cell>
          <cell r="C9992" t="str">
            <v>Sep</v>
          </cell>
          <cell r="D9992" t="str">
            <v>Accessories</v>
          </cell>
          <cell r="E9992">
            <v>48932.925999999992</v>
          </cell>
          <cell r="F9992">
            <v>9</v>
          </cell>
        </row>
        <row r="9993">
          <cell r="A9993">
            <v>2018</v>
          </cell>
          <cell r="B9993" t="str">
            <v>Budget</v>
          </cell>
          <cell r="C9993" t="str">
            <v>Sep</v>
          </cell>
          <cell r="D9993" t="str">
            <v>Chairs</v>
          </cell>
          <cell r="E9993">
            <v>3734464.412</v>
          </cell>
          <cell r="F9993">
            <v>9</v>
          </cell>
        </row>
        <row r="9994">
          <cell r="A9994">
            <v>2019</v>
          </cell>
          <cell r="B9994" t="str">
            <v>Actual</v>
          </cell>
          <cell r="C9994" t="str">
            <v>Sep</v>
          </cell>
          <cell r="D9994" t="str">
            <v>Tables</v>
          </cell>
          <cell r="E9994">
            <v>346945.02499999997</v>
          </cell>
          <cell r="F9994">
            <v>9</v>
          </cell>
        </row>
        <row r="9995">
          <cell r="A9995">
            <v>2019</v>
          </cell>
          <cell r="B9995" t="str">
            <v>Budget</v>
          </cell>
          <cell r="C9995" t="str">
            <v>Sep</v>
          </cell>
          <cell r="D9995" t="str">
            <v>Kitchen</v>
          </cell>
          <cell r="E9995">
            <v>496987.72899999993</v>
          </cell>
          <cell r="F9995">
            <v>9</v>
          </cell>
        </row>
        <row r="9996">
          <cell r="A9996">
            <v>2018</v>
          </cell>
          <cell r="B9996" t="str">
            <v>Actual</v>
          </cell>
          <cell r="C9996" t="str">
            <v>Sep</v>
          </cell>
          <cell r="D9996" t="str">
            <v>Accessories</v>
          </cell>
          <cell r="E9996">
            <v>59095.693999999996</v>
          </cell>
          <cell r="F9996">
            <v>9</v>
          </cell>
        </row>
        <row r="9997">
          <cell r="A9997">
            <v>2019</v>
          </cell>
          <cell r="B9997" t="str">
            <v>Budget</v>
          </cell>
          <cell r="C9997" t="str">
            <v>Sep</v>
          </cell>
          <cell r="D9997" t="str">
            <v>Chairs</v>
          </cell>
          <cell r="E9997">
            <v>174209.889</v>
          </cell>
          <cell r="F9997">
            <v>9</v>
          </cell>
        </row>
        <row r="9998">
          <cell r="A9998">
            <v>2018</v>
          </cell>
          <cell r="B9998" t="str">
            <v>Actual</v>
          </cell>
          <cell r="C9998" t="str">
            <v>Sep</v>
          </cell>
          <cell r="D9998" t="str">
            <v>Tables</v>
          </cell>
          <cell r="E9998">
            <v>132352.78</v>
          </cell>
          <cell r="F9998">
            <v>9</v>
          </cell>
        </row>
        <row r="9999">
          <cell r="A9999">
            <v>2019</v>
          </cell>
          <cell r="B9999" t="str">
            <v>Budget</v>
          </cell>
          <cell r="C9999" t="str">
            <v>Sep</v>
          </cell>
          <cell r="D9999" t="str">
            <v>Kitchen</v>
          </cell>
          <cell r="E9999">
            <v>59508.427999999993</v>
          </cell>
          <cell r="F9999">
            <v>9</v>
          </cell>
        </row>
        <row r="10000">
          <cell r="A10000">
            <v>2018</v>
          </cell>
          <cell r="B10000" t="str">
            <v>Actual</v>
          </cell>
          <cell r="C10000" t="str">
            <v>Sep</v>
          </cell>
          <cell r="D10000" t="str">
            <v>Accessories</v>
          </cell>
          <cell r="E10000">
            <v>56602.385000000002</v>
          </cell>
          <cell r="F10000">
            <v>9</v>
          </cell>
        </row>
        <row r="10001">
          <cell r="A10001">
            <v>2018</v>
          </cell>
          <cell r="B10001" t="str">
            <v>Budget</v>
          </cell>
          <cell r="C10001" t="str">
            <v>Sep</v>
          </cell>
          <cell r="D10001" t="str">
            <v>Chairs</v>
          </cell>
          <cell r="E10001">
            <v>62681.758999999991</v>
          </cell>
          <cell r="F10001">
            <v>9</v>
          </cell>
        </row>
        <row r="10002">
          <cell r="A10002">
            <v>2018</v>
          </cell>
          <cell r="B10002" t="str">
            <v>Actual</v>
          </cell>
          <cell r="C10002" t="str">
            <v>Sep</v>
          </cell>
          <cell r="D10002" t="str">
            <v>Chairs</v>
          </cell>
          <cell r="E10002">
            <v>42724.983</v>
          </cell>
          <cell r="F10002">
            <v>9</v>
          </cell>
        </row>
        <row r="10003">
          <cell r="A10003">
            <v>2018</v>
          </cell>
          <cell r="B10003" t="str">
            <v>Budget</v>
          </cell>
          <cell r="C10003" t="str">
            <v>Sep</v>
          </cell>
          <cell r="D10003" t="str">
            <v>Tables</v>
          </cell>
          <cell r="E10003">
            <v>109754.68</v>
          </cell>
          <cell r="F10003">
            <v>9</v>
          </cell>
        </row>
        <row r="10004">
          <cell r="A10004">
            <v>2018</v>
          </cell>
          <cell r="B10004" t="str">
            <v>Actual</v>
          </cell>
          <cell r="C10004" t="str">
            <v>Sep</v>
          </cell>
          <cell r="D10004" t="str">
            <v>Kitchen</v>
          </cell>
          <cell r="E10004">
            <v>209737.71</v>
          </cell>
          <cell r="F10004">
            <v>9</v>
          </cell>
        </row>
        <row r="10005">
          <cell r="A10005">
            <v>2018</v>
          </cell>
          <cell r="B10005" t="str">
            <v>Budget</v>
          </cell>
          <cell r="C10005" t="str">
            <v>Sep</v>
          </cell>
          <cell r="D10005" t="str">
            <v>Chairs</v>
          </cell>
          <cell r="E10005">
            <v>191049.48800000001</v>
          </cell>
          <cell r="F10005">
            <v>9</v>
          </cell>
        </row>
        <row r="10006">
          <cell r="A10006">
            <v>2018</v>
          </cell>
          <cell r="B10006" t="str">
            <v>Actual</v>
          </cell>
          <cell r="C10006" t="str">
            <v>Sep</v>
          </cell>
          <cell r="D10006" t="str">
            <v>Tables</v>
          </cell>
          <cell r="E10006">
            <v>41516.264999999992</v>
          </cell>
          <cell r="F10006">
            <v>9</v>
          </cell>
        </row>
        <row r="10007">
          <cell r="A10007">
            <v>2019</v>
          </cell>
          <cell r="B10007" t="str">
            <v>Budget</v>
          </cell>
          <cell r="C10007" t="str">
            <v>Sep</v>
          </cell>
          <cell r="D10007" t="str">
            <v>Kitchen</v>
          </cell>
          <cell r="E10007">
            <v>13464.766</v>
          </cell>
          <cell r="F10007">
            <v>9</v>
          </cell>
        </row>
        <row r="10008">
          <cell r="A10008">
            <v>2019</v>
          </cell>
          <cell r="B10008" t="str">
            <v>Actual</v>
          </cell>
          <cell r="C10008" t="str">
            <v>Sep</v>
          </cell>
          <cell r="D10008" t="str">
            <v>Chairs</v>
          </cell>
          <cell r="E10008">
            <v>55295.597000000002</v>
          </cell>
          <cell r="F10008">
            <v>9</v>
          </cell>
        </row>
        <row r="10009">
          <cell r="A10009">
            <v>2019</v>
          </cell>
          <cell r="B10009" t="str">
            <v>Budget</v>
          </cell>
          <cell r="C10009" t="str">
            <v>Sep</v>
          </cell>
          <cell r="D10009" t="str">
            <v>Tables</v>
          </cell>
          <cell r="E10009">
            <v>21656.060999999998</v>
          </cell>
          <cell r="F10009">
            <v>9</v>
          </cell>
        </row>
        <row r="10010">
          <cell r="A10010">
            <v>2019</v>
          </cell>
          <cell r="B10010" t="str">
            <v>Actual</v>
          </cell>
          <cell r="C10010" t="str">
            <v>Sep</v>
          </cell>
          <cell r="D10010" t="str">
            <v>Kitchen</v>
          </cell>
          <cell r="E10010">
            <v>20864.850999999999</v>
          </cell>
          <cell r="F10010">
            <v>9</v>
          </cell>
        </row>
        <row r="10011">
          <cell r="A10011">
            <v>2019</v>
          </cell>
          <cell r="B10011" t="str">
            <v>Budget</v>
          </cell>
          <cell r="C10011" t="str">
            <v>Sep</v>
          </cell>
          <cell r="D10011" t="str">
            <v>Chairs</v>
          </cell>
          <cell r="E10011">
            <v>70317.93299999999</v>
          </cell>
          <cell r="F10011">
            <v>9</v>
          </cell>
        </row>
        <row r="10012">
          <cell r="A10012">
            <v>2019</v>
          </cell>
          <cell r="B10012" t="str">
            <v>Actual</v>
          </cell>
          <cell r="C10012" t="str">
            <v>Sep</v>
          </cell>
          <cell r="D10012" t="str">
            <v>Chairs</v>
          </cell>
          <cell r="E10012">
            <v>3243175.5719999997</v>
          </cell>
          <cell r="F10012">
            <v>9</v>
          </cell>
        </row>
        <row r="10013">
          <cell r="A10013">
            <v>2018</v>
          </cell>
          <cell r="B10013" t="str">
            <v>Budget</v>
          </cell>
          <cell r="C10013" t="str">
            <v>Sep</v>
          </cell>
          <cell r="D10013" t="str">
            <v>Chairs</v>
          </cell>
          <cell r="E10013">
            <v>588159.20799999987</v>
          </cell>
          <cell r="F10013">
            <v>9</v>
          </cell>
        </row>
        <row r="10014">
          <cell r="A10014">
            <v>2018</v>
          </cell>
          <cell r="B10014" t="str">
            <v>Actual</v>
          </cell>
          <cell r="C10014" t="str">
            <v>Sep</v>
          </cell>
          <cell r="D10014" t="str">
            <v>Chairs</v>
          </cell>
          <cell r="E10014">
            <v>229934.07499999998</v>
          </cell>
          <cell r="F10014">
            <v>9</v>
          </cell>
        </row>
        <row r="10015">
          <cell r="A10015">
            <v>2018</v>
          </cell>
          <cell r="B10015" t="str">
            <v>Budget</v>
          </cell>
          <cell r="C10015" t="str">
            <v>Sep</v>
          </cell>
          <cell r="D10015" t="str">
            <v>Chairs</v>
          </cell>
          <cell r="E10015">
            <v>6134414.1459999988</v>
          </cell>
          <cell r="F10015">
            <v>9</v>
          </cell>
        </row>
        <row r="10016">
          <cell r="A10016">
            <v>2019</v>
          </cell>
          <cell r="B10016" t="str">
            <v>Actual</v>
          </cell>
          <cell r="C10016" t="str">
            <v>Sep</v>
          </cell>
          <cell r="D10016" t="str">
            <v>Chairs</v>
          </cell>
          <cell r="E10016">
            <v>12367670.426999999</v>
          </cell>
          <cell r="F10016">
            <v>9</v>
          </cell>
        </row>
        <row r="10017">
          <cell r="A10017">
            <v>2018</v>
          </cell>
          <cell r="B10017" t="str">
            <v>Budget</v>
          </cell>
          <cell r="C10017" t="str">
            <v>Sep</v>
          </cell>
          <cell r="D10017" t="str">
            <v>Chairs</v>
          </cell>
          <cell r="E10017">
            <v>215700.79299999998</v>
          </cell>
          <cell r="F10017">
            <v>9</v>
          </cell>
        </row>
        <row r="10018">
          <cell r="A10018">
            <v>2018</v>
          </cell>
          <cell r="B10018" t="str">
            <v>Actual</v>
          </cell>
          <cell r="C10018" t="str">
            <v>Sep</v>
          </cell>
          <cell r="D10018" t="str">
            <v>Chairs</v>
          </cell>
          <cell r="E10018">
            <v>2411127.1519999998</v>
          </cell>
          <cell r="F10018">
            <v>9</v>
          </cell>
        </row>
        <row r="10019">
          <cell r="A10019">
            <v>2018</v>
          </cell>
          <cell r="B10019" t="str">
            <v>Budget</v>
          </cell>
          <cell r="C10019" t="str">
            <v>Sep</v>
          </cell>
          <cell r="D10019" t="str">
            <v>Chairs</v>
          </cell>
          <cell r="E10019">
            <v>2327998.9809999997</v>
          </cell>
          <cell r="F10019">
            <v>9</v>
          </cell>
        </row>
        <row r="10020">
          <cell r="A10020">
            <v>2018</v>
          </cell>
          <cell r="B10020" t="str">
            <v>Actual</v>
          </cell>
          <cell r="C10020" t="str">
            <v>Sep</v>
          </cell>
          <cell r="D10020" t="str">
            <v>Chairs</v>
          </cell>
          <cell r="E10020">
            <v>10215403.975</v>
          </cell>
          <cell r="F10020">
            <v>9</v>
          </cell>
        </row>
        <row r="10021">
          <cell r="A10021">
            <v>2019</v>
          </cell>
          <cell r="B10021" t="str">
            <v>Budget</v>
          </cell>
          <cell r="C10021" t="str">
            <v>Sep</v>
          </cell>
          <cell r="D10021" t="str">
            <v>Chairs</v>
          </cell>
          <cell r="E10021">
            <v>4768136.0159999998</v>
          </cell>
          <cell r="F10021">
            <v>9</v>
          </cell>
        </row>
        <row r="10022">
          <cell r="A10022">
            <v>2018</v>
          </cell>
          <cell r="B10022" t="str">
            <v>Actual</v>
          </cell>
          <cell r="C10022" t="str">
            <v>Sep</v>
          </cell>
          <cell r="D10022" t="str">
            <v>Chairs</v>
          </cell>
          <cell r="E10022">
            <v>4849660.466</v>
          </cell>
          <cell r="F10022">
            <v>9</v>
          </cell>
        </row>
        <row r="10023">
          <cell r="A10023">
            <v>2019</v>
          </cell>
          <cell r="B10023" t="str">
            <v>Budget</v>
          </cell>
          <cell r="C10023" t="str">
            <v>Sep</v>
          </cell>
          <cell r="D10023" t="str">
            <v>Chairs</v>
          </cell>
          <cell r="E10023">
            <v>2643217.9409999996</v>
          </cell>
          <cell r="F10023">
            <v>9</v>
          </cell>
        </row>
        <row r="10024">
          <cell r="A10024">
            <v>2018</v>
          </cell>
          <cell r="B10024" t="str">
            <v>Actual</v>
          </cell>
          <cell r="C10024" t="str">
            <v>Sep</v>
          </cell>
          <cell r="D10024" t="str">
            <v>Chairs</v>
          </cell>
          <cell r="E10024">
            <v>9539484.3389999997</v>
          </cell>
          <cell r="F10024">
            <v>9</v>
          </cell>
        </row>
        <row r="10025">
          <cell r="A10025">
            <v>2018</v>
          </cell>
          <cell r="B10025" t="str">
            <v>Budget</v>
          </cell>
          <cell r="C10025" t="str">
            <v>Sep</v>
          </cell>
          <cell r="D10025" t="str">
            <v>Chairs</v>
          </cell>
          <cell r="E10025">
            <v>19381422.150999997</v>
          </cell>
          <cell r="F10025">
            <v>9</v>
          </cell>
        </row>
        <row r="10026">
          <cell r="A10026">
            <v>2019</v>
          </cell>
          <cell r="B10026" t="str">
            <v>Actual</v>
          </cell>
          <cell r="C10026" t="str">
            <v>Sep</v>
          </cell>
          <cell r="D10026" t="str">
            <v>Chairs</v>
          </cell>
          <cell r="E10026">
            <v>16040544.652999999</v>
          </cell>
          <cell r="F10026">
            <v>9</v>
          </cell>
        </row>
        <row r="10027">
          <cell r="A10027">
            <v>2018</v>
          </cell>
          <cell r="B10027" t="str">
            <v>Budget</v>
          </cell>
          <cell r="C10027" t="str">
            <v>Sep</v>
          </cell>
          <cell r="D10027" t="str">
            <v>Chairs</v>
          </cell>
          <cell r="E10027">
            <v>16190540.919</v>
          </cell>
          <cell r="F10027">
            <v>9</v>
          </cell>
        </row>
        <row r="10028">
          <cell r="A10028">
            <v>2018</v>
          </cell>
          <cell r="B10028" t="str">
            <v>Actual</v>
          </cell>
          <cell r="C10028" t="str">
            <v>Sep</v>
          </cell>
          <cell r="D10028" t="str">
            <v>Chairs</v>
          </cell>
          <cell r="E10028">
            <v>7373298.0159999998</v>
          </cell>
          <cell r="F10028">
            <v>9</v>
          </cell>
        </row>
        <row r="10029">
          <cell r="A10029">
            <v>2019</v>
          </cell>
          <cell r="B10029" t="str">
            <v>Budget</v>
          </cell>
          <cell r="C10029" t="str">
            <v>Sep</v>
          </cell>
          <cell r="D10029" t="str">
            <v>Chairs</v>
          </cell>
          <cell r="E10029">
            <v>14565764.863999998</v>
          </cell>
          <cell r="F10029">
            <v>9</v>
          </cell>
        </row>
        <row r="10030">
          <cell r="A10030">
            <v>2018</v>
          </cell>
          <cell r="B10030" t="str">
            <v>Actual</v>
          </cell>
          <cell r="C10030" t="str">
            <v>Sep</v>
          </cell>
          <cell r="D10030" t="str">
            <v>Chairs</v>
          </cell>
          <cell r="E10030">
            <v>11800018.502999999</v>
          </cell>
          <cell r="F10030">
            <v>9</v>
          </cell>
        </row>
        <row r="10031">
          <cell r="A10031">
            <v>2019</v>
          </cell>
          <cell r="B10031" t="str">
            <v>Budget</v>
          </cell>
          <cell r="C10031" t="str">
            <v>Sep</v>
          </cell>
          <cell r="D10031" t="str">
            <v>Chairs</v>
          </cell>
          <cell r="E10031">
            <v>146208.55199999997</v>
          </cell>
          <cell r="F10031">
            <v>9</v>
          </cell>
        </row>
        <row r="10032">
          <cell r="A10032">
            <v>2019</v>
          </cell>
          <cell r="B10032" t="str">
            <v>Actual</v>
          </cell>
          <cell r="C10032" t="str">
            <v>Sep</v>
          </cell>
          <cell r="D10032" t="str">
            <v>Chairs</v>
          </cell>
          <cell r="E10032">
            <v>19058476.647</v>
          </cell>
          <cell r="F10032">
            <v>9</v>
          </cell>
        </row>
        <row r="10033">
          <cell r="A10033">
            <v>2019</v>
          </cell>
          <cell r="B10033" t="str">
            <v>Budget</v>
          </cell>
          <cell r="C10033" t="str">
            <v>Sep</v>
          </cell>
          <cell r="D10033" t="str">
            <v>Chairs</v>
          </cell>
          <cell r="E10033">
            <v>12938352.314999999</v>
          </cell>
          <cell r="F10033">
            <v>9</v>
          </cell>
        </row>
        <row r="10034">
          <cell r="A10034">
            <v>2019</v>
          </cell>
          <cell r="B10034" t="str">
            <v>Actual</v>
          </cell>
          <cell r="C10034" t="str">
            <v>Sep</v>
          </cell>
          <cell r="D10034" t="str">
            <v>Chairs</v>
          </cell>
          <cell r="E10034">
            <v>7318617.1449999996</v>
          </cell>
          <cell r="F10034">
            <v>9</v>
          </cell>
        </row>
        <row r="10035">
          <cell r="A10035">
            <v>2019</v>
          </cell>
          <cell r="B10035" t="str">
            <v>Budget</v>
          </cell>
          <cell r="C10035" t="str">
            <v>Sep</v>
          </cell>
          <cell r="D10035" t="str">
            <v>Chairs</v>
          </cell>
          <cell r="E10035">
            <v>1265113.801</v>
          </cell>
          <cell r="F10035">
            <v>9</v>
          </cell>
        </row>
        <row r="10036">
          <cell r="A10036">
            <v>2018</v>
          </cell>
          <cell r="B10036" t="str">
            <v>Actual</v>
          </cell>
          <cell r="C10036" t="str">
            <v>Sep</v>
          </cell>
          <cell r="D10036" t="str">
            <v>Chairs</v>
          </cell>
          <cell r="E10036">
            <v>643510.44099999999</v>
          </cell>
          <cell r="F10036">
            <v>9</v>
          </cell>
        </row>
        <row r="10037">
          <cell r="A10037">
            <v>2018</v>
          </cell>
          <cell r="B10037" t="str">
            <v>Budget</v>
          </cell>
          <cell r="C10037" t="str">
            <v>Sep</v>
          </cell>
          <cell r="D10037" t="str">
            <v>Tables</v>
          </cell>
          <cell r="E10037">
            <v>-1668815.148</v>
          </cell>
          <cell r="F10037">
            <v>9</v>
          </cell>
        </row>
        <row r="10038">
          <cell r="A10038">
            <v>2018</v>
          </cell>
          <cell r="B10038" t="str">
            <v>Actual</v>
          </cell>
          <cell r="C10038" t="str">
            <v>Sep</v>
          </cell>
          <cell r="D10038" t="str">
            <v>Kitchen</v>
          </cell>
          <cell r="E10038">
            <v>71907.149999999994</v>
          </cell>
          <cell r="F10038">
            <v>9</v>
          </cell>
        </row>
        <row r="10039">
          <cell r="A10039">
            <v>2018</v>
          </cell>
          <cell r="B10039" t="str">
            <v>Budget</v>
          </cell>
          <cell r="C10039" t="str">
            <v>Sep</v>
          </cell>
          <cell r="D10039" t="str">
            <v>Chairs</v>
          </cell>
          <cell r="E10039">
            <v>1564514.203</v>
          </cell>
          <cell r="F10039">
            <v>9</v>
          </cell>
        </row>
        <row r="10040">
          <cell r="A10040">
            <v>2018</v>
          </cell>
          <cell r="B10040" t="str">
            <v>Actual</v>
          </cell>
          <cell r="C10040" t="str">
            <v>Sep</v>
          </cell>
          <cell r="D10040" t="str">
            <v>Chairs</v>
          </cell>
          <cell r="E10040">
            <v>145310.61299999998</v>
          </cell>
          <cell r="F10040">
            <v>9</v>
          </cell>
        </row>
        <row r="10041">
          <cell r="A10041">
            <v>2019</v>
          </cell>
          <cell r="B10041" t="str">
            <v>Budget</v>
          </cell>
          <cell r="C10041" t="str">
            <v>Sep</v>
          </cell>
          <cell r="D10041" t="str">
            <v>Chairs</v>
          </cell>
          <cell r="E10041">
            <v>802236.31599999988</v>
          </cell>
          <cell r="F10041">
            <v>9</v>
          </cell>
        </row>
        <row r="10042">
          <cell r="A10042">
            <v>2019</v>
          </cell>
          <cell r="B10042" t="str">
            <v>Actual</v>
          </cell>
          <cell r="C10042" t="str">
            <v>Sep</v>
          </cell>
          <cell r="D10042" t="str">
            <v>Chairs</v>
          </cell>
          <cell r="E10042">
            <v>564991.83299999987</v>
          </cell>
          <cell r="F10042">
            <v>9</v>
          </cell>
        </row>
        <row r="10043">
          <cell r="A10043">
            <v>2018</v>
          </cell>
          <cell r="B10043" t="str">
            <v>Budget</v>
          </cell>
          <cell r="C10043" t="str">
            <v>Sep</v>
          </cell>
          <cell r="D10043" t="str">
            <v>Chairs</v>
          </cell>
          <cell r="E10043">
            <v>287600.299</v>
          </cell>
          <cell r="F10043">
            <v>9</v>
          </cell>
        </row>
        <row r="10044">
          <cell r="A10044">
            <v>2018</v>
          </cell>
          <cell r="B10044" t="str">
            <v>Actual</v>
          </cell>
          <cell r="C10044" t="str">
            <v>Sep</v>
          </cell>
          <cell r="D10044" t="str">
            <v>Tables</v>
          </cell>
          <cell r="E10044">
            <v>148984.40899999999</v>
          </cell>
          <cell r="F10044">
            <v>9</v>
          </cell>
        </row>
        <row r="10045">
          <cell r="A10045">
            <v>2018</v>
          </cell>
          <cell r="B10045" t="str">
            <v>Budget</v>
          </cell>
          <cell r="C10045" t="str">
            <v>Sep</v>
          </cell>
          <cell r="D10045" t="str">
            <v>Kitchen</v>
          </cell>
          <cell r="E10045">
            <v>853665.61699999997</v>
          </cell>
          <cell r="F10045">
            <v>9</v>
          </cell>
        </row>
        <row r="10046">
          <cell r="A10046">
            <v>2019</v>
          </cell>
          <cell r="B10046" t="str">
            <v>Actual</v>
          </cell>
          <cell r="C10046" t="str">
            <v>Sep</v>
          </cell>
          <cell r="D10046" t="str">
            <v>Chairs</v>
          </cell>
          <cell r="E10046">
            <v>3363745.4479999994</v>
          </cell>
          <cell r="F10046">
            <v>9</v>
          </cell>
        </row>
        <row r="10047">
          <cell r="A10047">
            <v>2018</v>
          </cell>
          <cell r="B10047" t="str">
            <v>Budget</v>
          </cell>
          <cell r="C10047" t="str">
            <v>Sep</v>
          </cell>
          <cell r="D10047" t="str">
            <v>Chairs</v>
          </cell>
          <cell r="E10047">
            <v>3766686.5949999993</v>
          </cell>
          <cell r="F10047">
            <v>9</v>
          </cell>
        </row>
        <row r="10048">
          <cell r="A10048">
            <v>2019</v>
          </cell>
          <cell r="B10048" t="str">
            <v>Actual</v>
          </cell>
          <cell r="C10048" t="str">
            <v>Sep</v>
          </cell>
          <cell r="D10048" t="str">
            <v>Chairs</v>
          </cell>
          <cell r="E10048">
            <v>150527.41199999998</v>
          </cell>
          <cell r="F10048">
            <v>9</v>
          </cell>
        </row>
        <row r="10049">
          <cell r="A10049">
            <v>2019</v>
          </cell>
          <cell r="B10049" t="str">
            <v>Budget</v>
          </cell>
          <cell r="C10049" t="str">
            <v>Sep</v>
          </cell>
          <cell r="D10049" t="str">
            <v>Tables</v>
          </cell>
          <cell r="E10049">
            <v>766556.33599999989</v>
          </cell>
          <cell r="F10049">
            <v>9</v>
          </cell>
        </row>
        <row r="10050">
          <cell r="A10050">
            <v>2019</v>
          </cell>
          <cell r="B10050" t="str">
            <v>Actual</v>
          </cell>
          <cell r="C10050" t="str">
            <v>Sep</v>
          </cell>
          <cell r="D10050" t="str">
            <v>Kitchen</v>
          </cell>
          <cell r="E10050">
            <v>2136746.5</v>
          </cell>
          <cell r="F10050">
            <v>9</v>
          </cell>
        </row>
        <row r="10051">
          <cell r="A10051">
            <v>2018</v>
          </cell>
          <cell r="B10051" t="str">
            <v>Budget</v>
          </cell>
          <cell r="C10051" t="str">
            <v>Sep</v>
          </cell>
          <cell r="D10051" t="str">
            <v>Chairs</v>
          </cell>
          <cell r="E10051">
            <v>1707311.753</v>
          </cell>
          <cell r="F10051">
            <v>9</v>
          </cell>
        </row>
        <row r="10052">
          <cell r="A10052">
            <v>2018</v>
          </cell>
          <cell r="B10052" t="str">
            <v>Actual</v>
          </cell>
          <cell r="C10052" t="str">
            <v>Sep</v>
          </cell>
          <cell r="D10052" t="str">
            <v>Chairs</v>
          </cell>
          <cell r="E10052">
            <v>255088.86899999998</v>
          </cell>
          <cell r="F10052">
            <v>9</v>
          </cell>
        </row>
        <row r="10053">
          <cell r="A10053">
            <v>2018</v>
          </cell>
          <cell r="B10053" t="str">
            <v>Budget</v>
          </cell>
          <cell r="C10053" t="str">
            <v>Sep</v>
          </cell>
          <cell r="D10053" t="str">
            <v>Tables</v>
          </cell>
          <cell r="E10053">
            <v>184869.66399999999</v>
          </cell>
          <cell r="F10053">
            <v>9</v>
          </cell>
        </row>
        <row r="10054">
          <cell r="A10054">
            <v>2019</v>
          </cell>
          <cell r="B10054" t="str">
            <v>Actual</v>
          </cell>
          <cell r="C10054" t="str">
            <v>Sep</v>
          </cell>
          <cell r="D10054" t="str">
            <v>Kitchen</v>
          </cell>
          <cell r="E10054">
            <v>15048125.007999999</v>
          </cell>
          <cell r="F10054">
            <v>9</v>
          </cell>
        </row>
        <row r="10055">
          <cell r="A10055">
            <v>2018</v>
          </cell>
          <cell r="B10055" t="str">
            <v>Budget</v>
          </cell>
          <cell r="C10055" t="str">
            <v>Sep</v>
          </cell>
          <cell r="D10055" t="str">
            <v>Chairs</v>
          </cell>
          <cell r="E10055">
            <v>70847088.199999988</v>
          </cell>
          <cell r="F10055">
            <v>9</v>
          </cell>
        </row>
        <row r="10056">
          <cell r="A10056">
            <v>2018</v>
          </cell>
          <cell r="B10056" t="str">
            <v>Actual</v>
          </cell>
          <cell r="C10056" t="str">
            <v>Sep</v>
          </cell>
          <cell r="D10056" t="str">
            <v>Chairs</v>
          </cell>
          <cell r="E10056">
            <v>-81595.044999999998</v>
          </cell>
          <cell r="F10056">
            <v>9</v>
          </cell>
        </row>
        <row r="10057">
          <cell r="A10057">
            <v>2018</v>
          </cell>
          <cell r="B10057" t="str">
            <v>Budget</v>
          </cell>
          <cell r="C10057" t="str">
            <v>Sep</v>
          </cell>
          <cell r="D10057" t="str">
            <v>Chairs</v>
          </cell>
          <cell r="E10057">
            <v>2870445.0040000002</v>
          </cell>
          <cell r="F10057">
            <v>9</v>
          </cell>
        </row>
        <row r="10058">
          <cell r="A10058">
            <v>2018</v>
          </cell>
          <cell r="B10058" t="str">
            <v>Actual</v>
          </cell>
          <cell r="C10058" t="str">
            <v>Sep</v>
          </cell>
          <cell r="D10058" t="str">
            <v>Tables</v>
          </cell>
          <cell r="E10058">
            <v>13823168.044</v>
          </cell>
          <cell r="F10058">
            <v>9</v>
          </cell>
        </row>
        <row r="10059">
          <cell r="A10059">
            <v>2019</v>
          </cell>
          <cell r="B10059" t="str">
            <v>Budget</v>
          </cell>
          <cell r="C10059" t="str">
            <v>Sep</v>
          </cell>
          <cell r="D10059" t="str">
            <v>Kitchen</v>
          </cell>
          <cell r="E10059">
            <v>38006202.856999993</v>
          </cell>
          <cell r="F10059">
            <v>9</v>
          </cell>
        </row>
        <row r="10060">
          <cell r="A10060">
            <v>2019</v>
          </cell>
          <cell r="B10060" t="str">
            <v>Actual</v>
          </cell>
          <cell r="C10060" t="str">
            <v>Sep</v>
          </cell>
          <cell r="D10060" t="str">
            <v>Accessories</v>
          </cell>
          <cell r="E10060">
            <v>2799416.8649999998</v>
          </cell>
          <cell r="F10060">
            <v>9</v>
          </cell>
        </row>
        <row r="10061">
          <cell r="A10061">
            <v>2018</v>
          </cell>
          <cell r="B10061" t="str">
            <v>Budget</v>
          </cell>
          <cell r="C10061" t="str">
            <v>Sep</v>
          </cell>
          <cell r="D10061" t="str">
            <v>Chairs</v>
          </cell>
          <cell r="E10061">
            <v>19912427.136</v>
          </cell>
          <cell r="F10061">
            <v>9</v>
          </cell>
        </row>
        <row r="10062">
          <cell r="A10062">
            <v>2019</v>
          </cell>
          <cell r="B10062" t="str">
            <v>Actual</v>
          </cell>
          <cell r="C10062" t="str">
            <v>Sep</v>
          </cell>
          <cell r="D10062" t="str">
            <v>Tables</v>
          </cell>
          <cell r="E10062">
            <v>11078692.162999999</v>
          </cell>
          <cell r="F10062">
            <v>9</v>
          </cell>
        </row>
        <row r="10063">
          <cell r="A10063">
            <v>2019</v>
          </cell>
          <cell r="B10063" t="str">
            <v>Budget</v>
          </cell>
          <cell r="C10063" t="str">
            <v>Sep</v>
          </cell>
          <cell r="D10063" t="str">
            <v>Kitchen</v>
          </cell>
          <cell r="E10063">
            <v>3305663.7949999995</v>
          </cell>
          <cell r="F10063">
            <v>9</v>
          </cell>
        </row>
        <row r="10064">
          <cell r="A10064">
            <v>2018</v>
          </cell>
          <cell r="B10064" t="str">
            <v>Actual</v>
          </cell>
          <cell r="C10064" t="str">
            <v>Sep</v>
          </cell>
          <cell r="D10064" t="str">
            <v>Accessories</v>
          </cell>
          <cell r="E10064">
            <v>4548950.1399999997</v>
          </cell>
          <cell r="F10064">
            <v>9</v>
          </cell>
        </row>
        <row r="10065">
          <cell r="A10065">
            <v>2018</v>
          </cell>
          <cell r="B10065" t="str">
            <v>Budget</v>
          </cell>
          <cell r="C10065" t="str">
            <v>Oct</v>
          </cell>
          <cell r="D10065" t="str">
            <v>Chairs</v>
          </cell>
          <cell r="E10065">
            <v>175166.033</v>
          </cell>
          <cell r="F10065">
            <v>10</v>
          </cell>
        </row>
        <row r="10066">
          <cell r="A10066">
            <v>2019</v>
          </cell>
          <cell r="B10066" t="str">
            <v>Actual</v>
          </cell>
          <cell r="C10066" t="str">
            <v>Oct</v>
          </cell>
          <cell r="D10066" t="str">
            <v>Tables</v>
          </cell>
          <cell r="E10066">
            <v>386680.11900000001</v>
          </cell>
          <cell r="F10066">
            <v>10</v>
          </cell>
        </row>
        <row r="10067">
          <cell r="A10067">
            <v>2019</v>
          </cell>
          <cell r="B10067" t="str">
            <v>Budget</v>
          </cell>
          <cell r="C10067" t="str">
            <v>Oct</v>
          </cell>
          <cell r="D10067" t="str">
            <v>Kitchen</v>
          </cell>
          <cell r="E10067">
            <v>1644072.1779999998</v>
          </cell>
          <cell r="F10067">
            <v>10</v>
          </cell>
        </row>
        <row r="10068">
          <cell r="A10068">
            <v>2019</v>
          </cell>
          <cell r="B10068" t="str">
            <v>Actual</v>
          </cell>
          <cell r="C10068" t="str">
            <v>Oct</v>
          </cell>
          <cell r="D10068" t="str">
            <v>Accessories</v>
          </cell>
          <cell r="E10068">
            <v>2775668.2029999997</v>
          </cell>
          <cell r="F10068">
            <v>10</v>
          </cell>
        </row>
        <row r="10069">
          <cell r="A10069">
            <v>2019</v>
          </cell>
          <cell r="B10069" t="str">
            <v>Budget</v>
          </cell>
          <cell r="C10069" t="str">
            <v>Oct</v>
          </cell>
          <cell r="D10069" t="str">
            <v>Chairs</v>
          </cell>
          <cell r="E10069">
            <v>22876.363999999998</v>
          </cell>
          <cell r="F10069">
            <v>10</v>
          </cell>
        </row>
        <row r="10070">
          <cell r="A10070">
            <v>2019</v>
          </cell>
          <cell r="B10070" t="str">
            <v>Actual</v>
          </cell>
          <cell r="C10070" t="str">
            <v>Oct</v>
          </cell>
          <cell r="D10070" t="str">
            <v>Tables</v>
          </cell>
          <cell r="E10070">
            <v>249610.81599999999</v>
          </cell>
          <cell r="F10070">
            <v>10</v>
          </cell>
        </row>
        <row r="10071">
          <cell r="A10071">
            <v>2018</v>
          </cell>
          <cell r="B10071" t="str">
            <v>Budget</v>
          </cell>
          <cell r="C10071" t="str">
            <v>Oct</v>
          </cell>
          <cell r="D10071" t="str">
            <v>Kitchen</v>
          </cell>
          <cell r="E10071">
            <v>407816.94799999997</v>
          </cell>
          <cell r="F10071">
            <v>10</v>
          </cell>
        </row>
        <row r="10072">
          <cell r="A10072">
            <v>2019</v>
          </cell>
          <cell r="B10072" t="str">
            <v>Actual</v>
          </cell>
          <cell r="C10072" t="str">
            <v>Oct</v>
          </cell>
          <cell r="D10072" t="str">
            <v>Accessories</v>
          </cell>
          <cell r="E10072">
            <v>13944.888999999999</v>
          </cell>
          <cell r="F10072">
            <v>10</v>
          </cell>
        </row>
        <row r="10073">
          <cell r="A10073">
            <v>2019</v>
          </cell>
          <cell r="B10073" t="str">
            <v>Budget</v>
          </cell>
          <cell r="C10073" t="str">
            <v>Oct</v>
          </cell>
          <cell r="D10073" t="str">
            <v>Chairs</v>
          </cell>
          <cell r="E10073">
            <v>16733.863999999998</v>
          </cell>
          <cell r="F10073">
            <v>10</v>
          </cell>
        </row>
        <row r="10074">
          <cell r="A10074">
            <v>2019</v>
          </cell>
          <cell r="B10074" t="str">
            <v>Actual</v>
          </cell>
          <cell r="C10074" t="str">
            <v>Oct</v>
          </cell>
          <cell r="D10074" t="str">
            <v>Chairs</v>
          </cell>
          <cell r="E10074">
            <v>1238847.4279999998</v>
          </cell>
          <cell r="F10074">
            <v>10</v>
          </cell>
        </row>
        <row r="10075">
          <cell r="A10075">
            <v>2019</v>
          </cell>
          <cell r="B10075" t="str">
            <v>Budget</v>
          </cell>
          <cell r="C10075" t="str">
            <v>Oct</v>
          </cell>
          <cell r="D10075" t="str">
            <v>Tables</v>
          </cell>
          <cell r="E10075">
            <v>27996.562999999995</v>
          </cell>
          <cell r="F10075">
            <v>10</v>
          </cell>
        </row>
        <row r="10076">
          <cell r="A10076">
            <v>2019</v>
          </cell>
          <cell r="B10076" t="str">
            <v>Actual</v>
          </cell>
          <cell r="C10076" t="str">
            <v>Oct</v>
          </cell>
          <cell r="D10076" t="str">
            <v>Kitchen</v>
          </cell>
          <cell r="E10076">
            <v>145982.19299999997</v>
          </cell>
          <cell r="F10076">
            <v>10</v>
          </cell>
        </row>
        <row r="10077">
          <cell r="A10077">
            <v>2018</v>
          </cell>
          <cell r="B10077" t="str">
            <v>Budget</v>
          </cell>
          <cell r="C10077" t="str">
            <v>Oct</v>
          </cell>
          <cell r="D10077" t="str">
            <v>Chairs</v>
          </cell>
          <cell r="E10077">
            <v>32408.803</v>
          </cell>
          <cell r="F10077">
            <v>10</v>
          </cell>
        </row>
        <row r="10078">
          <cell r="A10078">
            <v>2018</v>
          </cell>
          <cell r="B10078" t="str">
            <v>Actual</v>
          </cell>
          <cell r="C10078" t="str">
            <v>Oct</v>
          </cell>
          <cell r="D10078" t="str">
            <v>Tables</v>
          </cell>
          <cell r="E10078">
            <v>1044156.127</v>
          </cell>
          <cell r="F10078">
            <v>10</v>
          </cell>
        </row>
        <row r="10079">
          <cell r="A10079">
            <v>2018</v>
          </cell>
          <cell r="B10079" t="str">
            <v>Budget</v>
          </cell>
          <cell r="C10079" t="str">
            <v>Oct</v>
          </cell>
          <cell r="D10079" t="str">
            <v>Kitchen</v>
          </cell>
          <cell r="E10079">
            <v>61520.949000000001</v>
          </cell>
          <cell r="F10079">
            <v>10</v>
          </cell>
        </row>
        <row r="10080">
          <cell r="A10080">
            <v>2018</v>
          </cell>
          <cell r="B10080" t="str">
            <v>Actual</v>
          </cell>
          <cell r="C10080" t="str">
            <v>Oct</v>
          </cell>
          <cell r="D10080" t="str">
            <v>Chairs</v>
          </cell>
          <cell r="E10080">
            <v>57196.936999999998</v>
          </cell>
          <cell r="F10080">
            <v>10</v>
          </cell>
        </row>
        <row r="10081">
          <cell r="A10081">
            <v>2018</v>
          </cell>
          <cell r="B10081" t="str">
            <v>Budget</v>
          </cell>
          <cell r="C10081" t="str">
            <v>Oct</v>
          </cell>
          <cell r="D10081" t="str">
            <v>Tables</v>
          </cell>
          <cell r="E10081">
            <v>215615.75</v>
          </cell>
          <cell r="F10081">
            <v>10</v>
          </cell>
        </row>
        <row r="10082">
          <cell r="A10082">
            <v>2019</v>
          </cell>
          <cell r="B10082" t="str">
            <v>Actual</v>
          </cell>
          <cell r="C10082" t="str">
            <v>Oct</v>
          </cell>
          <cell r="D10082" t="str">
            <v>Kitchen</v>
          </cell>
          <cell r="E10082">
            <v>9096.4159999999993</v>
          </cell>
          <cell r="F10082">
            <v>10</v>
          </cell>
        </row>
        <row r="10083">
          <cell r="A10083">
            <v>2018</v>
          </cell>
          <cell r="B10083" t="str">
            <v>Budget</v>
          </cell>
          <cell r="C10083" t="str">
            <v>Oct</v>
          </cell>
          <cell r="D10083" t="str">
            <v>Chairs</v>
          </cell>
          <cell r="E10083">
            <v>171966.851</v>
          </cell>
          <cell r="F10083">
            <v>10</v>
          </cell>
        </row>
        <row r="10084">
          <cell r="A10084">
            <v>2018</v>
          </cell>
          <cell r="B10084" t="str">
            <v>Actual</v>
          </cell>
          <cell r="C10084" t="str">
            <v>Oct</v>
          </cell>
          <cell r="D10084" t="str">
            <v>Chairs</v>
          </cell>
          <cell r="E10084">
            <v>160678.55999999997</v>
          </cell>
          <cell r="F10084">
            <v>10</v>
          </cell>
        </row>
        <row r="10085">
          <cell r="A10085">
            <v>2019</v>
          </cell>
          <cell r="B10085" t="str">
            <v>Budget</v>
          </cell>
          <cell r="C10085" t="str">
            <v>Oct</v>
          </cell>
          <cell r="D10085" t="str">
            <v>Chairs</v>
          </cell>
          <cell r="E10085">
            <v>15214.548999999999</v>
          </cell>
          <cell r="F10085">
            <v>10</v>
          </cell>
        </row>
        <row r="10086">
          <cell r="A10086">
            <v>2018</v>
          </cell>
          <cell r="B10086" t="str">
            <v>Actual</v>
          </cell>
          <cell r="C10086" t="str">
            <v>Oct</v>
          </cell>
          <cell r="D10086" t="str">
            <v>Chairs</v>
          </cell>
          <cell r="E10086">
            <v>16256.736999999999</v>
          </cell>
          <cell r="F10086">
            <v>10</v>
          </cell>
        </row>
        <row r="10087">
          <cell r="A10087">
            <v>2018</v>
          </cell>
          <cell r="B10087" t="str">
            <v>Budget</v>
          </cell>
          <cell r="C10087" t="str">
            <v>Oct</v>
          </cell>
          <cell r="D10087" t="str">
            <v>Chairs</v>
          </cell>
          <cell r="E10087">
            <v>118095.83099999998</v>
          </cell>
          <cell r="F10087">
            <v>10</v>
          </cell>
        </row>
        <row r="10088">
          <cell r="A10088">
            <v>2018</v>
          </cell>
          <cell r="B10088" t="str">
            <v>Actual</v>
          </cell>
          <cell r="C10088" t="str">
            <v>Oct</v>
          </cell>
          <cell r="D10088" t="str">
            <v>Chairs</v>
          </cell>
          <cell r="E10088">
            <v>199682.02100000001</v>
          </cell>
          <cell r="F10088">
            <v>10</v>
          </cell>
        </row>
        <row r="10089">
          <cell r="A10089">
            <v>2018</v>
          </cell>
          <cell r="B10089" t="str">
            <v>Budget</v>
          </cell>
          <cell r="C10089" t="str">
            <v>Oct</v>
          </cell>
          <cell r="D10089" t="str">
            <v>Chairs</v>
          </cell>
          <cell r="E10089">
            <v>170507.10599999997</v>
          </cell>
          <cell r="F10089">
            <v>10</v>
          </cell>
        </row>
        <row r="10090">
          <cell r="A10090">
            <v>2018</v>
          </cell>
          <cell r="B10090" t="str">
            <v>Actual</v>
          </cell>
          <cell r="C10090" t="str">
            <v>Oct</v>
          </cell>
          <cell r="D10090" t="str">
            <v>Chairs</v>
          </cell>
          <cell r="E10090">
            <v>76079.583999999988</v>
          </cell>
          <cell r="F10090">
            <v>10</v>
          </cell>
        </row>
        <row r="10091">
          <cell r="A10091">
            <v>2019</v>
          </cell>
          <cell r="B10091" t="str">
            <v>Budget</v>
          </cell>
          <cell r="C10091" t="str">
            <v>Oct</v>
          </cell>
          <cell r="D10091" t="str">
            <v>Chairs</v>
          </cell>
          <cell r="E10091">
            <v>22724.218999999997</v>
          </cell>
          <cell r="F10091">
            <v>10</v>
          </cell>
        </row>
        <row r="10092">
          <cell r="A10092">
            <v>2018</v>
          </cell>
          <cell r="B10092" t="str">
            <v>Actual</v>
          </cell>
          <cell r="C10092" t="str">
            <v>Oct</v>
          </cell>
          <cell r="D10092" t="str">
            <v>Chairs</v>
          </cell>
          <cell r="E10092">
            <v>22060.219999999998</v>
          </cell>
          <cell r="F10092">
            <v>10</v>
          </cell>
        </row>
        <row r="10093">
          <cell r="A10093">
            <v>2018</v>
          </cell>
          <cell r="B10093" t="str">
            <v>Budget</v>
          </cell>
          <cell r="C10093" t="str">
            <v>Oct</v>
          </cell>
          <cell r="D10093" t="str">
            <v>Chairs</v>
          </cell>
          <cell r="E10093">
            <v>5441.0999999999995</v>
          </cell>
          <cell r="F10093">
            <v>10</v>
          </cell>
        </row>
        <row r="10094">
          <cell r="A10094">
            <v>2019</v>
          </cell>
          <cell r="B10094" t="str">
            <v>Actual</v>
          </cell>
          <cell r="C10094" t="str">
            <v>Oct</v>
          </cell>
          <cell r="D10094" t="str">
            <v>Chairs</v>
          </cell>
          <cell r="E10094">
            <v>35909.447</v>
          </cell>
          <cell r="F10094">
            <v>10</v>
          </cell>
        </row>
        <row r="10095">
          <cell r="A10095">
            <v>2018</v>
          </cell>
          <cell r="B10095" t="str">
            <v>Budget</v>
          </cell>
          <cell r="C10095" t="str">
            <v>Oct</v>
          </cell>
          <cell r="D10095" t="str">
            <v>Chairs</v>
          </cell>
          <cell r="E10095">
            <v>106826.769</v>
          </cell>
          <cell r="F10095">
            <v>10</v>
          </cell>
        </row>
        <row r="10096">
          <cell r="A10096">
            <v>2019</v>
          </cell>
          <cell r="B10096" t="str">
            <v>Actual</v>
          </cell>
          <cell r="C10096" t="str">
            <v>Oct</v>
          </cell>
          <cell r="D10096" t="str">
            <v>Chairs</v>
          </cell>
          <cell r="E10096">
            <v>16072.237999999999</v>
          </cell>
          <cell r="F10096">
            <v>10</v>
          </cell>
        </row>
        <row r="10097">
          <cell r="A10097">
            <v>2018</v>
          </cell>
          <cell r="B10097" t="str">
            <v>Budget</v>
          </cell>
          <cell r="C10097" t="str">
            <v>Oct</v>
          </cell>
          <cell r="D10097" t="str">
            <v>Chairs</v>
          </cell>
          <cell r="E10097">
            <v>30169.467999999997</v>
          </cell>
          <cell r="F10097">
            <v>10</v>
          </cell>
        </row>
        <row r="10098">
          <cell r="A10098">
            <v>2018</v>
          </cell>
          <cell r="B10098" t="str">
            <v>Actual</v>
          </cell>
          <cell r="C10098" t="str">
            <v>Oct</v>
          </cell>
          <cell r="D10098" t="str">
            <v>Chairs</v>
          </cell>
          <cell r="E10098">
            <v>73673.39</v>
          </cell>
          <cell r="F10098">
            <v>10</v>
          </cell>
        </row>
        <row r="10099">
          <cell r="A10099">
            <v>2019</v>
          </cell>
          <cell r="B10099" t="str">
            <v>Budget</v>
          </cell>
          <cell r="C10099" t="str">
            <v>Oct</v>
          </cell>
          <cell r="D10099" t="str">
            <v>Chairs</v>
          </cell>
          <cell r="E10099">
            <v>116791.19899999999</v>
          </cell>
          <cell r="F10099">
            <v>10</v>
          </cell>
        </row>
        <row r="10100">
          <cell r="A10100">
            <v>2018</v>
          </cell>
          <cell r="B10100" t="str">
            <v>Actual</v>
          </cell>
          <cell r="C10100" t="str">
            <v>Oct</v>
          </cell>
          <cell r="D10100" t="str">
            <v>Chairs</v>
          </cell>
          <cell r="E10100">
            <v>59965.898999999998</v>
          </cell>
          <cell r="F10100">
            <v>10</v>
          </cell>
        </row>
        <row r="10101">
          <cell r="A10101">
            <v>2019</v>
          </cell>
          <cell r="B10101" t="str">
            <v>Budget</v>
          </cell>
          <cell r="C10101" t="str">
            <v>Oct</v>
          </cell>
          <cell r="D10101" t="str">
            <v>Chairs</v>
          </cell>
          <cell r="E10101">
            <v>81460.679999999993</v>
          </cell>
          <cell r="F10101">
            <v>10</v>
          </cell>
        </row>
        <row r="10102">
          <cell r="A10102">
            <v>2018</v>
          </cell>
          <cell r="B10102" t="str">
            <v>Actual</v>
          </cell>
          <cell r="C10102" t="str">
            <v>Oct</v>
          </cell>
          <cell r="D10102" t="str">
            <v>Chairs</v>
          </cell>
          <cell r="E10102">
            <v>1389376.4219999998</v>
          </cell>
          <cell r="F10102">
            <v>10</v>
          </cell>
        </row>
        <row r="10103">
          <cell r="A10103">
            <v>2018</v>
          </cell>
          <cell r="B10103" t="str">
            <v>Budget</v>
          </cell>
          <cell r="C10103" t="str">
            <v>Oct</v>
          </cell>
          <cell r="D10103" t="str">
            <v>Chairs</v>
          </cell>
          <cell r="E10103">
            <v>23046.890999999996</v>
          </cell>
          <cell r="F10103">
            <v>10</v>
          </cell>
        </row>
        <row r="10104">
          <cell r="A10104">
            <v>2019</v>
          </cell>
          <cell r="B10104" t="str">
            <v>Actual</v>
          </cell>
          <cell r="C10104" t="str">
            <v>Oct</v>
          </cell>
          <cell r="D10104" t="str">
            <v>Chairs</v>
          </cell>
          <cell r="E10104">
            <v>27543.970999999998</v>
          </cell>
          <cell r="F10104">
            <v>10</v>
          </cell>
        </row>
        <row r="10105">
          <cell r="A10105">
            <v>2018</v>
          </cell>
          <cell r="B10105" t="str">
            <v>Budget</v>
          </cell>
          <cell r="C10105" t="str">
            <v>Oct</v>
          </cell>
          <cell r="D10105" t="str">
            <v>Chairs</v>
          </cell>
          <cell r="E10105">
            <v>41873.537999999993</v>
          </cell>
          <cell r="F10105">
            <v>10</v>
          </cell>
        </row>
        <row r="10106">
          <cell r="A10106">
            <v>2019</v>
          </cell>
          <cell r="B10106" t="str">
            <v>Actual</v>
          </cell>
          <cell r="C10106" t="str">
            <v>Oct</v>
          </cell>
          <cell r="D10106" t="str">
            <v>Chairs</v>
          </cell>
          <cell r="E10106">
            <v>250460.06999999998</v>
          </cell>
          <cell r="F10106">
            <v>10</v>
          </cell>
        </row>
        <row r="10107">
          <cell r="A10107">
            <v>2018</v>
          </cell>
          <cell r="B10107" t="str">
            <v>Budget</v>
          </cell>
          <cell r="C10107" t="str">
            <v>Oct</v>
          </cell>
          <cell r="D10107" t="str">
            <v>Chairs</v>
          </cell>
          <cell r="E10107">
            <v>167840.47699999998</v>
          </cell>
          <cell r="F10107">
            <v>10</v>
          </cell>
        </row>
        <row r="10108">
          <cell r="A10108">
            <v>2018</v>
          </cell>
          <cell r="B10108" t="str">
            <v>Actual</v>
          </cell>
          <cell r="C10108" t="str">
            <v>Oct</v>
          </cell>
          <cell r="D10108" t="str">
            <v>Chairs</v>
          </cell>
          <cell r="E10108">
            <v>246112.33499999996</v>
          </cell>
          <cell r="F10108">
            <v>10</v>
          </cell>
        </row>
        <row r="10109">
          <cell r="A10109">
            <v>2019</v>
          </cell>
          <cell r="B10109" t="str">
            <v>Budget</v>
          </cell>
          <cell r="C10109" t="str">
            <v>Oct</v>
          </cell>
          <cell r="D10109" t="str">
            <v>Tables</v>
          </cell>
          <cell r="E10109">
            <v>318688.38399999996</v>
          </cell>
          <cell r="F10109">
            <v>10</v>
          </cell>
        </row>
        <row r="10110">
          <cell r="A10110">
            <v>2019</v>
          </cell>
          <cell r="B10110" t="str">
            <v>Actual</v>
          </cell>
          <cell r="C10110" t="str">
            <v>Oct</v>
          </cell>
          <cell r="D10110" t="str">
            <v>Kitchen</v>
          </cell>
          <cell r="E10110">
            <v>356438.41099999996</v>
          </cell>
          <cell r="F10110">
            <v>10</v>
          </cell>
        </row>
        <row r="10111">
          <cell r="A10111">
            <v>2018</v>
          </cell>
          <cell r="B10111" t="str">
            <v>Budget</v>
          </cell>
          <cell r="C10111" t="str">
            <v>Oct</v>
          </cell>
          <cell r="D10111" t="str">
            <v>Chairs</v>
          </cell>
          <cell r="E10111">
            <v>46768.966999999997</v>
          </cell>
          <cell r="F10111">
            <v>10</v>
          </cell>
        </row>
        <row r="10112">
          <cell r="A10112">
            <v>2019</v>
          </cell>
          <cell r="B10112" t="str">
            <v>Actual</v>
          </cell>
          <cell r="C10112" t="str">
            <v>Oct</v>
          </cell>
          <cell r="D10112" t="str">
            <v>Chairs</v>
          </cell>
          <cell r="E10112">
            <v>65383.282999999996</v>
          </cell>
          <cell r="F10112">
            <v>10</v>
          </cell>
        </row>
        <row r="10113">
          <cell r="A10113">
            <v>2019</v>
          </cell>
          <cell r="B10113" t="str">
            <v>Budget</v>
          </cell>
          <cell r="C10113" t="str">
            <v>Oct</v>
          </cell>
          <cell r="D10113" t="str">
            <v>Chairs</v>
          </cell>
          <cell r="E10113">
            <v>110322.11399999999</v>
          </cell>
          <cell r="F10113">
            <v>10</v>
          </cell>
        </row>
        <row r="10114">
          <cell r="A10114">
            <v>2018</v>
          </cell>
          <cell r="B10114" t="str">
            <v>Actual</v>
          </cell>
          <cell r="C10114" t="str">
            <v>Oct</v>
          </cell>
          <cell r="D10114" t="str">
            <v>Chairs</v>
          </cell>
          <cell r="E10114">
            <v>71818.396999999997</v>
          </cell>
          <cell r="F10114">
            <v>10</v>
          </cell>
        </row>
        <row r="10115">
          <cell r="A10115">
            <v>2019</v>
          </cell>
          <cell r="B10115" t="str">
            <v>Budget</v>
          </cell>
          <cell r="C10115" t="str">
            <v>Oct</v>
          </cell>
          <cell r="D10115" t="str">
            <v>Chairs</v>
          </cell>
          <cell r="E10115">
            <v>96755.252999999997</v>
          </cell>
          <cell r="F10115">
            <v>10</v>
          </cell>
        </row>
        <row r="10116">
          <cell r="A10116">
            <v>2018</v>
          </cell>
          <cell r="B10116" t="str">
            <v>Actual</v>
          </cell>
          <cell r="C10116" t="str">
            <v>Oct</v>
          </cell>
          <cell r="D10116" t="str">
            <v>Tables</v>
          </cell>
          <cell r="E10116">
            <v>16321.837</v>
          </cell>
          <cell r="F10116">
            <v>10</v>
          </cell>
        </row>
        <row r="10117">
          <cell r="A10117">
            <v>2019</v>
          </cell>
          <cell r="B10117" t="str">
            <v>Budget</v>
          </cell>
          <cell r="C10117" t="str">
            <v>Oct</v>
          </cell>
          <cell r="D10117" t="str">
            <v>Kitchen</v>
          </cell>
          <cell r="E10117">
            <v>84993.902000000002</v>
          </cell>
          <cell r="F10117">
            <v>10</v>
          </cell>
        </row>
        <row r="10118">
          <cell r="A10118">
            <v>2018</v>
          </cell>
          <cell r="B10118" t="str">
            <v>Actual</v>
          </cell>
          <cell r="C10118" t="str">
            <v>Oct</v>
          </cell>
          <cell r="D10118" t="str">
            <v>Chairs</v>
          </cell>
          <cell r="E10118">
            <v>90675.325999999986</v>
          </cell>
          <cell r="F10118">
            <v>10</v>
          </cell>
        </row>
        <row r="10119">
          <cell r="A10119">
            <v>2018</v>
          </cell>
          <cell r="B10119" t="str">
            <v>Budget</v>
          </cell>
          <cell r="C10119" t="str">
            <v>Oct</v>
          </cell>
          <cell r="D10119" t="str">
            <v>Chairs</v>
          </cell>
          <cell r="E10119">
            <v>3084.4309999999996</v>
          </cell>
          <cell r="F10119">
            <v>10</v>
          </cell>
        </row>
        <row r="10120">
          <cell r="A10120">
            <v>2019</v>
          </cell>
          <cell r="B10120" t="str">
            <v>Actual</v>
          </cell>
          <cell r="C10120" t="str">
            <v>Oct</v>
          </cell>
          <cell r="D10120" t="str">
            <v>Chairs</v>
          </cell>
          <cell r="E10120">
            <v>29855.545999999998</v>
          </cell>
          <cell r="F10120">
            <v>10</v>
          </cell>
        </row>
        <row r="10121">
          <cell r="A10121">
            <v>2018</v>
          </cell>
          <cell r="B10121" t="str">
            <v>Budget</v>
          </cell>
          <cell r="C10121" t="str">
            <v>Oct</v>
          </cell>
          <cell r="D10121" t="str">
            <v>Tables</v>
          </cell>
          <cell r="E10121">
            <v>30275.727999999999</v>
          </cell>
          <cell r="F10121">
            <v>10</v>
          </cell>
        </row>
        <row r="10122">
          <cell r="A10122">
            <v>2019</v>
          </cell>
          <cell r="B10122" t="str">
            <v>Actual</v>
          </cell>
          <cell r="C10122" t="str">
            <v>Oct</v>
          </cell>
          <cell r="D10122" t="str">
            <v>Kitchen</v>
          </cell>
          <cell r="E10122">
            <v>41468.580999999998</v>
          </cell>
          <cell r="F10122">
            <v>10</v>
          </cell>
        </row>
        <row r="10123">
          <cell r="A10123">
            <v>2019</v>
          </cell>
          <cell r="B10123" t="str">
            <v>Budget</v>
          </cell>
          <cell r="C10123" t="str">
            <v>Oct</v>
          </cell>
          <cell r="D10123" t="str">
            <v>Chairs</v>
          </cell>
          <cell r="E10123">
            <v>70438.039000000004</v>
          </cell>
          <cell r="F10123">
            <v>10</v>
          </cell>
        </row>
        <row r="10124">
          <cell r="A10124">
            <v>2019</v>
          </cell>
          <cell r="B10124" t="str">
            <v>Actual</v>
          </cell>
          <cell r="C10124" t="str">
            <v>Oct</v>
          </cell>
          <cell r="D10124" t="str">
            <v>Chairs</v>
          </cell>
          <cell r="E10124">
            <v>77585.213999999993</v>
          </cell>
          <cell r="F10124">
            <v>10</v>
          </cell>
        </row>
        <row r="10125">
          <cell r="A10125">
            <v>2019</v>
          </cell>
          <cell r="B10125" t="str">
            <v>Budget</v>
          </cell>
          <cell r="C10125" t="str">
            <v>Oct</v>
          </cell>
          <cell r="D10125" t="str">
            <v>Tables</v>
          </cell>
          <cell r="E10125">
            <v>105553.38499999998</v>
          </cell>
          <cell r="F10125">
            <v>10</v>
          </cell>
        </row>
        <row r="10126">
          <cell r="A10126">
            <v>2019</v>
          </cell>
          <cell r="B10126" t="str">
            <v>Actual</v>
          </cell>
          <cell r="C10126" t="str">
            <v>Oct</v>
          </cell>
          <cell r="D10126" t="str">
            <v>Kitchen</v>
          </cell>
          <cell r="E10126">
            <v>128565.29</v>
          </cell>
          <cell r="F10126">
            <v>10</v>
          </cell>
        </row>
        <row r="10127">
          <cell r="A10127">
            <v>2018</v>
          </cell>
          <cell r="B10127" t="str">
            <v>Budget</v>
          </cell>
          <cell r="C10127" t="str">
            <v>Oct</v>
          </cell>
          <cell r="D10127" t="str">
            <v>Chairs</v>
          </cell>
          <cell r="E10127">
            <v>4686646.5659999996</v>
          </cell>
          <cell r="F10127">
            <v>10</v>
          </cell>
        </row>
        <row r="10128">
          <cell r="A10128">
            <v>2018</v>
          </cell>
          <cell r="B10128" t="str">
            <v>Actual</v>
          </cell>
          <cell r="C10128" t="str">
            <v>Oct</v>
          </cell>
          <cell r="D10128" t="str">
            <v>Chairs</v>
          </cell>
          <cell r="E10128">
            <v>62316.911999999997</v>
          </cell>
          <cell r="F10128">
            <v>10</v>
          </cell>
        </row>
        <row r="10129">
          <cell r="A10129">
            <v>2019</v>
          </cell>
          <cell r="B10129" t="str">
            <v>Budget</v>
          </cell>
          <cell r="C10129" t="str">
            <v>Oct</v>
          </cell>
          <cell r="D10129" t="str">
            <v>Chairs</v>
          </cell>
          <cell r="E10129">
            <v>21250.893999999997</v>
          </cell>
          <cell r="F10129">
            <v>10</v>
          </cell>
        </row>
        <row r="10130">
          <cell r="A10130">
            <v>2018</v>
          </cell>
          <cell r="B10130" t="str">
            <v>Actual</v>
          </cell>
          <cell r="C10130" t="str">
            <v>Oct</v>
          </cell>
          <cell r="D10130" t="str">
            <v>Tables</v>
          </cell>
          <cell r="E10130">
            <v>10744.944</v>
          </cell>
          <cell r="F10130">
            <v>10</v>
          </cell>
        </row>
        <row r="10131">
          <cell r="A10131">
            <v>2019</v>
          </cell>
          <cell r="B10131" t="str">
            <v>Budget</v>
          </cell>
          <cell r="C10131" t="str">
            <v>Oct</v>
          </cell>
          <cell r="D10131" t="str">
            <v>Kitchen</v>
          </cell>
          <cell r="E10131">
            <v>194467.79800000001</v>
          </cell>
          <cell r="F10131">
            <v>10</v>
          </cell>
        </row>
        <row r="10132">
          <cell r="A10132">
            <v>2019</v>
          </cell>
          <cell r="B10132" t="str">
            <v>Actual</v>
          </cell>
          <cell r="C10132" t="str">
            <v>Oct</v>
          </cell>
          <cell r="D10132" t="str">
            <v>Accessories</v>
          </cell>
          <cell r="E10132">
            <v>233063.663</v>
          </cell>
          <cell r="F10132">
            <v>10</v>
          </cell>
        </row>
        <row r="10133">
          <cell r="A10133">
            <v>2019</v>
          </cell>
          <cell r="B10133" t="str">
            <v>Budget</v>
          </cell>
          <cell r="C10133" t="str">
            <v>Oct</v>
          </cell>
          <cell r="D10133" t="str">
            <v>Chairs</v>
          </cell>
          <cell r="E10133">
            <v>49229.991999999998</v>
          </cell>
          <cell r="F10133">
            <v>10</v>
          </cell>
        </row>
        <row r="10134">
          <cell r="A10134">
            <v>2019</v>
          </cell>
          <cell r="B10134" t="str">
            <v>Actual</v>
          </cell>
          <cell r="C10134" t="str">
            <v>Oct</v>
          </cell>
          <cell r="D10134" t="str">
            <v>Tables</v>
          </cell>
          <cell r="E10134">
            <v>44195.864999999998</v>
          </cell>
          <cell r="F10134">
            <v>10</v>
          </cell>
        </row>
        <row r="10135">
          <cell r="A10135">
            <v>2019</v>
          </cell>
          <cell r="B10135" t="str">
            <v>Budget</v>
          </cell>
          <cell r="C10135" t="str">
            <v>Oct</v>
          </cell>
          <cell r="D10135" t="str">
            <v>Kitchen</v>
          </cell>
          <cell r="E10135">
            <v>79431.743999999992</v>
          </cell>
          <cell r="F10135">
            <v>10</v>
          </cell>
        </row>
        <row r="10136">
          <cell r="A10136">
            <v>2018</v>
          </cell>
          <cell r="B10136" t="str">
            <v>Actual</v>
          </cell>
          <cell r="C10136" t="str">
            <v>Oct</v>
          </cell>
          <cell r="D10136" t="str">
            <v>Accessories</v>
          </cell>
          <cell r="E10136">
            <v>153852.81099999999</v>
          </cell>
          <cell r="F10136">
            <v>10</v>
          </cell>
        </row>
        <row r="10137">
          <cell r="A10137">
            <v>2019</v>
          </cell>
          <cell r="B10137" t="str">
            <v>Budget</v>
          </cell>
          <cell r="C10137" t="str">
            <v>Oct</v>
          </cell>
          <cell r="D10137" t="str">
            <v>Chairs</v>
          </cell>
          <cell r="E10137">
            <v>340937.66699999996</v>
          </cell>
          <cell r="F10137">
            <v>10</v>
          </cell>
        </row>
        <row r="10138">
          <cell r="A10138">
            <v>2018</v>
          </cell>
          <cell r="B10138" t="str">
            <v>Actual</v>
          </cell>
          <cell r="C10138" t="str">
            <v>Oct</v>
          </cell>
          <cell r="D10138" t="str">
            <v>Tables</v>
          </cell>
          <cell r="E10138">
            <v>245542.80099999998</v>
          </cell>
          <cell r="F10138">
            <v>10</v>
          </cell>
        </row>
        <row r="10139">
          <cell r="A10139">
            <v>2018</v>
          </cell>
          <cell r="B10139" t="str">
            <v>Budget</v>
          </cell>
          <cell r="C10139" t="str">
            <v>Oct</v>
          </cell>
          <cell r="D10139" t="str">
            <v>Kitchen</v>
          </cell>
          <cell r="E10139">
            <v>16292.170999999998</v>
          </cell>
          <cell r="F10139">
            <v>10</v>
          </cell>
        </row>
        <row r="10140">
          <cell r="A10140">
            <v>2019</v>
          </cell>
          <cell r="B10140" t="str">
            <v>Actual</v>
          </cell>
          <cell r="C10140" t="str">
            <v>Oct</v>
          </cell>
          <cell r="D10140" t="str">
            <v>Accessories</v>
          </cell>
          <cell r="E10140">
            <v>12428.835999999999</v>
          </cell>
          <cell r="F10140">
            <v>10</v>
          </cell>
        </row>
        <row r="10141">
          <cell r="A10141">
            <v>2019</v>
          </cell>
          <cell r="B10141" t="str">
            <v>Budget</v>
          </cell>
          <cell r="C10141" t="str">
            <v>Oct</v>
          </cell>
          <cell r="D10141" t="str">
            <v>Chairs</v>
          </cell>
          <cell r="E10141">
            <v>156828.08399999997</v>
          </cell>
          <cell r="F10141">
            <v>10</v>
          </cell>
        </row>
        <row r="10142">
          <cell r="A10142">
            <v>2018</v>
          </cell>
          <cell r="B10142" t="str">
            <v>Actual</v>
          </cell>
          <cell r="C10142" t="str">
            <v>Oct</v>
          </cell>
          <cell r="D10142" t="str">
            <v>Tables</v>
          </cell>
          <cell r="E10142">
            <v>71509.879000000001</v>
          </cell>
          <cell r="F10142">
            <v>10</v>
          </cell>
        </row>
        <row r="10143">
          <cell r="A10143">
            <v>2018</v>
          </cell>
          <cell r="B10143" t="str">
            <v>Budget</v>
          </cell>
          <cell r="C10143" t="str">
            <v>Oct</v>
          </cell>
          <cell r="D10143" t="str">
            <v>Kitchen</v>
          </cell>
          <cell r="E10143">
            <v>85721.460999999996</v>
          </cell>
          <cell r="F10143">
            <v>10</v>
          </cell>
        </row>
        <row r="10144">
          <cell r="A10144">
            <v>2019</v>
          </cell>
          <cell r="B10144" t="str">
            <v>Actual</v>
          </cell>
          <cell r="C10144" t="str">
            <v>Oct</v>
          </cell>
          <cell r="D10144" t="str">
            <v>Accessories</v>
          </cell>
          <cell r="E10144">
            <v>1307000.7439999999</v>
          </cell>
          <cell r="F10144">
            <v>10</v>
          </cell>
        </row>
        <row r="10145">
          <cell r="A10145">
            <v>2018</v>
          </cell>
          <cell r="B10145" t="str">
            <v>Budget</v>
          </cell>
          <cell r="C10145" t="str">
            <v>Oct</v>
          </cell>
          <cell r="D10145" t="str">
            <v>Chairs</v>
          </cell>
          <cell r="E10145">
            <v>4001038.3699999996</v>
          </cell>
          <cell r="F10145">
            <v>10</v>
          </cell>
        </row>
        <row r="10146">
          <cell r="A10146">
            <v>2019</v>
          </cell>
          <cell r="B10146" t="str">
            <v>Actual</v>
          </cell>
          <cell r="C10146" t="str">
            <v>Oct</v>
          </cell>
          <cell r="D10146" t="str">
            <v>Chairs</v>
          </cell>
          <cell r="E10146">
            <v>1053728.5079999999</v>
          </cell>
          <cell r="F10146">
            <v>10</v>
          </cell>
        </row>
        <row r="10147">
          <cell r="A10147">
            <v>2019</v>
          </cell>
          <cell r="B10147" t="str">
            <v>Budget</v>
          </cell>
          <cell r="C10147" t="str">
            <v>Oct</v>
          </cell>
          <cell r="D10147" t="str">
            <v>Tables</v>
          </cell>
          <cell r="E10147">
            <v>613909.21900000004</v>
          </cell>
          <cell r="F10147">
            <v>10</v>
          </cell>
        </row>
        <row r="10148">
          <cell r="A10148">
            <v>2019</v>
          </cell>
          <cell r="B10148" t="str">
            <v>Actual</v>
          </cell>
          <cell r="C10148" t="str">
            <v>Oct</v>
          </cell>
          <cell r="D10148" t="str">
            <v>Kitchen</v>
          </cell>
          <cell r="E10148">
            <v>16377.277</v>
          </cell>
          <cell r="F10148">
            <v>10</v>
          </cell>
        </row>
        <row r="10149">
          <cell r="A10149">
            <v>2018</v>
          </cell>
          <cell r="B10149" t="str">
            <v>Budget</v>
          </cell>
          <cell r="C10149" t="str">
            <v>Oct</v>
          </cell>
          <cell r="D10149" t="str">
            <v>Chairs</v>
          </cell>
          <cell r="E10149">
            <v>497376.78199999995</v>
          </cell>
          <cell r="F10149">
            <v>10</v>
          </cell>
        </row>
        <row r="10150">
          <cell r="A10150">
            <v>2019</v>
          </cell>
          <cell r="B10150" t="str">
            <v>Actual</v>
          </cell>
          <cell r="C10150" t="str">
            <v>Oct</v>
          </cell>
          <cell r="D10150" t="str">
            <v>Tables</v>
          </cell>
          <cell r="E10150">
            <v>2084545.659</v>
          </cell>
          <cell r="F10150">
            <v>10</v>
          </cell>
        </row>
        <row r="10151">
          <cell r="A10151">
            <v>2019</v>
          </cell>
          <cell r="B10151" t="str">
            <v>Budget</v>
          </cell>
          <cell r="C10151" t="str">
            <v>Oct</v>
          </cell>
          <cell r="D10151" t="str">
            <v>Kitchen</v>
          </cell>
          <cell r="E10151">
            <v>-15682.303</v>
          </cell>
          <cell r="F10151">
            <v>10</v>
          </cell>
        </row>
        <row r="10152">
          <cell r="A10152">
            <v>2019</v>
          </cell>
          <cell r="B10152" t="str">
            <v>Actual</v>
          </cell>
          <cell r="C10152" t="str">
            <v>Oct</v>
          </cell>
          <cell r="D10152" t="str">
            <v>Chairs</v>
          </cell>
          <cell r="E10152">
            <v>226763.65599999999</v>
          </cell>
          <cell r="F10152">
            <v>10</v>
          </cell>
        </row>
        <row r="10153">
          <cell r="A10153">
            <v>2018</v>
          </cell>
          <cell r="B10153" t="str">
            <v>Budget</v>
          </cell>
          <cell r="C10153" t="str">
            <v>Oct</v>
          </cell>
          <cell r="D10153" t="str">
            <v>Tables</v>
          </cell>
          <cell r="E10153">
            <v>298313.071</v>
          </cell>
          <cell r="F10153">
            <v>10</v>
          </cell>
        </row>
        <row r="10154">
          <cell r="A10154">
            <v>2018</v>
          </cell>
          <cell r="B10154" t="str">
            <v>Actual</v>
          </cell>
          <cell r="C10154" t="str">
            <v>Oct</v>
          </cell>
          <cell r="D10154" t="str">
            <v>Kitchen</v>
          </cell>
          <cell r="E10154">
            <v>9759.0569999999989</v>
          </cell>
          <cell r="F10154">
            <v>10</v>
          </cell>
        </row>
        <row r="10155">
          <cell r="A10155">
            <v>2019</v>
          </cell>
          <cell r="B10155" t="str">
            <v>Budget</v>
          </cell>
          <cell r="C10155" t="str">
            <v>Oct</v>
          </cell>
          <cell r="D10155" t="str">
            <v>Chairs</v>
          </cell>
          <cell r="E10155">
            <v>-52614.302999999993</v>
          </cell>
          <cell r="F10155">
            <v>10</v>
          </cell>
        </row>
        <row r="10156">
          <cell r="A10156">
            <v>2019</v>
          </cell>
          <cell r="B10156" t="str">
            <v>Actual</v>
          </cell>
          <cell r="C10156" t="str">
            <v>Oct</v>
          </cell>
          <cell r="D10156" t="str">
            <v>Chairs</v>
          </cell>
          <cell r="E10156">
            <v>198197.573</v>
          </cell>
          <cell r="F10156">
            <v>10</v>
          </cell>
        </row>
        <row r="10157">
          <cell r="A10157">
            <v>2018</v>
          </cell>
          <cell r="B10157" t="str">
            <v>Budget</v>
          </cell>
          <cell r="C10157" t="str">
            <v>Oct</v>
          </cell>
          <cell r="D10157" t="str">
            <v>Chairs</v>
          </cell>
          <cell r="E10157">
            <v>197114.52599999998</v>
          </cell>
          <cell r="F10157">
            <v>10</v>
          </cell>
        </row>
        <row r="10158">
          <cell r="A10158">
            <v>2018</v>
          </cell>
          <cell r="B10158" t="str">
            <v>Actual</v>
          </cell>
          <cell r="C10158" t="str">
            <v>Oct</v>
          </cell>
          <cell r="D10158" t="str">
            <v>Chairs</v>
          </cell>
          <cell r="E10158">
            <v>669574.61899999995</v>
          </cell>
          <cell r="F10158">
            <v>10</v>
          </cell>
        </row>
        <row r="10159">
          <cell r="A10159">
            <v>2019</v>
          </cell>
          <cell r="B10159" t="str">
            <v>Budget</v>
          </cell>
          <cell r="C10159" t="str">
            <v>Oct</v>
          </cell>
          <cell r="D10159" t="str">
            <v>Chairs</v>
          </cell>
          <cell r="E10159">
            <v>103196.016</v>
          </cell>
          <cell r="F10159">
            <v>10</v>
          </cell>
        </row>
        <row r="10160">
          <cell r="A10160">
            <v>2018</v>
          </cell>
          <cell r="B10160" t="str">
            <v>Actual</v>
          </cell>
          <cell r="C10160" t="str">
            <v>Oct</v>
          </cell>
          <cell r="D10160" t="str">
            <v>Chairs</v>
          </cell>
          <cell r="E10160">
            <v>48700.239000000001</v>
          </cell>
          <cell r="F10160">
            <v>10</v>
          </cell>
        </row>
        <row r="10161">
          <cell r="A10161">
            <v>2018</v>
          </cell>
          <cell r="B10161" t="str">
            <v>Budget</v>
          </cell>
          <cell r="C10161" t="str">
            <v>Oct</v>
          </cell>
          <cell r="D10161" t="str">
            <v>Chairs</v>
          </cell>
          <cell r="E10161">
            <v>129361.057</v>
          </cell>
          <cell r="F10161">
            <v>10</v>
          </cell>
        </row>
        <row r="10162">
          <cell r="A10162">
            <v>2018</v>
          </cell>
          <cell r="B10162" t="str">
            <v>Actual</v>
          </cell>
          <cell r="C10162" t="str">
            <v>Oct</v>
          </cell>
          <cell r="D10162" t="str">
            <v>Chairs</v>
          </cell>
          <cell r="E10162">
            <v>12622.715</v>
          </cell>
          <cell r="F10162">
            <v>10</v>
          </cell>
        </row>
        <row r="10163">
          <cell r="A10163">
            <v>2018</v>
          </cell>
          <cell r="B10163" t="str">
            <v>Budget</v>
          </cell>
          <cell r="C10163" t="str">
            <v>Oct</v>
          </cell>
          <cell r="D10163" t="str">
            <v>Chairs</v>
          </cell>
          <cell r="E10163">
            <v>208550.97899999996</v>
          </cell>
          <cell r="F10163">
            <v>10</v>
          </cell>
        </row>
        <row r="10164">
          <cell r="A10164">
            <v>2018</v>
          </cell>
          <cell r="B10164" t="str">
            <v>Actual</v>
          </cell>
          <cell r="C10164" t="str">
            <v>Oct</v>
          </cell>
          <cell r="D10164" t="str">
            <v>Chairs</v>
          </cell>
          <cell r="E10164">
            <v>328678.61599999998</v>
          </cell>
          <cell r="F10164">
            <v>10</v>
          </cell>
        </row>
        <row r="10165">
          <cell r="A10165">
            <v>2018</v>
          </cell>
          <cell r="B10165" t="str">
            <v>Budget</v>
          </cell>
          <cell r="C10165" t="str">
            <v>Oct</v>
          </cell>
          <cell r="D10165" t="str">
            <v>Chairs</v>
          </cell>
          <cell r="E10165">
            <v>142332.24599999998</v>
          </cell>
          <cell r="F10165">
            <v>10</v>
          </cell>
        </row>
        <row r="10166">
          <cell r="A10166">
            <v>2018</v>
          </cell>
          <cell r="B10166" t="str">
            <v>Actual</v>
          </cell>
          <cell r="C10166" t="str">
            <v>Oct</v>
          </cell>
          <cell r="D10166" t="str">
            <v>Chairs</v>
          </cell>
          <cell r="E10166">
            <v>1092542.7169999999</v>
          </cell>
          <cell r="F10166">
            <v>10</v>
          </cell>
        </row>
        <row r="10167">
          <cell r="A10167">
            <v>2018</v>
          </cell>
          <cell r="B10167" t="str">
            <v>Budget</v>
          </cell>
          <cell r="C10167" t="str">
            <v>Oct</v>
          </cell>
          <cell r="D10167" t="str">
            <v>Chairs</v>
          </cell>
          <cell r="E10167">
            <v>90920.039000000004</v>
          </cell>
          <cell r="F10167">
            <v>10</v>
          </cell>
        </row>
        <row r="10168">
          <cell r="A10168">
            <v>2019</v>
          </cell>
          <cell r="B10168" t="str">
            <v>Actual</v>
          </cell>
          <cell r="C10168" t="str">
            <v>Oct</v>
          </cell>
          <cell r="D10168" t="str">
            <v>Chairs</v>
          </cell>
          <cell r="E10168">
            <v>540898.63799999992</v>
          </cell>
          <cell r="F10168">
            <v>10</v>
          </cell>
        </row>
        <row r="10169">
          <cell r="A10169">
            <v>2018</v>
          </cell>
          <cell r="B10169" t="str">
            <v>Budget</v>
          </cell>
          <cell r="C10169" t="str">
            <v>Oct</v>
          </cell>
          <cell r="D10169" t="str">
            <v>Chairs</v>
          </cell>
          <cell r="E10169">
            <v>121759.057</v>
          </cell>
          <cell r="F10169">
            <v>10</v>
          </cell>
        </row>
        <row r="10170">
          <cell r="A10170">
            <v>2018</v>
          </cell>
          <cell r="B10170" t="str">
            <v>Actual</v>
          </cell>
          <cell r="C10170" t="str">
            <v>Oct</v>
          </cell>
          <cell r="D10170" t="str">
            <v>Chairs</v>
          </cell>
          <cell r="E10170">
            <v>122994.81599999999</v>
          </cell>
          <cell r="F10170">
            <v>10</v>
          </cell>
        </row>
        <row r="10171">
          <cell r="A10171">
            <v>2019</v>
          </cell>
          <cell r="B10171" t="str">
            <v>Budget</v>
          </cell>
          <cell r="C10171" t="str">
            <v>Oct</v>
          </cell>
          <cell r="D10171" t="str">
            <v>Chairs</v>
          </cell>
          <cell r="E10171">
            <v>28745.800999999999</v>
          </cell>
          <cell r="F10171">
            <v>10</v>
          </cell>
        </row>
        <row r="10172">
          <cell r="A10172">
            <v>2019</v>
          </cell>
          <cell r="B10172" t="str">
            <v>Actual</v>
          </cell>
          <cell r="C10172" t="str">
            <v>Oct</v>
          </cell>
          <cell r="D10172" t="str">
            <v>Chairs</v>
          </cell>
          <cell r="E10172">
            <v>42608.082999999999</v>
          </cell>
          <cell r="F10172">
            <v>10</v>
          </cell>
        </row>
        <row r="10173">
          <cell r="A10173">
            <v>2019</v>
          </cell>
          <cell r="B10173" t="str">
            <v>Budget</v>
          </cell>
          <cell r="C10173" t="str">
            <v>Oct</v>
          </cell>
          <cell r="D10173" t="str">
            <v>Chairs</v>
          </cell>
          <cell r="E10173">
            <v>1243.0319999999999</v>
          </cell>
          <cell r="F10173">
            <v>10</v>
          </cell>
        </row>
        <row r="10174">
          <cell r="A10174">
            <v>2018</v>
          </cell>
          <cell r="B10174" t="str">
            <v>Actual</v>
          </cell>
          <cell r="C10174" t="str">
            <v>Oct</v>
          </cell>
          <cell r="D10174" t="str">
            <v>Chairs</v>
          </cell>
          <cell r="E10174">
            <v>56899.25499999999</v>
          </cell>
          <cell r="F10174">
            <v>10</v>
          </cell>
        </row>
        <row r="10175">
          <cell r="A10175">
            <v>2019</v>
          </cell>
          <cell r="B10175" t="str">
            <v>Budget</v>
          </cell>
          <cell r="C10175" t="str">
            <v>Oct</v>
          </cell>
          <cell r="D10175" t="str">
            <v>Chairs</v>
          </cell>
          <cell r="E10175">
            <v>14137.081</v>
          </cell>
          <cell r="F10175">
            <v>10</v>
          </cell>
        </row>
        <row r="10176">
          <cell r="A10176">
            <v>2019</v>
          </cell>
          <cell r="B10176" t="str">
            <v>Actual</v>
          </cell>
          <cell r="C10176" t="str">
            <v>Oct</v>
          </cell>
          <cell r="D10176" t="str">
            <v>Chairs</v>
          </cell>
          <cell r="E10176">
            <v>31598.573999999997</v>
          </cell>
          <cell r="F10176">
            <v>10</v>
          </cell>
        </row>
        <row r="10177">
          <cell r="A10177">
            <v>2018</v>
          </cell>
          <cell r="B10177" t="str">
            <v>Budget</v>
          </cell>
          <cell r="C10177" t="str">
            <v>Oct</v>
          </cell>
          <cell r="D10177" t="str">
            <v>Chairs</v>
          </cell>
          <cell r="E10177">
            <v>19916.294999999998</v>
          </cell>
          <cell r="F10177">
            <v>10</v>
          </cell>
        </row>
        <row r="10178">
          <cell r="A10178">
            <v>2018</v>
          </cell>
          <cell r="B10178" t="str">
            <v>Actual</v>
          </cell>
          <cell r="C10178" t="str">
            <v>Oct</v>
          </cell>
          <cell r="D10178" t="str">
            <v>Chairs</v>
          </cell>
          <cell r="E10178">
            <v>92306.430999999982</v>
          </cell>
          <cell r="F10178">
            <v>10</v>
          </cell>
        </row>
        <row r="10179">
          <cell r="A10179">
            <v>2018</v>
          </cell>
          <cell r="B10179" t="str">
            <v>Budget</v>
          </cell>
          <cell r="C10179" t="str">
            <v>Oct</v>
          </cell>
          <cell r="D10179" t="str">
            <v>Chairs</v>
          </cell>
          <cell r="E10179">
            <v>27233.513999999996</v>
          </cell>
          <cell r="F10179">
            <v>10</v>
          </cell>
        </row>
        <row r="10180">
          <cell r="A10180">
            <v>2019</v>
          </cell>
          <cell r="B10180" t="str">
            <v>Actual</v>
          </cell>
          <cell r="C10180" t="str">
            <v>Oct</v>
          </cell>
          <cell r="D10180" t="str">
            <v>Chairs</v>
          </cell>
          <cell r="E10180">
            <v>44247.195999999996</v>
          </cell>
          <cell r="F10180">
            <v>10</v>
          </cell>
        </row>
        <row r="10181">
          <cell r="A10181">
            <v>2018</v>
          </cell>
          <cell r="B10181" t="str">
            <v>Budget</v>
          </cell>
          <cell r="C10181" t="str">
            <v>Oct</v>
          </cell>
          <cell r="D10181" t="str">
            <v>Tables</v>
          </cell>
          <cell r="E10181">
            <v>84813.099000000002</v>
          </cell>
          <cell r="F10181">
            <v>10</v>
          </cell>
        </row>
        <row r="10182">
          <cell r="A10182">
            <v>2019</v>
          </cell>
          <cell r="B10182" t="str">
            <v>Actual</v>
          </cell>
          <cell r="C10182" t="str">
            <v>Oct</v>
          </cell>
          <cell r="D10182" t="str">
            <v>Kitchen</v>
          </cell>
          <cell r="E10182">
            <v>37453.758999999998</v>
          </cell>
          <cell r="F10182">
            <v>10</v>
          </cell>
        </row>
        <row r="10183">
          <cell r="A10183">
            <v>2019</v>
          </cell>
          <cell r="B10183" t="str">
            <v>Budget</v>
          </cell>
          <cell r="C10183" t="str">
            <v>Oct</v>
          </cell>
          <cell r="D10183" t="str">
            <v>Chairs</v>
          </cell>
          <cell r="E10183">
            <v>16363.164999999999</v>
          </cell>
          <cell r="F10183">
            <v>10</v>
          </cell>
        </row>
        <row r="10184">
          <cell r="A10184">
            <v>2018</v>
          </cell>
          <cell r="B10184" t="str">
            <v>Actual</v>
          </cell>
          <cell r="C10184" t="str">
            <v>Oct</v>
          </cell>
          <cell r="D10184" t="str">
            <v>Chairs</v>
          </cell>
          <cell r="E10184">
            <v>183972.033</v>
          </cell>
          <cell r="F10184">
            <v>10</v>
          </cell>
        </row>
        <row r="10185">
          <cell r="A10185">
            <v>2018</v>
          </cell>
          <cell r="B10185" t="str">
            <v>Budget</v>
          </cell>
          <cell r="C10185" t="str">
            <v>Oct</v>
          </cell>
          <cell r="D10185" t="str">
            <v>Chairs</v>
          </cell>
          <cell r="E10185">
            <v>249521.95799999998</v>
          </cell>
          <cell r="F10185">
            <v>10</v>
          </cell>
        </row>
        <row r="10186">
          <cell r="A10186">
            <v>2019</v>
          </cell>
          <cell r="B10186" t="str">
            <v>Actual</v>
          </cell>
          <cell r="C10186" t="str">
            <v>Oct</v>
          </cell>
          <cell r="D10186" t="str">
            <v>Chairs</v>
          </cell>
          <cell r="E10186">
            <v>23367.001</v>
          </cell>
          <cell r="F10186">
            <v>10</v>
          </cell>
        </row>
        <row r="10187">
          <cell r="A10187">
            <v>2018</v>
          </cell>
          <cell r="B10187" t="str">
            <v>Budget</v>
          </cell>
          <cell r="C10187" t="str">
            <v>Oct</v>
          </cell>
          <cell r="D10187" t="str">
            <v>Chairs</v>
          </cell>
          <cell r="E10187">
            <v>351016.21799999999</v>
          </cell>
          <cell r="F10187">
            <v>10</v>
          </cell>
        </row>
        <row r="10188">
          <cell r="A10188">
            <v>2019</v>
          </cell>
          <cell r="B10188" t="str">
            <v>Actual</v>
          </cell>
          <cell r="C10188" t="str">
            <v>Oct</v>
          </cell>
          <cell r="D10188" t="str">
            <v>Tables</v>
          </cell>
          <cell r="E10188">
            <v>343473.81599999999</v>
          </cell>
          <cell r="F10188">
            <v>10</v>
          </cell>
        </row>
        <row r="10189">
          <cell r="A10189">
            <v>2019</v>
          </cell>
          <cell r="B10189" t="str">
            <v>Budget</v>
          </cell>
          <cell r="C10189" t="str">
            <v>Oct</v>
          </cell>
          <cell r="D10189" t="str">
            <v>Kitchen</v>
          </cell>
          <cell r="E10189">
            <v>123124.41399999999</v>
          </cell>
          <cell r="F10189">
            <v>10</v>
          </cell>
        </row>
        <row r="10190">
          <cell r="A10190">
            <v>2018</v>
          </cell>
          <cell r="B10190" t="str">
            <v>Actual</v>
          </cell>
          <cell r="C10190" t="str">
            <v>Oct</v>
          </cell>
          <cell r="D10190" t="str">
            <v>Chairs</v>
          </cell>
          <cell r="E10190">
            <v>77521.856999999989</v>
          </cell>
          <cell r="F10190">
            <v>10</v>
          </cell>
        </row>
        <row r="10191">
          <cell r="A10191">
            <v>2019</v>
          </cell>
          <cell r="B10191" t="str">
            <v>Budget</v>
          </cell>
          <cell r="C10191" t="str">
            <v>Oct</v>
          </cell>
          <cell r="D10191" t="str">
            <v>Chairs</v>
          </cell>
          <cell r="E10191">
            <v>43792.945</v>
          </cell>
          <cell r="F10191">
            <v>10</v>
          </cell>
        </row>
        <row r="10192">
          <cell r="A10192">
            <v>2019</v>
          </cell>
          <cell r="B10192" t="str">
            <v>Actual</v>
          </cell>
          <cell r="C10192" t="str">
            <v>Oct</v>
          </cell>
          <cell r="D10192" t="str">
            <v>Chairs</v>
          </cell>
          <cell r="E10192">
            <v>128717.77099999999</v>
          </cell>
          <cell r="F10192">
            <v>10</v>
          </cell>
        </row>
        <row r="10193">
          <cell r="A10193">
            <v>2018</v>
          </cell>
          <cell r="B10193" t="str">
            <v>Budget</v>
          </cell>
          <cell r="C10193" t="str">
            <v>Oct</v>
          </cell>
          <cell r="D10193" t="str">
            <v>Tables</v>
          </cell>
          <cell r="E10193">
            <v>2602746.9789999998</v>
          </cell>
          <cell r="F10193">
            <v>10</v>
          </cell>
        </row>
        <row r="10194">
          <cell r="A10194">
            <v>2018</v>
          </cell>
          <cell r="B10194" t="str">
            <v>Actual</v>
          </cell>
          <cell r="C10194" t="str">
            <v>Oct</v>
          </cell>
          <cell r="D10194" t="str">
            <v>Kitchen</v>
          </cell>
          <cell r="E10194">
            <v>30849.846999999998</v>
          </cell>
          <cell r="F10194">
            <v>10</v>
          </cell>
        </row>
        <row r="10195">
          <cell r="A10195">
            <v>2018</v>
          </cell>
          <cell r="B10195" t="str">
            <v>Budget</v>
          </cell>
          <cell r="C10195" t="str">
            <v>Oct</v>
          </cell>
          <cell r="D10195" t="str">
            <v>Chairs</v>
          </cell>
          <cell r="E10195">
            <v>32202.246999999996</v>
          </cell>
          <cell r="F10195">
            <v>10</v>
          </cell>
        </row>
        <row r="10196">
          <cell r="A10196">
            <v>2019</v>
          </cell>
          <cell r="B10196" t="str">
            <v>Actual</v>
          </cell>
          <cell r="C10196" t="str">
            <v>Oct</v>
          </cell>
          <cell r="D10196" t="str">
            <v>Chairs</v>
          </cell>
          <cell r="E10196">
            <v>14953.715</v>
          </cell>
          <cell r="F10196">
            <v>10</v>
          </cell>
        </row>
        <row r="10197">
          <cell r="A10197">
            <v>2018</v>
          </cell>
          <cell r="B10197" t="str">
            <v>Budget</v>
          </cell>
          <cell r="C10197" t="str">
            <v>Oct</v>
          </cell>
          <cell r="D10197" t="str">
            <v>Tables</v>
          </cell>
          <cell r="E10197">
            <v>2668.855</v>
          </cell>
          <cell r="F10197">
            <v>10</v>
          </cell>
        </row>
        <row r="10198">
          <cell r="A10198">
            <v>2019</v>
          </cell>
          <cell r="B10198" t="str">
            <v>Actual</v>
          </cell>
          <cell r="C10198" t="str">
            <v>Oct</v>
          </cell>
          <cell r="D10198" t="str">
            <v>Kitchen</v>
          </cell>
          <cell r="E10198">
            <v>195440.78399999999</v>
          </cell>
          <cell r="F10198">
            <v>10</v>
          </cell>
        </row>
        <row r="10199">
          <cell r="A10199">
            <v>2018</v>
          </cell>
          <cell r="B10199" t="str">
            <v>Budget</v>
          </cell>
          <cell r="C10199" t="str">
            <v>Oct</v>
          </cell>
          <cell r="D10199" t="str">
            <v>Chairs</v>
          </cell>
          <cell r="E10199">
            <v>65291.043999999994</v>
          </cell>
          <cell r="F10199">
            <v>10</v>
          </cell>
        </row>
        <row r="10200">
          <cell r="A10200">
            <v>2018</v>
          </cell>
          <cell r="B10200" t="str">
            <v>Actual</v>
          </cell>
          <cell r="C10200" t="str">
            <v>Oct</v>
          </cell>
          <cell r="D10200" t="str">
            <v>Chairs</v>
          </cell>
          <cell r="E10200">
            <v>47078.212999999996</v>
          </cell>
          <cell r="F10200">
            <v>10</v>
          </cell>
        </row>
        <row r="10201">
          <cell r="A10201">
            <v>2019</v>
          </cell>
          <cell r="B10201" t="str">
            <v>Budget</v>
          </cell>
          <cell r="C10201" t="str">
            <v>Oct</v>
          </cell>
          <cell r="D10201" t="str">
            <v>Chairs</v>
          </cell>
          <cell r="E10201">
            <v>17888.129000000001</v>
          </cell>
          <cell r="F10201">
            <v>10</v>
          </cell>
        </row>
        <row r="10202">
          <cell r="A10202">
            <v>2019</v>
          </cell>
          <cell r="B10202" t="str">
            <v>Actual</v>
          </cell>
          <cell r="C10202" t="str">
            <v>Oct</v>
          </cell>
          <cell r="D10202" t="str">
            <v>Tables</v>
          </cell>
          <cell r="E10202">
            <v>7630.2449999999999</v>
          </cell>
          <cell r="F10202">
            <v>10</v>
          </cell>
        </row>
        <row r="10203">
          <cell r="A10203">
            <v>2018</v>
          </cell>
          <cell r="B10203" t="str">
            <v>Budget</v>
          </cell>
          <cell r="C10203" t="str">
            <v>Oct</v>
          </cell>
          <cell r="D10203" t="str">
            <v>Kitchen</v>
          </cell>
          <cell r="E10203">
            <v>4033.694</v>
          </cell>
          <cell r="F10203">
            <v>10</v>
          </cell>
        </row>
        <row r="10204">
          <cell r="A10204">
            <v>2019</v>
          </cell>
          <cell r="B10204" t="str">
            <v>Actual</v>
          </cell>
          <cell r="C10204" t="str">
            <v>Oct</v>
          </cell>
          <cell r="D10204" t="str">
            <v>Accessories</v>
          </cell>
          <cell r="E10204">
            <v>6899.9</v>
          </cell>
          <cell r="F10204">
            <v>10</v>
          </cell>
        </row>
        <row r="10205">
          <cell r="A10205">
            <v>2019</v>
          </cell>
          <cell r="B10205" t="str">
            <v>Budget</v>
          </cell>
          <cell r="C10205" t="str">
            <v>Oct</v>
          </cell>
          <cell r="D10205" t="str">
            <v>Chairs</v>
          </cell>
          <cell r="E10205">
            <v>4052263.0749999997</v>
          </cell>
          <cell r="F10205">
            <v>10</v>
          </cell>
        </row>
        <row r="10206">
          <cell r="A10206">
            <v>2019</v>
          </cell>
          <cell r="B10206" t="str">
            <v>Actual</v>
          </cell>
          <cell r="C10206" t="str">
            <v>Oct</v>
          </cell>
          <cell r="D10206" t="str">
            <v>Tables</v>
          </cell>
          <cell r="E10206">
            <v>158438.79800000001</v>
          </cell>
          <cell r="F10206">
            <v>10</v>
          </cell>
        </row>
        <row r="10207">
          <cell r="A10207">
            <v>2019</v>
          </cell>
          <cell r="B10207" t="str">
            <v>Budget</v>
          </cell>
          <cell r="C10207" t="str">
            <v>Oct</v>
          </cell>
          <cell r="D10207" t="str">
            <v>Kitchen</v>
          </cell>
          <cell r="E10207">
            <v>87717.972999999998</v>
          </cell>
          <cell r="F10207">
            <v>10</v>
          </cell>
        </row>
        <row r="10208">
          <cell r="A10208">
            <v>2019</v>
          </cell>
          <cell r="B10208" t="str">
            <v>Actual</v>
          </cell>
          <cell r="C10208" t="str">
            <v>Oct</v>
          </cell>
          <cell r="D10208" t="str">
            <v>Accessories</v>
          </cell>
          <cell r="E10208">
            <v>1574.7270000000001</v>
          </cell>
          <cell r="F10208">
            <v>10</v>
          </cell>
        </row>
        <row r="10209">
          <cell r="A10209">
            <v>2019</v>
          </cell>
          <cell r="B10209" t="str">
            <v>Budget</v>
          </cell>
          <cell r="C10209" t="str">
            <v>Oct</v>
          </cell>
          <cell r="D10209" t="str">
            <v>Chairs</v>
          </cell>
          <cell r="E10209">
            <v>362308.34499999997</v>
          </cell>
          <cell r="F10209">
            <v>10</v>
          </cell>
        </row>
        <row r="10210">
          <cell r="A10210">
            <v>2019</v>
          </cell>
          <cell r="B10210" t="str">
            <v>Actual</v>
          </cell>
          <cell r="C10210" t="str">
            <v>Oct</v>
          </cell>
          <cell r="D10210" t="str">
            <v>Tables</v>
          </cell>
          <cell r="E10210">
            <v>432.27799999999996</v>
          </cell>
          <cell r="F10210">
            <v>10</v>
          </cell>
        </row>
        <row r="10211">
          <cell r="A10211">
            <v>2019</v>
          </cell>
          <cell r="B10211" t="str">
            <v>Budget</v>
          </cell>
          <cell r="C10211" t="str">
            <v>Oct</v>
          </cell>
          <cell r="D10211" t="str">
            <v>Kitchen</v>
          </cell>
          <cell r="E10211">
            <v>453.89399999999995</v>
          </cell>
          <cell r="F10211">
            <v>10</v>
          </cell>
        </row>
        <row r="10212">
          <cell r="A10212">
            <v>2019</v>
          </cell>
          <cell r="B10212" t="str">
            <v>Actual</v>
          </cell>
          <cell r="C10212" t="str">
            <v>Oct</v>
          </cell>
          <cell r="D10212" t="str">
            <v>Accessories</v>
          </cell>
          <cell r="E10212">
            <v>-190681.46999999997</v>
          </cell>
          <cell r="F10212">
            <v>10</v>
          </cell>
        </row>
        <row r="10213">
          <cell r="A10213">
            <v>2018</v>
          </cell>
          <cell r="B10213" t="str">
            <v>Budget</v>
          </cell>
          <cell r="C10213" t="str">
            <v>Oct</v>
          </cell>
          <cell r="D10213" t="str">
            <v>Chairs</v>
          </cell>
          <cell r="E10213">
            <v>316211.35699999996</v>
          </cell>
          <cell r="F10213">
            <v>10</v>
          </cell>
        </row>
        <row r="10214">
          <cell r="A10214">
            <v>2019</v>
          </cell>
          <cell r="B10214" t="str">
            <v>Actual</v>
          </cell>
          <cell r="C10214" t="str">
            <v>Oct</v>
          </cell>
          <cell r="D10214" t="str">
            <v>Tables</v>
          </cell>
          <cell r="E10214">
            <v>308245.09099999996</v>
          </cell>
          <cell r="F10214">
            <v>10</v>
          </cell>
        </row>
        <row r="10215">
          <cell r="A10215">
            <v>2018</v>
          </cell>
          <cell r="B10215" t="str">
            <v>Budget</v>
          </cell>
          <cell r="C10215" t="str">
            <v>Oct</v>
          </cell>
          <cell r="D10215" t="str">
            <v>Kitchen</v>
          </cell>
          <cell r="E10215">
            <v>1658894.4889999998</v>
          </cell>
          <cell r="F10215">
            <v>10</v>
          </cell>
        </row>
        <row r="10216">
          <cell r="A10216">
            <v>2019</v>
          </cell>
          <cell r="B10216" t="str">
            <v>Actual</v>
          </cell>
          <cell r="C10216" t="str">
            <v>Oct</v>
          </cell>
          <cell r="D10216" t="str">
            <v>Accessories</v>
          </cell>
          <cell r="E10216">
            <v>320823.93699999998</v>
          </cell>
          <cell r="F10216">
            <v>10</v>
          </cell>
        </row>
        <row r="10217">
          <cell r="A10217">
            <v>2018</v>
          </cell>
          <cell r="B10217" t="str">
            <v>Budget</v>
          </cell>
          <cell r="C10217" t="str">
            <v>Oct</v>
          </cell>
          <cell r="D10217" t="str">
            <v>Chairs</v>
          </cell>
          <cell r="E10217">
            <v>240685.68299999999</v>
          </cell>
          <cell r="F10217">
            <v>10</v>
          </cell>
        </row>
        <row r="10218">
          <cell r="A10218">
            <v>2019</v>
          </cell>
          <cell r="B10218" t="str">
            <v>Actual</v>
          </cell>
          <cell r="C10218" t="str">
            <v>Oct</v>
          </cell>
          <cell r="D10218" t="str">
            <v>Chairs</v>
          </cell>
          <cell r="E10218">
            <v>1845333.301</v>
          </cell>
          <cell r="F10218">
            <v>10</v>
          </cell>
        </row>
        <row r="10219">
          <cell r="A10219">
            <v>2019</v>
          </cell>
          <cell r="B10219" t="str">
            <v>Budget</v>
          </cell>
          <cell r="C10219" t="str">
            <v>Oct</v>
          </cell>
          <cell r="D10219" t="str">
            <v>Tables</v>
          </cell>
          <cell r="E10219">
            <v>562970.93999999994</v>
          </cell>
          <cell r="F10219">
            <v>10</v>
          </cell>
        </row>
        <row r="10220">
          <cell r="A10220">
            <v>2018</v>
          </cell>
          <cell r="B10220" t="str">
            <v>Actual</v>
          </cell>
          <cell r="C10220" t="str">
            <v>Oct</v>
          </cell>
          <cell r="D10220" t="str">
            <v>Kitchen</v>
          </cell>
          <cell r="E10220">
            <v>79070.243000000002</v>
          </cell>
          <cell r="F10220">
            <v>10</v>
          </cell>
        </row>
        <row r="10221">
          <cell r="A10221">
            <v>2018</v>
          </cell>
          <cell r="B10221" t="str">
            <v>Budget</v>
          </cell>
          <cell r="C10221" t="str">
            <v>Oct</v>
          </cell>
          <cell r="D10221" t="str">
            <v>Chairs</v>
          </cell>
          <cell r="E10221">
            <v>421610.30799999996</v>
          </cell>
          <cell r="F10221">
            <v>10</v>
          </cell>
        </row>
        <row r="10222">
          <cell r="A10222">
            <v>2018</v>
          </cell>
          <cell r="B10222" t="str">
            <v>Actual</v>
          </cell>
          <cell r="C10222" t="str">
            <v>Oct</v>
          </cell>
          <cell r="D10222" t="str">
            <v>Tables</v>
          </cell>
          <cell r="E10222">
            <v>675530.55499999993</v>
          </cell>
          <cell r="F10222">
            <v>10</v>
          </cell>
        </row>
        <row r="10223">
          <cell r="A10223">
            <v>2018</v>
          </cell>
          <cell r="B10223" t="str">
            <v>Budget</v>
          </cell>
          <cell r="C10223" t="str">
            <v>Oct</v>
          </cell>
          <cell r="D10223" t="str">
            <v>Kitchen</v>
          </cell>
          <cell r="E10223">
            <v>7222.2919999999995</v>
          </cell>
          <cell r="F10223">
            <v>10</v>
          </cell>
        </row>
        <row r="10224">
          <cell r="A10224">
            <v>2019</v>
          </cell>
          <cell r="B10224" t="str">
            <v>Actual</v>
          </cell>
          <cell r="C10224" t="str">
            <v>Oct</v>
          </cell>
          <cell r="D10224" t="str">
            <v>Chairs</v>
          </cell>
          <cell r="E10224">
            <v>22042.278999999999</v>
          </cell>
          <cell r="F10224">
            <v>10</v>
          </cell>
        </row>
        <row r="10225">
          <cell r="A10225">
            <v>2019</v>
          </cell>
          <cell r="B10225" t="str">
            <v>Budget</v>
          </cell>
          <cell r="C10225" t="str">
            <v>Oct</v>
          </cell>
          <cell r="D10225" t="str">
            <v>Tables</v>
          </cell>
          <cell r="E10225">
            <v>176911.90299999999</v>
          </cell>
          <cell r="F10225">
            <v>10</v>
          </cell>
        </row>
        <row r="10226">
          <cell r="A10226">
            <v>2018</v>
          </cell>
          <cell r="B10226" t="str">
            <v>Actual</v>
          </cell>
          <cell r="C10226" t="str">
            <v>Oct</v>
          </cell>
          <cell r="D10226" t="str">
            <v>Kitchen</v>
          </cell>
          <cell r="E10226">
            <v>248759.35699999999</v>
          </cell>
          <cell r="F10226">
            <v>10</v>
          </cell>
        </row>
        <row r="10227">
          <cell r="A10227">
            <v>2018</v>
          </cell>
          <cell r="B10227" t="str">
            <v>Budget</v>
          </cell>
          <cell r="C10227" t="str">
            <v>Oct</v>
          </cell>
          <cell r="D10227" t="str">
            <v>Chairs</v>
          </cell>
          <cell r="E10227">
            <v>2013131.9180000001</v>
          </cell>
          <cell r="F10227">
            <v>10</v>
          </cell>
        </row>
        <row r="10228">
          <cell r="A10228">
            <v>2018</v>
          </cell>
          <cell r="B10228" t="str">
            <v>Actual</v>
          </cell>
          <cell r="C10228" t="str">
            <v>Oct</v>
          </cell>
          <cell r="D10228" t="str">
            <v>Chairs</v>
          </cell>
          <cell r="E10228">
            <v>333912.48099999997</v>
          </cell>
          <cell r="F10228">
            <v>10</v>
          </cell>
        </row>
        <row r="10229">
          <cell r="A10229">
            <v>2019</v>
          </cell>
          <cell r="B10229" t="str">
            <v>Budget</v>
          </cell>
          <cell r="C10229" t="str">
            <v>Oct</v>
          </cell>
          <cell r="D10229" t="str">
            <v>Chairs</v>
          </cell>
          <cell r="E10229">
            <v>530039.027</v>
          </cell>
          <cell r="F10229">
            <v>10</v>
          </cell>
        </row>
        <row r="10230">
          <cell r="A10230">
            <v>2018</v>
          </cell>
          <cell r="B10230" t="str">
            <v>Actual</v>
          </cell>
          <cell r="C10230" t="str">
            <v>Oct</v>
          </cell>
          <cell r="D10230" t="str">
            <v>Chairs</v>
          </cell>
          <cell r="E10230">
            <v>1096129.8459999999</v>
          </cell>
          <cell r="F10230">
            <v>10</v>
          </cell>
        </row>
        <row r="10231">
          <cell r="A10231">
            <v>2019</v>
          </cell>
          <cell r="B10231" t="str">
            <v>Budget</v>
          </cell>
          <cell r="C10231" t="str">
            <v>Oct</v>
          </cell>
          <cell r="D10231" t="str">
            <v>Chairs</v>
          </cell>
          <cell r="E10231">
            <v>311948.28699999995</v>
          </cell>
          <cell r="F10231">
            <v>10</v>
          </cell>
        </row>
        <row r="10232">
          <cell r="A10232">
            <v>2018</v>
          </cell>
          <cell r="B10232" t="str">
            <v>Actual</v>
          </cell>
          <cell r="C10232" t="str">
            <v>Oct</v>
          </cell>
          <cell r="D10232" t="str">
            <v>Chairs</v>
          </cell>
          <cell r="E10232">
            <v>38946.165999999997</v>
          </cell>
          <cell r="F10232">
            <v>10</v>
          </cell>
        </row>
        <row r="10233">
          <cell r="A10233">
            <v>2019</v>
          </cell>
          <cell r="B10233" t="str">
            <v>Budget</v>
          </cell>
          <cell r="C10233" t="str">
            <v>Oct</v>
          </cell>
          <cell r="D10233" t="str">
            <v>Chairs</v>
          </cell>
          <cell r="E10233">
            <v>31725.224999999999</v>
          </cell>
          <cell r="F10233">
            <v>10</v>
          </cell>
        </row>
        <row r="10234">
          <cell r="A10234">
            <v>2019</v>
          </cell>
          <cell r="B10234" t="str">
            <v>Actual</v>
          </cell>
          <cell r="C10234" t="str">
            <v>Oct</v>
          </cell>
          <cell r="D10234" t="str">
            <v>Chairs</v>
          </cell>
          <cell r="E10234">
            <v>422999.54200000002</v>
          </cell>
          <cell r="F10234">
            <v>10</v>
          </cell>
        </row>
        <row r="10235">
          <cell r="A10235">
            <v>2019</v>
          </cell>
          <cell r="B10235" t="str">
            <v>Budget</v>
          </cell>
          <cell r="C10235" t="str">
            <v>Oct</v>
          </cell>
          <cell r="D10235" t="str">
            <v>Chairs</v>
          </cell>
          <cell r="E10235">
            <v>340002.92899999995</v>
          </cell>
          <cell r="F10235">
            <v>10</v>
          </cell>
        </row>
        <row r="10236">
          <cell r="A10236">
            <v>2018</v>
          </cell>
          <cell r="B10236" t="str">
            <v>Actual</v>
          </cell>
          <cell r="C10236" t="str">
            <v>Oct</v>
          </cell>
          <cell r="D10236" t="str">
            <v>Chairs</v>
          </cell>
          <cell r="E10236">
            <v>129498.236</v>
          </cell>
          <cell r="F10236">
            <v>10</v>
          </cell>
        </row>
        <row r="10237">
          <cell r="A10237">
            <v>2019</v>
          </cell>
          <cell r="B10237" t="str">
            <v>Budget</v>
          </cell>
          <cell r="C10237" t="str">
            <v>Oct</v>
          </cell>
          <cell r="D10237" t="str">
            <v>Chairs</v>
          </cell>
          <cell r="E10237">
            <v>634022.81599999999</v>
          </cell>
          <cell r="F10237">
            <v>10</v>
          </cell>
        </row>
        <row r="10238">
          <cell r="A10238">
            <v>2019</v>
          </cell>
          <cell r="B10238" t="str">
            <v>Actual</v>
          </cell>
          <cell r="C10238" t="str">
            <v>Oct</v>
          </cell>
          <cell r="D10238" t="str">
            <v>Chairs</v>
          </cell>
          <cell r="E10238">
            <v>983024.73499999999</v>
          </cell>
          <cell r="F10238">
            <v>10</v>
          </cell>
        </row>
        <row r="10239">
          <cell r="A10239">
            <v>2019</v>
          </cell>
          <cell r="B10239" t="str">
            <v>Budget</v>
          </cell>
          <cell r="C10239" t="str">
            <v>Oct</v>
          </cell>
          <cell r="D10239" t="str">
            <v>Chairs</v>
          </cell>
          <cell r="E10239">
            <v>40457.822999999997</v>
          </cell>
          <cell r="F10239">
            <v>10</v>
          </cell>
        </row>
        <row r="10240">
          <cell r="A10240">
            <v>2018</v>
          </cell>
          <cell r="B10240" t="str">
            <v>Actual</v>
          </cell>
          <cell r="C10240" t="str">
            <v>Oct</v>
          </cell>
          <cell r="D10240" t="str">
            <v>Chairs</v>
          </cell>
          <cell r="E10240">
            <v>40457.822999999997</v>
          </cell>
          <cell r="F10240">
            <v>10</v>
          </cell>
        </row>
        <row r="10241">
          <cell r="A10241">
            <v>2019</v>
          </cell>
          <cell r="B10241" t="str">
            <v>Budget</v>
          </cell>
          <cell r="C10241" t="str">
            <v>Oct</v>
          </cell>
          <cell r="D10241" t="str">
            <v>Chairs</v>
          </cell>
          <cell r="E10241">
            <v>40457.822999999997</v>
          </cell>
          <cell r="F10241">
            <v>10</v>
          </cell>
        </row>
        <row r="10242">
          <cell r="A10242">
            <v>2019</v>
          </cell>
          <cell r="B10242" t="str">
            <v>Actual</v>
          </cell>
          <cell r="C10242" t="str">
            <v>Oct</v>
          </cell>
          <cell r="D10242" t="str">
            <v>Chairs</v>
          </cell>
          <cell r="E10242">
            <v>159045.20099999997</v>
          </cell>
          <cell r="F10242">
            <v>10</v>
          </cell>
        </row>
        <row r="10243">
          <cell r="A10243">
            <v>2018</v>
          </cell>
          <cell r="B10243" t="str">
            <v>Budget</v>
          </cell>
          <cell r="C10243" t="str">
            <v>Oct</v>
          </cell>
          <cell r="D10243" t="str">
            <v>Chairs</v>
          </cell>
          <cell r="E10243">
            <v>305107.97799999994</v>
          </cell>
          <cell r="F10243">
            <v>10</v>
          </cell>
        </row>
        <row r="10244">
          <cell r="A10244">
            <v>2018</v>
          </cell>
          <cell r="B10244" t="str">
            <v>Actual</v>
          </cell>
          <cell r="C10244" t="str">
            <v>Oct</v>
          </cell>
          <cell r="D10244" t="str">
            <v>Chairs</v>
          </cell>
          <cell r="E10244">
            <v>197960.96599999999</v>
          </cell>
          <cell r="F10244">
            <v>10</v>
          </cell>
        </row>
        <row r="10245">
          <cell r="A10245">
            <v>2019</v>
          </cell>
          <cell r="B10245" t="str">
            <v>Budget</v>
          </cell>
          <cell r="C10245" t="str">
            <v>Oct</v>
          </cell>
          <cell r="D10245" t="str">
            <v>Chairs</v>
          </cell>
          <cell r="E10245">
            <v>160280.06399999998</v>
          </cell>
          <cell r="F10245">
            <v>10</v>
          </cell>
        </row>
        <row r="10246">
          <cell r="A10246">
            <v>2019</v>
          </cell>
          <cell r="B10246" t="str">
            <v>Actual</v>
          </cell>
          <cell r="C10246" t="str">
            <v>Oct</v>
          </cell>
          <cell r="D10246" t="str">
            <v>Chairs</v>
          </cell>
          <cell r="E10246">
            <v>128391.011</v>
          </cell>
          <cell r="F10246">
            <v>10</v>
          </cell>
        </row>
        <row r="10247">
          <cell r="A10247">
            <v>2018</v>
          </cell>
          <cell r="B10247" t="str">
            <v>Budget</v>
          </cell>
          <cell r="C10247" t="str">
            <v>Oct</v>
          </cell>
          <cell r="D10247" t="str">
            <v>Chairs</v>
          </cell>
          <cell r="E10247">
            <v>80023.306999999986</v>
          </cell>
          <cell r="F10247">
            <v>10</v>
          </cell>
        </row>
        <row r="10248">
          <cell r="A10248">
            <v>2019</v>
          </cell>
          <cell r="B10248" t="str">
            <v>Actual</v>
          </cell>
          <cell r="C10248" t="str">
            <v>Oct</v>
          </cell>
          <cell r="D10248" t="str">
            <v>Chairs</v>
          </cell>
          <cell r="E10248">
            <v>919523.96199999982</v>
          </cell>
          <cell r="F10248">
            <v>10</v>
          </cell>
        </row>
        <row r="10249">
          <cell r="A10249">
            <v>2019</v>
          </cell>
          <cell r="B10249" t="str">
            <v>Budget</v>
          </cell>
          <cell r="C10249" t="str">
            <v>Oct</v>
          </cell>
          <cell r="D10249" t="str">
            <v>Chairs</v>
          </cell>
          <cell r="E10249">
            <v>578357.84299999999</v>
          </cell>
          <cell r="F10249">
            <v>10</v>
          </cell>
        </row>
        <row r="10250">
          <cell r="A10250">
            <v>2019</v>
          </cell>
          <cell r="B10250" t="str">
            <v>Actual</v>
          </cell>
          <cell r="C10250" t="str">
            <v>Oct</v>
          </cell>
          <cell r="D10250" t="str">
            <v>Chairs</v>
          </cell>
          <cell r="E10250">
            <v>293006.67899999995</v>
          </cell>
          <cell r="F10250">
            <v>10</v>
          </cell>
        </row>
        <row r="10251">
          <cell r="A10251">
            <v>2018</v>
          </cell>
          <cell r="B10251" t="str">
            <v>Budget</v>
          </cell>
          <cell r="C10251" t="str">
            <v>Oct</v>
          </cell>
          <cell r="D10251" t="str">
            <v>Chairs</v>
          </cell>
          <cell r="E10251">
            <v>864219.55900000001</v>
          </cell>
          <cell r="F10251">
            <v>10</v>
          </cell>
        </row>
        <row r="10252">
          <cell r="A10252">
            <v>2019</v>
          </cell>
          <cell r="B10252" t="str">
            <v>Actual</v>
          </cell>
          <cell r="C10252" t="str">
            <v>Oct</v>
          </cell>
          <cell r="D10252" t="str">
            <v>Chairs</v>
          </cell>
          <cell r="E10252">
            <v>407228.92</v>
          </cell>
          <cell r="F10252">
            <v>10</v>
          </cell>
        </row>
        <row r="10253">
          <cell r="A10253">
            <v>2018</v>
          </cell>
          <cell r="B10253" t="str">
            <v>Budget</v>
          </cell>
          <cell r="C10253" t="str">
            <v>Oct</v>
          </cell>
          <cell r="D10253" t="str">
            <v>Tables</v>
          </cell>
          <cell r="E10253">
            <v>39502.834000000003</v>
          </cell>
          <cell r="F10253">
            <v>10</v>
          </cell>
        </row>
        <row r="10254">
          <cell r="A10254">
            <v>2018</v>
          </cell>
          <cell r="B10254" t="str">
            <v>Actual</v>
          </cell>
          <cell r="C10254" t="str">
            <v>Oct</v>
          </cell>
          <cell r="D10254" t="str">
            <v>Kitchen</v>
          </cell>
          <cell r="E10254">
            <v>39421.437999999995</v>
          </cell>
          <cell r="F10254">
            <v>10</v>
          </cell>
        </row>
        <row r="10255">
          <cell r="A10255">
            <v>2019</v>
          </cell>
          <cell r="B10255" t="str">
            <v>Budget</v>
          </cell>
          <cell r="C10255" t="str">
            <v>Oct</v>
          </cell>
          <cell r="D10255" t="str">
            <v>Chairs</v>
          </cell>
          <cell r="E10255">
            <v>43524.690999999999</v>
          </cell>
          <cell r="F10255">
            <v>10</v>
          </cell>
        </row>
        <row r="10256">
          <cell r="A10256">
            <v>2018</v>
          </cell>
          <cell r="B10256" t="str">
            <v>Actual</v>
          </cell>
          <cell r="C10256" t="str">
            <v>Oct</v>
          </cell>
          <cell r="D10256" t="str">
            <v>Chairs</v>
          </cell>
          <cell r="E10256">
            <v>35080.142999999996</v>
          </cell>
          <cell r="F10256">
            <v>10</v>
          </cell>
        </row>
        <row r="10257">
          <cell r="A10257">
            <v>2019</v>
          </cell>
          <cell r="B10257" t="str">
            <v>Budget</v>
          </cell>
          <cell r="C10257" t="str">
            <v>Oct</v>
          </cell>
          <cell r="D10257" t="str">
            <v>Chairs</v>
          </cell>
          <cell r="E10257">
            <v>26448.960999999999</v>
          </cell>
          <cell r="F10257">
            <v>10</v>
          </cell>
        </row>
        <row r="10258">
          <cell r="A10258">
            <v>2019</v>
          </cell>
          <cell r="B10258" t="str">
            <v>Actual</v>
          </cell>
          <cell r="C10258" t="str">
            <v>Oct</v>
          </cell>
          <cell r="D10258" t="str">
            <v>Chairs</v>
          </cell>
          <cell r="E10258">
            <v>109620.84699999999</v>
          </cell>
          <cell r="F10258">
            <v>10</v>
          </cell>
        </row>
        <row r="10259">
          <cell r="A10259">
            <v>2018</v>
          </cell>
          <cell r="B10259" t="str">
            <v>Budget</v>
          </cell>
          <cell r="C10259" t="str">
            <v>Oct</v>
          </cell>
          <cell r="D10259" t="str">
            <v>Chairs</v>
          </cell>
          <cell r="E10259">
            <v>11465.839</v>
          </cell>
          <cell r="F10259">
            <v>10</v>
          </cell>
        </row>
        <row r="10260">
          <cell r="A10260">
            <v>2019</v>
          </cell>
          <cell r="B10260" t="str">
            <v>Actual</v>
          </cell>
          <cell r="C10260" t="str">
            <v>Oct</v>
          </cell>
          <cell r="D10260" t="str">
            <v>Tables</v>
          </cell>
          <cell r="E10260">
            <v>95603.430999999982</v>
          </cell>
          <cell r="F10260">
            <v>10</v>
          </cell>
        </row>
        <row r="10261">
          <cell r="A10261">
            <v>2018</v>
          </cell>
          <cell r="B10261" t="str">
            <v>Budget</v>
          </cell>
          <cell r="C10261" t="str">
            <v>Oct</v>
          </cell>
          <cell r="D10261" t="str">
            <v>Kitchen</v>
          </cell>
          <cell r="E10261">
            <v>427171.67499999999</v>
          </cell>
          <cell r="F10261">
            <v>10</v>
          </cell>
        </row>
        <row r="10262">
          <cell r="A10262">
            <v>2019</v>
          </cell>
          <cell r="B10262" t="str">
            <v>Actual</v>
          </cell>
          <cell r="C10262" t="str">
            <v>Oct</v>
          </cell>
          <cell r="D10262" t="str">
            <v>Chairs</v>
          </cell>
          <cell r="E10262">
            <v>84504.174999999988</v>
          </cell>
          <cell r="F10262">
            <v>10</v>
          </cell>
        </row>
        <row r="10263">
          <cell r="A10263">
            <v>2018</v>
          </cell>
          <cell r="B10263" t="str">
            <v>Budget</v>
          </cell>
          <cell r="C10263" t="str">
            <v>Oct</v>
          </cell>
          <cell r="D10263" t="str">
            <v>Chairs</v>
          </cell>
          <cell r="E10263">
            <v>208893.28599999996</v>
          </cell>
          <cell r="F10263">
            <v>10</v>
          </cell>
        </row>
        <row r="10264">
          <cell r="A10264">
            <v>2019</v>
          </cell>
          <cell r="B10264" t="str">
            <v>Actual</v>
          </cell>
          <cell r="C10264" t="str">
            <v>Oct</v>
          </cell>
          <cell r="D10264" t="str">
            <v>Chairs</v>
          </cell>
          <cell r="E10264">
            <v>152741.288</v>
          </cell>
          <cell r="F10264">
            <v>10</v>
          </cell>
        </row>
        <row r="10265">
          <cell r="A10265">
            <v>2019</v>
          </cell>
          <cell r="B10265" t="str">
            <v>Budget</v>
          </cell>
          <cell r="C10265" t="str">
            <v>Oct</v>
          </cell>
          <cell r="D10265" t="str">
            <v>Tables</v>
          </cell>
          <cell r="E10265">
            <v>121919.45499999999</v>
          </cell>
          <cell r="F10265">
            <v>10</v>
          </cell>
        </row>
        <row r="10266">
          <cell r="A10266">
            <v>2018</v>
          </cell>
          <cell r="B10266" t="str">
            <v>Actual</v>
          </cell>
          <cell r="C10266" t="str">
            <v>Oct</v>
          </cell>
          <cell r="D10266" t="str">
            <v>Kitchen</v>
          </cell>
          <cell r="E10266">
            <v>310236.10800000001</v>
          </cell>
          <cell r="F10266">
            <v>10</v>
          </cell>
        </row>
        <row r="10267">
          <cell r="A10267">
            <v>2018</v>
          </cell>
          <cell r="B10267" t="str">
            <v>Budget</v>
          </cell>
          <cell r="C10267" t="str">
            <v>Oct</v>
          </cell>
          <cell r="D10267" t="str">
            <v>Chairs</v>
          </cell>
          <cell r="E10267">
            <v>56878.345999999998</v>
          </cell>
          <cell r="F10267">
            <v>10</v>
          </cell>
        </row>
        <row r="10268">
          <cell r="A10268">
            <v>2018</v>
          </cell>
          <cell r="B10268" t="str">
            <v>Actual</v>
          </cell>
          <cell r="C10268" t="str">
            <v>Oct</v>
          </cell>
          <cell r="D10268" t="str">
            <v>Chairs</v>
          </cell>
          <cell r="E10268">
            <v>40303.949000000001</v>
          </cell>
          <cell r="F10268">
            <v>10</v>
          </cell>
        </row>
        <row r="10269">
          <cell r="A10269">
            <v>2019</v>
          </cell>
          <cell r="B10269" t="str">
            <v>Budget</v>
          </cell>
          <cell r="C10269" t="str">
            <v>Oct</v>
          </cell>
          <cell r="D10269" t="str">
            <v>Tables</v>
          </cell>
          <cell r="E10269">
            <v>612926.67099999997</v>
          </cell>
          <cell r="F10269">
            <v>10</v>
          </cell>
        </row>
        <row r="10270">
          <cell r="A10270">
            <v>2018</v>
          </cell>
          <cell r="B10270" t="str">
            <v>Actual</v>
          </cell>
          <cell r="C10270" t="str">
            <v>Oct</v>
          </cell>
          <cell r="D10270" t="str">
            <v>Kitchen</v>
          </cell>
          <cell r="E10270">
            <v>13624.407999999998</v>
          </cell>
          <cell r="F10270">
            <v>10</v>
          </cell>
        </row>
        <row r="10271">
          <cell r="A10271">
            <v>2019</v>
          </cell>
          <cell r="B10271" t="str">
            <v>Budget</v>
          </cell>
          <cell r="C10271" t="str">
            <v>Oct</v>
          </cell>
          <cell r="D10271" t="str">
            <v>Chairs</v>
          </cell>
          <cell r="E10271">
            <v>2933.7980000000002</v>
          </cell>
          <cell r="F10271">
            <v>10</v>
          </cell>
        </row>
        <row r="10272">
          <cell r="A10272">
            <v>2019</v>
          </cell>
          <cell r="B10272" t="str">
            <v>Actual</v>
          </cell>
          <cell r="C10272" t="str">
            <v>Oct</v>
          </cell>
          <cell r="D10272" t="str">
            <v>Chairs</v>
          </cell>
          <cell r="E10272">
            <v>91617.805999999997</v>
          </cell>
          <cell r="F10272">
            <v>10</v>
          </cell>
        </row>
        <row r="10273">
          <cell r="A10273">
            <v>2018</v>
          </cell>
          <cell r="B10273" t="str">
            <v>Budget</v>
          </cell>
          <cell r="C10273" t="str">
            <v>Oct</v>
          </cell>
          <cell r="D10273" t="str">
            <v>Chairs</v>
          </cell>
          <cell r="E10273">
            <v>276948.32199999999</v>
          </cell>
          <cell r="F10273">
            <v>10</v>
          </cell>
        </row>
        <row r="10274">
          <cell r="A10274">
            <v>2019</v>
          </cell>
          <cell r="B10274" t="str">
            <v>Actual</v>
          </cell>
          <cell r="C10274" t="str">
            <v>Oct</v>
          </cell>
          <cell r="D10274" t="str">
            <v>Tables</v>
          </cell>
          <cell r="E10274">
            <v>518597.51999999996</v>
          </cell>
          <cell r="F10274">
            <v>10</v>
          </cell>
        </row>
        <row r="10275">
          <cell r="A10275">
            <v>2018</v>
          </cell>
          <cell r="B10275" t="str">
            <v>Budget</v>
          </cell>
          <cell r="C10275" t="str">
            <v>Oct</v>
          </cell>
          <cell r="D10275" t="str">
            <v>Kitchen</v>
          </cell>
          <cell r="E10275">
            <v>1913937.3189999999</v>
          </cell>
          <cell r="F10275">
            <v>10</v>
          </cell>
        </row>
        <row r="10276">
          <cell r="A10276">
            <v>2018</v>
          </cell>
          <cell r="B10276" t="str">
            <v>Actual</v>
          </cell>
          <cell r="C10276" t="str">
            <v>Oct</v>
          </cell>
          <cell r="D10276" t="str">
            <v>Accessories</v>
          </cell>
          <cell r="E10276">
            <v>2761478.3279999997</v>
          </cell>
          <cell r="F10276">
            <v>10</v>
          </cell>
        </row>
        <row r="10277">
          <cell r="A10277">
            <v>2019</v>
          </cell>
          <cell r="B10277" t="str">
            <v>Budget</v>
          </cell>
          <cell r="C10277" t="str">
            <v>Oct</v>
          </cell>
          <cell r="D10277" t="str">
            <v>Chairs</v>
          </cell>
          <cell r="E10277">
            <v>146841.163</v>
          </cell>
          <cell r="F10277">
            <v>10</v>
          </cell>
        </row>
        <row r="10278">
          <cell r="A10278">
            <v>2019</v>
          </cell>
          <cell r="B10278" t="str">
            <v>Actual</v>
          </cell>
          <cell r="C10278" t="str">
            <v>Oct</v>
          </cell>
          <cell r="D10278" t="str">
            <v>Tables</v>
          </cell>
          <cell r="E10278">
            <v>420913.63999999996</v>
          </cell>
          <cell r="F10278">
            <v>10</v>
          </cell>
        </row>
        <row r="10279">
          <cell r="A10279">
            <v>2019</v>
          </cell>
          <cell r="B10279" t="str">
            <v>Budget</v>
          </cell>
          <cell r="C10279" t="str">
            <v>Oct</v>
          </cell>
          <cell r="D10279" t="str">
            <v>Kitchen</v>
          </cell>
          <cell r="E10279">
            <v>155221.71699999998</v>
          </cell>
          <cell r="F10279">
            <v>10</v>
          </cell>
        </row>
        <row r="10280">
          <cell r="A10280">
            <v>2019</v>
          </cell>
          <cell r="B10280" t="str">
            <v>Actual</v>
          </cell>
          <cell r="C10280" t="str">
            <v>Oct</v>
          </cell>
          <cell r="D10280" t="str">
            <v>Accessories</v>
          </cell>
          <cell r="E10280">
            <v>23939.145999999997</v>
          </cell>
          <cell r="F10280">
            <v>10</v>
          </cell>
        </row>
        <row r="10281">
          <cell r="A10281">
            <v>2018</v>
          </cell>
          <cell r="B10281" t="str">
            <v>Budget</v>
          </cell>
          <cell r="C10281" t="str">
            <v>Oct</v>
          </cell>
          <cell r="D10281" t="str">
            <v>Chairs</v>
          </cell>
          <cell r="E10281">
            <v>4168.5630000000001</v>
          </cell>
          <cell r="F10281">
            <v>10</v>
          </cell>
        </row>
        <row r="10282">
          <cell r="A10282">
            <v>2019</v>
          </cell>
          <cell r="B10282" t="str">
            <v>Actual</v>
          </cell>
          <cell r="C10282" t="str">
            <v>Oct</v>
          </cell>
          <cell r="D10282" t="str">
            <v>Tables</v>
          </cell>
          <cell r="E10282">
            <v>614974.36</v>
          </cell>
          <cell r="F10282">
            <v>10</v>
          </cell>
        </row>
        <row r="10283">
          <cell r="A10283">
            <v>2018</v>
          </cell>
          <cell r="B10283" t="str">
            <v>Budget</v>
          </cell>
          <cell r="C10283" t="str">
            <v>Oct</v>
          </cell>
          <cell r="D10283" t="str">
            <v>Kitchen</v>
          </cell>
          <cell r="E10283">
            <v>477044.35799999995</v>
          </cell>
          <cell r="F10283">
            <v>10</v>
          </cell>
        </row>
        <row r="10284">
          <cell r="A10284">
            <v>2019</v>
          </cell>
          <cell r="B10284" t="str">
            <v>Actual</v>
          </cell>
          <cell r="C10284" t="str">
            <v>Oct</v>
          </cell>
          <cell r="D10284" t="str">
            <v>Accessories</v>
          </cell>
          <cell r="E10284">
            <v>140837.984</v>
          </cell>
          <cell r="F10284">
            <v>10</v>
          </cell>
        </row>
        <row r="10285">
          <cell r="A10285">
            <v>2019</v>
          </cell>
          <cell r="B10285" t="str">
            <v>Budget</v>
          </cell>
          <cell r="C10285" t="str">
            <v>Oct</v>
          </cell>
          <cell r="D10285" t="str">
            <v>Chairs</v>
          </cell>
          <cell r="E10285">
            <v>33284.51</v>
          </cell>
          <cell r="F10285">
            <v>10</v>
          </cell>
        </row>
        <row r="10286">
          <cell r="A10286">
            <v>2019</v>
          </cell>
          <cell r="B10286" t="str">
            <v>Actual</v>
          </cell>
          <cell r="C10286" t="str">
            <v>Oct</v>
          </cell>
          <cell r="D10286" t="str">
            <v>Tables</v>
          </cell>
          <cell r="E10286">
            <v>494741.77899999992</v>
          </cell>
          <cell r="F10286">
            <v>10</v>
          </cell>
        </row>
        <row r="10287">
          <cell r="A10287">
            <v>2019</v>
          </cell>
          <cell r="B10287" t="str">
            <v>Budget</v>
          </cell>
          <cell r="C10287" t="str">
            <v>Oct</v>
          </cell>
          <cell r="D10287" t="str">
            <v>Kitchen</v>
          </cell>
          <cell r="E10287">
            <v>1094314.977</v>
          </cell>
          <cell r="F10287">
            <v>10</v>
          </cell>
        </row>
        <row r="10288">
          <cell r="A10288">
            <v>2019</v>
          </cell>
          <cell r="B10288" t="str">
            <v>Actual</v>
          </cell>
          <cell r="C10288" t="str">
            <v>Oct</v>
          </cell>
          <cell r="D10288" t="str">
            <v>Accessories</v>
          </cell>
          <cell r="E10288">
            <v>157604.16699999999</v>
          </cell>
          <cell r="F10288">
            <v>10</v>
          </cell>
        </row>
        <row r="10289">
          <cell r="A10289">
            <v>2018</v>
          </cell>
          <cell r="B10289" t="str">
            <v>Budget</v>
          </cell>
          <cell r="C10289" t="str">
            <v>Oct</v>
          </cell>
          <cell r="D10289" t="str">
            <v>Chairs</v>
          </cell>
          <cell r="E10289">
            <v>308370.62899999996</v>
          </cell>
          <cell r="F10289">
            <v>10</v>
          </cell>
        </row>
        <row r="10290">
          <cell r="A10290">
            <v>2019</v>
          </cell>
          <cell r="B10290" t="str">
            <v>Actual</v>
          </cell>
          <cell r="C10290" t="str">
            <v>Oct</v>
          </cell>
          <cell r="D10290" t="str">
            <v>Chairs</v>
          </cell>
          <cell r="E10290">
            <v>963547.41700000002</v>
          </cell>
          <cell r="F10290">
            <v>10</v>
          </cell>
        </row>
        <row r="10291">
          <cell r="A10291">
            <v>2018</v>
          </cell>
          <cell r="B10291" t="str">
            <v>Budget</v>
          </cell>
          <cell r="C10291" t="str">
            <v>Oct</v>
          </cell>
          <cell r="D10291" t="str">
            <v>Tables</v>
          </cell>
          <cell r="E10291">
            <v>103447.12699999998</v>
          </cell>
          <cell r="F10291">
            <v>10</v>
          </cell>
        </row>
        <row r="10292">
          <cell r="A10292">
            <v>2018</v>
          </cell>
          <cell r="B10292" t="str">
            <v>Actual</v>
          </cell>
          <cell r="C10292" t="str">
            <v>Oct</v>
          </cell>
          <cell r="D10292" t="str">
            <v>Kitchen</v>
          </cell>
          <cell r="E10292">
            <v>103285.23099999999</v>
          </cell>
          <cell r="F10292">
            <v>10</v>
          </cell>
        </row>
        <row r="10293">
          <cell r="A10293">
            <v>2019</v>
          </cell>
          <cell r="B10293" t="str">
            <v>Budget</v>
          </cell>
          <cell r="C10293" t="str">
            <v>Oct</v>
          </cell>
          <cell r="D10293" t="str">
            <v>Chairs</v>
          </cell>
          <cell r="E10293">
            <v>1860.1309999999999</v>
          </cell>
          <cell r="F10293">
            <v>10</v>
          </cell>
        </row>
        <row r="10294">
          <cell r="A10294">
            <v>2019</v>
          </cell>
          <cell r="B10294" t="str">
            <v>Actual</v>
          </cell>
          <cell r="C10294" t="str">
            <v>Oct</v>
          </cell>
          <cell r="D10294" t="str">
            <v>Tables</v>
          </cell>
          <cell r="E10294">
            <v>75047.923999999999</v>
          </cell>
          <cell r="F10294">
            <v>10</v>
          </cell>
        </row>
        <row r="10295">
          <cell r="A10295">
            <v>2018</v>
          </cell>
          <cell r="B10295" t="str">
            <v>Budget</v>
          </cell>
          <cell r="C10295" t="str">
            <v>Oct</v>
          </cell>
          <cell r="D10295" t="str">
            <v>Kitchen</v>
          </cell>
          <cell r="E10295">
            <v>45905.544999999998</v>
          </cell>
          <cell r="F10295">
            <v>10</v>
          </cell>
        </row>
        <row r="10296">
          <cell r="A10296">
            <v>2019</v>
          </cell>
          <cell r="B10296" t="str">
            <v>Actual</v>
          </cell>
          <cell r="C10296" t="str">
            <v>Oct</v>
          </cell>
          <cell r="D10296" t="str">
            <v>Chairs</v>
          </cell>
          <cell r="E10296">
            <v>34436.43</v>
          </cell>
          <cell r="F10296">
            <v>10</v>
          </cell>
        </row>
        <row r="10297">
          <cell r="A10297">
            <v>2018</v>
          </cell>
          <cell r="B10297" t="str">
            <v>Budget</v>
          </cell>
          <cell r="C10297" t="str">
            <v>Oct</v>
          </cell>
          <cell r="D10297" t="str">
            <v>Tables</v>
          </cell>
          <cell r="E10297">
            <v>47567.387000000002</v>
          </cell>
          <cell r="F10297">
            <v>10</v>
          </cell>
        </row>
        <row r="10298">
          <cell r="A10298">
            <v>2018</v>
          </cell>
          <cell r="B10298" t="str">
            <v>Actual</v>
          </cell>
          <cell r="C10298" t="str">
            <v>Oct</v>
          </cell>
          <cell r="D10298" t="str">
            <v>Kitchen</v>
          </cell>
          <cell r="E10298">
            <v>79710.329999999987</v>
          </cell>
          <cell r="F10298">
            <v>10</v>
          </cell>
        </row>
        <row r="10299">
          <cell r="A10299">
            <v>2019</v>
          </cell>
          <cell r="B10299" t="str">
            <v>Budget</v>
          </cell>
          <cell r="C10299" t="str">
            <v>Oct</v>
          </cell>
          <cell r="D10299" t="str">
            <v>Chairs</v>
          </cell>
          <cell r="E10299">
            <v>45440.744999999995</v>
          </cell>
          <cell r="F10299">
            <v>10</v>
          </cell>
        </row>
        <row r="10300">
          <cell r="A10300">
            <v>2018</v>
          </cell>
          <cell r="B10300" t="str">
            <v>Actual</v>
          </cell>
          <cell r="C10300" t="str">
            <v>Oct</v>
          </cell>
          <cell r="D10300" t="str">
            <v>Chairs</v>
          </cell>
          <cell r="E10300">
            <v>923733.25799999991</v>
          </cell>
          <cell r="F10300">
            <v>10</v>
          </cell>
        </row>
        <row r="10301">
          <cell r="A10301">
            <v>2018</v>
          </cell>
          <cell r="B10301" t="str">
            <v>Budget</v>
          </cell>
          <cell r="C10301" t="str">
            <v>Oct</v>
          </cell>
          <cell r="D10301" t="str">
            <v>Chairs</v>
          </cell>
          <cell r="E10301">
            <v>164228.83399999997</v>
          </cell>
          <cell r="F10301">
            <v>10</v>
          </cell>
        </row>
        <row r="10302">
          <cell r="A10302">
            <v>2018</v>
          </cell>
          <cell r="B10302" t="str">
            <v>Actual</v>
          </cell>
          <cell r="C10302" t="str">
            <v>Oct</v>
          </cell>
          <cell r="D10302" t="str">
            <v>Chairs</v>
          </cell>
          <cell r="E10302">
            <v>129706.68899999998</v>
          </cell>
          <cell r="F10302">
            <v>10</v>
          </cell>
        </row>
        <row r="10303">
          <cell r="A10303">
            <v>2019</v>
          </cell>
          <cell r="B10303" t="str">
            <v>Budget</v>
          </cell>
          <cell r="C10303" t="str">
            <v>Oct</v>
          </cell>
          <cell r="D10303" t="str">
            <v>Chairs</v>
          </cell>
          <cell r="E10303">
            <v>1151968.888</v>
          </cell>
          <cell r="F10303">
            <v>10</v>
          </cell>
        </row>
        <row r="10304">
          <cell r="A10304">
            <v>2019</v>
          </cell>
          <cell r="B10304" t="str">
            <v>Actual</v>
          </cell>
          <cell r="C10304" t="str">
            <v>Oct</v>
          </cell>
          <cell r="D10304" t="str">
            <v>Chairs</v>
          </cell>
          <cell r="E10304">
            <v>11119465.294</v>
          </cell>
          <cell r="F10304">
            <v>10</v>
          </cell>
        </row>
        <row r="10305">
          <cell r="A10305">
            <v>2018</v>
          </cell>
          <cell r="B10305" t="str">
            <v>Budget</v>
          </cell>
          <cell r="C10305" t="str">
            <v>Oct</v>
          </cell>
          <cell r="D10305" t="str">
            <v>Chairs</v>
          </cell>
          <cell r="E10305">
            <v>220457.38399999999</v>
          </cell>
          <cell r="F10305">
            <v>10</v>
          </cell>
        </row>
        <row r="10306">
          <cell r="A10306">
            <v>2018</v>
          </cell>
          <cell r="B10306" t="str">
            <v>Actual</v>
          </cell>
          <cell r="C10306" t="str">
            <v>Oct</v>
          </cell>
          <cell r="D10306" t="str">
            <v>Chairs</v>
          </cell>
          <cell r="E10306">
            <v>38426.240999999995</v>
          </cell>
          <cell r="F10306">
            <v>10</v>
          </cell>
        </row>
        <row r="10307">
          <cell r="A10307">
            <v>2019</v>
          </cell>
          <cell r="B10307" t="str">
            <v>Budget</v>
          </cell>
          <cell r="C10307" t="str">
            <v>Oct</v>
          </cell>
          <cell r="D10307" t="str">
            <v>Chairs</v>
          </cell>
          <cell r="E10307">
            <v>406825.86</v>
          </cell>
          <cell r="F10307">
            <v>10</v>
          </cell>
        </row>
        <row r="10308">
          <cell r="A10308">
            <v>2018</v>
          </cell>
          <cell r="B10308" t="str">
            <v>Actual</v>
          </cell>
          <cell r="C10308" t="str">
            <v>Oct</v>
          </cell>
          <cell r="D10308" t="str">
            <v>Chairs</v>
          </cell>
          <cell r="E10308">
            <v>837103.02199999988</v>
          </cell>
          <cell r="F10308">
            <v>10</v>
          </cell>
        </row>
        <row r="10309">
          <cell r="A10309">
            <v>2018</v>
          </cell>
          <cell r="B10309" t="str">
            <v>Budget</v>
          </cell>
          <cell r="C10309" t="str">
            <v>Oct</v>
          </cell>
          <cell r="D10309" t="str">
            <v>Chairs</v>
          </cell>
          <cell r="E10309">
            <v>2002866.9989999998</v>
          </cell>
          <cell r="F10309">
            <v>10</v>
          </cell>
        </row>
        <row r="10310">
          <cell r="A10310">
            <v>2018</v>
          </cell>
          <cell r="B10310" t="str">
            <v>Actual</v>
          </cell>
          <cell r="C10310" t="str">
            <v>Oct</v>
          </cell>
          <cell r="D10310" t="str">
            <v>Chairs</v>
          </cell>
          <cell r="E10310">
            <v>228907.98699999996</v>
          </cell>
          <cell r="F10310">
            <v>10</v>
          </cell>
        </row>
        <row r="10311">
          <cell r="A10311">
            <v>2019</v>
          </cell>
          <cell r="B10311" t="str">
            <v>Budget</v>
          </cell>
          <cell r="C10311" t="str">
            <v>Oct</v>
          </cell>
          <cell r="D10311" t="str">
            <v>Chairs</v>
          </cell>
          <cell r="E10311">
            <v>22433.355</v>
          </cell>
          <cell r="F10311">
            <v>10</v>
          </cell>
        </row>
        <row r="10312">
          <cell r="A10312">
            <v>2019</v>
          </cell>
          <cell r="B10312" t="str">
            <v>Actual</v>
          </cell>
          <cell r="C10312" t="str">
            <v>Oct</v>
          </cell>
          <cell r="D10312" t="str">
            <v>Chairs</v>
          </cell>
          <cell r="E10312">
            <v>686031.98999999987</v>
          </cell>
          <cell r="F10312">
            <v>10</v>
          </cell>
        </row>
        <row r="10313">
          <cell r="A10313">
            <v>2018</v>
          </cell>
          <cell r="B10313" t="str">
            <v>Budget</v>
          </cell>
          <cell r="C10313" t="str">
            <v>Oct</v>
          </cell>
          <cell r="D10313" t="str">
            <v>Chairs</v>
          </cell>
          <cell r="E10313">
            <v>601858.93599999999</v>
          </cell>
          <cell r="F10313">
            <v>10</v>
          </cell>
        </row>
        <row r="10314">
          <cell r="A10314">
            <v>2019</v>
          </cell>
          <cell r="B10314" t="str">
            <v>Actual</v>
          </cell>
          <cell r="C10314" t="str">
            <v>Oct</v>
          </cell>
          <cell r="D10314" t="str">
            <v>Chairs</v>
          </cell>
          <cell r="E10314">
            <v>4042234.7699999996</v>
          </cell>
          <cell r="F10314">
            <v>10</v>
          </cell>
        </row>
        <row r="10315">
          <cell r="A10315">
            <v>2019</v>
          </cell>
          <cell r="B10315" t="str">
            <v>Budget</v>
          </cell>
          <cell r="C10315" t="str">
            <v>Oct</v>
          </cell>
          <cell r="D10315" t="str">
            <v>Chairs</v>
          </cell>
          <cell r="E10315">
            <v>20636.784</v>
          </cell>
          <cell r="F10315">
            <v>10</v>
          </cell>
        </row>
        <row r="10316">
          <cell r="A10316">
            <v>2018</v>
          </cell>
          <cell r="B10316" t="str">
            <v>Actual</v>
          </cell>
          <cell r="C10316" t="str">
            <v>Oct</v>
          </cell>
          <cell r="D10316" t="str">
            <v>Chairs</v>
          </cell>
          <cell r="E10316">
            <v>3259965.6809999999</v>
          </cell>
          <cell r="F10316">
            <v>10</v>
          </cell>
        </row>
        <row r="10317">
          <cell r="A10317">
            <v>2018</v>
          </cell>
          <cell r="B10317" t="str">
            <v>Budget</v>
          </cell>
          <cell r="C10317" t="str">
            <v>Oct</v>
          </cell>
          <cell r="D10317" t="str">
            <v>Chairs</v>
          </cell>
          <cell r="E10317">
            <v>268653.56</v>
          </cell>
          <cell r="F10317">
            <v>10</v>
          </cell>
        </row>
        <row r="10318">
          <cell r="A10318">
            <v>2019</v>
          </cell>
          <cell r="B10318" t="str">
            <v>Actual</v>
          </cell>
          <cell r="C10318" t="str">
            <v>Oct</v>
          </cell>
          <cell r="D10318" t="str">
            <v>Chairs</v>
          </cell>
          <cell r="E10318">
            <v>2074335.8019999997</v>
          </cell>
          <cell r="F10318">
            <v>10</v>
          </cell>
        </row>
        <row r="10319">
          <cell r="A10319">
            <v>2018</v>
          </cell>
          <cell r="B10319" t="str">
            <v>Budget</v>
          </cell>
          <cell r="C10319" t="str">
            <v>Oct</v>
          </cell>
          <cell r="D10319" t="str">
            <v>Chairs</v>
          </cell>
          <cell r="E10319">
            <v>466588.07299999997</v>
          </cell>
          <cell r="F10319">
            <v>10</v>
          </cell>
        </row>
        <row r="10320">
          <cell r="A10320">
            <v>2018</v>
          </cell>
          <cell r="B10320" t="str">
            <v>Actual</v>
          </cell>
          <cell r="C10320" t="str">
            <v>Oct</v>
          </cell>
          <cell r="D10320" t="str">
            <v>Chairs</v>
          </cell>
          <cell r="E10320">
            <v>431512.06</v>
          </cell>
          <cell r="F10320">
            <v>10</v>
          </cell>
        </row>
        <row r="10321">
          <cell r="A10321">
            <v>2018</v>
          </cell>
          <cell r="B10321" t="str">
            <v>Budget</v>
          </cell>
          <cell r="C10321" t="str">
            <v>Oct</v>
          </cell>
          <cell r="D10321" t="str">
            <v>Chairs</v>
          </cell>
          <cell r="E10321">
            <v>1308698.328</v>
          </cell>
          <cell r="F10321">
            <v>10</v>
          </cell>
        </row>
        <row r="10322">
          <cell r="A10322">
            <v>2019</v>
          </cell>
          <cell r="B10322" t="str">
            <v>Actual</v>
          </cell>
          <cell r="C10322" t="str">
            <v>Oct</v>
          </cell>
          <cell r="D10322" t="str">
            <v>Chairs</v>
          </cell>
          <cell r="E10322">
            <v>530032.60799999989</v>
          </cell>
          <cell r="F10322">
            <v>10</v>
          </cell>
        </row>
        <row r="10323">
          <cell r="A10323">
            <v>2018</v>
          </cell>
          <cell r="B10323" t="str">
            <v>Budget</v>
          </cell>
          <cell r="C10323" t="str">
            <v>Oct</v>
          </cell>
          <cell r="D10323" t="str">
            <v>Chairs</v>
          </cell>
          <cell r="E10323">
            <v>949497.40899999999</v>
          </cell>
          <cell r="F10323">
            <v>10</v>
          </cell>
        </row>
        <row r="10324">
          <cell r="A10324">
            <v>2019</v>
          </cell>
          <cell r="B10324" t="str">
            <v>Actual</v>
          </cell>
          <cell r="C10324" t="str">
            <v>Oct</v>
          </cell>
          <cell r="D10324" t="str">
            <v>Chairs</v>
          </cell>
          <cell r="E10324">
            <v>102978.855</v>
          </cell>
          <cell r="F10324">
            <v>10</v>
          </cell>
        </row>
        <row r="10325">
          <cell r="A10325">
            <v>2018</v>
          </cell>
          <cell r="B10325" t="str">
            <v>Budget</v>
          </cell>
          <cell r="C10325" t="str">
            <v>Oct</v>
          </cell>
          <cell r="D10325" t="str">
            <v>Tables</v>
          </cell>
          <cell r="E10325">
            <v>1472762.13</v>
          </cell>
          <cell r="F10325">
            <v>10</v>
          </cell>
        </row>
        <row r="10326">
          <cell r="A10326">
            <v>2019</v>
          </cell>
          <cell r="B10326" t="str">
            <v>Actual</v>
          </cell>
          <cell r="C10326" t="str">
            <v>Oct</v>
          </cell>
          <cell r="D10326" t="str">
            <v>Kitchen</v>
          </cell>
          <cell r="E10326">
            <v>5274829.4409999996</v>
          </cell>
          <cell r="F10326">
            <v>10</v>
          </cell>
        </row>
        <row r="10327">
          <cell r="A10327">
            <v>2018</v>
          </cell>
          <cell r="B10327" t="str">
            <v>Budget</v>
          </cell>
          <cell r="C10327" t="str">
            <v>Oct</v>
          </cell>
          <cell r="D10327" t="str">
            <v>Chairs</v>
          </cell>
          <cell r="E10327">
            <v>14232287.733999999</v>
          </cell>
          <cell r="F10327">
            <v>10</v>
          </cell>
        </row>
        <row r="10328">
          <cell r="A10328">
            <v>2018</v>
          </cell>
          <cell r="B10328" t="str">
            <v>Actual</v>
          </cell>
          <cell r="C10328" t="str">
            <v>Oct</v>
          </cell>
          <cell r="D10328" t="str">
            <v>Chairs</v>
          </cell>
          <cell r="E10328">
            <v>252550.68299999999</v>
          </cell>
          <cell r="F10328">
            <v>10</v>
          </cell>
        </row>
        <row r="10329">
          <cell r="A10329">
            <v>2019</v>
          </cell>
          <cell r="B10329" t="str">
            <v>Budget</v>
          </cell>
          <cell r="C10329" t="str">
            <v>Oct</v>
          </cell>
          <cell r="D10329" t="str">
            <v>Chairs</v>
          </cell>
          <cell r="E10329">
            <v>2513843.031</v>
          </cell>
          <cell r="F10329">
            <v>10</v>
          </cell>
        </row>
        <row r="10330">
          <cell r="A10330">
            <v>2019</v>
          </cell>
          <cell r="B10330" t="str">
            <v>Actual</v>
          </cell>
          <cell r="C10330" t="str">
            <v>Oct</v>
          </cell>
          <cell r="D10330" t="str">
            <v>Chairs</v>
          </cell>
          <cell r="E10330">
            <v>2307364.017</v>
          </cell>
          <cell r="F10330">
            <v>10</v>
          </cell>
        </row>
        <row r="10331">
          <cell r="A10331">
            <v>2018</v>
          </cell>
          <cell r="B10331" t="str">
            <v>Budget</v>
          </cell>
          <cell r="C10331" t="str">
            <v>Oct</v>
          </cell>
          <cell r="D10331" t="str">
            <v>Chairs</v>
          </cell>
          <cell r="E10331">
            <v>1873485.2219999998</v>
          </cell>
          <cell r="F10331">
            <v>10</v>
          </cell>
        </row>
        <row r="10332">
          <cell r="A10332">
            <v>2018</v>
          </cell>
          <cell r="B10332" t="str">
            <v>Actual</v>
          </cell>
          <cell r="C10332" t="str">
            <v>Oct</v>
          </cell>
          <cell r="D10332" t="str">
            <v>Tables</v>
          </cell>
          <cell r="E10332">
            <v>905700.71899999992</v>
          </cell>
          <cell r="F10332">
            <v>10</v>
          </cell>
        </row>
        <row r="10333">
          <cell r="A10333">
            <v>2019</v>
          </cell>
          <cell r="B10333" t="str">
            <v>Budget</v>
          </cell>
          <cell r="C10333" t="str">
            <v>Oct</v>
          </cell>
          <cell r="D10333" t="str">
            <v>Kitchen</v>
          </cell>
          <cell r="E10333">
            <v>7408011.6739999996</v>
          </cell>
          <cell r="F10333">
            <v>10</v>
          </cell>
        </row>
        <row r="10334">
          <cell r="A10334">
            <v>2019</v>
          </cell>
          <cell r="B10334" t="str">
            <v>Actual</v>
          </cell>
          <cell r="C10334" t="str">
            <v>Oct</v>
          </cell>
          <cell r="D10334" t="str">
            <v>Chairs</v>
          </cell>
          <cell r="E10334">
            <v>1890419.9369999999</v>
          </cell>
          <cell r="F10334">
            <v>10</v>
          </cell>
        </row>
        <row r="10335">
          <cell r="A10335">
            <v>2019</v>
          </cell>
          <cell r="B10335" t="str">
            <v>Budget</v>
          </cell>
          <cell r="C10335" t="str">
            <v>Oct</v>
          </cell>
          <cell r="D10335" t="str">
            <v>Chairs</v>
          </cell>
          <cell r="E10335">
            <v>2104287.2199999997</v>
          </cell>
          <cell r="F10335">
            <v>10</v>
          </cell>
        </row>
        <row r="10336">
          <cell r="A10336">
            <v>2019</v>
          </cell>
          <cell r="B10336" t="str">
            <v>Actual</v>
          </cell>
          <cell r="C10336" t="str">
            <v>Oct</v>
          </cell>
          <cell r="D10336" t="str">
            <v>Chairs</v>
          </cell>
          <cell r="E10336">
            <v>632711.98199999996</v>
          </cell>
          <cell r="F10336">
            <v>10</v>
          </cell>
        </row>
        <row r="10337">
          <cell r="A10337">
            <v>2018</v>
          </cell>
          <cell r="B10337" t="str">
            <v>Budget</v>
          </cell>
          <cell r="C10337" t="str">
            <v>Oct</v>
          </cell>
          <cell r="D10337" t="str">
            <v>Tables</v>
          </cell>
          <cell r="E10337">
            <v>5850758.8930000002</v>
          </cell>
          <cell r="F10337">
            <v>10</v>
          </cell>
        </row>
        <row r="10338">
          <cell r="A10338">
            <v>2018</v>
          </cell>
          <cell r="B10338" t="str">
            <v>Actual</v>
          </cell>
          <cell r="C10338" t="str">
            <v>Oct</v>
          </cell>
          <cell r="D10338" t="str">
            <v>Kitchen</v>
          </cell>
          <cell r="E10338">
            <v>1742614.9369999999</v>
          </cell>
          <cell r="F10338">
            <v>10</v>
          </cell>
        </row>
        <row r="10339">
          <cell r="A10339">
            <v>2019</v>
          </cell>
          <cell r="B10339" t="str">
            <v>Budget</v>
          </cell>
          <cell r="C10339" t="str">
            <v>Oct</v>
          </cell>
          <cell r="D10339" t="str">
            <v>Chairs</v>
          </cell>
          <cell r="E10339">
            <v>640277.78500000003</v>
          </cell>
          <cell r="F10339">
            <v>10</v>
          </cell>
        </row>
        <row r="10340">
          <cell r="A10340">
            <v>2018</v>
          </cell>
          <cell r="B10340" t="str">
            <v>Actual</v>
          </cell>
          <cell r="C10340" t="str">
            <v>Oct</v>
          </cell>
          <cell r="D10340" t="str">
            <v>Chairs</v>
          </cell>
          <cell r="E10340">
            <v>98444.64</v>
          </cell>
          <cell r="F10340">
            <v>10</v>
          </cell>
        </row>
        <row r="10341">
          <cell r="A10341">
            <v>2019</v>
          </cell>
          <cell r="B10341" t="str">
            <v>Budget</v>
          </cell>
          <cell r="C10341" t="str">
            <v>Oct</v>
          </cell>
          <cell r="D10341" t="str">
            <v>Tables</v>
          </cell>
          <cell r="E10341">
            <v>9657531.5409999993</v>
          </cell>
          <cell r="F10341">
            <v>10</v>
          </cell>
        </row>
        <row r="10342">
          <cell r="A10342">
            <v>2019</v>
          </cell>
          <cell r="B10342" t="str">
            <v>Actual</v>
          </cell>
          <cell r="C10342" t="str">
            <v>Oct</v>
          </cell>
          <cell r="D10342" t="str">
            <v>Kitchen</v>
          </cell>
          <cell r="E10342">
            <v>637527.51299999992</v>
          </cell>
          <cell r="F10342">
            <v>10</v>
          </cell>
        </row>
        <row r="10343">
          <cell r="A10343">
            <v>2019</v>
          </cell>
          <cell r="B10343" t="str">
            <v>Budget</v>
          </cell>
          <cell r="C10343" t="str">
            <v>Oct</v>
          </cell>
          <cell r="D10343" t="str">
            <v>Chairs</v>
          </cell>
          <cell r="E10343">
            <v>1061487.1189999999</v>
          </cell>
          <cell r="F10343">
            <v>10</v>
          </cell>
        </row>
        <row r="10344">
          <cell r="A10344">
            <v>2018</v>
          </cell>
          <cell r="B10344" t="str">
            <v>Actual</v>
          </cell>
          <cell r="C10344" t="str">
            <v>Oct</v>
          </cell>
          <cell r="D10344" t="str">
            <v>Chairs</v>
          </cell>
          <cell r="E10344">
            <v>413832.44699999993</v>
          </cell>
          <cell r="F10344">
            <v>10</v>
          </cell>
        </row>
        <row r="10345">
          <cell r="A10345">
            <v>2019</v>
          </cell>
          <cell r="B10345" t="str">
            <v>Budget</v>
          </cell>
          <cell r="C10345" t="str">
            <v>Oct</v>
          </cell>
          <cell r="D10345" t="str">
            <v>Chairs</v>
          </cell>
          <cell r="E10345">
            <v>1375732.4979999999</v>
          </cell>
          <cell r="F10345">
            <v>10</v>
          </cell>
        </row>
        <row r="10346">
          <cell r="A10346">
            <v>2019</v>
          </cell>
          <cell r="B10346" t="str">
            <v>Actual</v>
          </cell>
          <cell r="C10346" t="str">
            <v>Oct</v>
          </cell>
          <cell r="D10346" t="str">
            <v>Tables</v>
          </cell>
          <cell r="E10346">
            <v>126762.986</v>
          </cell>
          <cell r="F10346">
            <v>10</v>
          </cell>
        </row>
        <row r="10347">
          <cell r="A10347">
            <v>2018</v>
          </cell>
          <cell r="B10347" t="str">
            <v>Budget</v>
          </cell>
          <cell r="C10347" t="str">
            <v>Oct</v>
          </cell>
          <cell r="D10347" t="str">
            <v>Kitchen</v>
          </cell>
          <cell r="E10347">
            <v>533024.71600000001</v>
          </cell>
          <cell r="F10347">
            <v>10</v>
          </cell>
        </row>
        <row r="10348">
          <cell r="A10348">
            <v>2019</v>
          </cell>
          <cell r="B10348" t="str">
            <v>Actual</v>
          </cell>
          <cell r="C10348" t="str">
            <v>Oct</v>
          </cell>
          <cell r="D10348" t="str">
            <v>Accessories</v>
          </cell>
          <cell r="E10348">
            <v>130243.11299999998</v>
          </cell>
          <cell r="F10348">
            <v>10</v>
          </cell>
        </row>
        <row r="10349">
          <cell r="A10349">
            <v>2018</v>
          </cell>
          <cell r="B10349" t="str">
            <v>Budget</v>
          </cell>
          <cell r="C10349" t="str">
            <v>Oct</v>
          </cell>
          <cell r="D10349" t="str">
            <v>Chairs</v>
          </cell>
          <cell r="E10349">
            <v>2157467.6060000001</v>
          </cell>
          <cell r="F10349">
            <v>10</v>
          </cell>
        </row>
        <row r="10350">
          <cell r="A10350">
            <v>2018</v>
          </cell>
          <cell r="B10350" t="str">
            <v>Actual</v>
          </cell>
          <cell r="C10350" t="str">
            <v>Oct</v>
          </cell>
          <cell r="D10350" t="str">
            <v>Tables</v>
          </cell>
          <cell r="E10350">
            <v>7330405.8100000005</v>
          </cell>
          <cell r="F10350">
            <v>10</v>
          </cell>
        </row>
        <row r="10351">
          <cell r="A10351">
            <v>2019</v>
          </cell>
          <cell r="B10351" t="str">
            <v>Budget</v>
          </cell>
          <cell r="C10351" t="str">
            <v>Oct</v>
          </cell>
          <cell r="D10351" t="str">
            <v>Kitchen</v>
          </cell>
          <cell r="E10351">
            <v>5039270.159</v>
          </cell>
          <cell r="F10351">
            <v>10</v>
          </cell>
        </row>
        <row r="10352">
          <cell r="A10352">
            <v>2019</v>
          </cell>
          <cell r="B10352" t="str">
            <v>Actual</v>
          </cell>
          <cell r="C10352" t="str">
            <v>Oct</v>
          </cell>
          <cell r="D10352" t="str">
            <v>Accessories</v>
          </cell>
          <cell r="E10352">
            <v>2768067.8619999997</v>
          </cell>
          <cell r="F10352">
            <v>10</v>
          </cell>
        </row>
        <row r="10353">
          <cell r="A10353">
            <v>2019</v>
          </cell>
          <cell r="B10353" t="str">
            <v>Budget</v>
          </cell>
          <cell r="C10353" t="str">
            <v>Oct</v>
          </cell>
          <cell r="D10353" t="str">
            <v>Chairs</v>
          </cell>
          <cell r="E10353">
            <v>653000.19400000002</v>
          </cell>
          <cell r="F10353">
            <v>10</v>
          </cell>
        </row>
        <row r="10354">
          <cell r="A10354">
            <v>2018</v>
          </cell>
          <cell r="B10354" t="str">
            <v>Actual</v>
          </cell>
          <cell r="C10354" t="str">
            <v>Oct</v>
          </cell>
          <cell r="D10354" t="str">
            <v>Tables</v>
          </cell>
          <cell r="E10354">
            <v>35886595.794</v>
          </cell>
          <cell r="F10354">
            <v>10</v>
          </cell>
        </row>
        <row r="10355">
          <cell r="A10355">
            <v>2018</v>
          </cell>
          <cell r="B10355" t="str">
            <v>Budget</v>
          </cell>
          <cell r="C10355" t="str">
            <v>Oct</v>
          </cell>
          <cell r="D10355" t="str">
            <v>Kitchen</v>
          </cell>
          <cell r="E10355">
            <v>4676132.3699999992</v>
          </cell>
          <cell r="F10355">
            <v>10</v>
          </cell>
        </row>
        <row r="10356">
          <cell r="A10356">
            <v>2018</v>
          </cell>
          <cell r="B10356" t="str">
            <v>Actual</v>
          </cell>
          <cell r="C10356" t="str">
            <v>Oct</v>
          </cell>
          <cell r="D10356" t="str">
            <v>Accessories</v>
          </cell>
          <cell r="E10356">
            <v>4090577.6099999994</v>
          </cell>
          <cell r="F10356">
            <v>10</v>
          </cell>
        </row>
        <row r="10357">
          <cell r="A10357">
            <v>2018</v>
          </cell>
          <cell r="B10357" t="str">
            <v>Budget</v>
          </cell>
          <cell r="C10357" t="str">
            <v>Oct</v>
          </cell>
          <cell r="D10357" t="str">
            <v>Chairs</v>
          </cell>
          <cell r="E10357">
            <v>1317479.996</v>
          </cell>
          <cell r="F10357">
            <v>10</v>
          </cell>
        </row>
        <row r="10358">
          <cell r="A10358">
            <v>2019</v>
          </cell>
          <cell r="B10358" t="str">
            <v>Actual</v>
          </cell>
          <cell r="C10358" t="str">
            <v>Oct</v>
          </cell>
          <cell r="D10358" t="str">
            <v>Tables</v>
          </cell>
          <cell r="E10358">
            <v>704519.04599999997</v>
          </cell>
          <cell r="F10358">
            <v>10</v>
          </cell>
        </row>
        <row r="10359">
          <cell r="A10359">
            <v>2019</v>
          </cell>
          <cell r="B10359" t="str">
            <v>Budget</v>
          </cell>
          <cell r="C10359" t="str">
            <v>Oct</v>
          </cell>
          <cell r="D10359" t="str">
            <v>Kitchen</v>
          </cell>
          <cell r="E10359">
            <v>4746041.1039999994</v>
          </cell>
          <cell r="F10359">
            <v>10</v>
          </cell>
        </row>
        <row r="10360">
          <cell r="A10360">
            <v>2019</v>
          </cell>
          <cell r="B10360" t="str">
            <v>Actual</v>
          </cell>
          <cell r="C10360" t="str">
            <v>Oct</v>
          </cell>
          <cell r="D10360" t="str">
            <v>Accessories</v>
          </cell>
          <cell r="E10360">
            <v>107695.77</v>
          </cell>
          <cell r="F10360">
            <v>10</v>
          </cell>
        </row>
        <row r="10361">
          <cell r="A10361">
            <v>2019</v>
          </cell>
          <cell r="B10361" t="str">
            <v>Budget</v>
          </cell>
          <cell r="C10361" t="str">
            <v>Oct</v>
          </cell>
          <cell r="D10361" t="str">
            <v>Chairs</v>
          </cell>
          <cell r="E10361">
            <v>186703.36300000001</v>
          </cell>
          <cell r="F10361">
            <v>10</v>
          </cell>
        </row>
        <row r="10362">
          <cell r="A10362">
            <v>2018</v>
          </cell>
          <cell r="B10362" t="str">
            <v>Actual</v>
          </cell>
          <cell r="C10362" t="str">
            <v>Oct</v>
          </cell>
          <cell r="D10362" t="str">
            <v>Chairs</v>
          </cell>
          <cell r="E10362">
            <v>799445.65399999998</v>
          </cell>
          <cell r="F10362">
            <v>10</v>
          </cell>
        </row>
        <row r="10363">
          <cell r="A10363">
            <v>2018</v>
          </cell>
          <cell r="B10363" t="str">
            <v>Budget</v>
          </cell>
          <cell r="C10363" t="str">
            <v>Oct</v>
          </cell>
          <cell r="D10363" t="str">
            <v>Tables</v>
          </cell>
          <cell r="E10363">
            <v>255254.63599999997</v>
          </cell>
          <cell r="F10363">
            <v>10</v>
          </cell>
        </row>
        <row r="10364">
          <cell r="A10364">
            <v>2019</v>
          </cell>
          <cell r="B10364" t="str">
            <v>Actual</v>
          </cell>
          <cell r="C10364" t="str">
            <v>Oct</v>
          </cell>
          <cell r="D10364" t="str">
            <v>Kitchen</v>
          </cell>
          <cell r="E10364">
            <v>173069.337</v>
          </cell>
          <cell r="F10364">
            <v>10</v>
          </cell>
        </row>
        <row r="10365">
          <cell r="A10365">
            <v>2019</v>
          </cell>
          <cell r="B10365" t="str">
            <v>Budget</v>
          </cell>
          <cell r="C10365" t="str">
            <v>Oct</v>
          </cell>
          <cell r="D10365" t="str">
            <v>Chairs</v>
          </cell>
          <cell r="E10365">
            <v>10705671.745999999</v>
          </cell>
          <cell r="F10365">
            <v>10</v>
          </cell>
        </row>
        <row r="10366">
          <cell r="A10366">
            <v>2018</v>
          </cell>
          <cell r="B10366" t="str">
            <v>Actual</v>
          </cell>
          <cell r="C10366" t="str">
            <v>Oct</v>
          </cell>
          <cell r="D10366" t="str">
            <v>Tables</v>
          </cell>
          <cell r="E10366">
            <v>57654.295999999995</v>
          </cell>
          <cell r="F10366">
            <v>10</v>
          </cell>
        </row>
        <row r="10367">
          <cell r="A10367">
            <v>2019</v>
          </cell>
          <cell r="B10367" t="str">
            <v>Budget</v>
          </cell>
          <cell r="C10367" t="str">
            <v>Oct</v>
          </cell>
          <cell r="D10367" t="str">
            <v>Kitchen</v>
          </cell>
          <cell r="E10367">
            <v>6476393.7279999992</v>
          </cell>
          <cell r="F10367">
            <v>10</v>
          </cell>
        </row>
        <row r="10368">
          <cell r="A10368">
            <v>2018</v>
          </cell>
          <cell r="B10368" t="str">
            <v>Actual</v>
          </cell>
          <cell r="C10368" t="str">
            <v>Oct</v>
          </cell>
          <cell r="D10368" t="str">
            <v>Chairs</v>
          </cell>
          <cell r="E10368">
            <v>3641612.0789999994</v>
          </cell>
          <cell r="F10368">
            <v>10</v>
          </cell>
        </row>
        <row r="10369">
          <cell r="A10369">
            <v>2019</v>
          </cell>
          <cell r="B10369" t="str">
            <v>Budget</v>
          </cell>
          <cell r="C10369" t="str">
            <v>Oct</v>
          </cell>
          <cell r="D10369" t="str">
            <v>Tables</v>
          </cell>
          <cell r="E10369">
            <v>975975.82599999988</v>
          </cell>
          <cell r="F10369">
            <v>10</v>
          </cell>
        </row>
        <row r="10370">
          <cell r="A10370">
            <v>2018</v>
          </cell>
          <cell r="B10370" t="str">
            <v>Actual</v>
          </cell>
          <cell r="C10370" t="str">
            <v>Oct</v>
          </cell>
          <cell r="D10370" t="str">
            <v>Kitchen</v>
          </cell>
          <cell r="E10370">
            <v>51920.112999999998</v>
          </cell>
          <cell r="F10370">
            <v>10</v>
          </cell>
        </row>
        <row r="10371">
          <cell r="A10371">
            <v>2019</v>
          </cell>
          <cell r="B10371" t="str">
            <v>Budget</v>
          </cell>
          <cell r="C10371" t="str">
            <v>Oct</v>
          </cell>
          <cell r="D10371" t="str">
            <v>Chairs</v>
          </cell>
          <cell r="E10371">
            <v>-3022.7119999999995</v>
          </cell>
          <cell r="F10371">
            <v>10</v>
          </cell>
        </row>
        <row r="10372">
          <cell r="A10372">
            <v>2019</v>
          </cell>
          <cell r="B10372" t="str">
            <v>Actual</v>
          </cell>
          <cell r="C10372" t="str">
            <v>Oct</v>
          </cell>
          <cell r="D10372" t="str">
            <v>Chairs</v>
          </cell>
          <cell r="E10372">
            <v>212551.40899999999</v>
          </cell>
          <cell r="F10372">
            <v>10</v>
          </cell>
        </row>
        <row r="10373">
          <cell r="A10373">
            <v>2019</v>
          </cell>
          <cell r="B10373" t="str">
            <v>Budget</v>
          </cell>
          <cell r="C10373" t="str">
            <v>Oct</v>
          </cell>
          <cell r="D10373" t="str">
            <v>Chairs</v>
          </cell>
          <cell r="E10373">
            <v>692594.60199999996</v>
          </cell>
          <cell r="F10373">
            <v>10</v>
          </cell>
        </row>
        <row r="10374">
          <cell r="A10374">
            <v>2018</v>
          </cell>
          <cell r="B10374" t="str">
            <v>Actual</v>
          </cell>
          <cell r="C10374" t="str">
            <v>Oct</v>
          </cell>
          <cell r="D10374" t="str">
            <v>Chairs</v>
          </cell>
          <cell r="E10374">
            <v>1099620.977</v>
          </cell>
          <cell r="F10374">
            <v>10</v>
          </cell>
        </row>
        <row r="10375">
          <cell r="A10375">
            <v>2018</v>
          </cell>
          <cell r="B10375" t="str">
            <v>Budget</v>
          </cell>
          <cell r="C10375" t="str">
            <v>Oct</v>
          </cell>
          <cell r="D10375" t="str">
            <v>Chairs</v>
          </cell>
          <cell r="E10375">
            <v>5663107.2819999997</v>
          </cell>
          <cell r="F10375">
            <v>10</v>
          </cell>
        </row>
        <row r="10376">
          <cell r="A10376">
            <v>2018</v>
          </cell>
          <cell r="B10376" t="str">
            <v>Actual</v>
          </cell>
          <cell r="C10376" t="str">
            <v>Oct</v>
          </cell>
          <cell r="D10376" t="str">
            <v>Chairs</v>
          </cell>
          <cell r="E10376">
            <v>-304970.30899999995</v>
          </cell>
          <cell r="F10376">
            <v>10</v>
          </cell>
        </row>
        <row r="10377">
          <cell r="A10377">
            <v>2019</v>
          </cell>
          <cell r="B10377" t="str">
            <v>Budget</v>
          </cell>
          <cell r="C10377" t="str">
            <v>Oct</v>
          </cell>
          <cell r="D10377" t="str">
            <v>Chairs</v>
          </cell>
          <cell r="E10377">
            <v>3296614.3629999999</v>
          </cell>
          <cell r="F10377">
            <v>10</v>
          </cell>
        </row>
        <row r="10378">
          <cell r="A10378">
            <v>2019</v>
          </cell>
          <cell r="B10378" t="str">
            <v>Actual</v>
          </cell>
          <cell r="C10378" t="str">
            <v>Oct</v>
          </cell>
          <cell r="D10378" t="str">
            <v>Chairs</v>
          </cell>
          <cell r="E10378">
            <v>84709.59</v>
          </cell>
          <cell r="F10378">
            <v>10</v>
          </cell>
        </row>
        <row r="10379">
          <cell r="A10379">
            <v>2018</v>
          </cell>
          <cell r="B10379" t="str">
            <v>Budget</v>
          </cell>
          <cell r="C10379" t="str">
            <v>Oct</v>
          </cell>
          <cell r="D10379" t="str">
            <v>Chairs</v>
          </cell>
          <cell r="E10379">
            <v>259591.43</v>
          </cell>
          <cell r="F10379">
            <v>10</v>
          </cell>
        </row>
        <row r="10380">
          <cell r="A10380">
            <v>2018</v>
          </cell>
          <cell r="B10380" t="str">
            <v>Actual</v>
          </cell>
          <cell r="C10380" t="str">
            <v>Oct</v>
          </cell>
          <cell r="D10380" t="str">
            <v>Chairs</v>
          </cell>
          <cell r="E10380">
            <v>37111.010999999999</v>
          </cell>
          <cell r="F10380">
            <v>10</v>
          </cell>
        </row>
        <row r="10381">
          <cell r="A10381">
            <v>2018</v>
          </cell>
          <cell r="B10381" t="str">
            <v>Budget</v>
          </cell>
          <cell r="C10381" t="str">
            <v>Oct</v>
          </cell>
          <cell r="D10381" t="str">
            <v>Chairs</v>
          </cell>
          <cell r="E10381">
            <v>1966661.6269999999</v>
          </cell>
          <cell r="F10381">
            <v>10</v>
          </cell>
        </row>
        <row r="10382">
          <cell r="A10382">
            <v>2019</v>
          </cell>
          <cell r="B10382" t="str">
            <v>Actual</v>
          </cell>
          <cell r="C10382" t="str">
            <v>Oct</v>
          </cell>
          <cell r="D10382" t="str">
            <v>Chairs</v>
          </cell>
          <cell r="E10382">
            <v>6869724.0360000003</v>
          </cell>
          <cell r="F10382">
            <v>10</v>
          </cell>
        </row>
        <row r="10383">
          <cell r="A10383">
            <v>2019</v>
          </cell>
          <cell r="B10383" t="str">
            <v>Budget</v>
          </cell>
          <cell r="C10383" t="str">
            <v>Oct</v>
          </cell>
          <cell r="D10383" t="str">
            <v>Chairs</v>
          </cell>
          <cell r="E10383">
            <v>4176479.9649999999</v>
          </cell>
          <cell r="F10383">
            <v>10</v>
          </cell>
        </row>
        <row r="10384">
          <cell r="A10384">
            <v>2018</v>
          </cell>
          <cell r="B10384" t="str">
            <v>Actual</v>
          </cell>
          <cell r="C10384" t="str">
            <v>Oct</v>
          </cell>
          <cell r="D10384" t="str">
            <v>Chairs</v>
          </cell>
          <cell r="E10384">
            <v>12181161.677999999</v>
          </cell>
          <cell r="F10384">
            <v>10</v>
          </cell>
        </row>
        <row r="10385">
          <cell r="A10385">
            <v>2018</v>
          </cell>
          <cell r="B10385" t="str">
            <v>Budget</v>
          </cell>
          <cell r="C10385" t="str">
            <v>Oct</v>
          </cell>
          <cell r="D10385" t="str">
            <v>Chairs</v>
          </cell>
          <cell r="E10385">
            <v>417215.946</v>
          </cell>
          <cell r="F10385">
            <v>10</v>
          </cell>
        </row>
        <row r="10386">
          <cell r="A10386">
            <v>2019</v>
          </cell>
          <cell r="B10386" t="str">
            <v>Actual</v>
          </cell>
          <cell r="C10386" t="str">
            <v>Oct</v>
          </cell>
          <cell r="D10386" t="str">
            <v>Chairs</v>
          </cell>
          <cell r="E10386">
            <v>431280.03099999996</v>
          </cell>
          <cell r="F10386">
            <v>10</v>
          </cell>
        </row>
        <row r="10387">
          <cell r="A10387">
            <v>2019</v>
          </cell>
          <cell r="B10387" t="str">
            <v>Budget</v>
          </cell>
          <cell r="C10387" t="str">
            <v>Oct</v>
          </cell>
          <cell r="D10387" t="str">
            <v>Chairs</v>
          </cell>
          <cell r="E10387">
            <v>292041.288</v>
          </cell>
          <cell r="F10387">
            <v>10</v>
          </cell>
        </row>
        <row r="10388">
          <cell r="A10388">
            <v>2018</v>
          </cell>
          <cell r="B10388" t="str">
            <v>Actual</v>
          </cell>
          <cell r="C10388" t="str">
            <v>Oct</v>
          </cell>
          <cell r="D10388" t="str">
            <v>Chairs</v>
          </cell>
          <cell r="E10388">
            <v>149350.31299999999</v>
          </cell>
          <cell r="F10388">
            <v>10</v>
          </cell>
        </row>
        <row r="10389">
          <cell r="A10389">
            <v>2019</v>
          </cell>
          <cell r="B10389" t="str">
            <v>Budget</v>
          </cell>
          <cell r="C10389" t="str">
            <v>Oct</v>
          </cell>
          <cell r="D10389" t="str">
            <v>Chairs</v>
          </cell>
          <cell r="E10389">
            <v>147741.26499999998</v>
          </cell>
          <cell r="F10389">
            <v>10</v>
          </cell>
        </row>
        <row r="10390">
          <cell r="A10390">
            <v>2019</v>
          </cell>
          <cell r="B10390" t="str">
            <v>Actual</v>
          </cell>
          <cell r="C10390" t="str">
            <v>Oct</v>
          </cell>
          <cell r="D10390" t="str">
            <v>Chairs</v>
          </cell>
          <cell r="E10390">
            <v>3054988.1039999998</v>
          </cell>
          <cell r="F10390">
            <v>10</v>
          </cell>
        </row>
        <row r="10391">
          <cell r="A10391">
            <v>2018</v>
          </cell>
          <cell r="B10391" t="str">
            <v>Budget</v>
          </cell>
          <cell r="C10391" t="str">
            <v>Oct</v>
          </cell>
          <cell r="D10391" t="str">
            <v>Chairs</v>
          </cell>
          <cell r="E10391">
            <v>711785.02499999991</v>
          </cell>
          <cell r="F10391">
            <v>10</v>
          </cell>
        </row>
        <row r="10392">
          <cell r="A10392">
            <v>2018</v>
          </cell>
          <cell r="B10392" t="str">
            <v>Actual</v>
          </cell>
          <cell r="C10392" t="str">
            <v>Oct</v>
          </cell>
          <cell r="D10392" t="str">
            <v>Chairs</v>
          </cell>
          <cell r="E10392">
            <v>3360918.2949999995</v>
          </cell>
          <cell r="F10392">
            <v>10</v>
          </cell>
        </row>
        <row r="10393">
          <cell r="A10393">
            <v>2018</v>
          </cell>
          <cell r="B10393" t="str">
            <v>Budget</v>
          </cell>
          <cell r="C10393" t="str">
            <v>Oct</v>
          </cell>
          <cell r="D10393" t="str">
            <v>Chairs</v>
          </cell>
          <cell r="E10393">
            <v>431693.06599999999</v>
          </cell>
          <cell r="F10393">
            <v>10</v>
          </cell>
        </row>
        <row r="10394">
          <cell r="A10394">
            <v>2019</v>
          </cell>
          <cell r="B10394" t="str">
            <v>Actual</v>
          </cell>
          <cell r="C10394" t="str">
            <v>Oct</v>
          </cell>
          <cell r="D10394" t="str">
            <v>Chairs</v>
          </cell>
          <cell r="E10394">
            <v>1978431.3359999999</v>
          </cell>
          <cell r="F10394">
            <v>10</v>
          </cell>
        </row>
        <row r="10395">
          <cell r="A10395">
            <v>2018</v>
          </cell>
          <cell r="B10395" t="str">
            <v>Budget</v>
          </cell>
          <cell r="C10395" t="str">
            <v>Oct</v>
          </cell>
          <cell r="D10395" t="str">
            <v>Chairs</v>
          </cell>
          <cell r="E10395">
            <v>592707.745</v>
          </cell>
          <cell r="F10395">
            <v>10</v>
          </cell>
        </row>
        <row r="10396">
          <cell r="A10396">
            <v>2019</v>
          </cell>
          <cell r="B10396" t="str">
            <v>Actual</v>
          </cell>
          <cell r="C10396" t="str">
            <v>Oct</v>
          </cell>
          <cell r="D10396" t="str">
            <v>Chairs</v>
          </cell>
          <cell r="E10396">
            <v>1195204.395</v>
          </cell>
          <cell r="F10396">
            <v>10</v>
          </cell>
        </row>
        <row r="10397">
          <cell r="A10397">
            <v>2019</v>
          </cell>
          <cell r="B10397" t="str">
            <v>Budget</v>
          </cell>
          <cell r="C10397" t="str">
            <v>Oct</v>
          </cell>
          <cell r="D10397" t="str">
            <v>Tables</v>
          </cell>
          <cell r="E10397">
            <v>3515160.6909999996</v>
          </cell>
          <cell r="F10397">
            <v>10</v>
          </cell>
        </row>
        <row r="10398">
          <cell r="A10398">
            <v>2018</v>
          </cell>
          <cell r="B10398" t="str">
            <v>Actual</v>
          </cell>
          <cell r="C10398" t="str">
            <v>Oct</v>
          </cell>
          <cell r="D10398" t="str">
            <v>Kitchen</v>
          </cell>
          <cell r="E10398">
            <v>206985.00899999999</v>
          </cell>
          <cell r="F10398">
            <v>10</v>
          </cell>
        </row>
        <row r="10399">
          <cell r="A10399">
            <v>2018</v>
          </cell>
          <cell r="B10399" t="str">
            <v>Budget</v>
          </cell>
          <cell r="C10399" t="str">
            <v>Oct</v>
          </cell>
          <cell r="D10399" t="str">
            <v>Chairs</v>
          </cell>
          <cell r="E10399">
            <v>620009.76099999994</v>
          </cell>
          <cell r="F10399">
            <v>10</v>
          </cell>
        </row>
        <row r="10400">
          <cell r="A10400">
            <v>2019</v>
          </cell>
          <cell r="B10400" t="str">
            <v>Actual</v>
          </cell>
          <cell r="C10400" t="str">
            <v>Oct</v>
          </cell>
          <cell r="D10400" t="str">
            <v>Chairs</v>
          </cell>
          <cell r="E10400">
            <v>1237270.3419999999</v>
          </cell>
          <cell r="F10400">
            <v>10</v>
          </cell>
        </row>
        <row r="10401">
          <cell r="A10401">
            <v>2019</v>
          </cell>
          <cell r="B10401" t="str">
            <v>Budget</v>
          </cell>
          <cell r="C10401" t="str">
            <v>Oct</v>
          </cell>
          <cell r="D10401" t="str">
            <v>Chairs</v>
          </cell>
          <cell r="E10401">
            <v>1661154.3549999997</v>
          </cell>
          <cell r="F10401">
            <v>10</v>
          </cell>
        </row>
        <row r="10402">
          <cell r="A10402">
            <v>2019</v>
          </cell>
          <cell r="B10402" t="str">
            <v>Actual</v>
          </cell>
          <cell r="C10402" t="str">
            <v>Oct</v>
          </cell>
          <cell r="D10402" t="str">
            <v>Chairs</v>
          </cell>
          <cell r="E10402">
            <v>35006.237000000001</v>
          </cell>
          <cell r="F10402">
            <v>10</v>
          </cell>
        </row>
        <row r="10403">
          <cell r="A10403">
            <v>2019</v>
          </cell>
          <cell r="B10403" t="str">
            <v>Budget</v>
          </cell>
          <cell r="C10403" t="str">
            <v>Oct</v>
          </cell>
          <cell r="D10403" t="str">
            <v>Chairs</v>
          </cell>
          <cell r="E10403">
            <v>622.54499999999996</v>
          </cell>
          <cell r="F10403">
            <v>10</v>
          </cell>
        </row>
        <row r="10404">
          <cell r="A10404">
            <v>2018</v>
          </cell>
          <cell r="B10404" t="str">
            <v>Actual</v>
          </cell>
          <cell r="C10404" t="str">
            <v>Oct</v>
          </cell>
          <cell r="D10404" t="str">
            <v>Tables</v>
          </cell>
          <cell r="E10404">
            <v>224658.546</v>
          </cell>
          <cell r="F10404">
            <v>10</v>
          </cell>
        </row>
        <row r="10405">
          <cell r="A10405">
            <v>2019</v>
          </cell>
          <cell r="B10405" t="str">
            <v>Budget</v>
          </cell>
          <cell r="C10405" t="str">
            <v>Oct</v>
          </cell>
          <cell r="D10405" t="str">
            <v>Kitchen</v>
          </cell>
          <cell r="E10405">
            <v>59100.796999999999</v>
          </cell>
          <cell r="F10405">
            <v>10</v>
          </cell>
        </row>
        <row r="10406">
          <cell r="A10406">
            <v>2019</v>
          </cell>
          <cell r="B10406" t="str">
            <v>Actual</v>
          </cell>
          <cell r="C10406" t="str">
            <v>Oct</v>
          </cell>
          <cell r="D10406" t="str">
            <v>Chairs</v>
          </cell>
          <cell r="E10406">
            <v>92284.962</v>
          </cell>
          <cell r="F10406">
            <v>10</v>
          </cell>
        </row>
        <row r="10407">
          <cell r="A10407">
            <v>2019</v>
          </cell>
          <cell r="B10407" t="str">
            <v>Budget</v>
          </cell>
          <cell r="C10407" t="str">
            <v>Oct</v>
          </cell>
          <cell r="D10407" t="str">
            <v>Chairs</v>
          </cell>
          <cell r="E10407">
            <v>50890.678999999996</v>
          </cell>
          <cell r="F10407">
            <v>10</v>
          </cell>
        </row>
        <row r="10408">
          <cell r="A10408">
            <v>2018</v>
          </cell>
          <cell r="B10408" t="str">
            <v>Actual</v>
          </cell>
          <cell r="C10408" t="str">
            <v>Oct</v>
          </cell>
          <cell r="D10408" t="str">
            <v>Chairs</v>
          </cell>
          <cell r="E10408">
            <v>21675.668000000001</v>
          </cell>
          <cell r="F10408">
            <v>10</v>
          </cell>
        </row>
        <row r="10409">
          <cell r="A10409">
            <v>2018</v>
          </cell>
          <cell r="B10409" t="str">
            <v>Budget</v>
          </cell>
          <cell r="C10409" t="str">
            <v>Oct</v>
          </cell>
          <cell r="D10409" t="str">
            <v>Tables</v>
          </cell>
          <cell r="E10409">
            <v>66738.98</v>
          </cell>
          <cell r="F10409">
            <v>10</v>
          </cell>
        </row>
        <row r="10410">
          <cell r="A10410">
            <v>2018</v>
          </cell>
          <cell r="B10410" t="str">
            <v>Actual</v>
          </cell>
          <cell r="C10410" t="str">
            <v>Oct</v>
          </cell>
          <cell r="D10410" t="str">
            <v>Kitchen</v>
          </cell>
          <cell r="E10410">
            <v>170958.13699999999</v>
          </cell>
          <cell r="F10410">
            <v>10</v>
          </cell>
        </row>
        <row r="10411">
          <cell r="A10411">
            <v>2018</v>
          </cell>
          <cell r="B10411" t="str">
            <v>Budget</v>
          </cell>
          <cell r="C10411" t="str">
            <v>Oct</v>
          </cell>
          <cell r="D10411" t="str">
            <v>Chairs</v>
          </cell>
          <cell r="E10411">
            <v>219433.046</v>
          </cell>
          <cell r="F10411">
            <v>10</v>
          </cell>
        </row>
        <row r="10412">
          <cell r="A10412">
            <v>2019</v>
          </cell>
          <cell r="B10412" t="str">
            <v>Actual</v>
          </cell>
          <cell r="C10412" t="str">
            <v>Oct</v>
          </cell>
          <cell r="D10412" t="str">
            <v>Chairs</v>
          </cell>
          <cell r="E10412">
            <v>102584.53799999999</v>
          </cell>
          <cell r="F10412">
            <v>10</v>
          </cell>
        </row>
        <row r="10413">
          <cell r="A10413">
            <v>2018</v>
          </cell>
          <cell r="B10413" t="str">
            <v>Budget</v>
          </cell>
          <cell r="C10413" t="str">
            <v>Oct</v>
          </cell>
          <cell r="D10413" t="str">
            <v>Tables</v>
          </cell>
          <cell r="E10413">
            <v>267334.76699999999</v>
          </cell>
          <cell r="F10413">
            <v>10</v>
          </cell>
        </row>
        <row r="10414">
          <cell r="A10414">
            <v>2018</v>
          </cell>
          <cell r="B10414" t="str">
            <v>Actual</v>
          </cell>
          <cell r="C10414" t="str">
            <v>Oct</v>
          </cell>
          <cell r="D10414" t="str">
            <v>Kitchen</v>
          </cell>
          <cell r="E10414">
            <v>27257.796999999999</v>
          </cell>
          <cell r="F10414">
            <v>10</v>
          </cell>
        </row>
        <row r="10415">
          <cell r="A10415">
            <v>2019</v>
          </cell>
          <cell r="B10415" t="str">
            <v>Budget</v>
          </cell>
          <cell r="C10415" t="str">
            <v>Oct</v>
          </cell>
          <cell r="D10415" t="str">
            <v>Chairs</v>
          </cell>
          <cell r="E10415">
            <v>96245.113999999987</v>
          </cell>
          <cell r="F10415">
            <v>10</v>
          </cell>
        </row>
        <row r="10416">
          <cell r="A10416">
            <v>2019</v>
          </cell>
          <cell r="B10416" t="str">
            <v>Actual</v>
          </cell>
          <cell r="C10416" t="str">
            <v>Oct</v>
          </cell>
          <cell r="D10416" t="str">
            <v>Chairs</v>
          </cell>
          <cell r="E10416">
            <v>-14069.188</v>
          </cell>
          <cell r="F10416">
            <v>10</v>
          </cell>
        </row>
        <row r="10417">
          <cell r="A10417">
            <v>2019</v>
          </cell>
          <cell r="B10417" t="str">
            <v>Budget</v>
          </cell>
          <cell r="C10417" t="str">
            <v>Oct</v>
          </cell>
          <cell r="D10417" t="str">
            <v>Tables</v>
          </cell>
          <cell r="E10417">
            <v>-50650.557999999997</v>
          </cell>
          <cell r="F10417">
            <v>10</v>
          </cell>
        </row>
        <row r="10418">
          <cell r="A10418">
            <v>2019</v>
          </cell>
          <cell r="B10418" t="str">
            <v>Actual</v>
          </cell>
          <cell r="C10418" t="str">
            <v>Oct</v>
          </cell>
          <cell r="D10418" t="str">
            <v>Kitchen</v>
          </cell>
          <cell r="E10418">
            <v>38179.245999999999</v>
          </cell>
          <cell r="F10418">
            <v>10</v>
          </cell>
        </row>
        <row r="10419">
          <cell r="A10419">
            <v>2018</v>
          </cell>
          <cell r="B10419" t="str">
            <v>Budget</v>
          </cell>
          <cell r="C10419" t="str">
            <v>Oct</v>
          </cell>
          <cell r="D10419" t="str">
            <v>Accessories</v>
          </cell>
          <cell r="E10419">
            <v>-38470.242999999995</v>
          </cell>
          <cell r="F10419">
            <v>10</v>
          </cell>
        </row>
        <row r="10420">
          <cell r="A10420">
            <v>2019</v>
          </cell>
          <cell r="B10420" t="str">
            <v>Actual</v>
          </cell>
          <cell r="C10420" t="str">
            <v>Oct</v>
          </cell>
          <cell r="D10420" t="str">
            <v>Chairs</v>
          </cell>
          <cell r="E10420">
            <v>27370.545999999998</v>
          </cell>
          <cell r="F10420">
            <v>10</v>
          </cell>
        </row>
        <row r="10421">
          <cell r="A10421">
            <v>2018</v>
          </cell>
          <cell r="B10421" t="str">
            <v>Budget</v>
          </cell>
          <cell r="C10421" t="str">
            <v>Oct</v>
          </cell>
          <cell r="D10421" t="str">
            <v>Tables</v>
          </cell>
          <cell r="E10421">
            <v>11191.215</v>
          </cell>
          <cell r="F10421">
            <v>10</v>
          </cell>
        </row>
        <row r="10422">
          <cell r="A10422">
            <v>2019</v>
          </cell>
          <cell r="B10422" t="str">
            <v>Actual</v>
          </cell>
          <cell r="C10422" t="str">
            <v>Oct</v>
          </cell>
          <cell r="D10422" t="str">
            <v>Kitchen</v>
          </cell>
          <cell r="E10422">
            <v>124365.07999999999</v>
          </cell>
          <cell r="F10422">
            <v>10</v>
          </cell>
        </row>
        <row r="10423">
          <cell r="A10423">
            <v>2018</v>
          </cell>
          <cell r="B10423" t="str">
            <v>Budget</v>
          </cell>
          <cell r="C10423" t="str">
            <v>Oct</v>
          </cell>
          <cell r="D10423" t="str">
            <v>Accessories</v>
          </cell>
          <cell r="E10423">
            <v>121110.33199999999</v>
          </cell>
          <cell r="F10423">
            <v>10</v>
          </cell>
        </row>
        <row r="10424">
          <cell r="A10424">
            <v>2019</v>
          </cell>
          <cell r="B10424" t="str">
            <v>Actual</v>
          </cell>
          <cell r="C10424" t="str">
            <v>Oct</v>
          </cell>
          <cell r="D10424" t="str">
            <v>Chairs</v>
          </cell>
          <cell r="E10424">
            <v>135366.02799999999</v>
          </cell>
          <cell r="F10424">
            <v>10</v>
          </cell>
        </row>
        <row r="10425">
          <cell r="A10425">
            <v>2019</v>
          </cell>
          <cell r="B10425" t="str">
            <v>Budget</v>
          </cell>
          <cell r="C10425" t="str">
            <v>Oct</v>
          </cell>
          <cell r="D10425" t="str">
            <v>Tables</v>
          </cell>
          <cell r="E10425">
            <v>5688.585</v>
          </cell>
          <cell r="F10425">
            <v>10</v>
          </cell>
        </row>
        <row r="10426">
          <cell r="A10426">
            <v>2019</v>
          </cell>
          <cell r="B10426" t="str">
            <v>Actual</v>
          </cell>
          <cell r="C10426" t="str">
            <v>Oct</v>
          </cell>
          <cell r="D10426" t="str">
            <v>Kitchen</v>
          </cell>
          <cell r="E10426">
            <v>36956.695999999996</v>
          </cell>
          <cell r="F10426">
            <v>10</v>
          </cell>
        </row>
        <row r="10427">
          <cell r="A10427">
            <v>2018</v>
          </cell>
          <cell r="B10427" t="str">
            <v>Budget</v>
          </cell>
          <cell r="C10427" t="str">
            <v>Oct</v>
          </cell>
          <cell r="D10427" t="str">
            <v>Accessories</v>
          </cell>
          <cell r="E10427">
            <v>19957.706999999999</v>
          </cell>
          <cell r="F10427">
            <v>10</v>
          </cell>
        </row>
        <row r="10428">
          <cell r="A10428">
            <v>2019</v>
          </cell>
          <cell r="B10428" t="str">
            <v>Actual</v>
          </cell>
          <cell r="C10428" t="str">
            <v>Oct</v>
          </cell>
          <cell r="D10428" t="str">
            <v>Chairs</v>
          </cell>
          <cell r="E10428">
            <v>65889.165999999997</v>
          </cell>
          <cell r="F10428">
            <v>10</v>
          </cell>
        </row>
        <row r="10429">
          <cell r="A10429">
            <v>2018</v>
          </cell>
          <cell r="B10429" t="str">
            <v>Budget</v>
          </cell>
          <cell r="C10429" t="str">
            <v>Oct</v>
          </cell>
          <cell r="D10429" t="str">
            <v>Tables</v>
          </cell>
          <cell r="E10429">
            <v>244763.323</v>
          </cell>
          <cell r="F10429">
            <v>10</v>
          </cell>
        </row>
        <row r="10430">
          <cell r="A10430">
            <v>2019</v>
          </cell>
          <cell r="B10430" t="str">
            <v>Actual</v>
          </cell>
          <cell r="C10430" t="str">
            <v>Oct</v>
          </cell>
          <cell r="D10430" t="str">
            <v>Kitchen</v>
          </cell>
          <cell r="E10430">
            <v>332724.16099999996</v>
          </cell>
          <cell r="F10430">
            <v>10</v>
          </cell>
        </row>
        <row r="10431">
          <cell r="A10431">
            <v>2018</v>
          </cell>
          <cell r="B10431" t="str">
            <v>Budget</v>
          </cell>
          <cell r="C10431" t="str">
            <v>Oct</v>
          </cell>
          <cell r="D10431" t="str">
            <v>Accessories</v>
          </cell>
          <cell r="E10431">
            <v>416207.98799999995</v>
          </cell>
          <cell r="F10431">
            <v>10</v>
          </cell>
        </row>
        <row r="10432">
          <cell r="A10432">
            <v>2018</v>
          </cell>
          <cell r="B10432" t="str">
            <v>Actual</v>
          </cell>
          <cell r="C10432" t="str">
            <v>Oct</v>
          </cell>
          <cell r="D10432" t="str">
            <v>Chairs</v>
          </cell>
          <cell r="E10432">
            <v>107250.00999999998</v>
          </cell>
          <cell r="F10432">
            <v>10</v>
          </cell>
        </row>
        <row r="10433">
          <cell r="A10433">
            <v>2019</v>
          </cell>
          <cell r="B10433" t="str">
            <v>Budget</v>
          </cell>
          <cell r="C10433" t="str">
            <v>Oct</v>
          </cell>
          <cell r="D10433" t="str">
            <v>Tables</v>
          </cell>
          <cell r="E10433">
            <v>817099.96899999992</v>
          </cell>
          <cell r="F10433">
            <v>10</v>
          </cell>
        </row>
        <row r="10434">
          <cell r="A10434">
            <v>2018</v>
          </cell>
          <cell r="B10434" t="str">
            <v>Actual</v>
          </cell>
          <cell r="C10434" t="str">
            <v>Oct</v>
          </cell>
          <cell r="D10434" t="str">
            <v>Kitchen</v>
          </cell>
          <cell r="E10434">
            <v>78790.088999999993</v>
          </cell>
          <cell r="F10434">
            <v>10</v>
          </cell>
        </row>
        <row r="10435">
          <cell r="A10435">
            <v>2019</v>
          </cell>
          <cell r="B10435" t="str">
            <v>Budget</v>
          </cell>
          <cell r="C10435" t="str">
            <v>Oct</v>
          </cell>
          <cell r="D10435" t="str">
            <v>Accessories</v>
          </cell>
          <cell r="E10435">
            <v>28090.804</v>
          </cell>
          <cell r="F10435">
            <v>10</v>
          </cell>
        </row>
        <row r="10436">
          <cell r="A10436">
            <v>2018</v>
          </cell>
          <cell r="B10436" t="str">
            <v>Actual</v>
          </cell>
          <cell r="C10436" t="str">
            <v>Oct</v>
          </cell>
          <cell r="D10436" t="str">
            <v>Chairs</v>
          </cell>
          <cell r="E10436">
            <v>106724.93299999999</v>
          </cell>
          <cell r="F10436">
            <v>10</v>
          </cell>
        </row>
        <row r="10437">
          <cell r="A10437">
            <v>2018</v>
          </cell>
          <cell r="B10437" t="str">
            <v>Budget</v>
          </cell>
          <cell r="C10437" t="str">
            <v>Oct</v>
          </cell>
          <cell r="D10437" t="str">
            <v>Chairs</v>
          </cell>
          <cell r="E10437">
            <v>10360.021000000001</v>
          </cell>
          <cell r="F10437">
            <v>10</v>
          </cell>
        </row>
        <row r="10438">
          <cell r="A10438">
            <v>2018</v>
          </cell>
          <cell r="B10438" t="str">
            <v>Actual</v>
          </cell>
          <cell r="C10438" t="str">
            <v>Oct</v>
          </cell>
          <cell r="D10438" t="str">
            <v>Tables</v>
          </cell>
          <cell r="E10438">
            <v>51800.112000000001</v>
          </cell>
          <cell r="F10438">
            <v>10</v>
          </cell>
        </row>
        <row r="10439">
          <cell r="A10439">
            <v>2019</v>
          </cell>
          <cell r="B10439" t="str">
            <v>Budget</v>
          </cell>
          <cell r="C10439" t="str">
            <v>Oct</v>
          </cell>
          <cell r="D10439" t="str">
            <v>Kitchen</v>
          </cell>
          <cell r="E10439">
            <v>2447.83</v>
          </cell>
          <cell r="F10439">
            <v>10</v>
          </cell>
        </row>
        <row r="10440">
          <cell r="A10440">
            <v>2019</v>
          </cell>
          <cell r="B10440" t="str">
            <v>Actual</v>
          </cell>
          <cell r="C10440" t="str">
            <v>Oct</v>
          </cell>
          <cell r="D10440" t="str">
            <v>Chairs</v>
          </cell>
          <cell r="E10440">
            <v>3169.9359999999997</v>
          </cell>
          <cell r="F10440">
            <v>10</v>
          </cell>
        </row>
        <row r="10441">
          <cell r="A10441">
            <v>2018</v>
          </cell>
          <cell r="B10441" t="str">
            <v>Budget</v>
          </cell>
          <cell r="C10441" t="str">
            <v>Oct</v>
          </cell>
          <cell r="D10441" t="str">
            <v>Tables</v>
          </cell>
          <cell r="E10441">
            <v>3158.9249999999997</v>
          </cell>
          <cell r="F10441">
            <v>10</v>
          </cell>
        </row>
        <row r="10442">
          <cell r="A10442">
            <v>2019</v>
          </cell>
          <cell r="B10442" t="str">
            <v>Actual</v>
          </cell>
          <cell r="C10442" t="str">
            <v>Oct</v>
          </cell>
          <cell r="D10442" t="str">
            <v>Kitchen</v>
          </cell>
          <cell r="E10442">
            <v>39505.465999999993</v>
          </cell>
          <cell r="F10442">
            <v>10</v>
          </cell>
        </row>
        <row r="10443">
          <cell r="A10443">
            <v>2018</v>
          </cell>
          <cell r="B10443" t="str">
            <v>Budget</v>
          </cell>
          <cell r="C10443" t="str">
            <v>Oct</v>
          </cell>
          <cell r="D10443" t="str">
            <v>Chairs</v>
          </cell>
          <cell r="E10443">
            <v>66109.693999999989</v>
          </cell>
          <cell r="F10443">
            <v>10</v>
          </cell>
        </row>
        <row r="10444">
          <cell r="A10444">
            <v>2019</v>
          </cell>
          <cell r="B10444" t="str">
            <v>Actual</v>
          </cell>
          <cell r="C10444" t="str">
            <v>Oct</v>
          </cell>
          <cell r="D10444" t="str">
            <v>Tables</v>
          </cell>
          <cell r="E10444">
            <v>26360.956999999999</v>
          </cell>
          <cell r="F10444">
            <v>10</v>
          </cell>
        </row>
        <row r="10445">
          <cell r="A10445">
            <v>2019</v>
          </cell>
          <cell r="B10445" t="str">
            <v>Budget</v>
          </cell>
          <cell r="C10445" t="str">
            <v>Oct</v>
          </cell>
          <cell r="D10445" t="str">
            <v>Kitchen</v>
          </cell>
          <cell r="E10445">
            <v>248322.83</v>
          </cell>
          <cell r="F10445">
            <v>10</v>
          </cell>
        </row>
        <row r="10446">
          <cell r="A10446">
            <v>2019</v>
          </cell>
          <cell r="B10446" t="str">
            <v>Actual</v>
          </cell>
          <cell r="C10446" t="str">
            <v>Oct</v>
          </cell>
          <cell r="D10446" t="str">
            <v>Chairs</v>
          </cell>
          <cell r="E10446">
            <v>45350.409999999996</v>
          </cell>
          <cell r="F10446">
            <v>10</v>
          </cell>
        </row>
        <row r="10447">
          <cell r="A10447">
            <v>2018</v>
          </cell>
          <cell r="B10447" t="str">
            <v>Budget</v>
          </cell>
          <cell r="C10447" t="str">
            <v>Oct</v>
          </cell>
          <cell r="D10447" t="str">
            <v>Chairs</v>
          </cell>
          <cell r="E10447">
            <v>-72876.614999999991</v>
          </cell>
          <cell r="F10447">
            <v>10</v>
          </cell>
        </row>
        <row r="10448">
          <cell r="A10448">
            <v>2018</v>
          </cell>
          <cell r="B10448" t="str">
            <v>Actual</v>
          </cell>
          <cell r="C10448" t="str">
            <v>Oct</v>
          </cell>
          <cell r="D10448" t="str">
            <v>Chairs</v>
          </cell>
          <cell r="E10448">
            <v>485412.97699999996</v>
          </cell>
          <cell r="F10448">
            <v>10</v>
          </cell>
        </row>
        <row r="10449">
          <cell r="A10449">
            <v>2018</v>
          </cell>
          <cell r="B10449" t="str">
            <v>Budget</v>
          </cell>
          <cell r="C10449" t="str">
            <v>Oct</v>
          </cell>
          <cell r="D10449" t="str">
            <v>Chairs</v>
          </cell>
          <cell r="E10449">
            <v>64654.372999999992</v>
          </cell>
          <cell r="F10449">
            <v>10</v>
          </cell>
        </row>
        <row r="10450">
          <cell r="A10450">
            <v>2018</v>
          </cell>
          <cell r="B10450" t="str">
            <v>Actual</v>
          </cell>
          <cell r="C10450" t="str">
            <v>Oct</v>
          </cell>
          <cell r="D10450" t="str">
            <v>Chairs</v>
          </cell>
          <cell r="E10450">
            <v>349033.55899999995</v>
          </cell>
          <cell r="F10450">
            <v>10</v>
          </cell>
        </row>
        <row r="10451">
          <cell r="A10451">
            <v>2018</v>
          </cell>
          <cell r="B10451" t="str">
            <v>Budget</v>
          </cell>
          <cell r="C10451" t="str">
            <v>Oct</v>
          </cell>
          <cell r="D10451" t="str">
            <v>Chairs</v>
          </cell>
          <cell r="E10451">
            <v>53419.407999999996</v>
          </cell>
          <cell r="F10451">
            <v>10</v>
          </cell>
        </row>
        <row r="10452">
          <cell r="A10452">
            <v>2018</v>
          </cell>
          <cell r="B10452" t="str">
            <v>Actual</v>
          </cell>
          <cell r="C10452" t="str">
            <v>Oct</v>
          </cell>
          <cell r="D10452" t="str">
            <v>Chairs</v>
          </cell>
          <cell r="E10452">
            <v>1103358.872</v>
          </cell>
          <cell r="F10452">
            <v>10</v>
          </cell>
        </row>
        <row r="10453">
          <cell r="A10453">
            <v>2019</v>
          </cell>
          <cell r="B10453" t="str">
            <v>Budget</v>
          </cell>
          <cell r="C10453" t="str">
            <v>Oct</v>
          </cell>
          <cell r="D10453" t="str">
            <v>Chairs</v>
          </cell>
          <cell r="E10453">
            <v>-10260.494999999999</v>
          </cell>
          <cell r="F10453">
            <v>10</v>
          </cell>
        </row>
        <row r="10454">
          <cell r="A10454">
            <v>2019</v>
          </cell>
          <cell r="B10454" t="str">
            <v>Actual</v>
          </cell>
          <cell r="C10454" t="str">
            <v>Oct</v>
          </cell>
          <cell r="D10454" t="str">
            <v>Chairs</v>
          </cell>
          <cell r="E10454">
            <v>-11666.83</v>
          </cell>
          <cell r="F10454">
            <v>10</v>
          </cell>
        </row>
        <row r="10455">
          <cell r="A10455">
            <v>2019</v>
          </cell>
          <cell r="B10455" t="str">
            <v>Budget</v>
          </cell>
          <cell r="C10455" t="str">
            <v>Oct</v>
          </cell>
          <cell r="D10455" t="str">
            <v>Chairs</v>
          </cell>
          <cell r="E10455">
            <v>-352115.68</v>
          </cell>
          <cell r="F10455">
            <v>10</v>
          </cell>
        </row>
        <row r="10456">
          <cell r="A10456">
            <v>2018</v>
          </cell>
          <cell r="B10456" t="str">
            <v>Actual</v>
          </cell>
          <cell r="C10456" t="str">
            <v>Oct</v>
          </cell>
          <cell r="D10456" t="str">
            <v>Chairs</v>
          </cell>
          <cell r="E10456">
            <v>87616.508000000002</v>
          </cell>
          <cell r="F10456">
            <v>10</v>
          </cell>
        </row>
        <row r="10457">
          <cell r="A10457">
            <v>2019</v>
          </cell>
          <cell r="B10457" t="str">
            <v>Budget</v>
          </cell>
          <cell r="C10457" t="str">
            <v>Oct</v>
          </cell>
          <cell r="D10457" t="str">
            <v>Chairs</v>
          </cell>
          <cell r="E10457">
            <v>68574.414999999994</v>
          </cell>
          <cell r="F10457">
            <v>10</v>
          </cell>
        </row>
        <row r="10458">
          <cell r="A10458">
            <v>2019</v>
          </cell>
          <cell r="B10458" t="str">
            <v>Actual</v>
          </cell>
          <cell r="C10458" t="str">
            <v>Oct</v>
          </cell>
          <cell r="D10458" t="str">
            <v>Chairs</v>
          </cell>
          <cell r="E10458">
            <v>12446.923999999999</v>
          </cell>
          <cell r="F10458">
            <v>10</v>
          </cell>
        </row>
        <row r="10459">
          <cell r="A10459">
            <v>2018</v>
          </cell>
          <cell r="B10459" t="str">
            <v>Budget</v>
          </cell>
          <cell r="C10459" t="str">
            <v>Oct</v>
          </cell>
          <cell r="D10459" t="str">
            <v>Chairs</v>
          </cell>
          <cell r="E10459">
            <v>541594.92799999996</v>
          </cell>
          <cell r="F10459">
            <v>10</v>
          </cell>
        </row>
        <row r="10460">
          <cell r="A10460">
            <v>2018</v>
          </cell>
          <cell r="B10460" t="str">
            <v>Actual</v>
          </cell>
          <cell r="C10460" t="str">
            <v>Oct</v>
          </cell>
          <cell r="D10460" t="str">
            <v>Chairs</v>
          </cell>
          <cell r="E10460">
            <v>10432522.009</v>
          </cell>
          <cell r="F10460">
            <v>10</v>
          </cell>
        </row>
        <row r="10461">
          <cell r="A10461">
            <v>2019</v>
          </cell>
          <cell r="B10461" t="str">
            <v>Budget</v>
          </cell>
          <cell r="C10461" t="str">
            <v>Oct</v>
          </cell>
          <cell r="D10461" t="str">
            <v>Chairs</v>
          </cell>
          <cell r="E10461">
            <v>32165.657999999999</v>
          </cell>
          <cell r="F10461">
            <v>10</v>
          </cell>
        </row>
        <row r="10462">
          <cell r="A10462">
            <v>2018</v>
          </cell>
          <cell r="B10462" t="str">
            <v>Actual</v>
          </cell>
          <cell r="C10462" t="str">
            <v>Oct</v>
          </cell>
          <cell r="D10462" t="str">
            <v>Chairs</v>
          </cell>
          <cell r="E10462">
            <v>69547.064999999988</v>
          </cell>
          <cell r="F10462">
            <v>10</v>
          </cell>
        </row>
        <row r="10463">
          <cell r="A10463">
            <v>2018</v>
          </cell>
          <cell r="B10463" t="str">
            <v>Budget</v>
          </cell>
          <cell r="C10463" t="str">
            <v>Oct</v>
          </cell>
          <cell r="D10463" t="str">
            <v>Chairs</v>
          </cell>
          <cell r="E10463">
            <v>156855.64299999998</v>
          </cell>
          <cell r="F10463">
            <v>10</v>
          </cell>
        </row>
        <row r="10464">
          <cell r="A10464">
            <v>2018</v>
          </cell>
          <cell r="B10464" t="str">
            <v>Actual</v>
          </cell>
          <cell r="C10464" t="str">
            <v>Oct</v>
          </cell>
          <cell r="D10464" t="str">
            <v>Chairs</v>
          </cell>
          <cell r="E10464">
            <v>256599.55299999996</v>
          </cell>
          <cell r="F10464">
            <v>10</v>
          </cell>
        </row>
        <row r="10465">
          <cell r="A10465">
            <v>2019</v>
          </cell>
          <cell r="B10465" t="str">
            <v>Budget</v>
          </cell>
          <cell r="C10465" t="str">
            <v>Oct</v>
          </cell>
          <cell r="D10465" t="str">
            <v>Chairs</v>
          </cell>
          <cell r="E10465">
            <v>101942.47</v>
          </cell>
          <cell r="F10465">
            <v>10</v>
          </cell>
        </row>
        <row r="10466">
          <cell r="A10466">
            <v>2019</v>
          </cell>
          <cell r="B10466" t="str">
            <v>Actual</v>
          </cell>
          <cell r="C10466" t="str">
            <v>Oct</v>
          </cell>
          <cell r="D10466" t="str">
            <v>Chairs</v>
          </cell>
          <cell r="E10466">
            <v>139787.66199999998</v>
          </cell>
          <cell r="F10466">
            <v>10</v>
          </cell>
        </row>
        <row r="10467">
          <cell r="A10467">
            <v>2018</v>
          </cell>
          <cell r="B10467" t="str">
            <v>Budget</v>
          </cell>
          <cell r="C10467" t="str">
            <v>Oct</v>
          </cell>
          <cell r="D10467" t="str">
            <v>Chairs</v>
          </cell>
          <cell r="E10467">
            <v>48008.17</v>
          </cell>
          <cell r="F10467">
            <v>10</v>
          </cell>
        </row>
        <row r="10468">
          <cell r="A10468">
            <v>2019</v>
          </cell>
          <cell r="B10468" t="str">
            <v>Actual</v>
          </cell>
          <cell r="C10468" t="str">
            <v>Oct</v>
          </cell>
          <cell r="D10468" t="str">
            <v>Chairs</v>
          </cell>
          <cell r="E10468">
            <v>126021.567</v>
          </cell>
          <cell r="F10468">
            <v>10</v>
          </cell>
        </row>
        <row r="10469">
          <cell r="A10469">
            <v>2019</v>
          </cell>
          <cell r="B10469" t="str">
            <v>Budget</v>
          </cell>
          <cell r="C10469" t="str">
            <v>Oct</v>
          </cell>
          <cell r="D10469" t="str">
            <v>Chairs</v>
          </cell>
          <cell r="E10469">
            <v>15634.08</v>
          </cell>
          <cell r="F10469">
            <v>10</v>
          </cell>
        </row>
        <row r="10470">
          <cell r="A10470">
            <v>2019</v>
          </cell>
          <cell r="B10470" t="str">
            <v>Actual</v>
          </cell>
          <cell r="C10470" t="str">
            <v>Oct</v>
          </cell>
          <cell r="D10470" t="str">
            <v>Chairs</v>
          </cell>
          <cell r="E10470">
            <v>369202.73599999998</v>
          </cell>
          <cell r="F10470">
            <v>10</v>
          </cell>
        </row>
        <row r="10471">
          <cell r="A10471">
            <v>2019</v>
          </cell>
          <cell r="B10471" t="str">
            <v>Budget</v>
          </cell>
          <cell r="C10471" t="str">
            <v>Oct</v>
          </cell>
          <cell r="D10471" t="str">
            <v>Chairs</v>
          </cell>
          <cell r="E10471">
            <v>191781.12100000001</v>
          </cell>
          <cell r="F10471">
            <v>10</v>
          </cell>
        </row>
        <row r="10472">
          <cell r="A10472">
            <v>2018</v>
          </cell>
          <cell r="B10472" t="str">
            <v>Actual</v>
          </cell>
          <cell r="C10472" t="str">
            <v>Oct</v>
          </cell>
          <cell r="D10472" t="str">
            <v>Tables</v>
          </cell>
          <cell r="E10472">
            <v>229513.59899999999</v>
          </cell>
          <cell r="F10472">
            <v>10</v>
          </cell>
        </row>
        <row r="10473">
          <cell r="A10473">
            <v>2018</v>
          </cell>
          <cell r="B10473" t="str">
            <v>Budget</v>
          </cell>
          <cell r="C10473" t="str">
            <v>Oct</v>
          </cell>
          <cell r="D10473" t="str">
            <v>Kitchen</v>
          </cell>
          <cell r="E10473">
            <v>38448.563999999998</v>
          </cell>
          <cell r="F10473">
            <v>10</v>
          </cell>
        </row>
        <row r="10474">
          <cell r="A10474">
            <v>2018</v>
          </cell>
          <cell r="B10474" t="str">
            <v>Actual</v>
          </cell>
          <cell r="C10474" t="str">
            <v>Oct</v>
          </cell>
          <cell r="D10474" t="str">
            <v>Chairs</v>
          </cell>
          <cell r="E10474">
            <v>6195.2239999999993</v>
          </cell>
          <cell r="F10474">
            <v>10</v>
          </cell>
        </row>
        <row r="10475">
          <cell r="A10475">
            <v>2019</v>
          </cell>
          <cell r="B10475" t="str">
            <v>Budget</v>
          </cell>
          <cell r="C10475" t="str">
            <v>Oct</v>
          </cell>
          <cell r="D10475" t="str">
            <v>Chairs</v>
          </cell>
          <cell r="E10475">
            <v>35161.875</v>
          </cell>
          <cell r="F10475">
            <v>10</v>
          </cell>
        </row>
        <row r="10476">
          <cell r="A10476">
            <v>2019</v>
          </cell>
          <cell r="B10476" t="str">
            <v>Actual</v>
          </cell>
          <cell r="C10476" t="str">
            <v>Oct</v>
          </cell>
          <cell r="D10476" t="str">
            <v>Chairs</v>
          </cell>
          <cell r="E10476">
            <v>224059.49299999999</v>
          </cell>
          <cell r="F10476">
            <v>10</v>
          </cell>
        </row>
        <row r="10477">
          <cell r="A10477">
            <v>2019</v>
          </cell>
          <cell r="B10477" t="str">
            <v>Budget</v>
          </cell>
          <cell r="C10477" t="str">
            <v>Oct</v>
          </cell>
          <cell r="D10477" t="str">
            <v>Chairs</v>
          </cell>
          <cell r="E10477">
            <v>670828.5149999999</v>
          </cell>
          <cell r="F10477">
            <v>10</v>
          </cell>
        </row>
        <row r="10478">
          <cell r="A10478">
            <v>2019</v>
          </cell>
          <cell r="B10478" t="str">
            <v>Actual</v>
          </cell>
          <cell r="C10478" t="str">
            <v>Oct</v>
          </cell>
          <cell r="D10478" t="str">
            <v>Chairs</v>
          </cell>
          <cell r="E10478">
            <v>761530.62999999989</v>
          </cell>
          <cell r="F10478">
            <v>10</v>
          </cell>
        </row>
        <row r="10479">
          <cell r="A10479">
            <v>2019</v>
          </cell>
          <cell r="B10479" t="str">
            <v>Budget</v>
          </cell>
          <cell r="C10479" t="str">
            <v>Oct</v>
          </cell>
          <cell r="D10479" t="str">
            <v>Tables</v>
          </cell>
          <cell r="E10479">
            <v>1558006.7999999998</v>
          </cell>
          <cell r="F10479">
            <v>10</v>
          </cell>
        </row>
        <row r="10480">
          <cell r="A10480">
            <v>2019</v>
          </cell>
          <cell r="B10480" t="str">
            <v>Actual</v>
          </cell>
          <cell r="C10480" t="str">
            <v>Oct</v>
          </cell>
          <cell r="D10480" t="str">
            <v>Kitchen</v>
          </cell>
          <cell r="E10480">
            <v>140555.345</v>
          </cell>
          <cell r="F10480">
            <v>10</v>
          </cell>
        </row>
        <row r="10481">
          <cell r="A10481">
            <v>2018</v>
          </cell>
          <cell r="B10481" t="str">
            <v>Budget</v>
          </cell>
          <cell r="C10481" t="str">
            <v>Oct</v>
          </cell>
          <cell r="D10481" t="str">
            <v>Chairs</v>
          </cell>
          <cell r="E10481">
            <v>70463.266999999993</v>
          </cell>
          <cell r="F10481">
            <v>10</v>
          </cell>
        </row>
        <row r="10482">
          <cell r="A10482">
            <v>2018</v>
          </cell>
          <cell r="B10482" t="str">
            <v>Actual</v>
          </cell>
          <cell r="C10482" t="str">
            <v>Oct</v>
          </cell>
          <cell r="D10482" t="str">
            <v>Chairs</v>
          </cell>
          <cell r="E10482">
            <v>578407.97</v>
          </cell>
          <cell r="F10482">
            <v>10</v>
          </cell>
        </row>
        <row r="10483">
          <cell r="A10483">
            <v>2019</v>
          </cell>
          <cell r="B10483" t="str">
            <v>Budget</v>
          </cell>
          <cell r="C10483" t="str">
            <v>Oct</v>
          </cell>
          <cell r="D10483" t="str">
            <v>Chairs</v>
          </cell>
          <cell r="E10483">
            <v>558147.87</v>
          </cell>
          <cell r="F10483">
            <v>10</v>
          </cell>
        </row>
        <row r="10484">
          <cell r="A10484">
            <v>2018</v>
          </cell>
          <cell r="B10484" t="str">
            <v>Actual</v>
          </cell>
          <cell r="C10484" t="str">
            <v>Oct</v>
          </cell>
          <cell r="D10484" t="str">
            <v>Tables</v>
          </cell>
          <cell r="E10484">
            <v>1973758.8359999999</v>
          </cell>
          <cell r="F10484">
            <v>10</v>
          </cell>
        </row>
        <row r="10485">
          <cell r="A10485">
            <v>2018</v>
          </cell>
          <cell r="B10485" t="str">
            <v>Budget</v>
          </cell>
          <cell r="C10485" t="str">
            <v>Oct</v>
          </cell>
          <cell r="D10485" t="str">
            <v>Kitchen</v>
          </cell>
          <cell r="E10485">
            <v>18783691.121999998</v>
          </cell>
          <cell r="F10485">
            <v>10</v>
          </cell>
        </row>
        <row r="10486">
          <cell r="A10486">
            <v>2019</v>
          </cell>
          <cell r="B10486" t="str">
            <v>Actual</v>
          </cell>
          <cell r="C10486" t="str">
            <v>Oct</v>
          </cell>
          <cell r="D10486" t="str">
            <v>Chairs</v>
          </cell>
          <cell r="E10486">
            <v>3891249.4949999996</v>
          </cell>
          <cell r="F10486">
            <v>10</v>
          </cell>
        </row>
        <row r="10487">
          <cell r="A10487">
            <v>2019</v>
          </cell>
          <cell r="B10487" t="str">
            <v>Budget</v>
          </cell>
          <cell r="C10487" t="str">
            <v>Oct</v>
          </cell>
          <cell r="D10487" t="str">
            <v>Chairs</v>
          </cell>
          <cell r="E10487">
            <v>2438250.773</v>
          </cell>
          <cell r="F10487">
            <v>10</v>
          </cell>
        </row>
        <row r="10488">
          <cell r="A10488">
            <v>2019</v>
          </cell>
          <cell r="B10488" t="str">
            <v>Actual</v>
          </cell>
          <cell r="C10488" t="str">
            <v>Oct</v>
          </cell>
          <cell r="D10488" t="str">
            <v>Tables</v>
          </cell>
          <cell r="E10488">
            <v>64210.285999999993</v>
          </cell>
          <cell r="F10488">
            <v>10</v>
          </cell>
        </row>
        <row r="10489">
          <cell r="A10489">
            <v>2019</v>
          </cell>
          <cell r="B10489" t="str">
            <v>Budget</v>
          </cell>
          <cell r="C10489" t="str">
            <v>Oct</v>
          </cell>
          <cell r="D10489" t="str">
            <v>Kitchen</v>
          </cell>
          <cell r="E10489">
            <v>2308599.7760000001</v>
          </cell>
          <cell r="F10489">
            <v>10</v>
          </cell>
        </row>
        <row r="10490">
          <cell r="A10490">
            <v>2019</v>
          </cell>
          <cell r="B10490" t="str">
            <v>Actual</v>
          </cell>
          <cell r="C10490" t="str">
            <v>Oct</v>
          </cell>
          <cell r="D10490" t="str">
            <v>Chairs</v>
          </cell>
          <cell r="E10490">
            <v>19783.672999999999</v>
          </cell>
          <cell r="F10490">
            <v>10</v>
          </cell>
        </row>
        <row r="10491">
          <cell r="A10491">
            <v>2019</v>
          </cell>
          <cell r="B10491" t="str">
            <v>Budget</v>
          </cell>
          <cell r="C10491" t="str">
            <v>Oct</v>
          </cell>
          <cell r="D10491" t="str">
            <v>Chairs</v>
          </cell>
          <cell r="E10491">
            <v>1602321.07</v>
          </cell>
          <cell r="F10491">
            <v>10</v>
          </cell>
        </row>
        <row r="10492">
          <cell r="A10492">
            <v>2019</v>
          </cell>
          <cell r="B10492" t="str">
            <v>Actual</v>
          </cell>
          <cell r="C10492" t="str">
            <v>Oct</v>
          </cell>
          <cell r="D10492" t="str">
            <v>Tables</v>
          </cell>
          <cell r="E10492">
            <v>2839801.3349999995</v>
          </cell>
          <cell r="F10492">
            <v>10</v>
          </cell>
        </row>
        <row r="10493">
          <cell r="A10493">
            <v>2018</v>
          </cell>
          <cell r="B10493" t="str">
            <v>Budget</v>
          </cell>
          <cell r="C10493" t="str">
            <v>Oct</v>
          </cell>
          <cell r="D10493" t="str">
            <v>Chairs</v>
          </cell>
          <cell r="E10493">
            <v>635717.71900000004</v>
          </cell>
          <cell r="F10493">
            <v>10</v>
          </cell>
        </row>
        <row r="10494">
          <cell r="A10494">
            <v>2019</v>
          </cell>
          <cell r="B10494" t="str">
            <v>Actual</v>
          </cell>
          <cell r="C10494" t="str">
            <v>Oct</v>
          </cell>
          <cell r="D10494" t="str">
            <v>Tables</v>
          </cell>
          <cell r="E10494">
            <v>1099298.9209999999</v>
          </cell>
          <cell r="F10494">
            <v>10</v>
          </cell>
        </row>
        <row r="10495">
          <cell r="A10495">
            <v>2019</v>
          </cell>
          <cell r="B10495" t="str">
            <v>Budget</v>
          </cell>
          <cell r="C10495" t="str">
            <v>Oct</v>
          </cell>
          <cell r="D10495" t="str">
            <v>Kitchen</v>
          </cell>
          <cell r="E10495">
            <v>91115.100999999995</v>
          </cell>
          <cell r="F10495">
            <v>10</v>
          </cell>
        </row>
        <row r="10496">
          <cell r="A10496">
            <v>2018</v>
          </cell>
          <cell r="B10496" t="str">
            <v>Actual</v>
          </cell>
          <cell r="C10496" t="str">
            <v>Oct</v>
          </cell>
          <cell r="D10496" t="str">
            <v>Accessories</v>
          </cell>
          <cell r="E10496">
            <v>28530.999</v>
          </cell>
          <cell r="F10496">
            <v>10</v>
          </cell>
        </row>
        <row r="10497">
          <cell r="A10497">
            <v>2019</v>
          </cell>
          <cell r="B10497" t="str">
            <v>Budget</v>
          </cell>
          <cell r="C10497" t="str">
            <v>Oct</v>
          </cell>
          <cell r="D10497" t="str">
            <v>Chairs</v>
          </cell>
          <cell r="E10497">
            <v>9525.2639999999992</v>
          </cell>
          <cell r="F10497">
            <v>10</v>
          </cell>
        </row>
        <row r="10498">
          <cell r="A10498">
            <v>2019</v>
          </cell>
          <cell r="B10498" t="str">
            <v>Actual</v>
          </cell>
          <cell r="C10498" t="str">
            <v>Oct</v>
          </cell>
          <cell r="D10498" t="str">
            <v>Tables</v>
          </cell>
          <cell r="E10498">
            <v>143631.117</v>
          </cell>
          <cell r="F10498">
            <v>10</v>
          </cell>
        </row>
        <row r="10499">
          <cell r="A10499">
            <v>2018</v>
          </cell>
          <cell r="B10499" t="str">
            <v>Budget</v>
          </cell>
          <cell r="C10499" t="str">
            <v>Oct</v>
          </cell>
          <cell r="D10499" t="str">
            <v>Kitchen</v>
          </cell>
          <cell r="E10499">
            <v>383572.86099999998</v>
          </cell>
          <cell r="F10499">
            <v>10</v>
          </cell>
        </row>
        <row r="10500">
          <cell r="A10500">
            <v>2019</v>
          </cell>
          <cell r="B10500" t="str">
            <v>Actual</v>
          </cell>
          <cell r="C10500" t="str">
            <v>Oct</v>
          </cell>
          <cell r="D10500" t="str">
            <v>Accessories</v>
          </cell>
          <cell r="E10500">
            <v>2068275.4889999998</v>
          </cell>
          <cell r="F10500">
            <v>10</v>
          </cell>
        </row>
        <row r="10501">
          <cell r="A10501">
            <v>2019</v>
          </cell>
          <cell r="B10501" t="str">
            <v>Budget</v>
          </cell>
          <cell r="C10501" t="str">
            <v>Oct</v>
          </cell>
          <cell r="D10501" t="str">
            <v>Chairs</v>
          </cell>
          <cell r="E10501">
            <v>3565655.0439999998</v>
          </cell>
          <cell r="F10501">
            <v>10</v>
          </cell>
        </row>
        <row r="10502">
          <cell r="A10502">
            <v>2019</v>
          </cell>
          <cell r="B10502" t="str">
            <v>Actual</v>
          </cell>
          <cell r="C10502" t="str">
            <v>Oct</v>
          </cell>
          <cell r="D10502" t="str">
            <v>Tables</v>
          </cell>
          <cell r="E10502">
            <v>10139.744999999999</v>
          </cell>
          <cell r="F10502">
            <v>10</v>
          </cell>
        </row>
        <row r="10503">
          <cell r="A10503">
            <v>2019</v>
          </cell>
          <cell r="B10503" t="str">
            <v>Budget</v>
          </cell>
          <cell r="C10503" t="str">
            <v>Oct</v>
          </cell>
          <cell r="D10503" t="str">
            <v>Kitchen</v>
          </cell>
          <cell r="E10503">
            <v>1098764.9119999998</v>
          </cell>
          <cell r="F10503">
            <v>10</v>
          </cell>
        </row>
        <row r="10504">
          <cell r="A10504">
            <v>2019</v>
          </cell>
          <cell r="B10504" t="str">
            <v>Actual</v>
          </cell>
          <cell r="C10504" t="str">
            <v>Oct</v>
          </cell>
          <cell r="D10504" t="str">
            <v>Accessories</v>
          </cell>
          <cell r="E10504">
            <v>726742.55499999993</v>
          </cell>
          <cell r="F10504">
            <v>10</v>
          </cell>
        </row>
        <row r="10505">
          <cell r="A10505">
            <v>2018</v>
          </cell>
          <cell r="B10505" t="str">
            <v>Budget</v>
          </cell>
          <cell r="C10505" t="str">
            <v>Oct</v>
          </cell>
          <cell r="D10505" t="str">
            <v>Chairs</v>
          </cell>
          <cell r="E10505">
            <v>769941.06700000004</v>
          </cell>
          <cell r="F10505">
            <v>10</v>
          </cell>
        </row>
        <row r="10506">
          <cell r="A10506">
            <v>2018</v>
          </cell>
          <cell r="B10506" t="str">
            <v>Actual</v>
          </cell>
          <cell r="C10506" t="str">
            <v>Oct</v>
          </cell>
          <cell r="D10506" t="str">
            <v>Tables</v>
          </cell>
          <cell r="E10506">
            <v>325891.783</v>
          </cell>
          <cell r="F10506">
            <v>10</v>
          </cell>
        </row>
        <row r="10507">
          <cell r="A10507">
            <v>2018</v>
          </cell>
          <cell r="B10507" t="str">
            <v>Budget</v>
          </cell>
          <cell r="C10507" t="str">
            <v>Oct</v>
          </cell>
          <cell r="D10507" t="str">
            <v>Kitchen</v>
          </cell>
          <cell r="E10507">
            <v>271450.66199999995</v>
          </cell>
          <cell r="F10507">
            <v>10</v>
          </cell>
        </row>
        <row r="10508">
          <cell r="A10508">
            <v>2019</v>
          </cell>
          <cell r="B10508" t="str">
            <v>Actual</v>
          </cell>
          <cell r="C10508" t="str">
            <v>Oct</v>
          </cell>
          <cell r="D10508" t="str">
            <v>Accessories</v>
          </cell>
          <cell r="E10508">
            <v>105178.12199999999</v>
          </cell>
          <cell r="F10508">
            <v>10</v>
          </cell>
        </row>
        <row r="10509">
          <cell r="A10509">
            <v>2019</v>
          </cell>
          <cell r="B10509" t="str">
            <v>Budget</v>
          </cell>
          <cell r="C10509" t="str">
            <v>Oct</v>
          </cell>
          <cell r="D10509" t="str">
            <v>Chairs</v>
          </cell>
          <cell r="E10509">
            <v>104657.16100000001</v>
          </cell>
          <cell r="F10509">
            <v>10</v>
          </cell>
        </row>
        <row r="10510">
          <cell r="A10510">
            <v>2019</v>
          </cell>
          <cell r="B10510" t="str">
            <v>Actual</v>
          </cell>
          <cell r="C10510" t="str">
            <v>Oct</v>
          </cell>
          <cell r="D10510" t="str">
            <v>Chairs</v>
          </cell>
          <cell r="E10510">
            <v>3120779.2560000001</v>
          </cell>
          <cell r="F10510">
            <v>10</v>
          </cell>
        </row>
        <row r="10511">
          <cell r="A10511">
            <v>2018</v>
          </cell>
          <cell r="B10511" t="str">
            <v>Budget</v>
          </cell>
          <cell r="C10511" t="str">
            <v>Oct</v>
          </cell>
          <cell r="D10511" t="str">
            <v>Tables</v>
          </cell>
          <cell r="E10511">
            <v>113150.912</v>
          </cell>
          <cell r="F10511">
            <v>10</v>
          </cell>
        </row>
        <row r="10512">
          <cell r="A10512">
            <v>2019</v>
          </cell>
          <cell r="B10512" t="str">
            <v>Actual</v>
          </cell>
          <cell r="C10512" t="str">
            <v>Oct</v>
          </cell>
          <cell r="D10512" t="str">
            <v>Kitchen</v>
          </cell>
          <cell r="E10512">
            <v>1200517.9339999999</v>
          </cell>
          <cell r="F10512">
            <v>10</v>
          </cell>
        </row>
        <row r="10513">
          <cell r="A10513">
            <v>2018</v>
          </cell>
          <cell r="B10513" t="str">
            <v>Budget</v>
          </cell>
          <cell r="C10513" t="str">
            <v>Oct</v>
          </cell>
          <cell r="D10513" t="str">
            <v>Chairs</v>
          </cell>
          <cell r="E10513">
            <v>178576.82499999998</v>
          </cell>
          <cell r="F10513">
            <v>10</v>
          </cell>
        </row>
        <row r="10514">
          <cell r="A10514">
            <v>2018</v>
          </cell>
          <cell r="B10514" t="str">
            <v>Actual</v>
          </cell>
          <cell r="C10514" t="str">
            <v>Oct</v>
          </cell>
          <cell r="D10514" t="str">
            <v>Tables</v>
          </cell>
          <cell r="E10514">
            <v>350612.92699999997</v>
          </cell>
          <cell r="F10514">
            <v>10</v>
          </cell>
        </row>
        <row r="10515">
          <cell r="A10515">
            <v>2019</v>
          </cell>
          <cell r="B10515" t="str">
            <v>Budget</v>
          </cell>
          <cell r="C10515" t="str">
            <v>Oct</v>
          </cell>
          <cell r="D10515" t="str">
            <v>Kitchen</v>
          </cell>
          <cell r="E10515">
            <v>2508550.912</v>
          </cell>
          <cell r="F10515">
            <v>10</v>
          </cell>
        </row>
        <row r="10516">
          <cell r="A10516">
            <v>2018</v>
          </cell>
          <cell r="B10516" t="str">
            <v>Actual</v>
          </cell>
          <cell r="C10516" t="str">
            <v>Oct</v>
          </cell>
          <cell r="D10516" t="str">
            <v>Chairs</v>
          </cell>
          <cell r="E10516">
            <v>345294.82399999996</v>
          </cell>
          <cell r="F10516">
            <v>10</v>
          </cell>
        </row>
        <row r="10517">
          <cell r="A10517">
            <v>2018</v>
          </cell>
          <cell r="B10517" t="str">
            <v>Budget</v>
          </cell>
          <cell r="C10517" t="str">
            <v>Oct</v>
          </cell>
          <cell r="D10517" t="str">
            <v>Tables</v>
          </cell>
          <cell r="E10517">
            <v>828601.3189999999</v>
          </cell>
          <cell r="F10517">
            <v>10</v>
          </cell>
        </row>
        <row r="10518">
          <cell r="A10518">
            <v>2019</v>
          </cell>
          <cell r="B10518" t="str">
            <v>Actual</v>
          </cell>
          <cell r="C10518" t="str">
            <v>Oct</v>
          </cell>
          <cell r="D10518" t="str">
            <v>Kitchen</v>
          </cell>
          <cell r="E10518">
            <v>1708075.642</v>
          </cell>
          <cell r="F10518">
            <v>10</v>
          </cell>
        </row>
        <row r="10519">
          <cell r="A10519">
            <v>2019</v>
          </cell>
          <cell r="B10519" t="str">
            <v>Budget</v>
          </cell>
          <cell r="C10519" t="str">
            <v>Oct</v>
          </cell>
          <cell r="D10519" t="str">
            <v>Chairs</v>
          </cell>
          <cell r="E10519">
            <v>115249.04999999999</v>
          </cell>
          <cell r="F10519">
            <v>10</v>
          </cell>
        </row>
        <row r="10520">
          <cell r="A10520">
            <v>2018</v>
          </cell>
          <cell r="B10520" t="str">
            <v>Actual</v>
          </cell>
          <cell r="C10520" t="str">
            <v>Oct</v>
          </cell>
          <cell r="D10520" t="str">
            <v>Chairs</v>
          </cell>
          <cell r="E10520">
            <v>230352.15</v>
          </cell>
          <cell r="F10520">
            <v>10</v>
          </cell>
        </row>
        <row r="10521">
          <cell r="A10521">
            <v>2019</v>
          </cell>
          <cell r="B10521" t="str">
            <v>Budget</v>
          </cell>
          <cell r="C10521" t="str">
            <v>Oct</v>
          </cell>
          <cell r="D10521" t="str">
            <v>Chairs</v>
          </cell>
          <cell r="E10521">
            <v>119769.29999999999</v>
          </cell>
          <cell r="F10521">
            <v>10</v>
          </cell>
        </row>
        <row r="10522">
          <cell r="A10522">
            <v>2019</v>
          </cell>
          <cell r="B10522" t="str">
            <v>Actual</v>
          </cell>
          <cell r="C10522" t="str">
            <v>Oct</v>
          </cell>
          <cell r="D10522" t="str">
            <v>Chairs</v>
          </cell>
          <cell r="E10522">
            <v>146971.23699999999</v>
          </cell>
          <cell r="F10522">
            <v>10</v>
          </cell>
        </row>
        <row r="10523">
          <cell r="A10523">
            <v>2019</v>
          </cell>
          <cell r="B10523" t="str">
            <v>Budget</v>
          </cell>
          <cell r="C10523" t="str">
            <v>Oct</v>
          </cell>
          <cell r="D10523" t="str">
            <v>Chairs</v>
          </cell>
          <cell r="E10523">
            <v>117359.98399999998</v>
          </cell>
          <cell r="F10523">
            <v>10</v>
          </cell>
        </row>
        <row r="10524">
          <cell r="A10524">
            <v>2018</v>
          </cell>
          <cell r="B10524" t="str">
            <v>Actual</v>
          </cell>
          <cell r="C10524" t="str">
            <v>Oct</v>
          </cell>
          <cell r="D10524" t="str">
            <v>Chairs</v>
          </cell>
          <cell r="E10524">
            <v>206249.421</v>
          </cell>
          <cell r="F10524">
            <v>10</v>
          </cell>
        </row>
        <row r="10525">
          <cell r="A10525">
            <v>2019</v>
          </cell>
          <cell r="B10525" t="str">
            <v>Budget</v>
          </cell>
          <cell r="C10525" t="str">
            <v>Oct</v>
          </cell>
          <cell r="D10525" t="str">
            <v>Chairs</v>
          </cell>
          <cell r="E10525">
            <v>192122.875</v>
          </cell>
          <cell r="F10525">
            <v>10</v>
          </cell>
        </row>
        <row r="10526">
          <cell r="A10526">
            <v>2018</v>
          </cell>
          <cell r="B10526" t="str">
            <v>Actual</v>
          </cell>
          <cell r="C10526" t="str">
            <v>Oct</v>
          </cell>
          <cell r="D10526" t="str">
            <v>Chairs</v>
          </cell>
          <cell r="E10526">
            <v>111163.58399999999</v>
          </cell>
          <cell r="F10526">
            <v>10</v>
          </cell>
        </row>
        <row r="10527">
          <cell r="A10527">
            <v>2019</v>
          </cell>
          <cell r="B10527" t="str">
            <v>Budget</v>
          </cell>
          <cell r="C10527" t="str">
            <v>Oct</v>
          </cell>
          <cell r="D10527" t="str">
            <v>Chairs</v>
          </cell>
          <cell r="E10527">
            <v>131404.476</v>
          </cell>
          <cell r="F10527">
            <v>10</v>
          </cell>
        </row>
        <row r="10528">
          <cell r="A10528">
            <v>2018</v>
          </cell>
          <cell r="B10528" t="str">
            <v>Actual</v>
          </cell>
          <cell r="C10528" t="str">
            <v>Oct</v>
          </cell>
          <cell r="D10528" t="str">
            <v>Chairs</v>
          </cell>
          <cell r="E10528">
            <v>100800.90999999999</v>
          </cell>
          <cell r="F10528">
            <v>10</v>
          </cell>
        </row>
        <row r="10529">
          <cell r="A10529">
            <v>2018</v>
          </cell>
          <cell r="B10529" t="str">
            <v>Budget</v>
          </cell>
          <cell r="C10529" t="str">
            <v>Oct</v>
          </cell>
          <cell r="D10529" t="str">
            <v>Chairs</v>
          </cell>
          <cell r="E10529">
            <v>83699.944999999992</v>
          </cell>
          <cell r="F10529">
            <v>10</v>
          </cell>
        </row>
        <row r="10530">
          <cell r="A10530">
            <v>2018</v>
          </cell>
          <cell r="B10530" t="str">
            <v>Actual</v>
          </cell>
          <cell r="C10530" t="str">
            <v>Oct</v>
          </cell>
          <cell r="D10530" t="str">
            <v>Chairs</v>
          </cell>
          <cell r="E10530">
            <v>52401.383999999991</v>
          </cell>
          <cell r="F10530">
            <v>10</v>
          </cell>
        </row>
        <row r="10531">
          <cell r="A10531">
            <v>2019</v>
          </cell>
          <cell r="B10531" t="str">
            <v>Budget</v>
          </cell>
          <cell r="C10531" t="str">
            <v>Oct</v>
          </cell>
          <cell r="D10531" t="str">
            <v>Chairs</v>
          </cell>
          <cell r="E10531">
            <v>102371.35999999999</v>
          </cell>
          <cell r="F10531">
            <v>10</v>
          </cell>
        </row>
        <row r="10532">
          <cell r="A10532">
            <v>2019</v>
          </cell>
          <cell r="B10532" t="str">
            <v>Actual</v>
          </cell>
          <cell r="C10532" t="str">
            <v>Oct</v>
          </cell>
          <cell r="D10532" t="str">
            <v>Chairs</v>
          </cell>
          <cell r="E10532">
            <v>165753.83299999998</v>
          </cell>
          <cell r="F10532">
            <v>10</v>
          </cell>
        </row>
        <row r="10533">
          <cell r="A10533">
            <v>2019</v>
          </cell>
          <cell r="B10533" t="str">
            <v>Budget</v>
          </cell>
          <cell r="C10533" t="str">
            <v>Oct</v>
          </cell>
          <cell r="D10533" t="str">
            <v>Chairs</v>
          </cell>
          <cell r="E10533">
            <v>22930.648999999998</v>
          </cell>
          <cell r="F10533">
            <v>10</v>
          </cell>
        </row>
        <row r="10534">
          <cell r="A10534">
            <v>2019</v>
          </cell>
          <cell r="B10534" t="str">
            <v>Actual</v>
          </cell>
          <cell r="C10534" t="str">
            <v>Oct</v>
          </cell>
          <cell r="D10534" t="str">
            <v>Chairs</v>
          </cell>
          <cell r="E10534">
            <v>80518.774000000005</v>
          </cell>
          <cell r="F10534">
            <v>10</v>
          </cell>
        </row>
        <row r="10535">
          <cell r="A10535">
            <v>2018</v>
          </cell>
          <cell r="B10535" t="str">
            <v>Budget</v>
          </cell>
          <cell r="C10535" t="str">
            <v>Oct</v>
          </cell>
          <cell r="D10535" t="str">
            <v>Chairs</v>
          </cell>
          <cell r="E10535">
            <v>49333.220999999998</v>
          </cell>
          <cell r="F10535">
            <v>10</v>
          </cell>
        </row>
        <row r="10536">
          <cell r="A10536">
            <v>2019</v>
          </cell>
          <cell r="B10536" t="str">
            <v>Actual</v>
          </cell>
          <cell r="C10536" t="str">
            <v>Oct</v>
          </cell>
          <cell r="D10536" t="str">
            <v>Chairs</v>
          </cell>
          <cell r="E10536">
            <v>48077.210999999996</v>
          </cell>
          <cell r="F10536">
            <v>10</v>
          </cell>
        </row>
        <row r="10537">
          <cell r="A10537">
            <v>2019</v>
          </cell>
          <cell r="B10537" t="str">
            <v>Budget</v>
          </cell>
          <cell r="C10537" t="str">
            <v>Oct</v>
          </cell>
          <cell r="D10537" t="str">
            <v>Chairs</v>
          </cell>
          <cell r="E10537">
            <v>343900.92099999997</v>
          </cell>
          <cell r="F10537">
            <v>10</v>
          </cell>
        </row>
        <row r="10538">
          <cell r="A10538">
            <v>2019</v>
          </cell>
          <cell r="B10538" t="str">
            <v>Actual</v>
          </cell>
          <cell r="C10538" t="str">
            <v>Oct</v>
          </cell>
          <cell r="D10538" t="str">
            <v>Chairs</v>
          </cell>
          <cell r="E10538">
            <v>157871.93099999998</v>
          </cell>
          <cell r="F10538">
            <v>10</v>
          </cell>
        </row>
        <row r="10539">
          <cell r="A10539">
            <v>2019</v>
          </cell>
          <cell r="B10539" t="str">
            <v>Budget</v>
          </cell>
          <cell r="C10539" t="str">
            <v>Oct</v>
          </cell>
          <cell r="D10539" t="str">
            <v>Chairs</v>
          </cell>
          <cell r="E10539">
            <v>50634.226999999999</v>
          </cell>
          <cell r="F10539">
            <v>10</v>
          </cell>
        </row>
        <row r="10540">
          <cell r="A10540">
            <v>2019</v>
          </cell>
          <cell r="B10540" t="str">
            <v>Actual</v>
          </cell>
          <cell r="C10540" t="str">
            <v>Oct</v>
          </cell>
          <cell r="D10540" t="str">
            <v>Chairs</v>
          </cell>
          <cell r="E10540">
            <v>147897.617</v>
          </cell>
          <cell r="F10540">
            <v>10</v>
          </cell>
        </row>
        <row r="10541">
          <cell r="A10541">
            <v>2019</v>
          </cell>
          <cell r="B10541" t="str">
            <v>Budget</v>
          </cell>
          <cell r="C10541" t="str">
            <v>Oct</v>
          </cell>
          <cell r="D10541" t="str">
            <v>Chairs</v>
          </cell>
          <cell r="E10541">
            <v>27143.703999999998</v>
          </cell>
          <cell r="F10541">
            <v>10</v>
          </cell>
        </row>
        <row r="10542">
          <cell r="A10542">
            <v>2018</v>
          </cell>
          <cell r="B10542" t="str">
            <v>Actual</v>
          </cell>
          <cell r="C10542" t="str">
            <v>Oct</v>
          </cell>
          <cell r="D10542" t="str">
            <v>Chairs</v>
          </cell>
          <cell r="E10542">
            <v>15152.045999999998</v>
          </cell>
          <cell r="F10542">
            <v>10</v>
          </cell>
        </row>
        <row r="10543">
          <cell r="A10543">
            <v>2019</v>
          </cell>
          <cell r="B10543" t="str">
            <v>Budget</v>
          </cell>
          <cell r="C10543" t="str">
            <v>Oct</v>
          </cell>
          <cell r="D10543" t="str">
            <v>Chairs</v>
          </cell>
          <cell r="E10543">
            <v>57767.997000000003</v>
          </cell>
          <cell r="F10543">
            <v>10</v>
          </cell>
        </row>
        <row r="10544">
          <cell r="A10544">
            <v>2019</v>
          </cell>
          <cell r="B10544" t="str">
            <v>Actual</v>
          </cell>
          <cell r="C10544" t="str">
            <v>Oct</v>
          </cell>
          <cell r="D10544" t="str">
            <v>Chairs</v>
          </cell>
          <cell r="E10544">
            <v>417596.03899999999</v>
          </cell>
          <cell r="F10544">
            <v>10</v>
          </cell>
        </row>
        <row r="10545">
          <cell r="A10545">
            <v>2019</v>
          </cell>
          <cell r="B10545" t="str">
            <v>Budget</v>
          </cell>
          <cell r="C10545" t="str">
            <v>Oct</v>
          </cell>
          <cell r="D10545" t="str">
            <v>Tables</v>
          </cell>
          <cell r="E10545">
            <v>38278.925999999999</v>
          </cell>
          <cell r="F10545">
            <v>10</v>
          </cell>
        </row>
        <row r="10546">
          <cell r="A10546">
            <v>2019</v>
          </cell>
          <cell r="B10546" t="str">
            <v>Actual</v>
          </cell>
          <cell r="C10546" t="str">
            <v>Oct</v>
          </cell>
          <cell r="D10546" t="str">
            <v>Kitchen</v>
          </cell>
          <cell r="E10546">
            <v>68358.604999999996</v>
          </cell>
          <cell r="F10546">
            <v>10</v>
          </cell>
        </row>
        <row r="10547">
          <cell r="A10547">
            <v>2018</v>
          </cell>
          <cell r="B10547" t="str">
            <v>Budget</v>
          </cell>
          <cell r="C10547" t="str">
            <v>Oct</v>
          </cell>
          <cell r="D10547" t="str">
            <v>Chairs</v>
          </cell>
          <cell r="E10547">
            <v>102583.28499999999</v>
          </cell>
          <cell r="F10547">
            <v>10</v>
          </cell>
        </row>
        <row r="10548">
          <cell r="A10548">
            <v>2019</v>
          </cell>
          <cell r="B10548" t="str">
            <v>Actual</v>
          </cell>
          <cell r="C10548" t="str">
            <v>Oct</v>
          </cell>
          <cell r="D10548" t="str">
            <v>Chairs</v>
          </cell>
          <cell r="E10548">
            <v>246107.77799999996</v>
          </cell>
          <cell r="F10548">
            <v>10</v>
          </cell>
        </row>
        <row r="10549">
          <cell r="A10549">
            <v>2018</v>
          </cell>
          <cell r="B10549" t="str">
            <v>Budget</v>
          </cell>
          <cell r="C10549" t="str">
            <v>Oct</v>
          </cell>
          <cell r="D10549" t="str">
            <v>Chairs</v>
          </cell>
          <cell r="E10549">
            <v>23.127999999999997</v>
          </cell>
          <cell r="F10549">
            <v>10</v>
          </cell>
        </row>
        <row r="10550">
          <cell r="A10550">
            <v>2018</v>
          </cell>
          <cell r="B10550" t="str">
            <v>Actual</v>
          </cell>
          <cell r="C10550" t="str">
            <v>Oct</v>
          </cell>
          <cell r="D10550" t="str">
            <v>Chairs</v>
          </cell>
          <cell r="E10550">
            <v>286766.52899999998</v>
          </cell>
          <cell r="F10550">
            <v>10</v>
          </cell>
        </row>
        <row r="10551">
          <cell r="A10551">
            <v>2018</v>
          </cell>
          <cell r="B10551" t="str">
            <v>Budget</v>
          </cell>
          <cell r="C10551" t="str">
            <v>Oct</v>
          </cell>
          <cell r="D10551" t="str">
            <v>Chairs</v>
          </cell>
          <cell r="E10551">
            <v>248393.34099999999</v>
          </cell>
          <cell r="F10551">
            <v>10</v>
          </cell>
        </row>
        <row r="10552">
          <cell r="A10552">
            <v>2018</v>
          </cell>
          <cell r="B10552" t="str">
            <v>Actual</v>
          </cell>
          <cell r="C10552" t="str">
            <v>Oct</v>
          </cell>
          <cell r="D10552" t="str">
            <v>Tables</v>
          </cell>
          <cell r="E10552">
            <v>17588.136999999999</v>
          </cell>
          <cell r="F10552">
            <v>10</v>
          </cell>
        </row>
        <row r="10553">
          <cell r="A10553">
            <v>2019</v>
          </cell>
          <cell r="B10553" t="str">
            <v>Budget</v>
          </cell>
          <cell r="C10553" t="str">
            <v>Oct</v>
          </cell>
          <cell r="D10553" t="str">
            <v>Kitchen</v>
          </cell>
          <cell r="E10553">
            <v>597162.28599999996</v>
          </cell>
          <cell r="F10553">
            <v>10</v>
          </cell>
        </row>
        <row r="10554">
          <cell r="A10554">
            <v>2018</v>
          </cell>
          <cell r="B10554" t="str">
            <v>Actual</v>
          </cell>
          <cell r="C10554" t="str">
            <v>Oct</v>
          </cell>
          <cell r="D10554" t="str">
            <v>Chairs</v>
          </cell>
          <cell r="E10554">
            <v>165019.848</v>
          </cell>
          <cell r="F10554">
            <v>10</v>
          </cell>
        </row>
        <row r="10555">
          <cell r="A10555">
            <v>2019</v>
          </cell>
          <cell r="B10555" t="str">
            <v>Budget</v>
          </cell>
          <cell r="C10555" t="str">
            <v>Oct</v>
          </cell>
          <cell r="D10555" t="str">
            <v>Chairs</v>
          </cell>
          <cell r="E10555">
            <v>54442.639999999992</v>
          </cell>
          <cell r="F10555">
            <v>10</v>
          </cell>
        </row>
        <row r="10556">
          <cell r="A10556">
            <v>2018</v>
          </cell>
          <cell r="B10556" t="str">
            <v>Actual</v>
          </cell>
          <cell r="C10556" t="str">
            <v>Oct</v>
          </cell>
          <cell r="D10556" t="str">
            <v>Chairs</v>
          </cell>
          <cell r="E10556">
            <v>41675.920999999995</v>
          </cell>
          <cell r="F10556">
            <v>10</v>
          </cell>
        </row>
        <row r="10557">
          <cell r="A10557">
            <v>2018</v>
          </cell>
          <cell r="B10557" t="str">
            <v>Budget</v>
          </cell>
          <cell r="C10557" t="str">
            <v>Oct</v>
          </cell>
          <cell r="D10557" t="str">
            <v>Tables</v>
          </cell>
          <cell r="E10557">
            <v>152359.45899999997</v>
          </cell>
          <cell r="F10557">
            <v>10</v>
          </cell>
        </row>
        <row r="10558">
          <cell r="A10558">
            <v>2018</v>
          </cell>
          <cell r="B10558" t="str">
            <v>Actual</v>
          </cell>
          <cell r="C10558" t="str">
            <v>Oct</v>
          </cell>
          <cell r="D10558" t="str">
            <v>Kitchen</v>
          </cell>
          <cell r="E10558">
            <v>293112.55399999995</v>
          </cell>
          <cell r="F10558">
            <v>10</v>
          </cell>
        </row>
        <row r="10559">
          <cell r="A10559">
            <v>2018</v>
          </cell>
          <cell r="B10559" t="str">
            <v>Budget</v>
          </cell>
          <cell r="C10559" t="str">
            <v>Oct</v>
          </cell>
          <cell r="D10559" t="str">
            <v>Chairs</v>
          </cell>
          <cell r="E10559">
            <v>325878.658</v>
          </cell>
          <cell r="F10559">
            <v>10</v>
          </cell>
        </row>
        <row r="10560">
          <cell r="A10560">
            <v>2018</v>
          </cell>
          <cell r="B10560" t="str">
            <v>Actual</v>
          </cell>
          <cell r="C10560" t="str">
            <v>Oct</v>
          </cell>
          <cell r="D10560" t="str">
            <v>Chairs</v>
          </cell>
          <cell r="E10560">
            <v>140808.72399999999</v>
          </cell>
          <cell r="F10560">
            <v>10</v>
          </cell>
        </row>
        <row r="10561">
          <cell r="A10561">
            <v>2019</v>
          </cell>
          <cell r="B10561" t="str">
            <v>Budget</v>
          </cell>
          <cell r="C10561" t="str">
            <v>Oct</v>
          </cell>
          <cell r="D10561" t="str">
            <v>Tables</v>
          </cell>
          <cell r="E10561">
            <v>916002.92</v>
          </cell>
          <cell r="F10561">
            <v>10</v>
          </cell>
        </row>
        <row r="10562">
          <cell r="A10562">
            <v>2018</v>
          </cell>
          <cell r="B10562" t="str">
            <v>Actual</v>
          </cell>
          <cell r="C10562" t="str">
            <v>Oct</v>
          </cell>
          <cell r="D10562" t="str">
            <v>Kitchen</v>
          </cell>
          <cell r="E10562">
            <v>940736.04799999984</v>
          </cell>
          <cell r="F10562">
            <v>10</v>
          </cell>
        </row>
        <row r="10563">
          <cell r="A10563">
            <v>2019</v>
          </cell>
          <cell r="B10563" t="str">
            <v>Budget</v>
          </cell>
          <cell r="C10563" t="str">
            <v>Oct</v>
          </cell>
          <cell r="D10563" t="str">
            <v>Chairs</v>
          </cell>
          <cell r="E10563">
            <v>417347.728</v>
          </cell>
          <cell r="F10563">
            <v>10</v>
          </cell>
        </row>
        <row r="10564">
          <cell r="A10564">
            <v>2019</v>
          </cell>
          <cell r="B10564" t="str">
            <v>Actual</v>
          </cell>
          <cell r="C10564" t="str">
            <v>Oct</v>
          </cell>
          <cell r="D10564" t="str">
            <v>Chairs</v>
          </cell>
          <cell r="E10564">
            <v>942951.14899999998</v>
          </cell>
          <cell r="F10564">
            <v>10</v>
          </cell>
        </row>
        <row r="10565">
          <cell r="A10565">
            <v>2018</v>
          </cell>
          <cell r="B10565" t="str">
            <v>Budget</v>
          </cell>
          <cell r="C10565" t="str">
            <v>Oct</v>
          </cell>
          <cell r="D10565" t="str">
            <v>Chairs</v>
          </cell>
          <cell r="E10565">
            <v>626070.63399999996</v>
          </cell>
          <cell r="F10565">
            <v>10</v>
          </cell>
        </row>
        <row r="10566">
          <cell r="A10566">
            <v>2019</v>
          </cell>
          <cell r="B10566" t="str">
            <v>Actual</v>
          </cell>
          <cell r="C10566" t="str">
            <v>Oct</v>
          </cell>
          <cell r="D10566" t="str">
            <v>Tables</v>
          </cell>
          <cell r="E10566">
            <v>352903.47399999999</v>
          </cell>
          <cell r="F10566">
            <v>10</v>
          </cell>
        </row>
        <row r="10567">
          <cell r="A10567">
            <v>2019</v>
          </cell>
          <cell r="B10567" t="str">
            <v>Budget</v>
          </cell>
          <cell r="C10567" t="str">
            <v>Oct</v>
          </cell>
          <cell r="D10567" t="str">
            <v>Kitchen</v>
          </cell>
          <cell r="E10567">
            <v>124825.14099999999</v>
          </cell>
          <cell r="F10567">
            <v>10</v>
          </cell>
        </row>
        <row r="10568">
          <cell r="A10568">
            <v>2018</v>
          </cell>
          <cell r="B10568" t="str">
            <v>Actual</v>
          </cell>
          <cell r="C10568" t="str">
            <v>Oct</v>
          </cell>
          <cell r="D10568" t="str">
            <v>Accessories</v>
          </cell>
          <cell r="E10568">
            <v>131723.20699999999</v>
          </cell>
          <cell r="F10568">
            <v>10</v>
          </cell>
        </row>
        <row r="10569">
          <cell r="A10569">
            <v>2019</v>
          </cell>
          <cell r="B10569" t="str">
            <v>Budget</v>
          </cell>
          <cell r="C10569" t="str">
            <v>Oct</v>
          </cell>
          <cell r="D10569" t="str">
            <v>Chairs</v>
          </cell>
          <cell r="E10569">
            <v>61765.577999999994</v>
          </cell>
          <cell r="F10569">
            <v>10</v>
          </cell>
        </row>
        <row r="10570">
          <cell r="A10570">
            <v>2019</v>
          </cell>
          <cell r="B10570" t="str">
            <v>Actual</v>
          </cell>
          <cell r="C10570" t="str">
            <v>Oct</v>
          </cell>
          <cell r="D10570" t="str">
            <v>Tables</v>
          </cell>
          <cell r="E10570">
            <v>307751.15700000001</v>
          </cell>
          <cell r="F10570">
            <v>10</v>
          </cell>
        </row>
        <row r="10571">
          <cell r="A10571">
            <v>2019</v>
          </cell>
          <cell r="B10571" t="str">
            <v>Budget</v>
          </cell>
          <cell r="C10571" t="str">
            <v>Oct</v>
          </cell>
          <cell r="D10571" t="str">
            <v>Kitchen</v>
          </cell>
          <cell r="E10571">
            <v>428822.56900000002</v>
          </cell>
          <cell r="F10571">
            <v>10</v>
          </cell>
        </row>
        <row r="10572">
          <cell r="A10572">
            <v>2018</v>
          </cell>
          <cell r="B10572" t="str">
            <v>Actual</v>
          </cell>
          <cell r="C10572" t="str">
            <v>Oct</v>
          </cell>
          <cell r="D10572" t="str">
            <v>Accessories</v>
          </cell>
          <cell r="E10572">
            <v>108265.136</v>
          </cell>
          <cell r="F10572">
            <v>10</v>
          </cell>
        </row>
        <row r="10573">
          <cell r="A10573">
            <v>2019</v>
          </cell>
          <cell r="B10573" t="str">
            <v>Budget</v>
          </cell>
          <cell r="C10573" t="str">
            <v>Oct</v>
          </cell>
          <cell r="D10573" t="str">
            <v>Chairs</v>
          </cell>
          <cell r="E10573">
            <v>263194.84100000001</v>
          </cell>
          <cell r="F10573">
            <v>10</v>
          </cell>
        </row>
        <row r="10574">
          <cell r="A10574">
            <v>2018</v>
          </cell>
          <cell r="B10574" t="str">
            <v>Actual</v>
          </cell>
          <cell r="C10574" t="str">
            <v>Oct</v>
          </cell>
          <cell r="D10574" t="str">
            <v>Tables</v>
          </cell>
          <cell r="E10574">
            <v>686070</v>
          </cell>
          <cell r="F10574">
            <v>10</v>
          </cell>
        </row>
        <row r="10575">
          <cell r="A10575">
            <v>2019</v>
          </cell>
          <cell r="B10575" t="str">
            <v>Budget</v>
          </cell>
          <cell r="C10575" t="str">
            <v>Oct</v>
          </cell>
          <cell r="D10575" t="str">
            <v>Kitchen</v>
          </cell>
          <cell r="E10575">
            <v>105994.98699999999</v>
          </cell>
          <cell r="F10575">
            <v>10</v>
          </cell>
        </row>
        <row r="10576">
          <cell r="A10576">
            <v>2018</v>
          </cell>
          <cell r="B10576" t="str">
            <v>Actual</v>
          </cell>
          <cell r="C10576" t="str">
            <v>Oct</v>
          </cell>
          <cell r="D10576" t="str">
            <v>Accessories</v>
          </cell>
          <cell r="E10576">
            <v>146779.84999999998</v>
          </cell>
          <cell r="F10576">
            <v>10</v>
          </cell>
        </row>
        <row r="10577">
          <cell r="A10577">
            <v>2018</v>
          </cell>
          <cell r="B10577" t="str">
            <v>Budget</v>
          </cell>
          <cell r="C10577" t="str">
            <v>Oct</v>
          </cell>
          <cell r="D10577" t="str">
            <v>Chairs</v>
          </cell>
          <cell r="E10577">
            <v>30062.066999999995</v>
          </cell>
          <cell r="F10577">
            <v>10</v>
          </cell>
        </row>
        <row r="10578">
          <cell r="A10578">
            <v>2018</v>
          </cell>
          <cell r="B10578" t="str">
            <v>Actual</v>
          </cell>
          <cell r="C10578" t="str">
            <v>Oct</v>
          </cell>
          <cell r="D10578" t="str">
            <v>Tables</v>
          </cell>
          <cell r="E10578">
            <v>67765.887000000002</v>
          </cell>
          <cell r="F10578">
            <v>10</v>
          </cell>
        </row>
        <row r="10579">
          <cell r="A10579">
            <v>2019</v>
          </cell>
          <cell r="B10579" t="str">
            <v>Budget</v>
          </cell>
          <cell r="C10579" t="str">
            <v>Oct</v>
          </cell>
          <cell r="D10579" t="str">
            <v>Kitchen</v>
          </cell>
          <cell r="E10579">
            <v>12435.387999999999</v>
          </cell>
          <cell r="F10579">
            <v>10</v>
          </cell>
        </row>
        <row r="10580">
          <cell r="A10580">
            <v>2018</v>
          </cell>
          <cell r="B10580" t="str">
            <v>Actual</v>
          </cell>
          <cell r="C10580" t="str">
            <v>Oct</v>
          </cell>
          <cell r="D10580" t="str">
            <v>Accessories</v>
          </cell>
          <cell r="E10580">
            <v>66072.278999999995</v>
          </cell>
          <cell r="F10580">
            <v>10</v>
          </cell>
        </row>
        <row r="10581">
          <cell r="A10581">
            <v>2018</v>
          </cell>
          <cell r="B10581" t="str">
            <v>Budget</v>
          </cell>
          <cell r="C10581" t="str">
            <v>Oct</v>
          </cell>
          <cell r="D10581" t="str">
            <v>Chairs</v>
          </cell>
          <cell r="E10581">
            <v>211762.516</v>
          </cell>
          <cell r="F10581">
            <v>10</v>
          </cell>
        </row>
        <row r="10582">
          <cell r="A10582">
            <v>2018</v>
          </cell>
          <cell r="B10582" t="str">
            <v>Actual</v>
          </cell>
          <cell r="C10582" t="str">
            <v>Oct</v>
          </cell>
          <cell r="D10582" t="str">
            <v>Chairs</v>
          </cell>
          <cell r="E10582">
            <v>469673.21099999995</v>
          </cell>
          <cell r="F10582">
            <v>10</v>
          </cell>
        </row>
        <row r="10583">
          <cell r="A10583">
            <v>2019</v>
          </cell>
          <cell r="B10583" t="str">
            <v>Budget</v>
          </cell>
          <cell r="C10583" t="str">
            <v>Oct</v>
          </cell>
          <cell r="D10583" t="str">
            <v>Tables</v>
          </cell>
          <cell r="E10583">
            <v>150243.65299999999</v>
          </cell>
          <cell r="F10583">
            <v>10</v>
          </cell>
        </row>
        <row r="10584">
          <cell r="A10584">
            <v>2019</v>
          </cell>
          <cell r="B10584" t="str">
            <v>Actual</v>
          </cell>
          <cell r="C10584" t="str">
            <v>Oct</v>
          </cell>
          <cell r="D10584" t="str">
            <v>Kitchen</v>
          </cell>
          <cell r="E10584">
            <v>19660.284</v>
          </cell>
          <cell r="F10584">
            <v>10</v>
          </cell>
        </row>
        <row r="10585">
          <cell r="A10585">
            <v>2018</v>
          </cell>
          <cell r="B10585" t="str">
            <v>Budget</v>
          </cell>
          <cell r="C10585" t="str">
            <v>Oct</v>
          </cell>
          <cell r="D10585" t="str">
            <v>Chairs</v>
          </cell>
          <cell r="E10585">
            <v>9417092.061999999</v>
          </cell>
          <cell r="F10585">
            <v>10</v>
          </cell>
        </row>
        <row r="10586">
          <cell r="A10586">
            <v>2018</v>
          </cell>
          <cell r="B10586" t="str">
            <v>Actual</v>
          </cell>
          <cell r="C10586" t="str">
            <v>Oct</v>
          </cell>
          <cell r="D10586" t="str">
            <v>Tables</v>
          </cell>
          <cell r="E10586">
            <v>9347.4919999999984</v>
          </cell>
          <cell r="F10586">
            <v>10</v>
          </cell>
        </row>
        <row r="10587">
          <cell r="A10587">
            <v>2019</v>
          </cell>
          <cell r="B10587" t="str">
            <v>Budget</v>
          </cell>
          <cell r="C10587" t="str">
            <v>Oct</v>
          </cell>
          <cell r="D10587" t="str">
            <v>Kitchen</v>
          </cell>
          <cell r="E10587">
            <v>40997.159</v>
          </cell>
          <cell r="F10587">
            <v>10</v>
          </cell>
        </row>
        <row r="10588">
          <cell r="A10588">
            <v>2018</v>
          </cell>
          <cell r="B10588" t="str">
            <v>Actual</v>
          </cell>
          <cell r="C10588" t="str">
            <v>Oct</v>
          </cell>
          <cell r="D10588" t="str">
            <v>Chairs</v>
          </cell>
          <cell r="E10588">
            <v>113136.60399999999</v>
          </cell>
          <cell r="F10588">
            <v>10</v>
          </cell>
        </row>
        <row r="10589">
          <cell r="A10589">
            <v>2019</v>
          </cell>
          <cell r="B10589" t="str">
            <v>Budget</v>
          </cell>
          <cell r="C10589" t="str">
            <v>Oct</v>
          </cell>
          <cell r="D10589" t="str">
            <v>Tables</v>
          </cell>
          <cell r="E10589">
            <v>39678.932999999997</v>
          </cell>
          <cell r="F10589">
            <v>10</v>
          </cell>
        </row>
        <row r="10590">
          <cell r="A10590">
            <v>2018</v>
          </cell>
          <cell r="B10590" t="str">
            <v>Actual</v>
          </cell>
          <cell r="C10590" t="str">
            <v>Oct</v>
          </cell>
          <cell r="D10590" t="str">
            <v>Kitchen</v>
          </cell>
          <cell r="E10590">
            <v>59827.62799999999</v>
          </cell>
          <cell r="F10590">
            <v>10</v>
          </cell>
        </row>
        <row r="10591">
          <cell r="A10591">
            <v>2019</v>
          </cell>
          <cell r="B10591" t="str">
            <v>Budget</v>
          </cell>
          <cell r="C10591" t="str">
            <v>Oct</v>
          </cell>
          <cell r="D10591" t="str">
            <v>Chairs</v>
          </cell>
          <cell r="E10591">
            <v>144030.13799999998</v>
          </cell>
          <cell r="F10591">
            <v>10</v>
          </cell>
        </row>
        <row r="10592">
          <cell r="A10592">
            <v>2019</v>
          </cell>
          <cell r="B10592" t="str">
            <v>Actual</v>
          </cell>
          <cell r="C10592" t="str">
            <v>Oct</v>
          </cell>
          <cell r="D10592" t="str">
            <v>Chairs</v>
          </cell>
          <cell r="E10592">
            <v>68116.306999999986</v>
          </cell>
          <cell r="F10592">
            <v>10</v>
          </cell>
        </row>
        <row r="10593">
          <cell r="A10593">
            <v>2018</v>
          </cell>
          <cell r="B10593" t="str">
            <v>Budget</v>
          </cell>
          <cell r="C10593" t="str">
            <v>Oct</v>
          </cell>
          <cell r="D10593" t="str">
            <v>Chairs</v>
          </cell>
          <cell r="E10593">
            <v>1600680.5150000001</v>
          </cell>
          <cell r="F10593">
            <v>10</v>
          </cell>
        </row>
        <row r="10594">
          <cell r="A10594">
            <v>2019</v>
          </cell>
          <cell r="B10594" t="str">
            <v>Actual</v>
          </cell>
          <cell r="C10594" t="str">
            <v>Oct</v>
          </cell>
          <cell r="D10594" t="str">
            <v>Chairs</v>
          </cell>
          <cell r="E10594">
            <v>863434.03999999992</v>
          </cell>
          <cell r="F10594">
            <v>10</v>
          </cell>
        </row>
        <row r="10595">
          <cell r="A10595">
            <v>2018</v>
          </cell>
          <cell r="B10595" t="str">
            <v>Budget</v>
          </cell>
          <cell r="C10595" t="str">
            <v>Oct</v>
          </cell>
          <cell r="D10595" t="str">
            <v>Chairs</v>
          </cell>
          <cell r="E10595">
            <v>433235.20799999993</v>
          </cell>
          <cell r="F10595">
            <v>10</v>
          </cell>
        </row>
        <row r="10596">
          <cell r="A10596">
            <v>2018</v>
          </cell>
          <cell r="B10596" t="str">
            <v>Actual</v>
          </cell>
          <cell r="C10596" t="str">
            <v>Oct</v>
          </cell>
          <cell r="D10596" t="str">
            <v>Chairs</v>
          </cell>
          <cell r="E10596">
            <v>486314.12899999996</v>
          </cell>
          <cell r="F10596">
            <v>10</v>
          </cell>
        </row>
        <row r="10597">
          <cell r="A10597">
            <v>2019</v>
          </cell>
          <cell r="B10597" t="str">
            <v>Budget</v>
          </cell>
          <cell r="C10597" t="str">
            <v>Oct</v>
          </cell>
          <cell r="D10597" t="str">
            <v>Chairs</v>
          </cell>
          <cell r="E10597">
            <v>495627.72</v>
          </cell>
          <cell r="F10597">
            <v>10</v>
          </cell>
        </row>
        <row r="10598">
          <cell r="A10598">
            <v>2018</v>
          </cell>
          <cell r="B10598" t="str">
            <v>Actual</v>
          </cell>
          <cell r="C10598" t="str">
            <v>Oct</v>
          </cell>
          <cell r="D10598" t="str">
            <v>Chairs</v>
          </cell>
          <cell r="E10598">
            <v>11870977.685000001</v>
          </cell>
          <cell r="F10598">
            <v>10</v>
          </cell>
        </row>
        <row r="10599">
          <cell r="A10599">
            <v>2019</v>
          </cell>
          <cell r="B10599" t="str">
            <v>Budget</v>
          </cell>
          <cell r="C10599" t="str">
            <v>Oct</v>
          </cell>
          <cell r="D10599" t="str">
            <v>Chairs</v>
          </cell>
          <cell r="E10599">
            <v>223015.48499999999</v>
          </cell>
          <cell r="F10599">
            <v>10</v>
          </cell>
        </row>
        <row r="10600">
          <cell r="A10600">
            <v>2018</v>
          </cell>
          <cell r="B10600" t="str">
            <v>Actual</v>
          </cell>
          <cell r="C10600" t="str">
            <v>Oct</v>
          </cell>
          <cell r="D10600" t="str">
            <v>Chairs</v>
          </cell>
          <cell r="E10600">
            <v>111960.261</v>
          </cell>
          <cell r="F10600">
            <v>10</v>
          </cell>
        </row>
        <row r="10601">
          <cell r="A10601">
            <v>2019</v>
          </cell>
          <cell r="B10601" t="str">
            <v>Budget</v>
          </cell>
          <cell r="C10601" t="str">
            <v>Oct</v>
          </cell>
          <cell r="D10601" t="str">
            <v>Chairs</v>
          </cell>
          <cell r="E10601">
            <v>3271151.2399999998</v>
          </cell>
          <cell r="F10601">
            <v>10</v>
          </cell>
        </row>
        <row r="10602">
          <cell r="A10602">
            <v>2019</v>
          </cell>
          <cell r="B10602" t="str">
            <v>Actual</v>
          </cell>
          <cell r="C10602" t="str">
            <v>Oct</v>
          </cell>
          <cell r="D10602" t="str">
            <v>Chairs</v>
          </cell>
          <cell r="E10602">
            <v>147935.49400000001</v>
          </cell>
          <cell r="F10602">
            <v>10</v>
          </cell>
        </row>
        <row r="10603">
          <cell r="A10603">
            <v>2019</v>
          </cell>
          <cell r="B10603" t="str">
            <v>Budget</v>
          </cell>
          <cell r="C10603" t="str">
            <v>Oct</v>
          </cell>
          <cell r="D10603" t="str">
            <v>Chairs</v>
          </cell>
          <cell r="E10603">
            <v>478031.64499999996</v>
          </cell>
          <cell r="F10603">
            <v>10</v>
          </cell>
        </row>
        <row r="10604">
          <cell r="A10604">
            <v>2018</v>
          </cell>
          <cell r="B10604" t="str">
            <v>Actual</v>
          </cell>
          <cell r="C10604" t="str">
            <v>Oct</v>
          </cell>
          <cell r="D10604" t="str">
            <v>Chairs</v>
          </cell>
          <cell r="E10604">
            <v>405325.46599999996</v>
          </cell>
          <cell r="F10604">
            <v>10</v>
          </cell>
        </row>
        <row r="10605">
          <cell r="A10605">
            <v>2018</v>
          </cell>
          <cell r="B10605" t="str">
            <v>Budget</v>
          </cell>
          <cell r="C10605" t="str">
            <v>Oct</v>
          </cell>
          <cell r="D10605" t="str">
            <v>Chairs</v>
          </cell>
          <cell r="E10605">
            <v>882022.63100000005</v>
          </cell>
          <cell r="F10605">
            <v>10</v>
          </cell>
        </row>
        <row r="10606">
          <cell r="A10606">
            <v>2019</v>
          </cell>
          <cell r="B10606" t="str">
            <v>Actual</v>
          </cell>
          <cell r="C10606" t="str">
            <v>Oct</v>
          </cell>
          <cell r="D10606" t="str">
            <v>Chairs</v>
          </cell>
          <cell r="E10606">
            <v>257567.92599999998</v>
          </cell>
          <cell r="F10606">
            <v>10</v>
          </cell>
        </row>
        <row r="10607">
          <cell r="A10607">
            <v>2019</v>
          </cell>
          <cell r="B10607" t="str">
            <v>Budget</v>
          </cell>
          <cell r="C10607" t="str">
            <v>Oct</v>
          </cell>
          <cell r="D10607" t="str">
            <v>Chairs</v>
          </cell>
          <cell r="E10607">
            <v>244022.07199999999</v>
          </cell>
          <cell r="F10607">
            <v>10</v>
          </cell>
        </row>
        <row r="10608">
          <cell r="A10608">
            <v>2018</v>
          </cell>
          <cell r="B10608" t="str">
            <v>Actual</v>
          </cell>
          <cell r="C10608" t="str">
            <v>Oct</v>
          </cell>
          <cell r="D10608" t="str">
            <v>Chairs</v>
          </cell>
          <cell r="E10608">
            <v>450911.23</v>
          </cell>
          <cell r="F10608">
            <v>10</v>
          </cell>
        </row>
        <row r="10609">
          <cell r="A10609">
            <v>2019</v>
          </cell>
          <cell r="B10609" t="str">
            <v>Budget</v>
          </cell>
          <cell r="C10609" t="str">
            <v>Oct</v>
          </cell>
          <cell r="D10609" t="str">
            <v>Chairs</v>
          </cell>
          <cell r="E10609">
            <v>63979.75499999999</v>
          </cell>
          <cell r="F10609">
            <v>10</v>
          </cell>
        </row>
        <row r="10610">
          <cell r="A10610">
            <v>2018</v>
          </cell>
          <cell r="B10610" t="str">
            <v>Actual</v>
          </cell>
          <cell r="C10610" t="str">
            <v>Oct</v>
          </cell>
          <cell r="D10610" t="str">
            <v>Chairs</v>
          </cell>
          <cell r="E10610">
            <v>1831946.6969999999</v>
          </cell>
          <cell r="F10610">
            <v>10</v>
          </cell>
        </row>
        <row r="10611">
          <cell r="A10611">
            <v>2019</v>
          </cell>
          <cell r="B10611" t="str">
            <v>Budget</v>
          </cell>
          <cell r="C10611" t="str">
            <v>Oct</v>
          </cell>
          <cell r="D10611" t="str">
            <v>Chairs</v>
          </cell>
          <cell r="E10611">
            <v>2537309.2149999999</v>
          </cell>
          <cell r="F10611">
            <v>10</v>
          </cell>
        </row>
        <row r="10612">
          <cell r="A10612">
            <v>2019</v>
          </cell>
          <cell r="B10612" t="str">
            <v>Actual</v>
          </cell>
          <cell r="C10612" t="str">
            <v>Oct</v>
          </cell>
          <cell r="D10612" t="str">
            <v>Chairs</v>
          </cell>
          <cell r="E10612">
            <v>796441.54799999984</v>
          </cell>
          <cell r="F10612">
            <v>10</v>
          </cell>
        </row>
        <row r="10613">
          <cell r="A10613">
            <v>2018</v>
          </cell>
          <cell r="B10613" t="str">
            <v>Budget</v>
          </cell>
          <cell r="C10613" t="str">
            <v>Oct</v>
          </cell>
          <cell r="D10613" t="str">
            <v>Chairs</v>
          </cell>
          <cell r="E10613">
            <v>329311.54199999996</v>
          </cell>
          <cell r="F10613">
            <v>10</v>
          </cell>
        </row>
        <row r="10614">
          <cell r="A10614">
            <v>2019</v>
          </cell>
          <cell r="B10614" t="str">
            <v>Actual</v>
          </cell>
          <cell r="C10614" t="str">
            <v>Oct</v>
          </cell>
          <cell r="D10614" t="str">
            <v>Chairs</v>
          </cell>
          <cell r="E10614">
            <v>4595703.7209999999</v>
          </cell>
          <cell r="F10614">
            <v>10</v>
          </cell>
        </row>
        <row r="10615">
          <cell r="A10615">
            <v>2019</v>
          </cell>
          <cell r="B10615" t="str">
            <v>Budget</v>
          </cell>
          <cell r="C10615" t="str">
            <v>Oct</v>
          </cell>
          <cell r="D10615" t="str">
            <v>Chairs</v>
          </cell>
          <cell r="E10615">
            <v>-37254.174999999996</v>
          </cell>
          <cell r="F10615">
            <v>10</v>
          </cell>
        </row>
        <row r="10616">
          <cell r="A10616">
            <v>2018</v>
          </cell>
          <cell r="B10616" t="str">
            <v>Actual</v>
          </cell>
          <cell r="C10616" t="str">
            <v>Oct</v>
          </cell>
          <cell r="D10616" t="str">
            <v>Chairs</v>
          </cell>
          <cell r="E10616">
            <v>788107.62099999993</v>
          </cell>
          <cell r="F10616">
            <v>10</v>
          </cell>
        </row>
        <row r="10617">
          <cell r="A10617">
            <v>2019</v>
          </cell>
          <cell r="B10617" t="str">
            <v>Budget</v>
          </cell>
          <cell r="C10617" t="str">
            <v>Oct</v>
          </cell>
          <cell r="D10617" t="str">
            <v>Tables</v>
          </cell>
          <cell r="E10617">
            <v>838945.37299999991</v>
          </cell>
          <cell r="F10617">
            <v>10</v>
          </cell>
        </row>
        <row r="10618">
          <cell r="A10618">
            <v>2018</v>
          </cell>
          <cell r="B10618" t="str">
            <v>Actual</v>
          </cell>
          <cell r="C10618" t="str">
            <v>Oct</v>
          </cell>
          <cell r="D10618" t="str">
            <v>Kitchen</v>
          </cell>
          <cell r="E10618">
            <v>553070.40599999996</v>
          </cell>
          <cell r="F10618">
            <v>10</v>
          </cell>
        </row>
        <row r="10619">
          <cell r="A10619">
            <v>2019</v>
          </cell>
          <cell r="B10619" t="str">
            <v>Budget</v>
          </cell>
          <cell r="C10619" t="str">
            <v>Oct</v>
          </cell>
          <cell r="D10619" t="str">
            <v>Chairs</v>
          </cell>
          <cell r="E10619">
            <v>56472.429999999993</v>
          </cell>
          <cell r="F10619">
            <v>10</v>
          </cell>
        </row>
        <row r="10620">
          <cell r="A10620">
            <v>2018</v>
          </cell>
          <cell r="B10620" t="str">
            <v>Actual</v>
          </cell>
          <cell r="C10620" t="str">
            <v>Oct</v>
          </cell>
          <cell r="D10620" t="str">
            <v>Chairs</v>
          </cell>
          <cell r="E10620">
            <v>37648.288999999997</v>
          </cell>
          <cell r="F10620">
            <v>10</v>
          </cell>
        </row>
        <row r="10621">
          <cell r="A10621">
            <v>2019</v>
          </cell>
          <cell r="B10621" t="str">
            <v>Budget</v>
          </cell>
          <cell r="C10621" t="str">
            <v>Oct</v>
          </cell>
          <cell r="D10621" t="str">
            <v>Chairs</v>
          </cell>
          <cell r="E10621">
            <v>1174251.1340000001</v>
          </cell>
          <cell r="F10621">
            <v>10</v>
          </cell>
        </row>
        <row r="10622">
          <cell r="A10622">
            <v>2019</v>
          </cell>
          <cell r="B10622" t="str">
            <v>Actual</v>
          </cell>
          <cell r="C10622" t="str">
            <v>Oct</v>
          </cell>
          <cell r="D10622" t="str">
            <v>Chairs</v>
          </cell>
          <cell r="E10622">
            <v>1523523.253</v>
          </cell>
          <cell r="F10622">
            <v>10</v>
          </cell>
        </row>
        <row r="10623">
          <cell r="A10623">
            <v>2019</v>
          </cell>
          <cell r="B10623" t="str">
            <v>Budget</v>
          </cell>
          <cell r="C10623" t="str">
            <v>Oct</v>
          </cell>
          <cell r="D10623" t="str">
            <v>Chairs</v>
          </cell>
          <cell r="E10623">
            <v>909821.32499999995</v>
          </cell>
          <cell r="F10623">
            <v>10</v>
          </cell>
        </row>
        <row r="10624">
          <cell r="A10624">
            <v>2019</v>
          </cell>
          <cell r="B10624" t="str">
            <v>Actual</v>
          </cell>
          <cell r="C10624" t="str">
            <v>Oct</v>
          </cell>
          <cell r="D10624" t="str">
            <v>Tables</v>
          </cell>
          <cell r="E10624">
            <v>1191798.909</v>
          </cell>
          <cell r="F10624">
            <v>10</v>
          </cell>
        </row>
        <row r="10625">
          <cell r="A10625">
            <v>2019</v>
          </cell>
          <cell r="B10625" t="str">
            <v>Budget</v>
          </cell>
          <cell r="C10625" t="str">
            <v>Oct</v>
          </cell>
          <cell r="D10625" t="str">
            <v>Kitchen</v>
          </cell>
          <cell r="E10625">
            <v>118537.09</v>
          </cell>
          <cell r="F10625">
            <v>10</v>
          </cell>
        </row>
        <row r="10626">
          <cell r="A10626">
            <v>2018</v>
          </cell>
          <cell r="B10626" t="str">
            <v>Actual</v>
          </cell>
          <cell r="C10626" t="str">
            <v>Oct</v>
          </cell>
          <cell r="D10626" t="str">
            <v>Chairs</v>
          </cell>
          <cell r="E10626">
            <v>54953.702999999994</v>
          </cell>
          <cell r="F10626">
            <v>10</v>
          </cell>
        </row>
        <row r="10627">
          <cell r="A10627">
            <v>2019</v>
          </cell>
          <cell r="B10627" t="str">
            <v>Budget</v>
          </cell>
          <cell r="C10627" t="str">
            <v>Oct</v>
          </cell>
          <cell r="D10627" t="str">
            <v>Chairs</v>
          </cell>
          <cell r="E10627">
            <v>63375.689999999995</v>
          </cell>
          <cell r="F10627">
            <v>10</v>
          </cell>
        </row>
        <row r="10628">
          <cell r="A10628">
            <v>2018</v>
          </cell>
          <cell r="B10628" t="str">
            <v>Actual</v>
          </cell>
          <cell r="C10628" t="str">
            <v>Oct</v>
          </cell>
          <cell r="D10628" t="str">
            <v>Chairs</v>
          </cell>
          <cell r="E10628">
            <v>62922.11099999999</v>
          </cell>
          <cell r="F10628">
            <v>10</v>
          </cell>
        </row>
        <row r="10629">
          <cell r="A10629">
            <v>2019</v>
          </cell>
          <cell r="B10629" t="str">
            <v>Budget</v>
          </cell>
          <cell r="C10629" t="str">
            <v>Oct</v>
          </cell>
          <cell r="D10629" t="str">
            <v>Tables</v>
          </cell>
          <cell r="E10629">
            <v>2878679.8319999995</v>
          </cell>
          <cell r="F10629">
            <v>10</v>
          </cell>
        </row>
        <row r="10630">
          <cell r="A10630">
            <v>2018</v>
          </cell>
          <cell r="B10630" t="str">
            <v>Actual</v>
          </cell>
          <cell r="C10630" t="str">
            <v>Oct</v>
          </cell>
          <cell r="D10630" t="str">
            <v>Kitchen</v>
          </cell>
          <cell r="E10630">
            <v>172714.45799999998</v>
          </cell>
          <cell r="F10630">
            <v>10</v>
          </cell>
        </row>
        <row r="10631">
          <cell r="A10631">
            <v>2019</v>
          </cell>
          <cell r="B10631" t="str">
            <v>Budget</v>
          </cell>
          <cell r="C10631" t="str">
            <v>Oct</v>
          </cell>
          <cell r="D10631" t="str">
            <v>Chairs</v>
          </cell>
          <cell r="E10631">
            <v>217123.44499999998</v>
          </cell>
          <cell r="F10631">
            <v>10</v>
          </cell>
        </row>
        <row r="10632">
          <cell r="A10632">
            <v>2018</v>
          </cell>
          <cell r="B10632" t="str">
            <v>Actual</v>
          </cell>
          <cell r="C10632" t="str">
            <v>Oct</v>
          </cell>
          <cell r="D10632" t="str">
            <v>Chairs</v>
          </cell>
          <cell r="E10632">
            <v>339343.80899999995</v>
          </cell>
          <cell r="F10632">
            <v>10</v>
          </cell>
        </row>
        <row r="10633">
          <cell r="A10633">
            <v>2018</v>
          </cell>
          <cell r="B10633" t="str">
            <v>Budget</v>
          </cell>
          <cell r="C10633" t="str">
            <v>Oct</v>
          </cell>
          <cell r="D10633" t="str">
            <v>Tables</v>
          </cell>
          <cell r="E10633">
            <v>71478.903999999995</v>
          </cell>
          <cell r="F10633">
            <v>10</v>
          </cell>
        </row>
        <row r="10634">
          <cell r="A10634">
            <v>2019</v>
          </cell>
          <cell r="B10634" t="str">
            <v>Actual</v>
          </cell>
          <cell r="C10634" t="str">
            <v>Oct</v>
          </cell>
          <cell r="D10634" t="str">
            <v>Kitchen</v>
          </cell>
          <cell r="E10634">
            <v>362522.16</v>
          </cell>
          <cell r="F10634">
            <v>10</v>
          </cell>
        </row>
        <row r="10635">
          <cell r="A10635">
            <v>2019</v>
          </cell>
          <cell r="B10635" t="str">
            <v>Budget</v>
          </cell>
          <cell r="C10635" t="str">
            <v>Oct</v>
          </cell>
          <cell r="D10635" t="str">
            <v>Chairs</v>
          </cell>
          <cell r="E10635">
            <v>628408.277</v>
          </cell>
          <cell r="F10635">
            <v>10</v>
          </cell>
        </row>
        <row r="10636">
          <cell r="A10636">
            <v>2019</v>
          </cell>
          <cell r="B10636" t="str">
            <v>Actual</v>
          </cell>
          <cell r="C10636" t="str">
            <v>Oct</v>
          </cell>
          <cell r="D10636" t="str">
            <v>Chairs</v>
          </cell>
          <cell r="E10636">
            <v>-63706.02</v>
          </cell>
          <cell r="F10636">
            <v>10</v>
          </cell>
        </row>
        <row r="10637">
          <cell r="A10637">
            <v>2018</v>
          </cell>
          <cell r="B10637" t="str">
            <v>Budget</v>
          </cell>
          <cell r="C10637" t="str">
            <v>Oct</v>
          </cell>
          <cell r="D10637" t="str">
            <v>Chairs</v>
          </cell>
          <cell r="E10637">
            <v>-13351.499</v>
          </cell>
          <cell r="F10637">
            <v>10</v>
          </cell>
        </row>
        <row r="10638">
          <cell r="A10638">
            <v>2019</v>
          </cell>
          <cell r="B10638" t="str">
            <v>Actual</v>
          </cell>
          <cell r="C10638" t="str">
            <v>Oct</v>
          </cell>
          <cell r="D10638" t="str">
            <v>Tables</v>
          </cell>
          <cell r="E10638">
            <v>1151370.899</v>
          </cell>
          <cell r="F10638">
            <v>10</v>
          </cell>
        </row>
        <row r="10639">
          <cell r="A10639">
            <v>2019</v>
          </cell>
          <cell r="B10639" t="str">
            <v>Budget</v>
          </cell>
          <cell r="C10639" t="str">
            <v>Oct</v>
          </cell>
          <cell r="D10639" t="str">
            <v>Kitchen</v>
          </cell>
          <cell r="E10639">
            <v>242008.59199999998</v>
          </cell>
          <cell r="F10639">
            <v>10</v>
          </cell>
        </row>
        <row r="10640">
          <cell r="A10640">
            <v>2019</v>
          </cell>
          <cell r="B10640" t="str">
            <v>Actual</v>
          </cell>
          <cell r="C10640" t="str">
            <v>Oct</v>
          </cell>
          <cell r="D10640" t="str">
            <v>Accessories</v>
          </cell>
          <cell r="E10640">
            <v>240765.62299999999</v>
          </cell>
          <cell r="F10640">
            <v>10</v>
          </cell>
        </row>
        <row r="10641">
          <cell r="A10641">
            <v>2018</v>
          </cell>
          <cell r="B10641" t="str">
            <v>Budget</v>
          </cell>
          <cell r="C10641" t="str">
            <v>Oct</v>
          </cell>
          <cell r="D10641" t="str">
            <v>Chairs</v>
          </cell>
          <cell r="E10641">
            <v>602949.86499999987</v>
          </cell>
          <cell r="F10641">
            <v>10</v>
          </cell>
        </row>
        <row r="10642">
          <cell r="A10642">
            <v>2018</v>
          </cell>
          <cell r="B10642" t="str">
            <v>Actual</v>
          </cell>
          <cell r="C10642" t="str">
            <v>Oct</v>
          </cell>
          <cell r="D10642" t="str">
            <v>Tables</v>
          </cell>
          <cell r="E10642">
            <v>485440.38899999997</v>
          </cell>
          <cell r="F10642">
            <v>10</v>
          </cell>
        </row>
        <row r="10643">
          <cell r="A10643">
            <v>2018</v>
          </cell>
          <cell r="B10643" t="str">
            <v>Budget</v>
          </cell>
          <cell r="C10643" t="str">
            <v>Oct</v>
          </cell>
          <cell r="D10643" t="str">
            <v>Kitchen</v>
          </cell>
          <cell r="E10643">
            <v>230476.57499999998</v>
          </cell>
          <cell r="F10643">
            <v>10</v>
          </cell>
        </row>
        <row r="10644">
          <cell r="A10644">
            <v>2019</v>
          </cell>
          <cell r="B10644" t="str">
            <v>Actual</v>
          </cell>
          <cell r="C10644" t="str">
            <v>Oct</v>
          </cell>
          <cell r="D10644" t="str">
            <v>Accessories</v>
          </cell>
          <cell r="E10644">
            <v>58839.850999999988</v>
          </cell>
          <cell r="F10644">
            <v>10</v>
          </cell>
        </row>
        <row r="10645">
          <cell r="A10645">
            <v>2018</v>
          </cell>
          <cell r="B10645" t="str">
            <v>Budget</v>
          </cell>
          <cell r="C10645" t="str">
            <v>Oct</v>
          </cell>
          <cell r="D10645" t="str">
            <v>Chairs</v>
          </cell>
          <cell r="E10645">
            <v>140935.144</v>
          </cell>
          <cell r="F10645">
            <v>10</v>
          </cell>
        </row>
        <row r="10646">
          <cell r="A10646">
            <v>2018</v>
          </cell>
          <cell r="B10646" t="str">
            <v>Actual</v>
          </cell>
          <cell r="C10646" t="str">
            <v>Oct</v>
          </cell>
          <cell r="D10646" t="str">
            <v>Tables</v>
          </cell>
          <cell r="E10646">
            <v>126880.46699999999</v>
          </cell>
          <cell r="F10646">
            <v>10</v>
          </cell>
        </row>
        <row r="10647">
          <cell r="A10647">
            <v>2018</v>
          </cell>
          <cell r="B10647" t="str">
            <v>Budget</v>
          </cell>
          <cell r="C10647" t="str">
            <v>Oct</v>
          </cell>
          <cell r="D10647" t="str">
            <v>Kitchen</v>
          </cell>
          <cell r="E10647">
            <v>92508.115000000005</v>
          </cell>
          <cell r="F10647">
            <v>10</v>
          </cell>
        </row>
        <row r="10648">
          <cell r="A10648">
            <v>2018</v>
          </cell>
          <cell r="B10648" t="str">
            <v>Actual</v>
          </cell>
          <cell r="C10648" t="str">
            <v>Oct</v>
          </cell>
          <cell r="D10648" t="str">
            <v>Accessories</v>
          </cell>
          <cell r="E10648">
            <v>25177.312999999995</v>
          </cell>
          <cell r="F10648">
            <v>10</v>
          </cell>
        </row>
        <row r="10649">
          <cell r="A10649">
            <v>2018</v>
          </cell>
          <cell r="B10649" t="str">
            <v>Budget</v>
          </cell>
          <cell r="C10649" t="str">
            <v>Oct</v>
          </cell>
          <cell r="D10649" t="str">
            <v>Chairs</v>
          </cell>
          <cell r="E10649">
            <v>1699.32</v>
          </cell>
          <cell r="F10649">
            <v>10</v>
          </cell>
        </row>
        <row r="10650">
          <cell r="A10650">
            <v>2018</v>
          </cell>
          <cell r="B10650" t="str">
            <v>Actual</v>
          </cell>
          <cell r="C10650" t="str">
            <v>Oct</v>
          </cell>
          <cell r="D10650" t="str">
            <v>Tables</v>
          </cell>
          <cell r="E10650">
            <v>43893.436999999998</v>
          </cell>
          <cell r="F10650">
            <v>10</v>
          </cell>
        </row>
        <row r="10651">
          <cell r="A10651">
            <v>2019</v>
          </cell>
          <cell r="B10651" t="str">
            <v>Budget</v>
          </cell>
          <cell r="C10651" t="str">
            <v>Oct</v>
          </cell>
          <cell r="D10651" t="str">
            <v>Kitchen</v>
          </cell>
          <cell r="E10651">
            <v>96255.956999999995</v>
          </cell>
          <cell r="F10651">
            <v>10</v>
          </cell>
        </row>
        <row r="10652">
          <cell r="A10652">
            <v>2019</v>
          </cell>
          <cell r="B10652" t="str">
            <v>Actual</v>
          </cell>
          <cell r="C10652" t="str">
            <v>Oct</v>
          </cell>
          <cell r="D10652" t="str">
            <v>Accessories</v>
          </cell>
          <cell r="E10652">
            <v>22642.375</v>
          </cell>
          <cell r="F10652">
            <v>10</v>
          </cell>
        </row>
        <row r="10653">
          <cell r="A10653">
            <v>2018</v>
          </cell>
          <cell r="B10653" t="str">
            <v>Budget</v>
          </cell>
          <cell r="C10653" t="str">
            <v>Oct</v>
          </cell>
          <cell r="D10653" t="str">
            <v>Chairs</v>
          </cell>
          <cell r="E10653">
            <v>152500.42499999999</v>
          </cell>
          <cell r="F10653">
            <v>10</v>
          </cell>
        </row>
        <row r="10654">
          <cell r="A10654">
            <v>2019</v>
          </cell>
          <cell r="B10654" t="str">
            <v>Actual</v>
          </cell>
          <cell r="C10654" t="str">
            <v>Oct</v>
          </cell>
          <cell r="D10654" t="str">
            <v>Chairs</v>
          </cell>
          <cell r="E10654">
            <v>142881.228</v>
          </cell>
          <cell r="F10654">
            <v>10</v>
          </cell>
        </row>
        <row r="10655">
          <cell r="A10655">
            <v>2019</v>
          </cell>
          <cell r="B10655" t="str">
            <v>Budget</v>
          </cell>
          <cell r="C10655" t="str">
            <v>Oct</v>
          </cell>
          <cell r="D10655" t="str">
            <v>Tables</v>
          </cell>
          <cell r="E10655">
            <v>40384.413999999997</v>
          </cell>
          <cell r="F10655">
            <v>10</v>
          </cell>
        </row>
        <row r="10656">
          <cell r="A10656">
            <v>2019</v>
          </cell>
          <cell r="B10656" t="str">
            <v>Actual</v>
          </cell>
          <cell r="C10656" t="str">
            <v>Oct</v>
          </cell>
          <cell r="D10656" t="str">
            <v>Kitchen</v>
          </cell>
          <cell r="E10656">
            <v>254615.655</v>
          </cell>
          <cell r="F10656">
            <v>10</v>
          </cell>
        </row>
        <row r="10657">
          <cell r="A10657">
            <v>2019</v>
          </cell>
          <cell r="B10657" t="str">
            <v>Budget</v>
          </cell>
          <cell r="C10657" t="str">
            <v>Oct</v>
          </cell>
          <cell r="D10657" t="str">
            <v>Chairs</v>
          </cell>
          <cell r="E10657">
            <v>170710.00099999999</v>
          </cell>
          <cell r="F10657">
            <v>10</v>
          </cell>
        </row>
        <row r="10658">
          <cell r="A10658">
            <v>2018</v>
          </cell>
          <cell r="B10658" t="str">
            <v>Actual</v>
          </cell>
          <cell r="C10658" t="str">
            <v>Oct</v>
          </cell>
          <cell r="D10658" t="str">
            <v>Tables</v>
          </cell>
          <cell r="E10658">
            <v>58077.585999999996</v>
          </cell>
          <cell r="F10658">
            <v>10</v>
          </cell>
        </row>
        <row r="10659">
          <cell r="A10659">
            <v>2018</v>
          </cell>
          <cell r="B10659" t="str">
            <v>Budget</v>
          </cell>
          <cell r="C10659" t="str">
            <v>Oct</v>
          </cell>
          <cell r="D10659" t="str">
            <v>Kitchen</v>
          </cell>
          <cell r="E10659">
            <v>-3111.7869999999998</v>
          </cell>
          <cell r="F10659">
            <v>10</v>
          </cell>
        </row>
        <row r="10660">
          <cell r="A10660">
            <v>2019</v>
          </cell>
          <cell r="B10660" t="str">
            <v>Actual</v>
          </cell>
          <cell r="C10660" t="str">
            <v>Oct</v>
          </cell>
          <cell r="D10660" t="str">
            <v>Chairs</v>
          </cell>
          <cell r="E10660">
            <v>292613.72699999996</v>
          </cell>
          <cell r="F10660">
            <v>10</v>
          </cell>
        </row>
        <row r="10661">
          <cell r="A10661">
            <v>2019</v>
          </cell>
          <cell r="B10661" t="str">
            <v>Budget</v>
          </cell>
          <cell r="C10661" t="str">
            <v>Oct</v>
          </cell>
          <cell r="D10661" t="str">
            <v>Tables</v>
          </cell>
          <cell r="E10661">
            <v>163025.23299999998</v>
          </cell>
          <cell r="F10661">
            <v>10</v>
          </cell>
        </row>
        <row r="10662">
          <cell r="A10662">
            <v>2018</v>
          </cell>
          <cell r="B10662" t="str">
            <v>Actual</v>
          </cell>
          <cell r="C10662" t="str">
            <v>Oct</v>
          </cell>
          <cell r="D10662" t="str">
            <v>Kitchen</v>
          </cell>
          <cell r="E10662">
            <v>1102698.352</v>
          </cell>
          <cell r="F10662">
            <v>10</v>
          </cell>
        </row>
        <row r="10663">
          <cell r="A10663">
            <v>2019</v>
          </cell>
          <cell r="B10663" t="str">
            <v>Budget</v>
          </cell>
          <cell r="C10663" t="str">
            <v>Oct</v>
          </cell>
          <cell r="D10663" t="str">
            <v>Chairs</v>
          </cell>
          <cell r="E10663">
            <v>541287.1449999999</v>
          </cell>
          <cell r="F10663">
            <v>10</v>
          </cell>
        </row>
        <row r="10664">
          <cell r="A10664">
            <v>2018</v>
          </cell>
          <cell r="B10664" t="str">
            <v>Actual</v>
          </cell>
          <cell r="C10664" t="str">
            <v>Oct</v>
          </cell>
          <cell r="D10664" t="str">
            <v>Chairs</v>
          </cell>
          <cell r="E10664">
            <v>1458325.2109999999</v>
          </cell>
          <cell r="F10664">
            <v>10</v>
          </cell>
        </row>
        <row r="10665">
          <cell r="A10665">
            <v>2019</v>
          </cell>
          <cell r="B10665" t="str">
            <v>Budget</v>
          </cell>
          <cell r="C10665" t="str">
            <v>Oct</v>
          </cell>
          <cell r="D10665" t="str">
            <v>Chairs</v>
          </cell>
          <cell r="E10665">
            <v>421015.86099999998</v>
          </cell>
          <cell r="F10665">
            <v>10</v>
          </cell>
        </row>
        <row r="10666">
          <cell r="A10666">
            <v>2019</v>
          </cell>
          <cell r="B10666" t="str">
            <v>Actual</v>
          </cell>
          <cell r="C10666" t="str">
            <v>Oct</v>
          </cell>
          <cell r="D10666" t="str">
            <v>Chairs</v>
          </cell>
          <cell r="E10666">
            <v>489105.62399999995</v>
          </cell>
          <cell r="F10666">
            <v>10</v>
          </cell>
        </row>
        <row r="10667">
          <cell r="A10667">
            <v>2018</v>
          </cell>
          <cell r="B10667" t="str">
            <v>Budget</v>
          </cell>
          <cell r="C10667" t="str">
            <v>Oct</v>
          </cell>
          <cell r="D10667" t="str">
            <v>Chairs</v>
          </cell>
          <cell r="E10667">
            <v>39543.048999999999</v>
          </cell>
          <cell r="F10667">
            <v>10</v>
          </cell>
        </row>
        <row r="10668">
          <cell r="A10668">
            <v>2018</v>
          </cell>
          <cell r="B10668" t="str">
            <v>Actual</v>
          </cell>
          <cell r="C10668" t="str">
            <v>Oct</v>
          </cell>
          <cell r="D10668" t="str">
            <v>Chairs</v>
          </cell>
          <cell r="E10668">
            <v>189012.04</v>
          </cell>
          <cell r="F10668">
            <v>10</v>
          </cell>
        </row>
        <row r="10669">
          <cell r="A10669">
            <v>2019</v>
          </cell>
          <cell r="B10669" t="str">
            <v>Budget</v>
          </cell>
          <cell r="C10669" t="str">
            <v>Oct</v>
          </cell>
          <cell r="D10669" t="str">
            <v>Chairs</v>
          </cell>
          <cell r="E10669">
            <v>538391.96600000001</v>
          </cell>
          <cell r="F10669">
            <v>10</v>
          </cell>
        </row>
        <row r="10670">
          <cell r="A10670">
            <v>2019</v>
          </cell>
          <cell r="B10670" t="str">
            <v>Actual</v>
          </cell>
          <cell r="C10670" t="str">
            <v>Oct</v>
          </cell>
          <cell r="D10670" t="str">
            <v>Chairs</v>
          </cell>
          <cell r="E10670">
            <v>379689.47100000002</v>
          </cell>
          <cell r="F10670">
            <v>10</v>
          </cell>
        </row>
        <row r="10671">
          <cell r="A10671">
            <v>2019</v>
          </cell>
          <cell r="B10671" t="str">
            <v>Budget</v>
          </cell>
          <cell r="C10671" t="str">
            <v>Oct</v>
          </cell>
          <cell r="D10671" t="str">
            <v>Chairs</v>
          </cell>
          <cell r="E10671">
            <v>376212.19999999995</v>
          </cell>
          <cell r="F10671">
            <v>10</v>
          </cell>
        </row>
        <row r="10672">
          <cell r="A10672">
            <v>2019</v>
          </cell>
          <cell r="B10672" t="str">
            <v>Actual</v>
          </cell>
          <cell r="C10672" t="str">
            <v>Oct</v>
          </cell>
          <cell r="D10672" t="str">
            <v>Chairs</v>
          </cell>
          <cell r="E10672">
            <v>353858.71499999997</v>
          </cell>
          <cell r="F10672">
            <v>10</v>
          </cell>
        </row>
        <row r="10673">
          <cell r="A10673">
            <v>2018</v>
          </cell>
          <cell r="B10673" t="str">
            <v>Budget</v>
          </cell>
          <cell r="C10673" t="str">
            <v>Oct</v>
          </cell>
          <cell r="D10673" t="str">
            <v>Chairs</v>
          </cell>
          <cell r="E10673">
            <v>708444.13500000001</v>
          </cell>
          <cell r="F10673">
            <v>10</v>
          </cell>
        </row>
        <row r="10674">
          <cell r="A10674">
            <v>2019</v>
          </cell>
          <cell r="B10674" t="str">
            <v>Actual</v>
          </cell>
          <cell r="C10674" t="str">
            <v>Oct</v>
          </cell>
          <cell r="D10674" t="str">
            <v>Chairs</v>
          </cell>
          <cell r="E10674">
            <v>179323.375</v>
          </cell>
          <cell r="F10674">
            <v>10</v>
          </cell>
        </row>
        <row r="10675">
          <cell r="A10675">
            <v>2019</v>
          </cell>
          <cell r="B10675" t="str">
            <v>Budget</v>
          </cell>
          <cell r="C10675" t="str">
            <v>Oct</v>
          </cell>
          <cell r="D10675" t="str">
            <v>Chairs</v>
          </cell>
          <cell r="E10675">
            <v>646609.62800000003</v>
          </cell>
          <cell r="F10675">
            <v>10</v>
          </cell>
        </row>
        <row r="10676">
          <cell r="A10676">
            <v>2019</v>
          </cell>
          <cell r="B10676" t="str">
            <v>Actual</v>
          </cell>
          <cell r="C10676" t="str">
            <v>Oct</v>
          </cell>
          <cell r="D10676" t="str">
            <v>Chairs</v>
          </cell>
          <cell r="E10676">
            <v>68519.409</v>
          </cell>
          <cell r="F10676">
            <v>10</v>
          </cell>
        </row>
        <row r="10677">
          <cell r="A10677">
            <v>2018</v>
          </cell>
          <cell r="B10677" t="str">
            <v>Budget</v>
          </cell>
          <cell r="C10677" t="str">
            <v>Oct</v>
          </cell>
          <cell r="D10677" t="str">
            <v>Chairs</v>
          </cell>
          <cell r="E10677">
            <v>2607713.395</v>
          </cell>
          <cell r="F10677">
            <v>10</v>
          </cell>
        </row>
        <row r="10678">
          <cell r="A10678">
            <v>2018</v>
          </cell>
          <cell r="B10678" t="str">
            <v>Actual</v>
          </cell>
          <cell r="C10678" t="str">
            <v>Oct</v>
          </cell>
          <cell r="D10678" t="str">
            <v>Chairs</v>
          </cell>
          <cell r="E10678">
            <v>11881.603999999999</v>
          </cell>
          <cell r="F10678">
            <v>10</v>
          </cell>
        </row>
        <row r="10679">
          <cell r="A10679">
            <v>2018</v>
          </cell>
          <cell r="B10679" t="str">
            <v>Budget</v>
          </cell>
          <cell r="C10679" t="str">
            <v>Oct</v>
          </cell>
          <cell r="D10679" t="str">
            <v>Chairs</v>
          </cell>
          <cell r="E10679">
            <v>-8008.2309999999998</v>
          </cell>
          <cell r="F10679">
            <v>10</v>
          </cell>
        </row>
        <row r="10680">
          <cell r="A10680">
            <v>2018</v>
          </cell>
          <cell r="B10680" t="str">
            <v>Actual</v>
          </cell>
          <cell r="C10680" t="str">
            <v>Oct</v>
          </cell>
          <cell r="D10680" t="str">
            <v>Chairs</v>
          </cell>
          <cell r="E10680">
            <v>1166.6479999999999</v>
          </cell>
          <cell r="F10680">
            <v>10</v>
          </cell>
        </row>
        <row r="10681">
          <cell r="A10681">
            <v>2019</v>
          </cell>
          <cell r="B10681" t="str">
            <v>Budget</v>
          </cell>
          <cell r="C10681" t="str">
            <v>Oct</v>
          </cell>
          <cell r="D10681" t="str">
            <v>Chairs</v>
          </cell>
          <cell r="E10681">
            <v>-2991.4779999999996</v>
          </cell>
          <cell r="F10681">
            <v>10</v>
          </cell>
        </row>
        <row r="10682">
          <cell r="A10682">
            <v>2019</v>
          </cell>
          <cell r="B10682" t="str">
            <v>Actual</v>
          </cell>
          <cell r="C10682" t="str">
            <v>Oct</v>
          </cell>
          <cell r="D10682" t="str">
            <v>Chairs</v>
          </cell>
          <cell r="E10682">
            <v>75429.857999999993</v>
          </cell>
          <cell r="F10682">
            <v>10</v>
          </cell>
        </row>
        <row r="10683">
          <cell r="A10683">
            <v>2018</v>
          </cell>
          <cell r="B10683" t="str">
            <v>Budget</v>
          </cell>
          <cell r="C10683" t="str">
            <v>Oct</v>
          </cell>
          <cell r="D10683" t="str">
            <v>Chairs</v>
          </cell>
          <cell r="E10683">
            <v>18235.699999999997</v>
          </cell>
          <cell r="F10683">
            <v>10</v>
          </cell>
        </row>
        <row r="10684">
          <cell r="A10684">
            <v>2019</v>
          </cell>
          <cell r="B10684" t="str">
            <v>Actual</v>
          </cell>
          <cell r="C10684" t="str">
            <v>Oct</v>
          </cell>
          <cell r="D10684" t="str">
            <v>Chairs</v>
          </cell>
          <cell r="E10684">
            <v>57013.165999999997</v>
          </cell>
          <cell r="F10684">
            <v>10</v>
          </cell>
        </row>
        <row r="10685">
          <cell r="A10685">
            <v>2018</v>
          </cell>
          <cell r="B10685" t="str">
            <v>Budget</v>
          </cell>
          <cell r="C10685" t="str">
            <v>Oct</v>
          </cell>
          <cell r="D10685" t="str">
            <v>Chairs</v>
          </cell>
          <cell r="E10685">
            <v>43752.127999999997</v>
          </cell>
          <cell r="F10685">
            <v>10</v>
          </cell>
        </row>
        <row r="10686">
          <cell r="A10686">
            <v>2019</v>
          </cell>
          <cell r="B10686" t="str">
            <v>Actual</v>
          </cell>
          <cell r="C10686" t="str">
            <v>Oct</v>
          </cell>
          <cell r="D10686" t="str">
            <v>Chairs</v>
          </cell>
          <cell r="E10686">
            <v>9854.3689999999988</v>
          </cell>
          <cell r="F10686">
            <v>10</v>
          </cell>
        </row>
        <row r="10687">
          <cell r="A10687">
            <v>2019</v>
          </cell>
          <cell r="B10687" t="str">
            <v>Budget</v>
          </cell>
          <cell r="C10687" t="str">
            <v>Oct</v>
          </cell>
          <cell r="D10687" t="str">
            <v>Chairs</v>
          </cell>
          <cell r="E10687">
            <v>36757.895999999993</v>
          </cell>
          <cell r="F10687">
            <v>10</v>
          </cell>
        </row>
        <row r="10688">
          <cell r="A10688">
            <v>2018</v>
          </cell>
          <cell r="B10688" t="str">
            <v>Actual</v>
          </cell>
          <cell r="C10688" t="str">
            <v>Oct</v>
          </cell>
          <cell r="D10688" t="str">
            <v>Chairs</v>
          </cell>
          <cell r="E10688">
            <v>8878.5479999999989</v>
          </cell>
          <cell r="F10688">
            <v>10</v>
          </cell>
        </row>
        <row r="10689">
          <cell r="A10689">
            <v>2018</v>
          </cell>
          <cell r="B10689" t="str">
            <v>Budget</v>
          </cell>
          <cell r="C10689" t="str">
            <v>Oct</v>
          </cell>
          <cell r="D10689" t="str">
            <v>Tables</v>
          </cell>
          <cell r="E10689">
            <v>312337.26999999996</v>
          </cell>
          <cell r="F10689">
            <v>10</v>
          </cell>
        </row>
        <row r="10690">
          <cell r="A10690">
            <v>2019</v>
          </cell>
          <cell r="B10690" t="str">
            <v>Actual</v>
          </cell>
          <cell r="C10690" t="str">
            <v>Oct</v>
          </cell>
          <cell r="D10690" t="str">
            <v>Kitchen</v>
          </cell>
          <cell r="E10690">
            <v>266339.05900000001</v>
          </cell>
          <cell r="F10690">
            <v>10</v>
          </cell>
        </row>
        <row r="10691">
          <cell r="A10691">
            <v>2018</v>
          </cell>
          <cell r="B10691" t="str">
            <v>Budget</v>
          </cell>
          <cell r="C10691" t="str">
            <v>Oct</v>
          </cell>
          <cell r="D10691" t="str">
            <v>Chairs</v>
          </cell>
          <cell r="E10691">
            <v>499656.22699999996</v>
          </cell>
          <cell r="F10691">
            <v>10</v>
          </cell>
        </row>
        <row r="10692">
          <cell r="A10692">
            <v>2018</v>
          </cell>
          <cell r="B10692" t="str">
            <v>Actual</v>
          </cell>
          <cell r="C10692" t="str">
            <v>Oct</v>
          </cell>
          <cell r="D10692" t="str">
            <v>Chairs</v>
          </cell>
          <cell r="E10692">
            <v>221480.76999999996</v>
          </cell>
          <cell r="F10692">
            <v>10</v>
          </cell>
        </row>
        <row r="10693">
          <cell r="A10693">
            <v>2019</v>
          </cell>
          <cell r="B10693" t="str">
            <v>Budget</v>
          </cell>
          <cell r="C10693" t="str">
            <v>Oct</v>
          </cell>
          <cell r="D10693" t="str">
            <v>Chairs</v>
          </cell>
          <cell r="E10693">
            <v>10159.73</v>
          </cell>
          <cell r="F10693">
            <v>10</v>
          </cell>
        </row>
        <row r="10694">
          <cell r="A10694">
            <v>2019</v>
          </cell>
          <cell r="B10694" t="str">
            <v>Actual</v>
          </cell>
          <cell r="C10694" t="str">
            <v>Oct</v>
          </cell>
          <cell r="D10694" t="str">
            <v>Chairs</v>
          </cell>
          <cell r="E10694">
            <v>10451781.682999998</v>
          </cell>
          <cell r="F10694">
            <v>10</v>
          </cell>
        </row>
        <row r="10695">
          <cell r="A10695">
            <v>2019</v>
          </cell>
          <cell r="B10695" t="str">
            <v>Budget</v>
          </cell>
          <cell r="C10695" t="str">
            <v>Oct</v>
          </cell>
          <cell r="D10695" t="str">
            <v>Chairs</v>
          </cell>
          <cell r="E10695">
            <v>70051.435999999987</v>
          </cell>
          <cell r="F10695">
            <v>10</v>
          </cell>
        </row>
        <row r="10696">
          <cell r="A10696">
            <v>2018</v>
          </cell>
          <cell r="B10696" t="str">
            <v>Actual</v>
          </cell>
          <cell r="C10696" t="str">
            <v>Oct</v>
          </cell>
          <cell r="D10696" t="str">
            <v>Tables</v>
          </cell>
          <cell r="E10696">
            <v>167007.28099999999</v>
          </cell>
          <cell r="F10696">
            <v>10</v>
          </cell>
        </row>
        <row r="10697">
          <cell r="A10697">
            <v>2018</v>
          </cell>
          <cell r="B10697" t="str">
            <v>Budget</v>
          </cell>
          <cell r="C10697" t="str">
            <v>Oct</v>
          </cell>
          <cell r="D10697" t="str">
            <v>Kitchen</v>
          </cell>
          <cell r="E10697">
            <v>16613.981999999996</v>
          </cell>
          <cell r="F10697">
            <v>10</v>
          </cell>
        </row>
        <row r="10698">
          <cell r="A10698">
            <v>2018</v>
          </cell>
          <cell r="B10698" t="str">
            <v>Actual</v>
          </cell>
          <cell r="C10698" t="str">
            <v>Oct</v>
          </cell>
          <cell r="D10698" t="str">
            <v>Chairs</v>
          </cell>
          <cell r="E10698">
            <v>372746.90599999996</v>
          </cell>
          <cell r="F10698">
            <v>10</v>
          </cell>
        </row>
        <row r="10699">
          <cell r="A10699">
            <v>2018</v>
          </cell>
          <cell r="B10699" t="str">
            <v>Budget</v>
          </cell>
          <cell r="C10699" t="str">
            <v>Oct</v>
          </cell>
          <cell r="D10699" t="str">
            <v>Chairs</v>
          </cell>
          <cell r="E10699">
            <v>168457.07199999999</v>
          </cell>
          <cell r="F10699">
            <v>10</v>
          </cell>
        </row>
        <row r="10700">
          <cell r="A10700">
            <v>2019</v>
          </cell>
          <cell r="B10700" t="str">
            <v>Actual</v>
          </cell>
          <cell r="C10700" t="str">
            <v>Oct</v>
          </cell>
          <cell r="D10700" t="str">
            <v>Chairs</v>
          </cell>
          <cell r="E10700">
            <v>6484.2960000000003</v>
          </cell>
          <cell r="F10700">
            <v>10</v>
          </cell>
        </row>
        <row r="10701">
          <cell r="A10701">
            <v>2018</v>
          </cell>
          <cell r="B10701" t="str">
            <v>Budget</v>
          </cell>
          <cell r="C10701" t="str">
            <v>Oct</v>
          </cell>
          <cell r="D10701" t="str">
            <v>Tables</v>
          </cell>
          <cell r="E10701">
            <v>499644.27100000001</v>
          </cell>
          <cell r="F10701">
            <v>10</v>
          </cell>
        </row>
        <row r="10702">
          <cell r="A10702">
            <v>2019</v>
          </cell>
          <cell r="B10702" t="str">
            <v>Actual</v>
          </cell>
          <cell r="C10702" t="str">
            <v>Oct</v>
          </cell>
          <cell r="D10702" t="str">
            <v>Kitchen</v>
          </cell>
          <cell r="E10702">
            <v>2471760.2909999997</v>
          </cell>
          <cell r="F10702">
            <v>10</v>
          </cell>
        </row>
        <row r="10703">
          <cell r="A10703">
            <v>2019</v>
          </cell>
          <cell r="B10703" t="str">
            <v>Budget</v>
          </cell>
          <cell r="C10703" t="str">
            <v>Oct</v>
          </cell>
          <cell r="D10703" t="str">
            <v>Chairs</v>
          </cell>
          <cell r="E10703">
            <v>8206254.1540000001</v>
          </cell>
          <cell r="F10703">
            <v>10</v>
          </cell>
        </row>
        <row r="10704">
          <cell r="A10704">
            <v>2019</v>
          </cell>
          <cell r="B10704" t="str">
            <v>Actual</v>
          </cell>
          <cell r="C10704" t="str">
            <v>Oct</v>
          </cell>
          <cell r="D10704" t="str">
            <v>Chairs</v>
          </cell>
          <cell r="E10704">
            <v>390841.48599999998</v>
          </cell>
          <cell r="F10704">
            <v>10</v>
          </cell>
        </row>
        <row r="10705">
          <cell r="A10705">
            <v>2019</v>
          </cell>
          <cell r="B10705" t="str">
            <v>Budget</v>
          </cell>
          <cell r="C10705" t="str">
            <v>Oct</v>
          </cell>
          <cell r="D10705" t="str">
            <v>Tables</v>
          </cell>
          <cell r="E10705">
            <v>6086553.193</v>
          </cell>
          <cell r="F10705">
            <v>10</v>
          </cell>
        </row>
        <row r="10706">
          <cell r="A10706">
            <v>2019</v>
          </cell>
          <cell r="B10706" t="str">
            <v>Actual</v>
          </cell>
          <cell r="C10706" t="str">
            <v>Oct</v>
          </cell>
          <cell r="D10706" t="str">
            <v>Kitchen</v>
          </cell>
          <cell r="E10706">
            <v>2217192.2849999997</v>
          </cell>
          <cell r="F10706">
            <v>10</v>
          </cell>
        </row>
        <row r="10707">
          <cell r="A10707">
            <v>2019</v>
          </cell>
          <cell r="B10707" t="str">
            <v>Budget</v>
          </cell>
          <cell r="C10707" t="str">
            <v>Oct</v>
          </cell>
          <cell r="D10707" t="str">
            <v>Chairs</v>
          </cell>
          <cell r="E10707">
            <v>2215341.6669999999</v>
          </cell>
          <cell r="F10707">
            <v>10</v>
          </cell>
        </row>
        <row r="10708">
          <cell r="A10708">
            <v>2019</v>
          </cell>
          <cell r="B10708" t="str">
            <v>Actual</v>
          </cell>
          <cell r="C10708" t="str">
            <v>Oct</v>
          </cell>
          <cell r="D10708" t="str">
            <v>Chairs</v>
          </cell>
          <cell r="E10708">
            <v>1956399.1859999998</v>
          </cell>
          <cell r="F10708">
            <v>10</v>
          </cell>
        </row>
        <row r="10709">
          <cell r="A10709">
            <v>2018</v>
          </cell>
          <cell r="B10709" t="str">
            <v>Budget</v>
          </cell>
          <cell r="C10709" t="str">
            <v>Oct</v>
          </cell>
          <cell r="D10709" t="str">
            <v>Chairs</v>
          </cell>
          <cell r="E10709">
            <v>1711147.0459999999</v>
          </cell>
          <cell r="F10709">
            <v>10</v>
          </cell>
        </row>
        <row r="10710">
          <cell r="A10710">
            <v>2019</v>
          </cell>
          <cell r="B10710" t="str">
            <v>Actual</v>
          </cell>
          <cell r="C10710" t="str">
            <v>Oct</v>
          </cell>
          <cell r="D10710" t="str">
            <v>Tables</v>
          </cell>
          <cell r="E10710">
            <v>10522.112999999999</v>
          </cell>
          <cell r="F10710">
            <v>10</v>
          </cell>
        </row>
        <row r="10711">
          <cell r="A10711">
            <v>2019</v>
          </cell>
          <cell r="B10711" t="str">
            <v>Budget</v>
          </cell>
          <cell r="C10711" t="str">
            <v>Oct</v>
          </cell>
          <cell r="D10711" t="str">
            <v>Kitchen</v>
          </cell>
          <cell r="E10711">
            <v>1228760.8689999999</v>
          </cell>
          <cell r="F10711">
            <v>10</v>
          </cell>
        </row>
        <row r="10712">
          <cell r="A10712">
            <v>2018</v>
          </cell>
          <cell r="B10712" t="str">
            <v>Actual</v>
          </cell>
          <cell r="C10712" t="str">
            <v>Oct</v>
          </cell>
          <cell r="D10712" t="str">
            <v>Accessories</v>
          </cell>
          <cell r="E10712">
            <v>1494603.4669999999</v>
          </cell>
          <cell r="F10712">
            <v>10</v>
          </cell>
        </row>
        <row r="10713">
          <cell r="A10713">
            <v>2018</v>
          </cell>
          <cell r="B10713" t="str">
            <v>Budget</v>
          </cell>
          <cell r="C10713" t="str">
            <v>Oct</v>
          </cell>
          <cell r="D10713" t="str">
            <v>Chairs</v>
          </cell>
          <cell r="E10713">
            <v>1122307.6059999999</v>
          </cell>
          <cell r="F10713">
            <v>10</v>
          </cell>
        </row>
        <row r="10714">
          <cell r="A10714">
            <v>2018</v>
          </cell>
          <cell r="B10714" t="str">
            <v>Actual</v>
          </cell>
          <cell r="C10714" t="str">
            <v>Oct</v>
          </cell>
          <cell r="D10714" t="str">
            <v>Tables</v>
          </cell>
          <cell r="E10714">
            <v>1507293.69</v>
          </cell>
          <cell r="F10714">
            <v>10</v>
          </cell>
        </row>
        <row r="10715">
          <cell r="A10715">
            <v>2019</v>
          </cell>
          <cell r="B10715" t="str">
            <v>Budget</v>
          </cell>
          <cell r="C10715" t="str">
            <v>Oct</v>
          </cell>
          <cell r="D10715" t="str">
            <v>Kitchen</v>
          </cell>
          <cell r="E10715">
            <v>1269167.382</v>
          </cell>
          <cell r="F10715">
            <v>10</v>
          </cell>
        </row>
        <row r="10716">
          <cell r="A10716">
            <v>2019</v>
          </cell>
          <cell r="B10716" t="str">
            <v>Actual</v>
          </cell>
          <cell r="C10716" t="str">
            <v>Oct</v>
          </cell>
          <cell r="D10716" t="str">
            <v>Accessories</v>
          </cell>
          <cell r="E10716">
            <v>788514.13199999998</v>
          </cell>
          <cell r="F10716">
            <v>10</v>
          </cell>
        </row>
        <row r="10717">
          <cell r="A10717">
            <v>2018</v>
          </cell>
          <cell r="B10717" t="str">
            <v>Budget</v>
          </cell>
          <cell r="C10717" t="str">
            <v>Oct</v>
          </cell>
          <cell r="D10717" t="str">
            <v>Chairs</v>
          </cell>
          <cell r="E10717">
            <v>231966.98699999996</v>
          </cell>
          <cell r="F10717">
            <v>10</v>
          </cell>
        </row>
        <row r="10718">
          <cell r="A10718">
            <v>2019</v>
          </cell>
          <cell r="B10718" t="str">
            <v>Actual</v>
          </cell>
          <cell r="C10718" t="str">
            <v>Oct</v>
          </cell>
          <cell r="D10718" t="str">
            <v>Tables</v>
          </cell>
          <cell r="E10718">
            <v>76806.232999999993</v>
          </cell>
          <cell r="F10718">
            <v>10</v>
          </cell>
        </row>
        <row r="10719">
          <cell r="A10719">
            <v>2019</v>
          </cell>
          <cell r="B10719" t="str">
            <v>Budget</v>
          </cell>
          <cell r="C10719" t="str">
            <v>Oct</v>
          </cell>
          <cell r="D10719" t="str">
            <v>Kitchen</v>
          </cell>
          <cell r="E10719">
            <v>1659136.6189999999</v>
          </cell>
          <cell r="F10719">
            <v>10</v>
          </cell>
        </row>
        <row r="10720">
          <cell r="A10720">
            <v>2018</v>
          </cell>
          <cell r="B10720" t="str">
            <v>Actual</v>
          </cell>
          <cell r="C10720" t="str">
            <v>Oct</v>
          </cell>
          <cell r="D10720" t="str">
            <v>Accessories</v>
          </cell>
          <cell r="E10720">
            <v>159538.799</v>
          </cell>
          <cell r="F10720">
            <v>10</v>
          </cell>
        </row>
        <row r="10721">
          <cell r="A10721">
            <v>2019</v>
          </cell>
          <cell r="B10721" t="str">
            <v>Budget</v>
          </cell>
          <cell r="C10721" t="str">
            <v>Oct</v>
          </cell>
          <cell r="D10721" t="str">
            <v>Chairs</v>
          </cell>
          <cell r="E10721">
            <v>616682.96199999994</v>
          </cell>
          <cell r="F10721">
            <v>10</v>
          </cell>
        </row>
        <row r="10722">
          <cell r="A10722">
            <v>2019</v>
          </cell>
          <cell r="B10722" t="str">
            <v>Actual</v>
          </cell>
          <cell r="C10722" t="str">
            <v>Oct</v>
          </cell>
          <cell r="D10722" t="str">
            <v>Tables</v>
          </cell>
          <cell r="E10722">
            <v>4584419.5460000001</v>
          </cell>
          <cell r="F10722">
            <v>10</v>
          </cell>
        </row>
        <row r="10723">
          <cell r="A10723">
            <v>2018</v>
          </cell>
          <cell r="B10723" t="str">
            <v>Budget</v>
          </cell>
          <cell r="C10723" t="str">
            <v>Oct</v>
          </cell>
          <cell r="D10723" t="str">
            <v>Kitchen</v>
          </cell>
          <cell r="E10723">
            <v>2004806.7339999999</v>
          </cell>
          <cell r="F10723">
            <v>10</v>
          </cell>
        </row>
        <row r="10724">
          <cell r="A10724">
            <v>2019</v>
          </cell>
          <cell r="B10724" t="str">
            <v>Actual</v>
          </cell>
          <cell r="C10724" t="str">
            <v>Oct</v>
          </cell>
          <cell r="D10724" t="str">
            <v>Accessories</v>
          </cell>
          <cell r="E10724">
            <v>661371.97</v>
          </cell>
          <cell r="F10724">
            <v>10</v>
          </cell>
        </row>
        <row r="10725">
          <cell r="A10725">
            <v>2019</v>
          </cell>
          <cell r="B10725" t="str">
            <v>Budget</v>
          </cell>
          <cell r="C10725" t="str">
            <v>Oct</v>
          </cell>
          <cell r="D10725" t="str">
            <v>Chairs</v>
          </cell>
          <cell r="E10725">
            <v>135428.55899999998</v>
          </cell>
          <cell r="F10725">
            <v>10</v>
          </cell>
        </row>
        <row r="10726">
          <cell r="A10726">
            <v>2018</v>
          </cell>
          <cell r="B10726" t="str">
            <v>Actual</v>
          </cell>
          <cell r="C10726" t="str">
            <v>Oct</v>
          </cell>
          <cell r="D10726" t="str">
            <v>Chairs</v>
          </cell>
          <cell r="E10726">
            <v>410590.25699999998</v>
          </cell>
          <cell r="F10726">
            <v>10</v>
          </cell>
        </row>
        <row r="10727">
          <cell r="A10727">
            <v>2019</v>
          </cell>
          <cell r="B10727" t="str">
            <v>Budget</v>
          </cell>
          <cell r="C10727" t="str">
            <v>Oct</v>
          </cell>
          <cell r="D10727" t="str">
            <v>Tables</v>
          </cell>
          <cell r="E10727">
            <v>141311.70899999997</v>
          </cell>
          <cell r="F10727">
            <v>10</v>
          </cell>
        </row>
        <row r="10728">
          <cell r="A10728">
            <v>2018</v>
          </cell>
          <cell r="B10728" t="str">
            <v>Actual</v>
          </cell>
          <cell r="C10728" t="str">
            <v>Oct</v>
          </cell>
          <cell r="D10728" t="str">
            <v>Kitchen</v>
          </cell>
          <cell r="E10728">
            <v>141332.71599999999</v>
          </cell>
          <cell r="F10728">
            <v>10</v>
          </cell>
        </row>
        <row r="10729">
          <cell r="A10729">
            <v>2019</v>
          </cell>
          <cell r="B10729" t="str">
            <v>Budget</v>
          </cell>
          <cell r="C10729" t="str">
            <v>Oct</v>
          </cell>
          <cell r="D10729" t="str">
            <v>Chairs</v>
          </cell>
          <cell r="E10729">
            <v>683946.78099999996</v>
          </cell>
          <cell r="F10729">
            <v>10</v>
          </cell>
        </row>
        <row r="10730">
          <cell r="A10730">
            <v>2018</v>
          </cell>
          <cell r="B10730" t="str">
            <v>Actual</v>
          </cell>
          <cell r="C10730" t="str">
            <v>Oct</v>
          </cell>
          <cell r="D10730" t="str">
            <v>Tables</v>
          </cell>
          <cell r="E10730">
            <v>7450.6669999999995</v>
          </cell>
          <cell r="F10730">
            <v>10</v>
          </cell>
        </row>
        <row r="10731">
          <cell r="A10731">
            <v>2019</v>
          </cell>
          <cell r="B10731" t="str">
            <v>Budget</v>
          </cell>
          <cell r="C10731" t="str">
            <v>Oct</v>
          </cell>
          <cell r="D10731" t="str">
            <v>Kitchen</v>
          </cell>
          <cell r="E10731">
            <v>11502.19</v>
          </cell>
          <cell r="F10731">
            <v>10</v>
          </cell>
        </row>
        <row r="10732">
          <cell r="A10732">
            <v>2019</v>
          </cell>
          <cell r="B10732" t="str">
            <v>Actual</v>
          </cell>
          <cell r="C10732" t="str">
            <v>Oct</v>
          </cell>
          <cell r="D10732" t="str">
            <v>Chairs</v>
          </cell>
          <cell r="E10732">
            <v>16872.289000000001</v>
          </cell>
          <cell r="F10732">
            <v>10</v>
          </cell>
        </row>
        <row r="10733">
          <cell r="A10733">
            <v>2018</v>
          </cell>
          <cell r="B10733" t="str">
            <v>Budget</v>
          </cell>
          <cell r="C10733" t="str">
            <v>Oct</v>
          </cell>
          <cell r="D10733" t="str">
            <v>Tables</v>
          </cell>
          <cell r="E10733">
            <v>250.803</v>
          </cell>
          <cell r="F10733">
            <v>10</v>
          </cell>
        </row>
        <row r="10734">
          <cell r="A10734">
            <v>2019</v>
          </cell>
          <cell r="B10734" t="str">
            <v>Actual</v>
          </cell>
          <cell r="C10734" t="str">
            <v>Oct</v>
          </cell>
          <cell r="D10734" t="str">
            <v>Kitchen</v>
          </cell>
          <cell r="E10734">
            <v>6916.1959999999999</v>
          </cell>
          <cell r="F10734">
            <v>10</v>
          </cell>
        </row>
        <row r="10735">
          <cell r="A10735">
            <v>2019</v>
          </cell>
          <cell r="B10735" t="str">
            <v>Budget</v>
          </cell>
          <cell r="C10735" t="str">
            <v>Oct</v>
          </cell>
          <cell r="D10735" t="str">
            <v>Chairs</v>
          </cell>
          <cell r="E10735">
            <v>71020.312999999995</v>
          </cell>
          <cell r="F10735">
            <v>10</v>
          </cell>
        </row>
        <row r="10736">
          <cell r="A10736">
            <v>2019</v>
          </cell>
          <cell r="B10736" t="str">
            <v>Actual</v>
          </cell>
          <cell r="C10736" t="str">
            <v>Oct</v>
          </cell>
          <cell r="D10736" t="str">
            <v>Chairs</v>
          </cell>
          <cell r="E10736">
            <v>167876.78599999999</v>
          </cell>
          <cell r="F10736">
            <v>10</v>
          </cell>
        </row>
        <row r="10737">
          <cell r="A10737">
            <v>2018</v>
          </cell>
          <cell r="B10737" t="str">
            <v>Budget</v>
          </cell>
          <cell r="C10737" t="str">
            <v>Oct</v>
          </cell>
          <cell r="D10737" t="str">
            <v>Chairs</v>
          </cell>
          <cell r="E10737">
            <v>289215.22699999996</v>
          </cell>
          <cell r="F10737">
            <v>10</v>
          </cell>
        </row>
        <row r="10738">
          <cell r="A10738">
            <v>2019</v>
          </cell>
          <cell r="B10738" t="str">
            <v>Actual</v>
          </cell>
          <cell r="C10738" t="str">
            <v>Oct</v>
          </cell>
          <cell r="D10738" t="str">
            <v>Chairs</v>
          </cell>
          <cell r="E10738">
            <v>311057.63499999995</v>
          </cell>
          <cell r="F10738">
            <v>10</v>
          </cell>
        </row>
        <row r="10739">
          <cell r="A10739">
            <v>2018</v>
          </cell>
          <cell r="B10739" t="str">
            <v>Budget</v>
          </cell>
          <cell r="C10739" t="str">
            <v>Oct</v>
          </cell>
          <cell r="D10739" t="str">
            <v>Chairs</v>
          </cell>
          <cell r="E10739">
            <v>51801.063999999998</v>
          </cell>
          <cell r="F10739">
            <v>10</v>
          </cell>
        </row>
        <row r="10740">
          <cell r="A10740">
            <v>2019</v>
          </cell>
          <cell r="B10740" t="str">
            <v>Actual</v>
          </cell>
          <cell r="C10740" t="str">
            <v>Oct</v>
          </cell>
          <cell r="D10740" t="str">
            <v>Chairs</v>
          </cell>
          <cell r="E10740">
            <v>10608.737999999999</v>
          </cell>
          <cell r="F10740">
            <v>10</v>
          </cell>
        </row>
        <row r="10741">
          <cell r="A10741">
            <v>2019</v>
          </cell>
          <cell r="B10741" t="str">
            <v>Budget</v>
          </cell>
          <cell r="C10741" t="str">
            <v>Oct</v>
          </cell>
          <cell r="D10741" t="str">
            <v>Chairs</v>
          </cell>
          <cell r="E10741">
            <v>37112.572</v>
          </cell>
          <cell r="F10741">
            <v>10</v>
          </cell>
        </row>
        <row r="10742">
          <cell r="A10742">
            <v>2019</v>
          </cell>
          <cell r="B10742" t="str">
            <v>Actual</v>
          </cell>
          <cell r="C10742" t="str">
            <v>Oct</v>
          </cell>
          <cell r="D10742" t="str">
            <v>Chairs</v>
          </cell>
          <cell r="E10742">
            <v>130941.72</v>
          </cell>
          <cell r="F10742">
            <v>10</v>
          </cell>
        </row>
        <row r="10743">
          <cell r="A10743">
            <v>2018</v>
          </cell>
          <cell r="B10743" t="str">
            <v>Budget</v>
          </cell>
          <cell r="C10743" t="str">
            <v>Oct</v>
          </cell>
          <cell r="D10743" t="str">
            <v>Chairs</v>
          </cell>
          <cell r="E10743">
            <v>67167.197999999989</v>
          </cell>
          <cell r="F10743">
            <v>10</v>
          </cell>
        </row>
        <row r="10744">
          <cell r="A10744">
            <v>2019</v>
          </cell>
          <cell r="B10744" t="str">
            <v>Actual</v>
          </cell>
          <cell r="C10744" t="str">
            <v>Oct</v>
          </cell>
          <cell r="D10744" t="str">
            <v>Chairs</v>
          </cell>
          <cell r="E10744">
            <v>20022.883999999998</v>
          </cell>
          <cell r="F10744">
            <v>10</v>
          </cell>
        </row>
        <row r="10745">
          <cell r="A10745">
            <v>2019</v>
          </cell>
          <cell r="B10745" t="str">
            <v>Budget</v>
          </cell>
          <cell r="C10745" t="str">
            <v>Oct</v>
          </cell>
          <cell r="D10745" t="str">
            <v>Chairs</v>
          </cell>
          <cell r="E10745">
            <v>15371472.836999999</v>
          </cell>
          <cell r="F10745">
            <v>10</v>
          </cell>
        </row>
        <row r="10746">
          <cell r="A10746">
            <v>2019</v>
          </cell>
          <cell r="B10746" t="str">
            <v>Actual</v>
          </cell>
          <cell r="C10746" t="str">
            <v>Oct</v>
          </cell>
          <cell r="D10746" t="str">
            <v>Chairs</v>
          </cell>
          <cell r="E10746">
            <v>36783.368999999999</v>
          </cell>
          <cell r="F10746">
            <v>10</v>
          </cell>
        </row>
        <row r="10747">
          <cell r="A10747">
            <v>2019</v>
          </cell>
          <cell r="B10747" t="str">
            <v>Budget</v>
          </cell>
          <cell r="C10747" t="str">
            <v>Oct</v>
          </cell>
          <cell r="D10747" t="str">
            <v>Chairs</v>
          </cell>
          <cell r="E10747">
            <v>14543.451999999999</v>
          </cell>
          <cell r="F10747">
            <v>10</v>
          </cell>
        </row>
        <row r="10748">
          <cell r="A10748">
            <v>2018</v>
          </cell>
          <cell r="B10748" t="str">
            <v>Actual</v>
          </cell>
          <cell r="C10748" t="str">
            <v>Oct</v>
          </cell>
          <cell r="D10748" t="str">
            <v>Chairs</v>
          </cell>
          <cell r="E10748">
            <v>82077.029999999984</v>
          </cell>
          <cell r="F10748">
            <v>10</v>
          </cell>
        </row>
        <row r="10749">
          <cell r="A10749">
            <v>2019</v>
          </cell>
          <cell r="B10749" t="str">
            <v>Budget</v>
          </cell>
          <cell r="C10749" t="str">
            <v>Oct</v>
          </cell>
          <cell r="D10749" t="str">
            <v>Chairs</v>
          </cell>
          <cell r="E10749">
            <v>123023.712</v>
          </cell>
          <cell r="F10749">
            <v>10</v>
          </cell>
        </row>
        <row r="10750">
          <cell r="A10750">
            <v>2018</v>
          </cell>
          <cell r="B10750" t="str">
            <v>Actual</v>
          </cell>
          <cell r="C10750" t="str">
            <v>Oct</v>
          </cell>
          <cell r="D10750" t="str">
            <v>Chairs</v>
          </cell>
          <cell r="E10750">
            <v>246228.06599999999</v>
          </cell>
          <cell r="F10750">
            <v>10</v>
          </cell>
        </row>
        <row r="10751">
          <cell r="A10751">
            <v>2018</v>
          </cell>
          <cell r="B10751" t="str">
            <v>Budget</v>
          </cell>
          <cell r="C10751" t="str">
            <v>Oct</v>
          </cell>
          <cell r="D10751" t="str">
            <v>Chairs</v>
          </cell>
          <cell r="E10751">
            <v>98413.062999999995</v>
          </cell>
          <cell r="F10751">
            <v>10</v>
          </cell>
        </row>
        <row r="10752">
          <cell r="A10752">
            <v>2018</v>
          </cell>
          <cell r="B10752" t="str">
            <v>Actual</v>
          </cell>
          <cell r="C10752" t="str">
            <v>Oct</v>
          </cell>
          <cell r="D10752" t="str">
            <v>Chairs</v>
          </cell>
          <cell r="E10752">
            <v>5194712.6279999996</v>
          </cell>
          <cell r="F10752">
            <v>10</v>
          </cell>
        </row>
        <row r="10753">
          <cell r="A10753">
            <v>2018</v>
          </cell>
          <cell r="B10753" t="str">
            <v>Budget</v>
          </cell>
          <cell r="C10753" t="str">
            <v>Oct</v>
          </cell>
          <cell r="D10753" t="str">
            <v>Chairs</v>
          </cell>
          <cell r="E10753">
            <v>116350.16399999999</v>
          </cell>
          <cell r="F10753">
            <v>10</v>
          </cell>
        </row>
        <row r="10754">
          <cell r="A10754">
            <v>2019</v>
          </cell>
          <cell r="B10754" t="str">
            <v>Actual</v>
          </cell>
          <cell r="C10754" t="str">
            <v>Oct</v>
          </cell>
          <cell r="D10754" t="str">
            <v>Chairs</v>
          </cell>
          <cell r="E10754">
            <v>36352.616999999998</v>
          </cell>
          <cell r="F10754">
            <v>10</v>
          </cell>
        </row>
        <row r="10755">
          <cell r="A10755">
            <v>2018</v>
          </cell>
          <cell r="B10755" t="str">
            <v>Budget</v>
          </cell>
          <cell r="C10755" t="str">
            <v>Oct</v>
          </cell>
          <cell r="D10755" t="str">
            <v>Chairs</v>
          </cell>
          <cell r="E10755">
            <v>671931.63799999992</v>
          </cell>
          <cell r="F10755">
            <v>10</v>
          </cell>
        </row>
        <row r="10756">
          <cell r="A10756">
            <v>2018</v>
          </cell>
          <cell r="B10756" t="str">
            <v>Actual</v>
          </cell>
          <cell r="C10756" t="str">
            <v>Oct</v>
          </cell>
          <cell r="D10756" t="str">
            <v>Chairs</v>
          </cell>
          <cell r="E10756">
            <v>306519.74499999994</v>
          </cell>
          <cell r="F10756">
            <v>10</v>
          </cell>
        </row>
        <row r="10757">
          <cell r="A10757">
            <v>2018</v>
          </cell>
          <cell r="B10757" t="str">
            <v>Budget</v>
          </cell>
          <cell r="C10757" t="str">
            <v>Oct</v>
          </cell>
          <cell r="D10757" t="str">
            <v>Chairs</v>
          </cell>
          <cell r="E10757">
            <v>6054643.9100000001</v>
          </cell>
          <cell r="F10757">
            <v>10</v>
          </cell>
        </row>
        <row r="10758">
          <cell r="A10758">
            <v>2018</v>
          </cell>
          <cell r="B10758" t="str">
            <v>Actual</v>
          </cell>
          <cell r="C10758" t="str">
            <v>Oct</v>
          </cell>
          <cell r="D10758" t="str">
            <v>Chairs</v>
          </cell>
          <cell r="E10758">
            <v>899749.29799999984</v>
          </cell>
          <cell r="F10758">
            <v>10</v>
          </cell>
        </row>
        <row r="10759">
          <cell r="A10759">
            <v>2018</v>
          </cell>
          <cell r="B10759" t="str">
            <v>Budget</v>
          </cell>
          <cell r="C10759" t="str">
            <v>Oct</v>
          </cell>
          <cell r="D10759" t="str">
            <v>Chairs</v>
          </cell>
          <cell r="E10759">
            <v>849691.19900000002</v>
          </cell>
          <cell r="F10759">
            <v>10</v>
          </cell>
        </row>
        <row r="10760">
          <cell r="A10760">
            <v>2019</v>
          </cell>
          <cell r="B10760" t="str">
            <v>Actual</v>
          </cell>
          <cell r="C10760" t="str">
            <v>Oct</v>
          </cell>
          <cell r="D10760" t="str">
            <v>Chairs</v>
          </cell>
          <cell r="E10760">
            <v>590789.31799999997</v>
          </cell>
          <cell r="F10760">
            <v>10</v>
          </cell>
        </row>
        <row r="10761">
          <cell r="A10761">
            <v>2019</v>
          </cell>
          <cell r="B10761" t="str">
            <v>Budget</v>
          </cell>
          <cell r="C10761" t="str">
            <v>Oct</v>
          </cell>
          <cell r="D10761" t="str">
            <v>Tables</v>
          </cell>
          <cell r="E10761">
            <v>303707.43199999997</v>
          </cell>
          <cell r="F10761">
            <v>10</v>
          </cell>
        </row>
        <row r="10762">
          <cell r="A10762">
            <v>2018</v>
          </cell>
          <cell r="B10762" t="str">
            <v>Actual</v>
          </cell>
          <cell r="C10762" t="str">
            <v>Oct</v>
          </cell>
          <cell r="D10762" t="str">
            <v>Kitchen</v>
          </cell>
          <cell r="E10762">
            <v>164183.579</v>
          </cell>
          <cell r="F10762">
            <v>10</v>
          </cell>
        </row>
        <row r="10763">
          <cell r="A10763">
            <v>2019</v>
          </cell>
          <cell r="B10763" t="str">
            <v>Budget</v>
          </cell>
          <cell r="C10763" t="str">
            <v>Oct</v>
          </cell>
          <cell r="D10763" t="str">
            <v>Chairs</v>
          </cell>
          <cell r="E10763">
            <v>180889.36599999998</v>
          </cell>
          <cell r="F10763">
            <v>10</v>
          </cell>
        </row>
        <row r="10764">
          <cell r="A10764">
            <v>2019</v>
          </cell>
          <cell r="B10764" t="str">
            <v>Actual</v>
          </cell>
          <cell r="C10764" t="str">
            <v>Oct</v>
          </cell>
          <cell r="D10764" t="str">
            <v>Chairs</v>
          </cell>
          <cell r="E10764">
            <v>335315.022</v>
          </cell>
          <cell r="F10764">
            <v>10</v>
          </cell>
        </row>
        <row r="10765">
          <cell r="A10765">
            <v>2018</v>
          </cell>
          <cell r="B10765" t="str">
            <v>Budget</v>
          </cell>
          <cell r="C10765" t="str">
            <v>Oct</v>
          </cell>
          <cell r="D10765" t="str">
            <v>Chairs</v>
          </cell>
          <cell r="E10765">
            <v>499156.73499999999</v>
          </cell>
          <cell r="F10765">
            <v>10</v>
          </cell>
        </row>
        <row r="10766">
          <cell r="A10766">
            <v>2018</v>
          </cell>
          <cell r="B10766" t="str">
            <v>Actual</v>
          </cell>
          <cell r="C10766" t="str">
            <v>Oct</v>
          </cell>
          <cell r="D10766" t="str">
            <v>Chairs</v>
          </cell>
          <cell r="E10766">
            <v>30986.675999999999</v>
          </cell>
          <cell r="F10766">
            <v>10</v>
          </cell>
        </row>
        <row r="10767">
          <cell r="A10767">
            <v>2019</v>
          </cell>
          <cell r="B10767" t="str">
            <v>Budget</v>
          </cell>
          <cell r="C10767" t="str">
            <v>Oct</v>
          </cell>
          <cell r="D10767" t="str">
            <v>Chairs</v>
          </cell>
          <cell r="E10767">
            <v>187269.28499999997</v>
          </cell>
          <cell r="F10767">
            <v>10</v>
          </cell>
        </row>
        <row r="10768">
          <cell r="A10768">
            <v>2018</v>
          </cell>
          <cell r="B10768" t="str">
            <v>Actual</v>
          </cell>
          <cell r="C10768" t="str">
            <v>Oct</v>
          </cell>
          <cell r="D10768" t="str">
            <v>Tables</v>
          </cell>
          <cell r="E10768">
            <v>444896.33299999993</v>
          </cell>
          <cell r="F10768">
            <v>10</v>
          </cell>
        </row>
        <row r="10769">
          <cell r="A10769">
            <v>2018</v>
          </cell>
          <cell r="B10769" t="str">
            <v>Budget</v>
          </cell>
          <cell r="C10769" t="str">
            <v>Oct</v>
          </cell>
          <cell r="D10769" t="str">
            <v>Kitchen</v>
          </cell>
          <cell r="E10769">
            <v>116217.283</v>
          </cell>
          <cell r="F10769">
            <v>10</v>
          </cell>
        </row>
        <row r="10770">
          <cell r="A10770">
            <v>2018</v>
          </cell>
          <cell r="B10770" t="str">
            <v>Actual</v>
          </cell>
          <cell r="C10770" t="str">
            <v>Oct</v>
          </cell>
          <cell r="D10770" t="str">
            <v>Chairs</v>
          </cell>
          <cell r="E10770">
            <v>19608.777999999998</v>
          </cell>
          <cell r="F10770">
            <v>10</v>
          </cell>
        </row>
        <row r="10771">
          <cell r="A10771">
            <v>2018</v>
          </cell>
          <cell r="B10771" t="str">
            <v>Budget</v>
          </cell>
          <cell r="C10771" t="str">
            <v>Oct</v>
          </cell>
          <cell r="D10771" t="str">
            <v>Chairs</v>
          </cell>
          <cell r="E10771">
            <v>498980.02699999994</v>
          </cell>
          <cell r="F10771">
            <v>10</v>
          </cell>
        </row>
        <row r="10772">
          <cell r="A10772">
            <v>2019</v>
          </cell>
          <cell r="B10772" t="str">
            <v>Actual</v>
          </cell>
          <cell r="C10772" t="str">
            <v>Oct</v>
          </cell>
          <cell r="D10772" t="str">
            <v>Chairs</v>
          </cell>
          <cell r="E10772">
            <v>1198129.5409999997</v>
          </cell>
          <cell r="F10772">
            <v>10</v>
          </cell>
        </row>
        <row r="10773">
          <cell r="A10773">
            <v>2019</v>
          </cell>
          <cell r="B10773" t="str">
            <v>Budget</v>
          </cell>
          <cell r="C10773" t="str">
            <v>Oct</v>
          </cell>
          <cell r="D10773" t="str">
            <v>Tables</v>
          </cell>
          <cell r="E10773">
            <v>36486.506000000001</v>
          </cell>
          <cell r="F10773">
            <v>10</v>
          </cell>
        </row>
        <row r="10774">
          <cell r="A10774">
            <v>2019</v>
          </cell>
          <cell r="B10774" t="str">
            <v>Actual</v>
          </cell>
          <cell r="C10774" t="str">
            <v>Oct</v>
          </cell>
          <cell r="D10774" t="str">
            <v>Kitchen</v>
          </cell>
          <cell r="E10774">
            <v>34443.590999999993</v>
          </cell>
          <cell r="F10774">
            <v>10</v>
          </cell>
        </row>
        <row r="10775">
          <cell r="A10775">
            <v>2018</v>
          </cell>
          <cell r="B10775" t="str">
            <v>Budget</v>
          </cell>
          <cell r="C10775" t="str">
            <v>Oct</v>
          </cell>
          <cell r="D10775" t="str">
            <v>Chairs</v>
          </cell>
          <cell r="E10775">
            <v>305259.68900000001</v>
          </cell>
          <cell r="F10775">
            <v>10</v>
          </cell>
        </row>
        <row r="10776">
          <cell r="A10776">
            <v>2019</v>
          </cell>
          <cell r="B10776" t="str">
            <v>Actual</v>
          </cell>
          <cell r="C10776" t="str">
            <v>Oct</v>
          </cell>
          <cell r="D10776" t="str">
            <v>Chairs</v>
          </cell>
          <cell r="E10776">
            <v>172144.28</v>
          </cell>
          <cell r="F10776">
            <v>10</v>
          </cell>
        </row>
        <row r="10777">
          <cell r="A10777">
            <v>2018</v>
          </cell>
          <cell r="B10777" t="str">
            <v>Budget</v>
          </cell>
          <cell r="C10777" t="str">
            <v>Oct</v>
          </cell>
          <cell r="D10777" t="str">
            <v>Tables</v>
          </cell>
          <cell r="E10777">
            <v>19978.776999999998</v>
          </cell>
          <cell r="F10777">
            <v>10</v>
          </cell>
        </row>
        <row r="10778">
          <cell r="A10778">
            <v>2019</v>
          </cell>
          <cell r="B10778" t="str">
            <v>Actual</v>
          </cell>
          <cell r="C10778" t="str">
            <v>Oct</v>
          </cell>
          <cell r="D10778" t="str">
            <v>Kitchen</v>
          </cell>
          <cell r="E10778">
            <v>54718.404999999992</v>
          </cell>
          <cell r="F10778">
            <v>10</v>
          </cell>
        </row>
        <row r="10779">
          <cell r="A10779">
            <v>2018</v>
          </cell>
          <cell r="B10779" t="str">
            <v>Budget</v>
          </cell>
          <cell r="C10779" t="str">
            <v>Oct</v>
          </cell>
          <cell r="D10779" t="str">
            <v>Chairs</v>
          </cell>
          <cell r="E10779">
            <v>20196.259999999998</v>
          </cell>
          <cell r="F10779">
            <v>10</v>
          </cell>
        </row>
        <row r="10780">
          <cell r="A10780">
            <v>2018</v>
          </cell>
          <cell r="B10780" t="str">
            <v>Actual</v>
          </cell>
          <cell r="C10780" t="str">
            <v>Oct</v>
          </cell>
          <cell r="D10780" t="str">
            <v>Chairs</v>
          </cell>
          <cell r="E10780">
            <v>27691.055</v>
          </cell>
          <cell r="F10780">
            <v>10</v>
          </cell>
        </row>
        <row r="10781">
          <cell r="A10781">
            <v>2019</v>
          </cell>
          <cell r="B10781" t="str">
            <v>Budget</v>
          </cell>
          <cell r="C10781" t="str">
            <v>Oct</v>
          </cell>
          <cell r="D10781" t="str">
            <v>Chairs</v>
          </cell>
          <cell r="E10781">
            <v>63715.567999999999</v>
          </cell>
          <cell r="F10781">
            <v>10</v>
          </cell>
        </row>
        <row r="10782">
          <cell r="A10782">
            <v>2019</v>
          </cell>
          <cell r="B10782" t="str">
            <v>Actual</v>
          </cell>
          <cell r="C10782" t="str">
            <v>Oct</v>
          </cell>
          <cell r="D10782" t="str">
            <v>Tables</v>
          </cell>
          <cell r="E10782">
            <v>50576.525999999991</v>
          </cell>
          <cell r="F10782">
            <v>10</v>
          </cell>
        </row>
        <row r="10783">
          <cell r="A10783">
            <v>2018</v>
          </cell>
          <cell r="B10783" t="str">
            <v>Budget</v>
          </cell>
          <cell r="C10783" t="str">
            <v>Oct</v>
          </cell>
          <cell r="D10783" t="str">
            <v>Kitchen</v>
          </cell>
          <cell r="E10783">
            <v>267827.658</v>
          </cell>
          <cell r="F10783">
            <v>10</v>
          </cell>
        </row>
        <row r="10784">
          <cell r="A10784">
            <v>2018</v>
          </cell>
          <cell r="B10784" t="str">
            <v>Actual</v>
          </cell>
          <cell r="C10784" t="str">
            <v>Oct</v>
          </cell>
          <cell r="D10784" t="str">
            <v>Accessories</v>
          </cell>
          <cell r="E10784">
            <v>94045.644</v>
          </cell>
          <cell r="F10784">
            <v>10</v>
          </cell>
        </row>
        <row r="10785">
          <cell r="A10785">
            <v>2019</v>
          </cell>
          <cell r="B10785" t="str">
            <v>Budget</v>
          </cell>
          <cell r="C10785" t="str">
            <v>Oct</v>
          </cell>
          <cell r="D10785" t="str">
            <v>Chairs</v>
          </cell>
          <cell r="E10785">
            <v>32429.634999999998</v>
          </cell>
          <cell r="F10785">
            <v>10</v>
          </cell>
        </row>
        <row r="10786">
          <cell r="A10786">
            <v>2018</v>
          </cell>
          <cell r="B10786" t="str">
            <v>Actual</v>
          </cell>
          <cell r="C10786" t="str">
            <v>Oct</v>
          </cell>
          <cell r="D10786" t="str">
            <v>Tables</v>
          </cell>
          <cell r="E10786">
            <v>25951.534</v>
          </cell>
          <cell r="F10786">
            <v>10</v>
          </cell>
        </row>
        <row r="10787">
          <cell r="A10787">
            <v>2018</v>
          </cell>
          <cell r="B10787" t="str">
            <v>Budget</v>
          </cell>
          <cell r="C10787" t="str">
            <v>Oct</v>
          </cell>
          <cell r="D10787" t="str">
            <v>Kitchen</v>
          </cell>
          <cell r="E10787">
            <v>31248.202999999998</v>
          </cell>
          <cell r="F10787">
            <v>10</v>
          </cell>
        </row>
        <row r="10788">
          <cell r="A10788">
            <v>2018</v>
          </cell>
          <cell r="B10788" t="str">
            <v>Actual</v>
          </cell>
          <cell r="C10788" t="str">
            <v>Oct</v>
          </cell>
          <cell r="D10788" t="str">
            <v>Accessories</v>
          </cell>
          <cell r="E10788">
            <v>25160.771999999997</v>
          </cell>
          <cell r="F10788">
            <v>10</v>
          </cell>
        </row>
        <row r="10789">
          <cell r="A10789">
            <v>2018</v>
          </cell>
          <cell r="B10789" t="str">
            <v>Budget</v>
          </cell>
          <cell r="C10789" t="str">
            <v>Oct</v>
          </cell>
          <cell r="D10789" t="str">
            <v>Chairs</v>
          </cell>
          <cell r="E10789">
            <v>37449.817999999999</v>
          </cell>
          <cell r="F10789">
            <v>10</v>
          </cell>
        </row>
        <row r="10790">
          <cell r="A10790">
            <v>2019</v>
          </cell>
          <cell r="B10790" t="str">
            <v>Actual</v>
          </cell>
          <cell r="C10790" t="str">
            <v>Oct</v>
          </cell>
          <cell r="D10790" t="str">
            <v>Tables</v>
          </cell>
          <cell r="E10790">
            <v>49429.827999999994</v>
          </cell>
          <cell r="F10790">
            <v>10</v>
          </cell>
        </row>
        <row r="10791">
          <cell r="A10791">
            <v>2019</v>
          </cell>
          <cell r="B10791" t="str">
            <v>Budget</v>
          </cell>
          <cell r="C10791" t="str">
            <v>Oct</v>
          </cell>
          <cell r="D10791" t="str">
            <v>Kitchen</v>
          </cell>
          <cell r="E10791">
            <v>30656.499999999996</v>
          </cell>
          <cell r="F10791">
            <v>10</v>
          </cell>
        </row>
        <row r="10792">
          <cell r="A10792">
            <v>2018</v>
          </cell>
          <cell r="B10792" t="str">
            <v>Actual</v>
          </cell>
          <cell r="C10792" t="str">
            <v>Oct</v>
          </cell>
          <cell r="D10792" t="str">
            <v>Accessories</v>
          </cell>
          <cell r="E10792">
            <v>17421.089</v>
          </cell>
          <cell r="F10792">
            <v>10</v>
          </cell>
        </row>
        <row r="10793">
          <cell r="A10793">
            <v>2018</v>
          </cell>
          <cell r="B10793" t="str">
            <v>Budget</v>
          </cell>
          <cell r="C10793" t="str">
            <v>Oct</v>
          </cell>
          <cell r="D10793" t="str">
            <v>Chairs</v>
          </cell>
          <cell r="E10793">
            <v>74229.056999999986</v>
          </cell>
          <cell r="F10793">
            <v>10</v>
          </cell>
        </row>
        <row r="10794">
          <cell r="A10794">
            <v>2018</v>
          </cell>
          <cell r="B10794" t="str">
            <v>Actual</v>
          </cell>
          <cell r="C10794" t="str">
            <v>Oct</v>
          </cell>
          <cell r="D10794" t="str">
            <v>Tables</v>
          </cell>
          <cell r="E10794">
            <v>62145.845999999998</v>
          </cell>
          <cell r="F10794">
            <v>10</v>
          </cell>
        </row>
        <row r="10795">
          <cell r="A10795">
            <v>2018</v>
          </cell>
          <cell r="B10795" t="str">
            <v>Budget</v>
          </cell>
          <cell r="C10795" t="str">
            <v>Oct</v>
          </cell>
          <cell r="D10795" t="str">
            <v>Kitchen</v>
          </cell>
          <cell r="E10795">
            <v>83092.183999999994</v>
          </cell>
          <cell r="F10795">
            <v>10</v>
          </cell>
        </row>
        <row r="10796">
          <cell r="A10796">
            <v>2018</v>
          </cell>
          <cell r="B10796" t="str">
            <v>Actual</v>
          </cell>
          <cell r="C10796" t="str">
            <v>Oct</v>
          </cell>
          <cell r="D10796" t="str">
            <v>Accessories</v>
          </cell>
          <cell r="E10796">
            <v>166208.875</v>
          </cell>
          <cell r="F10796">
            <v>10</v>
          </cell>
        </row>
        <row r="10797">
          <cell r="A10797">
            <v>2018</v>
          </cell>
          <cell r="B10797" t="str">
            <v>Budget</v>
          </cell>
          <cell r="C10797" t="str">
            <v>Oct</v>
          </cell>
          <cell r="D10797" t="str">
            <v>Chairs</v>
          </cell>
          <cell r="E10797">
            <v>557733.78500000003</v>
          </cell>
          <cell r="F10797">
            <v>10</v>
          </cell>
        </row>
        <row r="10798">
          <cell r="A10798">
            <v>2019</v>
          </cell>
          <cell r="B10798" t="str">
            <v>Actual</v>
          </cell>
          <cell r="C10798" t="str">
            <v>Oct</v>
          </cell>
          <cell r="D10798" t="str">
            <v>Chairs</v>
          </cell>
          <cell r="E10798">
            <v>572219.99099999992</v>
          </cell>
          <cell r="F10798">
            <v>10</v>
          </cell>
        </row>
        <row r="10799">
          <cell r="A10799">
            <v>2018</v>
          </cell>
          <cell r="B10799" t="str">
            <v>Budget</v>
          </cell>
          <cell r="C10799" t="str">
            <v>Oct</v>
          </cell>
          <cell r="D10799" t="str">
            <v>Tables</v>
          </cell>
          <cell r="E10799">
            <v>336074.61999999994</v>
          </cell>
          <cell r="F10799">
            <v>10</v>
          </cell>
        </row>
        <row r="10800">
          <cell r="A10800">
            <v>2019</v>
          </cell>
          <cell r="B10800" t="str">
            <v>Actual</v>
          </cell>
          <cell r="C10800" t="str">
            <v>Oct</v>
          </cell>
          <cell r="D10800" t="str">
            <v>Kitchen</v>
          </cell>
          <cell r="E10800">
            <v>431676.50399999996</v>
          </cell>
          <cell r="F10800">
            <v>10</v>
          </cell>
        </row>
        <row r="10801">
          <cell r="A10801">
            <v>2019</v>
          </cell>
          <cell r="B10801" t="str">
            <v>Budget</v>
          </cell>
          <cell r="C10801" t="str">
            <v>Oct</v>
          </cell>
          <cell r="D10801" t="str">
            <v>Chairs</v>
          </cell>
          <cell r="E10801">
            <v>36990.729999999996</v>
          </cell>
          <cell r="F10801">
            <v>10</v>
          </cell>
        </row>
        <row r="10802">
          <cell r="A10802">
            <v>2019</v>
          </cell>
          <cell r="B10802" t="str">
            <v>Actual</v>
          </cell>
          <cell r="C10802" t="str">
            <v>Oct</v>
          </cell>
          <cell r="D10802" t="str">
            <v>Tables</v>
          </cell>
          <cell r="E10802">
            <v>82181.50499999999</v>
          </cell>
          <cell r="F10802">
            <v>10</v>
          </cell>
        </row>
        <row r="10803">
          <cell r="A10803">
            <v>2019</v>
          </cell>
          <cell r="B10803" t="str">
            <v>Budget</v>
          </cell>
          <cell r="C10803" t="str">
            <v>Oct</v>
          </cell>
          <cell r="D10803" t="str">
            <v>Kitchen</v>
          </cell>
          <cell r="E10803">
            <v>72252.221999999994</v>
          </cell>
          <cell r="F10803">
            <v>10</v>
          </cell>
        </row>
        <row r="10804">
          <cell r="A10804">
            <v>2018</v>
          </cell>
          <cell r="B10804" t="str">
            <v>Actual</v>
          </cell>
          <cell r="C10804" t="str">
            <v>Oct</v>
          </cell>
          <cell r="D10804" t="str">
            <v>Chairs</v>
          </cell>
          <cell r="E10804">
            <v>179063.78699999998</v>
          </cell>
          <cell r="F10804">
            <v>10</v>
          </cell>
        </row>
        <row r="10805">
          <cell r="A10805">
            <v>2018</v>
          </cell>
          <cell r="B10805" t="str">
            <v>Budget</v>
          </cell>
          <cell r="C10805" t="str">
            <v>Oct</v>
          </cell>
          <cell r="D10805" t="str">
            <v>Tables</v>
          </cell>
          <cell r="E10805">
            <v>860007.79200000002</v>
          </cell>
          <cell r="F10805">
            <v>10</v>
          </cell>
        </row>
        <row r="10806">
          <cell r="A10806">
            <v>2018</v>
          </cell>
          <cell r="B10806" t="str">
            <v>Actual</v>
          </cell>
          <cell r="C10806" t="str">
            <v>Oct</v>
          </cell>
          <cell r="D10806" t="str">
            <v>Kitchen</v>
          </cell>
          <cell r="E10806">
            <v>51572.443999999996</v>
          </cell>
          <cell r="F10806">
            <v>10</v>
          </cell>
        </row>
        <row r="10807">
          <cell r="A10807">
            <v>2018</v>
          </cell>
          <cell r="B10807" t="str">
            <v>Budget</v>
          </cell>
          <cell r="C10807" t="str">
            <v>Oct</v>
          </cell>
          <cell r="D10807" t="str">
            <v>Chairs</v>
          </cell>
          <cell r="E10807">
            <v>27775.656999999999</v>
          </cell>
          <cell r="F10807">
            <v>10</v>
          </cell>
        </row>
        <row r="10808">
          <cell r="A10808">
            <v>2018</v>
          </cell>
          <cell r="B10808" t="str">
            <v>Actual</v>
          </cell>
          <cell r="C10808" t="str">
            <v>Oct</v>
          </cell>
          <cell r="D10808" t="str">
            <v>Chairs</v>
          </cell>
          <cell r="E10808">
            <v>22223.663</v>
          </cell>
          <cell r="F10808">
            <v>10</v>
          </cell>
        </row>
        <row r="10809">
          <cell r="A10809">
            <v>2018</v>
          </cell>
          <cell r="B10809" t="str">
            <v>Budget</v>
          </cell>
          <cell r="C10809" t="str">
            <v>Oct</v>
          </cell>
          <cell r="D10809" t="str">
            <v>Chairs</v>
          </cell>
          <cell r="E10809">
            <v>15666.293999999998</v>
          </cell>
          <cell r="F10809">
            <v>10</v>
          </cell>
        </row>
        <row r="10810">
          <cell r="A10810">
            <v>2018</v>
          </cell>
          <cell r="B10810" t="str">
            <v>Actual</v>
          </cell>
          <cell r="C10810" t="str">
            <v>Oct</v>
          </cell>
          <cell r="D10810" t="str">
            <v>Chairs</v>
          </cell>
          <cell r="E10810">
            <v>26510.994999999999</v>
          </cell>
          <cell r="F10810">
            <v>10</v>
          </cell>
        </row>
        <row r="10811">
          <cell r="A10811">
            <v>2019</v>
          </cell>
          <cell r="B10811" t="str">
            <v>Budget</v>
          </cell>
          <cell r="C10811" t="str">
            <v>Oct</v>
          </cell>
          <cell r="D10811" t="str">
            <v>Chairs</v>
          </cell>
          <cell r="E10811">
            <v>49744.533999999992</v>
          </cell>
          <cell r="F10811">
            <v>10</v>
          </cell>
        </row>
        <row r="10812">
          <cell r="A10812">
            <v>2019</v>
          </cell>
          <cell r="B10812" t="str">
            <v>Actual</v>
          </cell>
          <cell r="C10812" t="str">
            <v>Oct</v>
          </cell>
          <cell r="D10812" t="str">
            <v>Chairs</v>
          </cell>
          <cell r="E10812">
            <v>13976.143999999998</v>
          </cell>
          <cell r="F10812">
            <v>10</v>
          </cell>
        </row>
        <row r="10813">
          <cell r="A10813">
            <v>2018</v>
          </cell>
          <cell r="B10813" t="str">
            <v>Budget</v>
          </cell>
          <cell r="C10813" t="str">
            <v>Oct</v>
          </cell>
          <cell r="D10813" t="str">
            <v>Chairs</v>
          </cell>
          <cell r="E10813">
            <v>2130004.5129999998</v>
          </cell>
          <cell r="F10813">
            <v>10</v>
          </cell>
        </row>
        <row r="10814">
          <cell r="A10814">
            <v>2019</v>
          </cell>
          <cell r="B10814" t="str">
            <v>Actual</v>
          </cell>
          <cell r="C10814" t="str">
            <v>Oct</v>
          </cell>
          <cell r="D10814" t="str">
            <v>Chairs</v>
          </cell>
          <cell r="E10814">
            <v>28681.519999999997</v>
          </cell>
          <cell r="F10814">
            <v>10</v>
          </cell>
        </row>
        <row r="10815">
          <cell r="A10815">
            <v>2019</v>
          </cell>
          <cell r="B10815" t="str">
            <v>Budget</v>
          </cell>
          <cell r="C10815" t="str">
            <v>Oct</v>
          </cell>
          <cell r="D10815" t="str">
            <v>Chairs</v>
          </cell>
          <cell r="E10815">
            <v>22739.800999999999</v>
          </cell>
          <cell r="F10815">
            <v>10</v>
          </cell>
        </row>
        <row r="10816">
          <cell r="A10816">
            <v>2018</v>
          </cell>
          <cell r="B10816" t="str">
            <v>Actual</v>
          </cell>
          <cell r="C10816" t="str">
            <v>Oct</v>
          </cell>
          <cell r="D10816" t="str">
            <v>Chairs</v>
          </cell>
          <cell r="E10816">
            <v>82635.98</v>
          </cell>
          <cell r="F10816">
            <v>10</v>
          </cell>
        </row>
        <row r="10817">
          <cell r="A10817">
            <v>2019</v>
          </cell>
          <cell r="B10817" t="str">
            <v>Budget</v>
          </cell>
          <cell r="C10817" t="str">
            <v>Oct</v>
          </cell>
          <cell r="D10817" t="str">
            <v>Chairs</v>
          </cell>
          <cell r="E10817">
            <v>202909.42699999997</v>
          </cell>
          <cell r="F10817">
            <v>10</v>
          </cell>
        </row>
        <row r="10818">
          <cell r="A10818">
            <v>2019</v>
          </cell>
          <cell r="B10818" t="str">
            <v>Actual</v>
          </cell>
          <cell r="C10818" t="str">
            <v>Oct</v>
          </cell>
          <cell r="D10818" t="str">
            <v>Chairs</v>
          </cell>
          <cell r="E10818">
            <v>1484348.25</v>
          </cell>
          <cell r="F10818">
            <v>10</v>
          </cell>
        </row>
        <row r="10819">
          <cell r="A10819">
            <v>2018</v>
          </cell>
          <cell r="B10819" t="str">
            <v>Budget</v>
          </cell>
          <cell r="C10819" t="str">
            <v>Oct</v>
          </cell>
          <cell r="D10819" t="str">
            <v>Chairs</v>
          </cell>
          <cell r="E10819">
            <v>117370.83399999999</v>
          </cell>
          <cell r="F10819">
            <v>10</v>
          </cell>
        </row>
        <row r="10820">
          <cell r="A10820">
            <v>2018</v>
          </cell>
          <cell r="B10820" t="str">
            <v>Actual</v>
          </cell>
          <cell r="C10820" t="str">
            <v>Oct</v>
          </cell>
          <cell r="D10820" t="str">
            <v>Chairs</v>
          </cell>
          <cell r="E10820">
            <v>1523727.429</v>
          </cell>
          <cell r="F10820">
            <v>10</v>
          </cell>
        </row>
        <row r="10821">
          <cell r="A10821">
            <v>2019</v>
          </cell>
          <cell r="B10821" t="str">
            <v>Budget</v>
          </cell>
          <cell r="C10821" t="str">
            <v>Oct</v>
          </cell>
          <cell r="D10821" t="str">
            <v>Chairs</v>
          </cell>
          <cell r="E10821">
            <v>330830.00299999997</v>
          </cell>
          <cell r="F10821">
            <v>10</v>
          </cell>
        </row>
        <row r="10822">
          <cell r="A10822">
            <v>2019</v>
          </cell>
          <cell r="B10822" t="str">
            <v>Actual</v>
          </cell>
          <cell r="C10822" t="str">
            <v>Oct</v>
          </cell>
          <cell r="D10822" t="str">
            <v>Chairs</v>
          </cell>
          <cell r="E10822">
            <v>129588.03199999999</v>
          </cell>
          <cell r="F10822">
            <v>10</v>
          </cell>
        </row>
        <row r="10823">
          <cell r="A10823">
            <v>2018</v>
          </cell>
          <cell r="B10823" t="str">
            <v>Budget</v>
          </cell>
          <cell r="C10823" t="str">
            <v>Oct</v>
          </cell>
          <cell r="D10823" t="str">
            <v>Chairs</v>
          </cell>
          <cell r="E10823">
            <v>148792.55299999999</v>
          </cell>
          <cell r="F10823">
            <v>10</v>
          </cell>
        </row>
        <row r="10824">
          <cell r="A10824">
            <v>2018</v>
          </cell>
          <cell r="B10824" t="str">
            <v>Actual</v>
          </cell>
          <cell r="C10824" t="str">
            <v>Oct</v>
          </cell>
          <cell r="D10824" t="str">
            <v>Chairs</v>
          </cell>
          <cell r="E10824">
            <v>114363.333</v>
          </cell>
          <cell r="F10824">
            <v>10</v>
          </cell>
        </row>
        <row r="10825">
          <cell r="A10825">
            <v>2018</v>
          </cell>
          <cell r="B10825" t="str">
            <v>Budget</v>
          </cell>
          <cell r="C10825" t="str">
            <v>Oct</v>
          </cell>
          <cell r="D10825" t="str">
            <v>Chairs</v>
          </cell>
          <cell r="E10825">
            <v>88909.281999999992</v>
          </cell>
          <cell r="F10825">
            <v>10</v>
          </cell>
        </row>
        <row r="10826">
          <cell r="A10826">
            <v>2018</v>
          </cell>
          <cell r="B10826" t="str">
            <v>Actual</v>
          </cell>
          <cell r="C10826" t="str">
            <v>Oct</v>
          </cell>
          <cell r="D10826" t="str">
            <v>Chairs</v>
          </cell>
          <cell r="E10826">
            <v>737143.32299999986</v>
          </cell>
          <cell r="F10826">
            <v>10</v>
          </cell>
        </row>
        <row r="10827">
          <cell r="A10827">
            <v>2018</v>
          </cell>
          <cell r="B10827" t="str">
            <v>Budget</v>
          </cell>
          <cell r="C10827" t="str">
            <v>Oct</v>
          </cell>
          <cell r="D10827" t="str">
            <v>Chairs</v>
          </cell>
          <cell r="E10827">
            <v>238038.26899999997</v>
          </cell>
          <cell r="F10827">
            <v>10</v>
          </cell>
        </row>
        <row r="10828">
          <cell r="A10828">
            <v>2018</v>
          </cell>
          <cell r="B10828" t="str">
            <v>Actual</v>
          </cell>
          <cell r="C10828" t="str">
            <v>Oct</v>
          </cell>
          <cell r="D10828" t="str">
            <v>Chairs</v>
          </cell>
          <cell r="E10828">
            <v>330676.05899999995</v>
          </cell>
          <cell r="F10828">
            <v>10</v>
          </cell>
        </row>
        <row r="10829">
          <cell r="A10829">
            <v>2019</v>
          </cell>
          <cell r="B10829" t="str">
            <v>Budget</v>
          </cell>
          <cell r="C10829" t="str">
            <v>Oct</v>
          </cell>
          <cell r="D10829" t="str">
            <v>Chairs</v>
          </cell>
          <cell r="E10829">
            <v>963099.72499999998</v>
          </cell>
          <cell r="F10829">
            <v>10</v>
          </cell>
        </row>
        <row r="10830">
          <cell r="A10830">
            <v>2018</v>
          </cell>
          <cell r="B10830" t="str">
            <v>Actual</v>
          </cell>
          <cell r="C10830" t="str">
            <v>Oct</v>
          </cell>
          <cell r="D10830" t="str">
            <v>Chairs</v>
          </cell>
          <cell r="E10830">
            <v>2566509.5959999999</v>
          </cell>
          <cell r="F10830">
            <v>10</v>
          </cell>
        </row>
        <row r="10831">
          <cell r="A10831">
            <v>2019</v>
          </cell>
          <cell r="B10831" t="str">
            <v>Budget</v>
          </cell>
          <cell r="C10831" t="str">
            <v>Oct</v>
          </cell>
          <cell r="D10831" t="str">
            <v>Chairs</v>
          </cell>
          <cell r="E10831">
            <v>4573769.1229999997</v>
          </cell>
          <cell r="F10831">
            <v>10</v>
          </cell>
        </row>
        <row r="10832">
          <cell r="A10832">
            <v>2019</v>
          </cell>
          <cell r="B10832" t="str">
            <v>Actual</v>
          </cell>
          <cell r="C10832" t="str">
            <v>Oct</v>
          </cell>
          <cell r="D10832" t="str">
            <v>Chairs</v>
          </cell>
          <cell r="E10832">
            <v>447975.17099999997</v>
          </cell>
          <cell r="F10832">
            <v>10</v>
          </cell>
        </row>
        <row r="10833">
          <cell r="A10833">
            <v>2019</v>
          </cell>
          <cell r="B10833" t="str">
            <v>Budget</v>
          </cell>
          <cell r="C10833" t="str">
            <v>Oct</v>
          </cell>
          <cell r="D10833" t="str">
            <v>Tables</v>
          </cell>
          <cell r="E10833">
            <v>1131588.1850000001</v>
          </cell>
          <cell r="F10833">
            <v>10</v>
          </cell>
        </row>
        <row r="10834">
          <cell r="A10834">
            <v>2019</v>
          </cell>
          <cell r="B10834" t="str">
            <v>Actual</v>
          </cell>
          <cell r="C10834" t="str">
            <v>Oct</v>
          </cell>
          <cell r="D10834" t="str">
            <v>Kitchen</v>
          </cell>
          <cell r="E10834">
            <v>147682.11499999999</v>
          </cell>
          <cell r="F10834">
            <v>10</v>
          </cell>
        </row>
        <row r="10835">
          <cell r="A10835">
            <v>2018</v>
          </cell>
          <cell r="B10835" t="str">
            <v>Budget</v>
          </cell>
          <cell r="C10835" t="str">
            <v>Oct</v>
          </cell>
          <cell r="D10835" t="str">
            <v>Chairs</v>
          </cell>
          <cell r="E10835">
            <v>164969.93099999998</v>
          </cell>
          <cell r="F10835">
            <v>10</v>
          </cell>
        </row>
        <row r="10836">
          <cell r="A10836">
            <v>2018</v>
          </cell>
          <cell r="B10836" t="str">
            <v>Actual</v>
          </cell>
          <cell r="C10836" t="str">
            <v>Oct</v>
          </cell>
          <cell r="D10836" t="str">
            <v>Chairs</v>
          </cell>
          <cell r="E10836">
            <v>2468814.8309999998</v>
          </cell>
          <cell r="F10836">
            <v>10</v>
          </cell>
        </row>
        <row r="10837">
          <cell r="A10837">
            <v>2018</v>
          </cell>
          <cell r="B10837" t="str">
            <v>Budget</v>
          </cell>
          <cell r="C10837" t="str">
            <v>Oct</v>
          </cell>
          <cell r="D10837" t="str">
            <v>Chairs</v>
          </cell>
          <cell r="E10837">
            <v>671635.86699999997</v>
          </cell>
          <cell r="F10837">
            <v>10</v>
          </cell>
        </row>
        <row r="10838">
          <cell r="A10838">
            <v>2018</v>
          </cell>
          <cell r="B10838" t="str">
            <v>Actual</v>
          </cell>
          <cell r="C10838" t="str">
            <v>Oct</v>
          </cell>
          <cell r="D10838" t="str">
            <v>Chairs</v>
          </cell>
          <cell r="E10838">
            <v>2418675.2659999998</v>
          </cell>
          <cell r="F10838">
            <v>10</v>
          </cell>
        </row>
        <row r="10839">
          <cell r="A10839">
            <v>2019</v>
          </cell>
          <cell r="B10839" t="str">
            <v>Budget</v>
          </cell>
          <cell r="C10839" t="str">
            <v>Oct</v>
          </cell>
          <cell r="D10839" t="str">
            <v>Chairs</v>
          </cell>
          <cell r="E10839">
            <v>261585.86999999997</v>
          </cell>
          <cell r="F10839">
            <v>10</v>
          </cell>
        </row>
        <row r="10840">
          <cell r="A10840">
            <v>2019</v>
          </cell>
          <cell r="B10840" t="str">
            <v>Actual</v>
          </cell>
          <cell r="C10840" t="str">
            <v>Oct</v>
          </cell>
          <cell r="D10840" t="str">
            <v>Tables</v>
          </cell>
          <cell r="E10840">
            <v>54662.272000000004</v>
          </cell>
          <cell r="F10840">
            <v>10</v>
          </cell>
        </row>
        <row r="10841">
          <cell r="A10841">
            <v>2018</v>
          </cell>
          <cell r="B10841" t="str">
            <v>Budget</v>
          </cell>
          <cell r="C10841" t="str">
            <v>Oct</v>
          </cell>
          <cell r="D10841" t="str">
            <v>Kitchen</v>
          </cell>
          <cell r="E10841">
            <v>142188.72499999998</v>
          </cell>
          <cell r="F10841">
            <v>10</v>
          </cell>
        </row>
        <row r="10842">
          <cell r="A10842">
            <v>2018</v>
          </cell>
          <cell r="B10842" t="str">
            <v>Actual</v>
          </cell>
          <cell r="C10842" t="str">
            <v>Oct</v>
          </cell>
          <cell r="D10842" t="str">
            <v>Chairs</v>
          </cell>
          <cell r="E10842">
            <v>1092183.2179999999</v>
          </cell>
          <cell r="F10842">
            <v>10</v>
          </cell>
        </row>
        <row r="10843">
          <cell r="A10843">
            <v>2019</v>
          </cell>
          <cell r="B10843" t="str">
            <v>Budget</v>
          </cell>
          <cell r="C10843" t="str">
            <v>Oct</v>
          </cell>
          <cell r="D10843" t="str">
            <v>Chairs</v>
          </cell>
          <cell r="E10843">
            <v>2750893.8099999996</v>
          </cell>
          <cell r="F10843">
            <v>10</v>
          </cell>
        </row>
        <row r="10844">
          <cell r="A10844">
            <v>2018</v>
          </cell>
          <cell r="B10844" t="str">
            <v>Actual</v>
          </cell>
          <cell r="C10844" t="str">
            <v>Oct</v>
          </cell>
          <cell r="D10844" t="str">
            <v>Chairs</v>
          </cell>
          <cell r="E10844">
            <v>126186.98399999998</v>
          </cell>
          <cell r="F10844">
            <v>10</v>
          </cell>
        </row>
        <row r="10845">
          <cell r="A10845">
            <v>2018</v>
          </cell>
          <cell r="B10845" t="str">
            <v>Budget</v>
          </cell>
          <cell r="C10845" t="str">
            <v>Oct</v>
          </cell>
          <cell r="D10845" t="str">
            <v>Tables</v>
          </cell>
          <cell r="E10845">
            <v>432003.96399999998</v>
          </cell>
          <cell r="F10845">
            <v>10</v>
          </cell>
        </row>
        <row r="10846">
          <cell r="A10846">
            <v>2018</v>
          </cell>
          <cell r="B10846" t="str">
            <v>Actual</v>
          </cell>
          <cell r="C10846" t="str">
            <v>Oct</v>
          </cell>
          <cell r="D10846" t="str">
            <v>Kitchen</v>
          </cell>
          <cell r="E10846">
            <v>3246962.0469999998</v>
          </cell>
          <cell r="F10846">
            <v>10</v>
          </cell>
        </row>
        <row r="10847">
          <cell r="A10847">
            <v>2018</v>
          </cell>
          <cell r="B10847" t="str">
            <v>Budget</v>
          </cell>
          <cell r="C10847" t="str">
            <v>Oct</v>
          </cell>
          <cell r="D10847" t="str">
            <v>Chairs</v>
          </cell>
          <cell r="E10847">
            <v>408699.82299999997</v>
          </cell>
          <cell r="F10847">
            <v>10</v>
          </cell>
        </row>
        <row r="10848">
          <cell r="A10848">
            <v>2018</v>
          </cell>
          <cell r="B10848" t="str">
            <v>Actual</v>
          </cell>
          <cell r="C10848" t="str">
            <v>Oct</v>
          </cell>
          <cell r="D10848" t="str">
            <v>Chairs</v>
          </cell>
          <cell r="E10848">
            <v>1607598.9859999998</v>
          </cell>
          <cell r="F10848">
            <v>10</v>
          </cell>
        </row>
        <row r="10849">
          <cell r="A10849">
            <v>2018</v>
          </cell>
          <cell r="B10849" t="str">
            <v>Budget</v>
          </cell>
          <cell r="C10849" t="str">
            <v>Oct</v>
          </cell>
          <cell r="D10849" t="str">
            <v>Tables</v>
          </cell>
          <cell r="E10849">
            <v>673899.45699999994</v>
          </cell>
          <cell r="F10849">
            <v>10</v>
          </cell>
        </row>
        <row r="10850">
          <cell r="A10850">
            <v>2019</v>
          </cell>
          <cell r="B10850" t="str">
            <v>Actual</v>
          </cell>
          <cell r="C10850" t="str">
            <v>Oct</v>
          </cell>
          <cell r="D10850" t="str">
            <v>Kitchen</v>
          </cell>
          <cell r="E10850">
            <v>1856447.0609999998</v>
          </cell>
          <cell r="F10850">
            <v>10</v>
          </cell>
        </row>
        <row r="10851">
          <cell r="A10851">
            <v>2019</v>
          </cell>
          <cell r="B10851" t="str">
            <v>Budget</v>
          </cell>
          <cell r="C10851" t="str">
            <v>Oct</v>
          </cell>
          <cell r="D10851" t="str">
            <v>Chairs</v>
          </cell>
          <cell r="E10851">
            <v>184800</v>
          </cell>
          <cell r="F10851">
            <v>10</v>
          </cell>
        </row>
        <row r="10852">
          <cell r="A10852">
            <v>2018</v>
          </cell>
          <cell r="B10852" t="str">
            <v>Actual</v>
          </cell>
          <cell r="C10852" t="str">
            <v>Oct</v>
          </cell>
          <cell r="D10852" t="str">
            <v>Chairs</v>
          </cell>
          <cell r="E10852">
            <v>167469.54699999999</v>
          </cell>
          <cell r="F10852">
            <v>10</v>
          </cell>
        </row>
        <row r="10853">
          <cell r="A10853">
            <v>2018</v>
          </cell>
          <cell r="B10853" t="str">
            <v>Budget</v>
          </cell>
          <cell r="C10853" t="str">
            <v>Oct</v>
          </cell>
          <cell r="D10853" t="str">
            <v>Chairs</v>
          </cell>
          <cell r="E10853">
            <v>174992.16699999999</v>
          </cell>
          <cell r="F10853">
            <v>10</v>
          </cell>
        </row>
        <row r="10854">
          <cell r="A10854">
            <v>2018</v>
          </cell>
          <cell r="B10854" t="str">
            <v>Actual</v>
          </cell>
          <cell r="C10854" t="str">
            <v>Oct</v>
          </cell>
          <cell r="D10854" t="str">
            <v>Tables</v>
          </cell>
          <cell r="E10854">
            <v>151894.00099999999</v>
          </cell>
          <cell r="F10854">
            <v>10</v>
          </cell>
        </row>
        <row r="10855">
          <cell r="A10855">
            <v>2018</v>
          </cell>
          <cell r="B10855" t="str">
            <v>Budget</v>
          </cell>
          <cell r="C10855" t="str">
            <v>Oct</v>
          </cell>
          <cell r="D10855" t="str">
            <v>Kitchen</v>
          </cell>
          <cell r="E10855">
            <v>194934.42499999999</v>
          </cell>
          <cell r="F10855">
            <v>10</v>
          </cell>
        </row>
        <row r="10856">
          <cell r="A10856">
            <v>2019</v>
          </cell>
          <cell r="B10856" t="str">
            <v>Actual</v>
          </cell>
          <cell r="C10856" t="str">
            <v>Oct</v>
          </cell>
          <cell r="D10856" t="str">
            <v>Accessories</v>
          </cell>
          <cell r="E10856">
            <v>250614.08399999997</v>
          </cell>
          <cell r="F10856">
            <v>10</v>
          </cell>
        </row>
        <row r="10857">
          <cell r="A10857">
            <v>2019</v>
          </cell>
          <cell r="B10857" t="str">
            <v>Budget</v>
          </cell>
          <cell r="C10857" t="str">
            <v>Oct</v>
          </cell>
          <cell r="D10857" t="str">
            <v>Chairs</v>
          </cell>
          <cell r="E10857">
            <v>164805.45899999997</v>
          </cell>
          <cell r="F10857">
            <v>10</v>
          </cell>
        </row>
        <row r="10858">
          <cell r="A10858">
            <v>2019</v>
          </cell>
          <cell r="B10858" t="str">
            <v>Actual</v>
          </cell>
          <cell r="C10858" t="str">
            <v>Oct</v>
          </cell>
          <cell r="D10858" t="str">
            <v>Tables</v>
          </cell>
          <cell r="E10858">
            <v>133365.70799999998</v>
          </cell>
          <cell r="F10858">
            <v>10</v>
          </cell>
        </row>
        <row r="10859">
          <cell r="A10859">
            <v>2019</v>
          </cell>
          <cell r="B10859" t="str">
            <v>Budget</v>
          </cell>
          <cell r="C10859" t="str">
            <v>Oct</v>
          </cell>
          <cell r="D10859" t="str">
            <v>Kitchen</v>
          </cell>
          <cell r="E10859">
            <v>570151.05699999991</v>
          </cell>
          <cell r="F10859">
            <v>10</v>
          </cell>
        </row>
        <row r="10860">
          <cell r="A10860">
            <v>2018</v>
          </cell>
          <cell r="B10860" t="str">
            <v>Actual</v>
          </cell>
          <cell r="C10860" t="str">
            <v>Oct</v>
          </cell>
          <cell r="D10860" t="str">
            <v>Accessories</v>
          </cell>
          <cell r="E10860">
            <v>246407.51099999997</v>
          </cell>
          <cell r="F10860">
            <v>10</v>
          </cell>
        </row>
        <row r="10861">
          <cell r="A10861">
            <v>2018</v>
          </cell>
          <cell r="B10861" t="str">
            <v>Budget</v>
          </cell>
          <cell r="C10861" t="str">
            <v>Oct</v>
          </cell>
          <cell r="D10861" t="str">
            <v>Chairs</v>
          </cell>
          <cell r="E10861">
            <v>297129.79099999997</v>
          </cell>
          <cell r="F10861">
            <v>10</v>
          </cell>
        </row>
        <row r="10862">
          <cell r="A10862">
            <v>2019</v>
          </cell>
          <cell r="B10862" t="str">
            <v>Actual</v>
          </cell>
          <cell r="C10862" t="str">
            <v>Oct</v>
          </cell>
          <cell r="D10862" t="str">
            <v>Tables</v>
          </cell>
          <cell r="E10862">
            <v>190600.02499999999</v>
          </cell>
          <cell r="F10862">
            <v>10</v>
          </cell>
        </row>
        <row r="10863">
          <cell r="A10863">
            <v>2018</v>
          </cell>
          <cell r="B10863" t="str">
            <v>Budget</v>
          </cell>
          <cell r="C10863" t="str">
            <v>Oct</v>
          </cell>
          <cell r="D10863" t="str">
            <v>Kitchen</v>
          </cell>
          <cell r="E10863">
            <v>66642.45</v>
          </cell>
          <cell r="F10863">
            <v>10</v>
          </cell>
        </row>
        <row r="10864">
          <cell r="A10864">
            <v>2019</v>
          </cell>
          <cell r="B10864" t="str">
            <v>Actual</v>
          </cell>
          <cell r="C10864" t="str">
            <v>Oct</v>
          </cell>
          <cell r="D10864" t="str">
            <v>Accessories</v>
          </cell>
          <cell r="E10864">
            <v>164353.25899999999</v>
          </cell>
          <cell r="F10864">
            <v>10</v>
          </cell>
        </row>
        <row r="10865">
          <cell r="A10865">
            <v>2018</v>
          </cell>
          <cell r="B10865" t="str">
            <v>Budget</v>
          </cell>
          <cell r="C10865" t="str">
            <v>Oct</v>
          </cell>
          <cell r="D10865" t="str">
            <v>Chairs</v>
          </cell>
          <cell r="E10865">
            <v>14465.415999999999</v>
          </cell>
          <cell r="F10865">
            <v>10</v>
          </cell>
        </row>
        <row r="10866">
          <cell r="A10866">
            <v>2018</v>
          </cell>
          <cell r="B10866" t="str">
            <v>Actual</v>
          </cell>
          <cell r="C10866" t="str">
            <v>Oct</v>
          </cell>
          <cell r="D10866" t="str">
            <v>Tables</v>
          </cell>
          <cell r="E10866">
            <v>272922.44</v>
          </cell>
          <cell r="F10866">
            <v>10</v>
          </cell>
        </row>
        <row r="10867">
          <cell r="A10867">
            <v>2019</v>
          </cell>
          <cell r="B10867" t="str">
            <v>Budget</v>
          </cell>
          <cell r="C10867" t="str">
            <v>Oct</v>
          </cell>
          <cell r="D10867" t="str">
            <v>Kitchen</v>
          </cell>
          <cell r="E10867">
            <v>193741.68799999999</v>
          </cell>
          <cell r="F10867">
            <v>10</v>
          </cell>
        </row>
        <row r="10868">
          <cell r="A10868">
            <v>2018</v>
          </cell>
          <cell r="B10868" t="str">
            <v>Actual</v>
          </cell>
          <cell r="C10868" t="str">
            <v>Oct</v>
          </cell>
          <cell r="D10868" t="str">
            <v>Accessories</v>
          </cell>
          <cell r="E10868">
            <v>67912.459999999992</v>
          </cell>
          <cell r="F10868">
            <v>10</v>
          </cell>
        </row>
        <row r="10869">
          <cell r="A10869">
            <v>2019</v>
          </cell>
          <cell r="B10869" t="str">
            <v>Budget</v>
          </cell>
          <cell r="C10869" t="str">
            <v>Oct</v>
          </cell>
          <cell r="D10869" t="str">
            <v>Chairs</v>
          </cell>
          <cell r="E10869">
            <v>507698.00899999996</v>
          </cell>
          <cell r="F10869">
            <v>10</v>
          </cell>
        </row>
        <row r="10870">
          <cell r="A10870">
            <v>2018</v>
          </cell>
          <cell r="B10870" t="str">
            <v>Actual</v>
          </cell>
          <cell r="C10870" t="str">
            <v>Oct</v>
          </cell>
          <cell r="D10870" t="str">
            <v>Chairs</v>
          </cell>
          <cell r="E10870">
            <v>397458.17300000001</v>
          </cell>
          <cell r="F10870">
            <v>10</v>
          </cell>
        </row>
        <row r="10871">
          <cell r="A10871">
            <v>2019</v>
          </cell>
          <cell r="B10871" t="str">
            <v>Budget</v>
          </cell>
          <cell r="C10871" t="str">
            <v>Oct</v>
          </cell>
          <cell r="D10871" t="str">
            <v>Tables</v>
          </cell>
          <cell r="E10871">
            <v>42978.977999999996</v>
          </cell>
          <cell r="F10871">
            <v>10</v>
          </cell>
        </row>
        <row r="10872">
          <cell r="A10872">
            <v>2018</v>
          </cell>
          <cell r="B10872" t="str">
            <v>Actual</v>
          </cell>
          <cell r="C10872" t="str">
            <v>Oct</v>
          </cell>
          <cell r="D10872" t="str">
            <v>Kitchen</v>
          </cell>
          <cell r="E10872">
            <v>90899.283999999985</v>
          </cell>
          <cell r="F10872">
            <v>10</v>
          </cell>
        </row>
        <row r="10873">
          <cell r="A10873">
            <v>2019</v>
          </cell>
          <cell r="B10873" t="str">
            <v>Budget</v>
          </cell>
          <cell r="C10873" t="str">
            <v>Oct</v>
          </cell>
          <cell r="D10873" t="str">
            <v>Chairs</v>
          </cell>
          <cell r="E10873">
            <v>80373.453999999998</v>
          </cell>
          <cell r="F10873">
            <v>10</v>
          </cell>
        </row>
        <row r="10874">
          <cell r="A10874">
            <v>2019</v>
          </cell>
          <cell r="B10874" t="str">
            <v>Actual</v>
          </cell>
          <cell r="C10874" t="str">
            <v>Oct</v>
          </cell>
          <cell r="D10874" t="str">
            <v>Tables</v>
          </cell>
          <cell r="E10874">
            <v>1234860.2279999999</v>
          </cell>
          <cell r="F10874">
            <v>10</v>
          </cell>
        </row>
        <row r="10875">
          <cell r="A10875">
            <v>2018</v>
          </cell>
          <cell r="B10875" t="str">
            <v>Budget</v>
          </cell>
          <cell r="C10875" t="str">
            <v>Oct</v>
          </cell>
          <cell r="D10875" t="str">
            <v>Kitchen</v>
          </cell>
          <cell r="E10875">
            <v>340928.54599999997</v>
          </cell>
          <cell r="F10875">
            <v>10</v>
          </cell>
        </row>
        <row r="10876">
          <cell r="A10876">
            <v>2018</v>
          </cell>
          <cell r="B10876" t="str">
            <v>Actual</v>
          </cell>
          <cell r="C10876" t="str">
            <v>Oct</v>
          </cell>
          <cell r="D10876" t="str">
            <v>Chairs</v>
          </cell>
          <cell r="E10876">
            <v>24426.535</v>
          </cell>
          <cell r="F10876">
            <v>10</v>
          </cell>
        </row>
        <row r="10877">
          <cell r="A10877">
            <v>2019</v>
          </cell>
          <cell r="B10877" t="str">
            <v>Budget</v>
          </cell>
          <cell r="C10877" t="str">
            <v>Oct</v>
          </cell>
          <cell r="D10877" t="str">
            <v>Tables</v>
          </cell>
          <cell r="E10877">
            <v>255949.666</v>
          </cell>
          <cell r="F10877">
            <v>10</v>
          </cell>
        </row>
        <row r="10878">
          <cell r="A10878">
            <v>2018</v>
          </cell>
          <cell r="B10878" t="str">
            <v>Actual</v>
          </cell>
          <cell r="C10878" t="str">
            <v>Oct</v>
          </cell>
          <cell r="D10878" t="str">
            <v>Kitchen</v>
          </cell>
          <cell r="E10878">
            <v>534456.59400000004</v>
          </cell>
          <cell r="F10878">
            <v>10</v>
          </cell>
        </row>
        <row r="10879">
          <cell r="A10879">
            <v>2018</v>
          </cell>
          <cell r="B10879" t="str">
            <v>Budget</v>
          </cell>
          <cell r="C10879" t="str">
            <v>Oct</v>
          </cell>
          <cell r="D10879" t="str">
            <v>Chairs</v>
          </cell>
          <cell r="E10879">
            <v>4551563.8629999999</v>
          </cell>
          <cell r="F10879">
            <v>10</v>
          </cell>
        </row>
        <row r="10880">
          <cell r="A10880">
            <v>2019</v>
          </cell>
          <cell r="B10880" t="str">
            <v>Actual</v>
          </cell>
          <cell r="C10880" t="str">
            <v>Oct</v>
          </cell>
          <cell r="D10880" t="str">
            <v>Chairs</v>
          </cell>
          <cell r="E10880">
            <v>971600.34299999988</v>
          </cell>
          <cell r="F10880">
            <v>10</v>
          </cell>
        </row>
        <row r="10881">
          <cell r="A10881">
            <v>2019</v>
          </cell>
          <cell r="B10881" t="str">
            <v>Budget</v>
          </cell>
          <cell r="C10881" t="str">
            <v>Oct</v>
          </cell>
          <cell r="D10881" t="str">
            <v>Chairs</v>
          </cell>
          <cell r="E10881">
            <v>485963.73699999996</v>
          </cell>
          <cell r="F10881">
            <v>10</v>
          </cell>
        </row>
        <row r="10882">
          <cell r="A10882">
            <v>2018</v>
          </cell>
          <cell r="B10882" t="str">
            <v>Actual</v>
          </cell>
          <cell r="C10882" t="str">
            <v>Oct</v>
          </cell>
          <cell r="D10882" t="str">
            <v>Chairs</v>
          </cell>
          <cell r="E10882">
            <v>89571.285999999993</v>
          </cell>
          <cell r="F10882">
            <v>10</v>
          </cell>
        </row>
        <row r="10883">
          <cell r="A10883">
            <v>2019</v>
          </cell>
          <cell r="B10883" t="str">
            <v>Budget</v>
          </cell>
          <cell r="C10883" t="str">
            <v>Oct</v>
          </cell>
          <cell r="D10883" t="str">
            <v>Chairs</v>
          </cell>
          <cell r="E10883">
            <v>41543.088999999993</v>
          </cell>
          <cell r="F10883">
            <v>10</v>
          </cell>
        </row>
        <row r="10884">
          <cell r="A10884">
            <v>2019</v>
          </cell>
          <cell r="B10884" t="str">
            <v>Actual</v>
          </cell>
          <cell r="C10884" t="str">
            <v>Oct</v>
          </cell>
          <cell r="D10884" t="str">
            <v>Chairs</v>
          </cell>
          <cell r="E10884">
            <v>33527.360999999997</v>
          </cell>
          <cell r="F10884">
            <v>10</v>
          </cell>
        </row>
        <row r="10885">
          <cell r="A10885">
            <v>2018</v>
          </cell>
          <cell r="B10885" t="str">
            <v>Budget</v>
          </cell>
          <cell r="C10885" t="str">
            <v>Oct</v>
          </cell>
          <cell r="D10885" t="str">
            <v>Chairs</v>
          </cell>
          <cell r="E10885">
            <v>19130.839</v>
          </cell>
          <cell r="F10885">
            <v>10</v>
          </cell>
        </row>
        <row r="10886">
          <cell r="A10886">
            <v>2018</v>
          </cell>
          <cell r="B10886" t="str">
            <v>Actual</v>
          </cell>
          <cell r="C10886" t="str">
            <v>Oct</v>
          </cell>
          <cell r="D10886" t="str">
            <v>Chairs</v>
          </cell>
          <cell r="E10886">
            <v>47930.266999999993</v>
          </cell>
          <cell r="F10886">
            <v>10</v>
          </cell>
        </row>
        <row r="10887">
          <cell r="A10887">
            <v>2019</v>
          </cell>
          <cell r="B10887" t="str">
            <v>Budget</v>
          </cell>
          <cell r="C10887" t="str">
            <v>Oct</v>
          </cell>
          <cell r="D10887" t="str">
            <v>Chairs</v>
          </cell>
          <cell r="E10887">
            <v>213222.24</v>
          </cell>
          <cell r="F10887">
            <v>10</v>
          </cell>
        </row>
        <row r="10888">
          <cell r="A10888">
            <v>2019</v>
          </cell>
          <cell r="B10888" t="str">
            <v>Actual</v>
          </cell>
          <cell r="C10888" t="str">
            <v>Oct</v>
          </cell>
          <cell r="D10888" t="str">
            <v>Chairs</v>
          </cell>
          <cell r="E10888">
            <v>40327.300999999999</v>
          </cell>
          <cell r="F10888">
            <v>10</v>
          </cell>
        </row>
        <row r="10889">
          <cell r="A10889">
            <v>2019</v>
          </cell>
          <cell r="B10889" t="str">
            <v>Budget</v>
          </cell>
          <cell r="C10889" t="str">
            <v>Oct</v>
          </cell>
          <cell r="D10889" t="str">
            <v>Chairs</v>
          </cell>
          <cell r="E10889">
            <v>108367.196</v>
          </cell>
          <cell r="F10889">
            <v>10</v>
          </cell>
        </row>
        <row r="10890">
          <cell r="A10890">
            <v>2019</v>
          </cell>
          <cell r="B10890" t="str">
            <v>Actual</v>
          </cell>
          <cell r="C10890" t="str">
            <v>Oct</v>
          </cell>
          <cell r="D10890" t="str">
            <v>Chairs</v>
          </cell>
          <cell r="E10890">
            <v>366965.49399999995</v>
          </cell>
          <cell r="F10890">
            <v>10</v>
          </cell>
        </row>
        <row r="10891">
          <cell r="A10891">
            <v>2019</v>
          </cell>
          <cell r="B10891" t="str">
            <v>Budget</v>
          </cell>
          <cell r="C10891" t="str">
            <v>Oct</v>
          </cell>
          <cell r="D10891" t="str">
            <v>Chairs</v>
          </cell>
          <cell r="E10891">
            <v>79591.679999999993</v>
          </cell>
          <cell r="F10891">
            <v>10</v>
          </cell>
        </row>
        <row r="10892">
          <cell r="A10892">
            <v>2019</v>
          </cell>
          <cell r="B10892" t="str">
            <v>Actual</v>
          </cell>
          <cell r="C10892" t="str">
            <v>Oct</v>
          </cell>
          <cell r="D10892" t="str">
            <v>Chairs</v>
          </cell>
          <cell r="E10892">
            <v>21047.306</v>
          </cell>
          <cell r="F10892">
            <v>10</v>
          </cell>
        </row>
        <row r="10893">
          <cell r="A10893">
            <v>2018</v>
          </cell>
          <cell r="B10893" t="str">
            <v>Budget</v>
          </cell>
          <cell r="C10893" t="str">
            <v>Oct</v>
          </cell>
          <cell r="D10893" t="str">
            <v>Chairs</v>
          </cell>
          <cell r="E10893">
            <v>375911.94899999996</v>
          </cell>
          <cell r="F10893">
            <v>10</v>
          </cell>
        </row>
        <row r="10894">
          <cell r="A10894">
            <v>2018</v>
          </cell>
          <cell r="B10894" t="str">
            <v>Actual</v>
          </cell>
          <cell r="C10894" t="str">
            <v>Oct</v>
          </cell>
          <cell r="D10894" t="str">
            <v>Chairs</v>
          </cell>
          <cell r="E10894">
            <v>531095.4879999999</v>
          </cell>
          <cell r="F10894">
            <v>10</v>
          </cell>
        </row>
        <row r="10895">
          <cell r="A10895">
            <v>2018</v>
          </cell>
          <cell r="B10895" t="str">
            <v>Budget</v>
          </cell>
          <cell r="C10895" t="str">
            <v>Oct</v>
          </cell>
          <cell r="D10895" t="str">
            <v>Chairs</v>
          </cell>
          <cell r="E10895">
            <v>39912.907999999996</v>
          </cell>
          <cell r="F10895">
            <v>10</v>
          </cell>
        </row>
        <row r="10896">
          <cell r="A10896">
            <v>2019</v>
          </cell>
          <cell r="B10896" t="str">
            <v>Actual</v>
          </cell>
          <cell r="C10896" t="str">
            <v>Oct</v>
          </cell>
          <cell r="D10896" t="str">
            <v>Chairs</v>
          </cell>
          <cell r="E10896">
            <v>403142.16599999997</v>
          </cell>
          <cell r="F10896">
            <v>10</v>
          </cell>
        </row>
        <row r="10897">
          <cell r="A10897">
            <v>2019</v>
          </cell>
          <cell r="B10897" t="str">
            <v>Budget</v>
          </cell>
          <cell r="C10897" t="str">
            <v>Oct</v>
          </cell>
          <cell r="D10897" t="str">
            <v>Chairs</v>
          </cell>
          <cell r="E10897">
            <v>1871571.051</v>
          </cell>
          <cell r="F10897">
            <v>10</v>
          </cell>
        </row>
        <row r="10898">
          <cell r="A10898">
            <v>2018</v>
          </cell>
          <cell r="B10898" t="str">
            <v>Actual</v>
          </cell>
          <cell r="C10898" t="str">
            <v>Oct</v>
          </cell>
          <cell r="D10898" t="str">
            <v>Chairs</v>
          </cell>
          <cell r="E10898">
            <v>193363.12100000001</v>
          </cell>
          <cell r="F10898">
            <v>10</v>
          </cell>
        </row>
        <row r="10899">
          <cell r="A10899">
            <v>2018</v>
          </cell>
          <cell r="B10899" t="str">
            <v>Budget</v>
          </cell>
          <cell r="C10899" t="str">
            <v>Oct</v>
          </cell>
          <cell r="D10899" t="str">
            <v>Chairs</v>
          </cell>
          <cell r="E10899">
            <v>2043149.7239999997</v>
          </cell>
          <cell r="F10899">
            <v>10</v>
          </cell>
        </row>
        <row r="10900">
          <cell r="A10900">
            <v>2018</v>
          </cell>
          <cell r="B10900" t="str">
            <v>Actual</v>
          </cell>
          <cell r="C10900" t="str">
            <v>Oct</v>
          </cell>
          <cell r="D10900" t="str">
            <v>Chairs</v>
          </cell>
          <cell r="E10900">
            <v>2172600.3319999999</v>
          </cell>
          <cell r="F10900">
            <v>10</v>
          </cell>
        </row>
        <row r="10901">
          <cell r="A10901">
            <v>2018</v>
          </cell>
          <cell r="B10901" t="str">
            <v>Budget</v>
          </cell>
          <cell r="C10901" t="str">
            <v>Oct</v>
          </cell>
          <cell r="D10901" t="str">
            <v>Chairs</v>
          </cell>
          <cell r="E10901">
            <v>252255.19899999999</v>
          </cell>
          <cell r="F10901">
            <v>10</v>
          </cell>
        </row>
        <row r="10902">
          <cell r="A10902">
            <v>2018</v>
          </cell>
          <cell r="B10902" t="str">
            <v>Actual</v>
          </cell>
          <cell r="C10902" t="str">
            <v>Oct</v>
          </cell>
          <cell r="D10902" t="str">
            <v>Chairs</v>
          </cell>
          <cell r="E10902">
            <v>449581.45399999997</v>
          </cell>
          <cell r="F10902">
            <v>10</v>
          </cell>
        </row>
        <row r="10903">
          <cell r="A10903">
            <v>2019</v>
          </cell>
          <cell r="B10903" t="str">
            <v>Budget</v>
          </cell>
          <cell r="C10903" t="str">
            <v>Oct</v>
          </cell>
          <cell r="D10903" t="str">
            <v>Chairs</v>
          </cell>
          <cell r="E10903">
            <v>635141.97600000002</v>
          </cell>
          <cell r="F10903">
            <v>10</v>
          </cell>
        </row>
        <row r="10904">
          <cell r="A10904">
            <v>2019</v>
          </cell>
          <cell r="B10904" t="str">
            <v>Actual</v>
          </cell>
          <cell r="C10904" t="str">
            <v>Oct</v>
          </cell>
          <cell r="D10904" t="str">
            <v>Chairs</v>
          </cell>
          <cell r="E10904">
            <v>2615997.7199999997</v>
          </cell>
          <cell r="F10904">
            <v>10</v>
          </cell>
        </row>
        <row r="10905">
          <cell r="A10905">
            <v>2018</v>
          </cell>
          <cell r="B10905" t="str">
            <v>Budget</v>
          </cell>
          <cell r="C10905" t="str">
            <v>Oct</v>
          </cell>
          <cell r="D10905" t="str">
            <v>Tables</v>
          </cell>
          <cell r="E10905">
            <v>40737.080999999998</v>
          </cell>
          <cell r="F10905">
            <v>10</v>
          </cell>
        </row>
        <row r="10906">
          <cell r="A10906">
            <v>2019</v>
          </cell>
          <cell r="B10906" t="str">
            <v>Actual</v>
          </cell>
          <cell r="C10906" t="str">
            <v>Oct</v>
          </cell>
          <cell r="D10906" t="str">
            <v>Kitchen</v>
          </cell>
          <cell r="E10906">
            <v>500835.3</v>
          </cell>
          <cell r="F10906">
            <v>10</v>
          </cell>
        </row>
        <row r="10907">
          <cell r="A10907">
            <v>2018</v>
          </cell>
          <cell r="B10907" t="str">
            <v>Budget</v>
          </cell>
          <cell r="C10907" t="str">
            <v>Oct</v>
          </cell>
          <cell r="D10907" t="str">
            <v>Chairs</v>
          </cell>
          <cell r="E10907">
            <v>3829528.5629999996</v>
          </cell>
          <cell r="F10907">
            <v>10</v>
          </cell>
        </row>
        <row r="10908">
          <cell r="A10908">
            <v>2019</v>
          </cell>
          <cell r="B10908" t="str">
            <v>Actual</v>
          </cell>
          <cell r="C10908" t="str">
            <v>Oct</v>
          </cell>
          <cell r="D10908" t="str">
            <v>Chairs</v>
          </cell>
          <cell r="E10908">
            <v>4704473.1090000002</v>
          </cell>
          <cell r="F10908">
            <v>10</v>
          </cell>
        </row>
        <row r="10909">
          <cell r="A10909">
            <v>2018</v>
          </cell>
          <cell r="B10909" t="str">
            <v>Budget</v>
          </cell>
          <cell r="C10909" t="str">
            <v>Oct</v>
          </cell>
          <cell r="D10909" t="str">
            <v>Chairs</v>
          </cell>
          <cell r="E10909">
            <v>6557876.5629999992</v>
          </cell>
          <cell r="F10909">
            <v>10</v>
          </cell>
        </row>
        <row r="10910">
          <cell r="A10910">
            <v>2018</v>
          </cell>
          <cell r="B10910" t="str">
            <v>Actual</v>
          </cell>
          <cell r="C10910" t="str">
            <v>Oct</v>
          </cell>
          <cell r="D10910" t="str">
            <v>Chairs</v>
          </cell>
          <cell r="E10910">
            <v>498015.14699999994</v>
          </cell>
          <cell r="F10910">
            <v>10</v>
          </cell>
        </row>
        <row r="10911">
          <cell r="A10911">
            <v>2018</v>
          </cell>
          <cell r="B10911" t="str">
            <v>Budget</v>
          </cell>
          <cell r="C10911" t="str">
            <v>Oct</v>
          </cell>
          <cell r="D10911" t="str">
            <v>Chairs</v>
          </cell>
          <cell r="E10911">
            <v>227456.15199999997</v>
          </cell>
          <cell r="F10911">
            <v>10</v>
          </cell>
        </row>
        <row r="10912">
          <cell r="A10912">
            <v>2019</v>
          </cell>
          <cell r="B10912" t="str">
            <v>Actual</v>
          </cell>
          <cell r="C10912" t="str">
            <v>Oct</v>
          </cell>
          <cell r="D10912" t="str">
            <v>Tables</v>
          </cell>
          <cell r="E10912">
            <v>54502.468999999997</v>
          </cell>
          <cell r="F10912">
            <v>10</v>
          </cell>
        </row>
        <row r="10913">
          <cell r="A10913">
            <v>2018</v>
          </cell>
          <cell r="B10913" t="str">
            <v>Budget</v>
          </cell>
          <cell r="C10913" t="str">
            <v>Oct</v>
          </cell>
          <cell r="D10913" t="str">
            <v>Kitchen</v>
          </cell>
          <cell r="E10913">
            <v>58519.845999999998</v>
          </cell>
          <cell r="F10913">
            <v>10</v>
          </cell>
        </row>
        <row r="10914">
          <cell r="A10914">
            <v>2018</v>
          </cell>
          <cell r="B10914" t="str">
            <v>Actual</v>
          </cell>
          <cell r="C10914" t="str">
            <v>Oct</v>
          </cell>
          <cell r="D10914" t="str">
            <v>Chairs</v>
          </cell>
          <cell r="E10914">
            <v>338196.58599999995</v>
          </cell>
          <cell r="F10914">
            <v>10</v>
          </cell>
        </row>
        <row r="10915">
          <cell r="A10915">
            <v>2018</v>
          </cell>
          <cell r="B10915" t="str">
            <v>Budget</v>
          </cell>
          <cell r="C10915" t="str">
            <v>Oct</v>
          </cell>
          <cell r="D10915" t="str">
            <v>Chairs</v>
          </cell>
          <cell r="E10915">
            <v>3065521.0809999998</v>
          </cell>
          <cell r="F10915">
            <v>10</v>
          </cell>
        </row>
        <row r="10916">
          <cell r="A10916">
            <v>2018</v>
          </cell>
          <cell r="B10916" t="str">
            <v>Actual</v>
          </cell>
          <cell r="C10916" t="str">
            <v>Oct</v>
          </cell>
          <cell r="D10916" t="str">
            <v>Chairs</v>
          </cell>
          <cell r="E10916">
            <v>-20148.148999999998</v>
          </cell>
          <cell r="F10916">
            <v>10</v>
          </cell>
        </row>
        <row r="10917">
          <cell r="A10917">
            <v>2018</v>
          </cell>
          <cell r="B10917" t="str">
            <v>Budget</v>
          </cell>
          <cell r="C10917" t="str">
            <v>Oct</v>
          </cell>
          <cell r="D10917" t="str">
            <v>Tables</v>
          </cell>
          <cell r="E10917">
            <v>1263519.173</v>
          </cell>
          <cell r="F10917">
            <v>10</v>
          </cell>
        </row>
        <row r="10918">
          <cell r="A10918">
            <v>2018</v>
          </cell>
          <cell r="B10918" t="str">
            <v>Actual</v>
          </cell>
          <cell r="C10918" t="str">
            <v>Oct</v>
          </cell>
          <cell r="D10918" t="str">
            <v>Kitchen</v>
          </cell>
          <cell r="E10918">
            <v>3031908.5580000002</v>
          </cell>
          <cell r="F10918">
            <v>10</v>
          </cell>
        </row>
        <row r="10919">
          <cell r="A10919">
            <v>2019</v>
          </cell>
          <cell r="B10919" t="str">
            <v>Budget</v>
          </cell>
          <cell r="C10919" t="str">
            <v>Oct</v>
          </cell>
          <cell r="D10919" t="str">
            <v>Chairs</v>
          </cell>
          <cell r="E10919">
            <v>6966175.0060000001</v>
          </cell>
          <cell r="F10919">
            <v>10</v>
          </cell>
        </row>
        <row r="10920">
          <cell r="A10920">
            <v>2018</v>
          </cell>
          <cell r="B10920" t="str">
            <v>Actual</v>
          </cell>
          <cell r="C10920" t="str">
            <v>Oct</v>
          </cell>
          <cell r="D10920" t="str">
            <v>Chairs</v>
          </cell>
          <cell r="E10920">
            <v>216258.22399999999</v>
          </cell>
          <cell r="F10920">
            <v>10</v>
          </cell>
        </row>
        <row r="10921">
          <cell r="A10921">
            <v>2018</v>
          </cell>
          <cell r="B10921" t="str">
            <v>Budget</v>
          </cell>
          <cell r="C10921" t="str">
            <v>Oct</v>
          </cell>
          <cell r="D10921" t="str">
            <v>Tables</v>
          </cell>
          <cell r="E10921">
            <v>127767.444</v>
          </cell>
          <cell r="F10921">
            <v>10</v>
          </cell>
        </row>
        <row r="10922">
          <cell r="A10922">
            <v>2018</v>
          </cell>
          <cell r="B10922" t="str">
            <v>Actual</v>
          </cell>
          <cell r="C10922" t="str">
            <v>Oct</v>
          </cell>
          <cell r="D10922" t="str">
            <v>Kitchen</v>
          </cell>
          <cell r="E10922">
            <v>385583.02999999997</v>
          </cell>
          <cell r="F10922">
            <v>10</v>
          </cell>
        </row>
        <row r="10923">
          <cell r="A10923">
            <v>2019</v>
          </cell>
          <cell r="B10923" t="str">
            <v>Budget</v>
          </cell>
          <cell r="C10923" t="str">
            <v>Oct</v>
          </cell>
          <cell r="D10923" t="str">
            <v>Chairs</v>
          </cell>
          <cell r="E10923">
            <v>2493031.9539999999</v>
          </cell>
          <cell r="F10923">
            <v>10</v>
          </cell>
        </row>
        <row r="10924">
          <cell r="A10924">
            <v>2019</v>
          </cell>
          <cell r="B10924" t="str">
            <v>Actual</v>
          </cell>
          <cell r="C10924" t="str">
            <v>Oct</v>
          </cell>
          <cell r="D10924" t="str">
            <v>Chairs</v>
          </cell>
          <cell r="E10924">
            <v>-21240.820999999996</v>
          </cell>
          <cell r="F10924">
            <v>10</v>
          </cell>
        </row>
        <row r="10925">
          <cell r="A10925">
            <v>2019</v>
          </cell>
          <cell r="B10925" t="str">
            <v>Budget</v>
          </cell>
          <cell r="C10925" t="str">
            <v>Oct</v>
          </cell>
          <cell r="D10925" t="str">
            <v>Chairs</v>
          </cell>
          <cell r="E10925">
            <v>4385747.4709999999</v>
          </cell>
          <cell r="F10925">
            <v>10</v>
          </cell>
        </row>
        <row r="10926">
          <cell r="A10926">
            <v>2018</v>
          </cell>
          <cell r="B10926" t="str">
            <v>Actual</v>
          </cell>
          <cell r="C10926" t="str">
            <v>Oct</v>
          </cell>
          <cell r="D10926" t="str">
            <v>Tables</v>
          </cell>
          <cell r="E10926">
            <v>33368.572999999997</v>
          </cell>
          <cell r="F10926">
            <v>10</v>
          </cell>
        </row>
        <row r="10927">
          <cell r="A10927">
            <v>2018</v>
          </cell>
          <cell r="B10927" t="str">
            <v>Budget</v>
          </cell>
          <cell r="C10927" t="str">
            <v>Oct</v>
          </cell>
          <cell r="D10927" t="str">
            <v>Kitchen</v>
          </cell>
          <cell r="E10927">
            <v>217204.37899999996</v>
          </cell>
          <cell r="F10927">
            <v>10</v>
          </cell>
        </row>
        <row r="10928">
          <cell r="A10928">
            <v>2018</v>
          </cell>
          <cell r="B10928" t="str">
            <v>Actual</v>
          </cell>
          <cell r="C10928" t="str">
            <v>Oct</v>
          </cell>
          <cell r="D10928" t="str">
            <v>Accessories</v>
          </cell>
          <cell r="E10928">
            <v>1163362.97</v>
          </cell>
          <cell r="F10928">
            <v>10</v>
          </cell>
        </row>
        <row r="10929">
          <cell r="A10929">
            <v>2018</v>
          </cell>
          <cell r="B10929" t="str">
            <v>Budget</v>
          </cell>
          <cell r="C10929" t="str">
            <v>Oct</v>
          </cell>
          <cell r="D10929" t="str">
            <v>Chairs</v>
          </cell>
          <cell r="E10929">
            <v>2065754.4109999998</v>
          </cell>
          <cell r="F10929">
            <v>10</v>
          </cell>
        </row>
        <row r="10930">
          <cell r="A10930">
            <v>2018</v>
          </cell>
          <cell r="B10930" t="str">
            <v>Actual</v>
          </cell>
          <cell r="C10930" t="str">
            <v>Oct</v>
          </cell>
          <cell r="D10930" t="str">
            <v>Tables</v>
          </cell>
          <cell r="E10930">
            <v>595054.80999999994</v>
          </cell>
          <cell r="F10930">
            <v>10</v>
          </cell>
        </row>
        <row r="10931">
          <cell r="A10931">
            <v>2019</v>
          </cell>
          <cell r="B10931" t="str">
            <v>Budget</v>
          </cell>
          <cell r="C10931" t="str">
            <v>Oct</v>
          </cell>
          <cell r="D10931" t="str">
            <v>Kitchen</v>
          </cell>
          <cell r="E10931">
            <v>1966675.2</v>
          </cell>
          <cell r="F10931">
            <v>10</v>
          </cell>
        </row>
        <row r="10932">
          <cell r="A10932">
            <v>2019</v>
          </cell>
          <cell r="B10932" t="str">
            <v>Actual</v>
          </cell>
          <cell r="C10932" t="str">
            <v>Oct</v>
          </cell>
          <cell r="D10932" t="str">
            <v>Accessories</v>
          </cell>
          <cell r="E10932">
            <v>1473073.6719999998</v>
          </cell>
          <cell r="F10932">
            <v>10</v>
          </cell>
        </row>
        <row r="10933">
          <cell r="A10933">
            <v>2019</v>
          </cell>
          <cell r="B10933" t="str">
            <v>Budget</v>
          </cell>
          <cell r="C10933" t="str">
            <v>Oct</v>
          </cell>
          <cell r="D10933" t="str">
            <v>Chairs</v>
          </cell>
          <cell r="E10933">
            <v>1761809.42</v>
          </cell>
          <cell r="F10933">
            <v>10</v>
          </cell>
        </row>
        <row r="10934">
          <cell r="A10934">
            <v>2018</v>
          </cell>
          <cell r="B10934" t="str">
            <v>Actual</v>
          </cell>
          <cell r="C10934" t="str">
            <v>Oct</v>
          </cell>
          <cell r="D10934" t="str">
            <v>Tables</v>
          </cell>
          <cell r="E10934">
            <v>203788.75299999997</v>
          </cell>
          <cell r="F10934">
            <v>10</v>
          </cell>
        </row>
        <row r="10935">
          <cell r="A10935">
            <v>2018</v>
          </cell>
          <cell r="B10935" t="str">
            <v>Budget</v>
          </cell>
          <cell r="C10935" t="str">
            <v>Oct</v>
          </cell>
          <cell r="D10935" t="str">
            <v>Kitchen</v>
          </cell>
          <cell r="E10935">
            <v>428629.86599999998</v>
          </cell>
          <cell r="F10935">
            <v>10</v>
          </cell>
        </row>
        <row r="10936">
          <cell r="A10936">
            <v>2018</v>
          </cell>
          <cell r="B10936" t="str">
            <v>Actual</v>
          </cell>
          <cell r="C10936" t="str">
            <v>Oct</v>
          </cell>
          <cell r="D10936" t="str">
            <v>Accessories</v>
          </cell>
          <cell r="E10936">
            <v>218078.46899999998</v>
          </cell>
          <cell r="F10936">
            <v>10</v>
          </cell>
        </row>
        <row r="10937">
          <cell r="A10937">
            <v>2018</v>
          </cell>
          <cell r="B10937" t="str">
            <v>Budget</v>
          </cell>
          <cell r="C10937" t="str">
            <v>Oct</v>
          </cell>
          <cell r="D10937" t="str">
            <v>Chairs</v>
          </cell>
          <cell r="E10937">
            <v>1075193.5109999999</v>
          </cell>
          <cell r="F10937">
            <v>10</v>
          </cell>
        </row>
        <row r="10938">
          <cell r="A10938">
            <v>2019</v>
          </cell>
          <cell r="B10938" t="str">
            <v>Actual</v>
          </cell>
          <cell r="C10938" t="str">
            <v>Oct</v>
          </cell>
          <cell r="D10938" t="str">
            <v>Tables</v>
          </cell>
          <cell r="E10938">
            <v>254792.321</v>
          </cell>
          <cell r="F10938">
            <v>10</v>
          </cell>
        </row>
        <row r="10939">
          <cell r="A10939">
            <v>2018</v>
          </cell>
          <cell r="B10939" t="str">
            <v>Budget</v>
          </cell>
          <cell r="C10939" t="str">
            <v>Oct</v>
          </cell>
          <cell r="D10939" t="str">
            <v>Kitchen</v>
          </cell>
          <cell r="E10939">
            <v>1049651.372</v>
          </cell>
          <cell r="F10939">
            <v>10</v>
          </cell>
        </row>
        <row r="10940">
          <cell r="A10940">
            <v>2019</v>
          </cell>
          <cell r="B10940" t="str">
            <v>Actual</v>
          </cell>
          <cell r="C10940" t="str">
            <v>Oct</v>
          </cell>
          <cell r="D10940" t="str">
            <v>Accessories</v>
          </cell>
          <cell r="E10940">
            <v>363497.484</v>
          </cell>
          <cell r="F10940">
            <v>10</v>
          </cell>
        </row>
        <row r="10941">
          <cell r="A10941">
            <v>2018</v>
          </cell>
          <cell r="B10941" t="str">
            <v>Budget</v>
          </cell>
          <cell r="C10941" t="str">
            <v>Oct</v>
          </cell>
          <cell r="D10941" t="str">
            <v>Chairs</v>
          </cell>
          <cell r="E10941">
            <v>1010268.434</v>
          </cell>
          <cell r="F10941">
            <v>10</v>
          </cell>
        </row>
        <row r="10942">
          <cell r="A10942">
            <v>2019</v>
          </cell>
          <cell r="B10942" t="str">
            <v>Actual</v>
          </cell>
          <cell r="C10942" t="str">
            <v>Oct</v>
          </cell>
          <cell r="D10942" t="str">
            <v>Chairs</v>
          </cell>
          <cell r="E10942">
            <v>3917370.821</v>
          </cell>
          <cell r="F10942">
            <v>10</v>
          </cell>
        </row>
        <row r="10943">
          <cell r="A10943">
            <v>2019</v>
          </cell>
          <cell r="B10943" t="str">
            <v>Budget</v>
          </cell>
          <cell r="C10943" t="str">
            <v>Oct</v>
          </cell>
          <cell r="D10943" t="str">
            <v>Tables</v>
          </cell>
          <cell r="E10943">
            <v>2976476.7339999997</v>
          </cell>
          <cell r="F10943">
            <v>10</v>
          </cell>
        </row>
        <row r="10944">
          <cell r="A10944">
            <v>2018</v>
          </cell>
          <cell r="B10944" t="str">
            <v>Actual</v>
          </cell>
          <cell r="C10944" t="str">
            <v>Oct</v>
          </cell>
          <cell r="D10944" t="str">
            <v>Kitchen</v>
          </cell>
          <cell r="E10944">
            <v>2437879.395</v>
          </cell>
          <cell r="F10944">
            <v>10</v>
          </cell>
        </row>
        <row r="10945">
          <cell r="A10945">
            <v>2019</v>
          </cell>
          <cell r="B10945" t="str">
            <v>Budget</v>
          </cell>
          <cell r="C10945" t="str">
            <v>Oct</v>
          </cell>
          <cell r="D10945" t="str">
            <v>Chairs</v>
          </cell>
          <cell r="E10945">
            <v>599606.86099999992</v>
          </cell>
          <cell r="F10945">
            <v>10</v>
          </cell>
        </row>
        <row r="10946">
          <cell r="A10946">
            <v>2019</v>
          </cell>
          <cell r="B10946" t="str">
            <v>Actual</v>
          </cell>
          <cell r="C10946" t="str">
            <v>Oct</v>
          </cell>
          <cell r="D10946" t="str">
            <v>Tables</v>
          </cell>
          <cell r="E10946">
            <v>751419.03899999999</v>
          </cell>
          <cell r="F10946">
            <v>10</v>
          </cell>
        </row>
        <row r="10947">
          <cell r="A10947">
            <v>2018</v>
          </cell>
          <cell r="B10947" t="str">
            <v>Budget</v>
          </cell>
          <cell r="C10947" t="str">
            <v>Oct</v>
          </cell>
          <cell r="D10947" t="str">
            <v>Kitchen</v>
          </cell>
          <cell r="E10947">
            <v>202068.524</v>
          </cell>
          <cell r="F10947">
            <v>10</v>
          </cell>
        </row>
        <row r="10948">
          <cell r="A10948">
            <v>2018</v>
          </cell>
          <cell r="B10948" t="str">
            <v>Actual</v>
          </cell>
          <cell r="C10948" t="str">
            <v>Oct</v>
          </cell>
          <cell r="D10948" t="str">
            <v>Chairs</v>
          </cell>
          <cell r="E10948">
            <v>339829.67200000002</v>
          </cell>
          <cell r="F10948">
            <v>10</v>
          </cell>
        </row>
        <row r="10949">
          <cell r="A10949">
            <v>2018</v>
          </cell>
          <cell r="B10949" t="str">
            <v>Budget</v>
          </cell>
          <cell r="C10949" t="str">
            <v>Oct</v>
          </cell>
          <cell r="D10949" t="str">
            <v>Tables</v>
          </cell>
          <cell r="E10949">
            <v>2109.933</v>
          </cell>
          <cell r="F10949">
            <v>10</v>
          </cell>
        </row>
        <row r="10950">
          <cell r="A10950">
            <v>2019</v>
          </cell>
          <cell r="B10950" t="str">
            <v>Actual</v>
          </cell>
          <cell r="C10950" t="str">
            <v>Oct</v>
          </cell>
          <cell r="D10950" t="str">
            <v>Kitchen</v>
          </cell>
          <cell r="E10950">
            <v>176556.74400000001</v>
          </cell>
          <cell r="F10950">
            <v>10</v>
          </cell>
        </row>
        <row r="10951">
          <cell r="A10951">
            <v>2018</v>
          </cell>
          <cell r="B10951" t="str">
            <v>Budget</v>
          </cell>
          <cell r="C10951" t="str">
            <v>Oct</v>
          </cell>
          <cell r="D10951" t="str">
            <v>Chairs</v>
          </cell>
          <cell r="E10951">
            <v>2606037.9239999996</v>
          </cell>
          <cell r="F10951">
            <v>10</v>
          </cell>
        </row>
        <row r="10952">
          <cell r="A10952">
            <v>2019</v>
          </cell>
          <cell r="B10952" t="str">
            <v>Actual</v>
          </cell>
          <cell r="C10952" t="str">
            <v>Oct</v>
          </cell>
          <cell r="D10952" t="str">
            <v>Chairs</v>
          </cell>
          <cell r="E10952">
            <v>165494.18899999998</v>
          </cell>
          <cell r="F10952">
            <v>10</v>
          </cell>
        </row>
        <row r="10953">
          <cell r="A10953">
            <v>2019</v>
          </cell>
          <cell r="B10953" t="str">
            <v>Budget</v>
          </cell>
          <cell r="C10953" t="str">
            <v>Oct</v>
          </cell>
          <cell r="D10953" t="str">
            <v>Chairs</v>
          </cell>
          <cell r="E10953">
            <v>2158267.65</v>
          </cell>
          <cell r="F10953">
            <v>10</v>
          </cell>
        </row>
        <row r="10954">
          <cell r="A10954">
            <v>2018</v>
          </cell>
          <cell r="B10954" t="str">
            <v>Actual</v>
          </cell>
          <cell r="C10954" t="str">
            <v>Oct</v>
          </cell>
          <cell r="D10954" t="str">
            <v>Chairs</v>
          </cell>
          <cell r="E10954">
            <v>1062151.6429999999</v>
          </cell>
          <cell r="F10954">
            <v>10</v>
          </cell>
        </row>
        <row r="10955">
          <cell r="A10955">
            <v>2018</v>
          </cell>
          <cell r="B10955" t="str">
            <v>Budget</v>
          </cell>
          <cell r="C10955" t="str">
            <v>Oct</v>
          </cell>
          <cell r="D10955" t="str">
            <v>Chairs</v>
          </cell>
          <cell r="E10955">
            <v>3046191.1129999999</v>
          </cell>
          <cell r="F10955">
            <v>10</v>
          </cell>
        </row>
        <row r="10956">
          <cell r="A10956">
            <v>2018</v>
          </cell>
          <cell r="B10956" t="str">
            <v>Actual</v>
          </cell>
          <cell r="C10956" t="str">
            <v>Oct</v>
          </cell>
          <cell r="D10956" t="str">
            <v>Chairs</v>
          </cell>
          <cell r="E10956">
            <v>925547.88199999998</v>
          </cell>
          <cell r="F10956">
            <v>10</v>
          </cell>
        </row>
        <row r="10957">
          <cell r="A10957">
            <v>2019</v>
          </cell>
          <cell r="B10957" t="str">
            <v>Budget</v>
          </cell>
          <cell r="C10957" t="str">
            <v>Oct</v>
          </cell>
          <cell r="D10957" t="str">
            <v>Chairs</v>
          </cell>
          <cell r="E10957">
            <v>243104.88299999997</v>
          </cell>
          <cell r="F10957">
            <v>10</v>
          </cell>
        </row>
        <row r="10958">
          <cell r="A10958">
            <v>2019</v>
          </cell>
          <cell r="B10958" t="str">
            <v>Actual</v>
          </cell>
          <cell r="C10958" t="str">
            <v>Oct</v>
          </cell>
          <cell r="D10958" t="str">
            <v>Chairs</v>
          </cell>
          <cell r="E10958">
            <v>5334.5879999999997</v>
          </cell>
          <cell r="F10958">
            <v>10</v>
          </cell>
        </row>
        <row r="10959">
          <cell r="A10959">
            <v>2018</v>
          </cell>
          <cell r="B10959" t="str">
            <v>Budget</v>
          </cell>
          <cell r="C10959" t="str">
            <v>Oct</v>
          </cell>
          <cell r="D10959" t="str">
            <v>Chairs</v>
          </cell>
          <cell r="E10959">
            <v>482479.30499999999</v>
          </cell>
          <cell r="F10959">
            <v>10</v>
          </cell>
        </row>
        <row r="10960">
          <cell r="A10960">
            <v>2018</v>
          </cell>
          <cell r="B10960" t="str">
            <v>Actual</v>
          </cell>
          <cell r="C10960" t="str">
            <v>Oct</v>
          </cell>
          <cell r="D10960" t="str">
            <v>Chairs</v>
          </cell>
          <cell r="E10960">
            <v>50997.183999999994</v>
          </cell>
          <cell r="F10960">
            <v>10</v>
          </cell>
        </row>
        <row r="10961">
          <cell r="A10961">
            <v>2018</v>
          </cell>
          <cell r="B10961" t="str">
            <v>Budget</v>
          </cell>
          <cell r="C10961" t="str">
            <v>Oct</v>
          </cell>
          <cell r="D10961" t="str">
            <v>Chairs</v>
          </cell>
          <cell r="E10961">
            <v>319128.663</v>
          </cell>
          <cell r="F10961">
            <v>10</v>
          </cell>
        </row>
        <row r="10962">
          <cell r="A10962">
            <v>2018</v>
          </cell>
          <cell r="B10962" t="str">
            <v>Actual</v>
          </cell>
          <cell r="C10962" t="str">
            <v>Oct</v>
          </cell>
          <cell r="D10962" t="str">
            <v>Chairs</v>
          </cell>
          <cell r="E10962">
            <v>166278.51799999998</v>
          </cell>
          <cell r="F10962">
            <v>10</v>
          </cell>
        </row>
        <row r="10963">
          <cell r="A10963">
            <v>2018</v>
          </cell>
          <cell r="B10963" t="str">
            <v>Budget</v>
          </cell>
          <cell r="C10963" t="str">
            <v>Oct</v>
          </cell>
          <cell r="D10963" t="str">
            <v>Chairs</v>
          </cell>
          <cell r="E10963">
            <v>1306595.3669999999</v>
          </cell>
          <cell r="F10963">
            <v>10</v>
          </cell>
        </row>
        <row r="10964">
          <cell r="A10964">
            <v>2019</v>
          </cell>
          <cell r="B10964" t="str">
            <v>Actual</v>
          </cell>
          <cell r="C10964" t="str">
            <v>Oct</v>
          </cell>
          <cell r="D10964" t="str">
            <v>Chairs</v>
          </cell>
          <cell r="E10964">
            <v>177658.60699999999</v>
          </cell>
          <cell r="F10964">
            <v>10</v>
          </cell>
        </row>
        <row r="10965">
          <cell r="A10965">
            <v>2019</v>
          </cell>
          <cell r="B10965" t="str">
            <v>Budget</v>
          </cell>
          <cell r="C10965" t="str">
            <v>Oct</v>
          </cell>
          <cell r="D10965" t="str">
            <v>Chairs</v>
          </cell>
          <cell r="E10965">
            <v>157174.073</v>
          </cell>
          <cell r="F10965">
            <v>10</v>
          </cell>
        </row>
        <row r="10966">
          <cell r="A10966">
            <v>2018</v>
          </cell>
          <cell r="B10966" t="str">
            <v>Actual</v>
          </cell>
          <cell r="C10966" t="str">
            <v>Oct</v>
          </cell>
          <cell r="D10966" t="str">
            <v>Chairs</v>
          </cell>
          <cell r="E10966">
            <v>57851.843000000001</v>
          </cell>
          <cell r="F10966">
            <v>10</v>
          </cell>
        </row>
        <row r="10967">
          <cell r="A10967">
            <v>2018</v>
          </cell>
          <cell r="B10967" t="str">
            <v>Budget</v>
          </cell>
          <cell r="C10967" t="str">
            <v>Oct</v>
          </cell>
          <cell r="D10967" t="str">
            <v>Chairs</v>
          </cell>
          <cell r="E10967">
            <v>61006.672999999995</v>
          </cell>
          <cell r="F10967">
            <v>10</v>
          </cell>
        </row>
        <row r="10968">
          <cell r="A10968">
            <v>2019</v>
          </cell>
          <cell r="B10968" t="str">
            <v>Actual</v>
          </cell>
          <cell r="C10968" t="str">
            <v>Oct</v>
          </cell>
          <cell r="D10968" t="str">
            <v>Chairs</v>
          </cell>
          <cell r="E10968">
            <v>320333.31400000001</v>
          </cell>
          <cell r="F10968">
            <v>10</v>
          </cell>
        </row>
        <row r="10969">
          <cell r="A10969">
            <v>2019</v>
          </cell>
          <cell r="B10969" t="str">
            <v>Budget</v>
          </cell>
          <cell r="C10969" t="str">
            <v>Oct</v>
          </cell>
          <cell r="D10969" t="str">
            <v>Chairs</v>
          </cell>
          <cell r="E10969">
            <v>306327.71399999998</v>
          </cell>
          <cell r="F10969">
            <v>10</v>
          </cell>
        </row>
        <row r="10970">
          <cell r="A10970">
            <v>2018</v>
          </cell>
          <cell r="B10970" t="str">
            <v>Actual</v>
          </cell>
          <cell r="C10970" t="str">
            <v>Oct</v>
          </cell>
          <cell r="D10970" t="str">
            <v>Chairs</v>
          </cell>
          <cell r="E10970">
            <v>186133.27599999998</v>
          </cell>
          <cell r="F10970">
            <v>10</v>
          </cell>
        </row>
        <row r="10971">
          <cell r="A10971">
            <v>2019</v>
          </cell>
          <cell r="B10971" t="str">
            <v>Budget</v>
          </cell>
          <cell r="C10971" t="str">
            <v>Oct</v>
          </cell>
          <cell r="D10971" t="str">
            <v>Chairs</v>
          </cell>
          <cell r="E10971">
            <v>747791.94699999993</v>
          </cell>
          <cell r="F10971">
            <v>10</v>
          </cell>
        </row>
        <row r="10972">
          <cell r="A10972">
            <v>2019</v>
          </cell>
          <cell r="B10972" t="str">
            <v>Actual</v>
          </cell>
          <cell r="C10972" t="str">
            <v>Oct</v>
          </cell>
          <cell r="D10972" t="str">
            <v>Chairs</v>
          </cell>
          <cell r="E10972">
            <v>37258.297999999995</v>
          </cell>
          <cell r="F10972">
            <v>10</v>
          </cell>
        </row>
        <row r="10973">
          <cell r="A10973">
            <v>2018</v>
          </cell>
          <cell r="B10973" t="str">
            <v>Budget</v>
          </cell>
          <cell r="C10973" t="str">
            <v>Oct</v>
          </cell>
          <cell r="D10973" t="str">
            <v>Chairs</v>
          </cell>
          <cell r="E10973">
            <v>99298.184999999983</v>
          </cell>
          <cell r="F10973">
            <v>10</v>
          </cell>
        </row>
        <row r="10974">
          <cell r="A10974">
            <v>2018</v>
          </cell>
          <cell r="B10974" t="str">
            <v>Actual</v>
          </cell>
          <cell r="C10974" t="str">
            <v>Oct</v>
          </cell>
          <cell r="D10974" t="str">
            <v>Chairs</v>
          </cell>
          <cell r="E10974">
            <v>128769.62</v>
          </cell>
          <cell r="F10974">
            <v>10</v>
          </cell>
        </row>
        <row r="10975">
          <cell r="A10975">
            <v>2019</v>
          </cell>
          <cell r="B10975" t="str">
            <v>Budget</v>
          </cell>
          <cell r="C10975" t="str">
            <v>Oct</v>
          </cell>
          <cell r="D10975" t="str">
            <v>Chairs</v>
          </cell>
          <cell r="E10975">
            <v>139938.16199999998</v>
          </cell>
          <cell r="F10975">
            <v>10</v>
          </cell>
        </row>
        <row r="10976">
          <cell r="A10976">
            <v>2019</v>
          </cell>
          <cell r="B10976" t="str">
            <v>Actual</v>
          </cell>
          <cell r="C10976" t="str">
            <v>Oct</v>
          </cell>
          <cell r="D10976" t="str">
            <v>Chairs</v>
          </cell>
          <cell r="E10976">
            <v>229138.742</v>
          </cell>
          <cell r="F10976">
            <v>10</v>
          </cell>
        </row>
        <row r="10977">
          <cell r="A10977">
            <v>2019</v>
          </cell>
          <cell r="B10977" t="str">
            <v>Budget</v>
          </cell>
          <cell r="C10977" t="str">
            <v>Oct</v>
          </cell>
          <cell r="D10977" t="str">
            <v>Tables</v>
          </cell>
          <cell r="E10977">
            <v>55495.964999999997</v>
          </cell>
          <cell r="F10977">
            <v>10</v>
          </cell>
        </row>
        <row r="10978">
          <cell r="A10978">
            <v>2018</v>
          </cell>
          <cell r="B10978" t="str">
            <v>Actual</v>
          </cell>
          <cell r="C10978" t="str">
            <v>Oct</v>
          </cell>
          <cell r="D10978" t="str">
            <v>Kitchen</v>
          </cell>
          <cell r="E10978">
            <v>505343.223</v>
          </cell>
          <cell r="F10978">
            <v>10</v>
          </cell>
        </row>
        <row r="10979">
          <cell r="A10979">
            <v>2018</v>
          </cell>
          <cell r="B10979" t="str">
            <v>Budget</v>
          </cell>
          <cell r="C10979" t="str">
            <v>Oct</v>
          </cell>
          <cell r="D10979" t="str">
            <v>Chairs</v>
          </cell>
          <cell r="E10979">
            <v>384127.69499999995</v>
          </cell>
          <cell r="F10979">
            <v>10</v>
          </cell>
        </row>
        <row r="10980">
          <cell r="A10980">
            <v>2019</v>
          </cell>
          <cell r="B10980" t="str">
            <v>Actual</v>
          </cell>
          <cell r="C10980" t="str">
            <v>Oct</v>
          </cell>
          <cell r="D10980" t="str">
            <v>Chairs</v>
          </cell>
          <cell r="E10980">
            <v>386527.24599999998</v>
          </cell>
          <cell r="F10980">
            <v>10</v>
          </cell>
        </row>
        <row r="10981">
          <cell r="A10981">
            <v>2019</v>
          </cell>
          <cell r="B10981" t="str">
            <v>Budget</v>
          </cell>
          <cell r="C10981" t="str">
            <v>Oct</v>
          </cell>
          <cell r="D10981" t="str">
            <v>Chairs</v>
          </cell>
          <cell r="E10981">
            <v>459230.09299999994</v>
          </cell>
          <cell r="F10981">
            <v>10</v>
          </cell>
        </row>
        <row r="10982">
          <cell r="A10982">
            <v>2019</v>
          </cell>
          <cell r="B10982" t="str">
            <v>Actual</v>
          </cell>
          <cell r="C10982" t="str">
            <v>Oct</v>
          </cell>
          <cell r="D10982" t="str">
            <v>Chairs</v>
          </cell>
          <cell r="E10982">
            <v>163855.59400000001</v>
          </cell>
          <cell r="F10982">
            <v>10</v>
          </cell>
        </row>
        <row r="10983">
          <cell r="A10983">
            <v>2019</v>
          </cell>
          <cell r="B10983" t="str">
            <v>Budget</v>
          </cell>
          <cell r="C10983" t="str">
            <v>Oct</v>
          </cell>
          <cell r="D10983" t="str">
            <v>Chairs</v>
          </cell>
          <cell r="E10983">
            <v>82418.384999999995</v>
          </cell>
          <cell r="F10983">
            <v>10</v>
          </cell>
        </row>
        <row r="10984">
          <cell r="A10984">
            <v>2019</v>
          </cell>
          <cell r="B10984" t="str">
            <v>Actual</v>
          </cell>
          <cell r="C10984" t="str">
            <v>Oct</v>
          </cell>
          <cell r="D10984" t="str">
            <v>Tables</v>
          </cell>
          <cell r="E10984">
            <v>44156.322</v>
          </cell>
          <cell r="F10984">
            <v>10</v>
          </cell>
        </row>
        <row r="10985">
          <cell r="A10985">
            <v>2019</v>
          </cell>
          <cell r="B10985" t="str">
            <v>Budget</v>
          </cell>
          <cell r="C10985" t="str">
            <v>Oct</v>
          </cell>
          <cell r="D10985" t="str">
            <v>Kitchen</v>
          </cell>
          <cell r="E10985">
            <v>58080.749999999993</v>
          </cell>
          <cell r="F10985">
            <v>10</v>
          </cell>
        </row>
        <row r="10986">
          <cell r="A10986">
            <v>2018</v>
          </cell>
          <cell r="B10986" t="str">
            <v>Actual</v>
          </cell>
          <cell r="C10986" t="str">
            <v>Oct</v>
          </cell>
          <cell r="D10986" t="str">
            <v>Chairs</v>
          </cell>
          <cell r="E10986">
            <v>670627.25799999991</v>
          </cell>
          <cell r="F10986">
            <v>10</v>
          </cell>
        </row>
        <row r="10987">
          <cell r="A10987">
            <v>2018</v>
          </cell>
          <cell r="B10987" t="str">
            <v>Budget</v>
          </cell>
          <cell r="C10987" t="str">
            <v>Oct</v>
          </cell>
          <cell r="D10987" t="str">
            <v>Chairs</v>
          </cell>
          <cell r="E10987">
            <v>358300.13799999998</v>
          </cell>
          <cell r="F10987">
            <v>10</v>
          </cell>
        </row>
        <row r="10988">
          <cell r="A10988">
            <v>2018</v>
          </cell>
          <cell r="B10988" t="str">
            <v>Actual</v>
          </cell>
          <cell r="C10988" t="str">
            <v>Oct</v>
          </cell>
          <cell r="D10988" t="str">
            <v>Chairs</v>
          </cell>
          <cell r="E10988">
            <v>114737.266</v>
          </cell>
          <cell r="F10988">
            <v>10</v>
          </cell>
        </row>
        <row r="10989">
          <cell r="A10989">
            <v>2019</v>
          </cell>
          <cell r="B10989" t="str">
            <v>Budget</v>
          </cell>
          <cell r="C10989" t="str">
            <v>Oct</v>
          </cell>
          <cell r="D10989" t="str">
            <v>Tables</v>
          </cell>
          <cell r="E10989">
            <v>32957.014999999999</v>
          </cell>
          <cell r="F10989">
            <v>10</v>
          </cell>
        </row>
        <row r="10990">
          <cell r="A10990">
            <v>2019</v>
          </cell>
          <cell r="B10990" t="str">
            <v>Actual</v>
          </cell>
          <cell r="C10990" t="str">
            <v>Oct</v>
          </cell>
          <cell r="D10990" t="str">
            <v>Kitchen</v>
          </cell>
          <cell r="E10990">
            <v>1863670.5499999998</v>
          </cell>
          <cell r="F10990">
            <v>10</v>
          </cell>
        </row>
        <row r="10991">
          <cell r="A10991">
            <v>2019</v>
          </cell>
          <cell r="B10991" t="str">
            <v>Budget</v>
          </cell>
          <cell r="C10991" t="str">
            <v>Oct</v>
          </cell>
          <cell r="D10991" t="str">
            <v>Chairs</v>
          </cell>
          <cell r="E10991">
            <v>195963.57899999997</v>
          </cell>
          <cell r="F10991">
            <v>10</v>
          </cell>
        </row>
        <row r="10992">
          <cell r="A10992">
            <v>2018</v>
          </cell>
          <cell r="B10992" t="str">
            <v>Actual</v>
          </cell>
          <cell r="C10992" t="str">
            <v>Oct</v>
          </cell>
          <cell r="D10992" t="str">
            <v>Chairs</v>
          </cell>
          <cell r="E10992">
            <v>34116.201000000001</v>
          </cell>
          <cell r="F10992">
            <v>10</v>
          </cell>
        </row>
        <row r="10993">
          <cell r="A10993">
            <v>2019</v>
          </cell>
          <cell r="B10993" t="str">
            <v>Budget</v>
          </cell>
          <cell r="C10993" t="str">
            <v>Oct</v>
          </cell>
          <cell r="D10993" t="str">
            <v>Tables</v>
          </cell>
          <cell r="E10993">
            <v>8270.4580000000005</v>
          </cell>
          <cell r="F10993">
            <v>10</v>
          </cell>
        </row>
        <row r="10994">
          <cell r="A10994">
            <v>2019</v>
          </cell>
          <cell r="B10994" t="str">
            <v>Actual</v>
          </cell>
          <cell r="C10994" t="str">
            <v>Oct</v>
          </cell>
          <cell r="D10994" t="str">
            <v>Kitchen</v>
          </cell>
          <cell r="E10994">
            <v>259875.90999999997</v>
          </cell>
          <cell r="F10994">
            <v>10</v>
          </cell>
        </row>
        <row r="10995">
          <cell r="A10995">
            <v>2019</v>
          </cell>
          <cell r="B10995" t="str">
            <v>Budget</v>
          </cell>
          <cell r="C10995" t="str">
            <v>Oct</v>
          </cell>
          <cell r="D10995" t="str">
            <v>Chairs</v>
          </cell>
          <cell r="E10995">
            <v>44537.352999999996</v>
          </cell>
          <cell r="F10995">
            <v>10</v>
          </cell>
        </row>
        <row r="10996">
          <cell r="A10996">
            <v>2018</v>
          </cell>
          <cell r="B10996" t="str">
            <v>Actual</v>
          </cell>
          <cell r="C10996" t="str">
            <v>Oct</v>
          </cell>
          <cell r="D10996" t="str">
            <v>Chairs</v>
          </cell>
          <cell r="E10996">
            <v>105521.003</v>
          </cell>
          <cell r="F10996">
            <v>10</v>
          </cell>
        </row>
        <row r="10997">
          <cell r="A10997">
            <v>2019</v>
          </cell>
          <cell r="B10997" t="str">
            <v>Budget</v>
          </cell>
          <cell r="C10997" t="str">
            <v>Oct</v>
          </cell>
          <cell r="D10997" t="str">
            <v>Chairs</v>
          </cell>
          <cell r="E10997">
            <v>156169.01299999998</v>
          </cell>
          <cell r="F10997">
            <v>10</v>
          </cell>
        </row>
        <row r="10998">
          <cell r="A10998">
            <v>2018</v>
          </cell>
          <cell r="B10998" t="str">
            <v>Actual</v>
          </cell>
          <cell r="C10998" t="str">
            <v>Oct</v>
          </cell>
          <cell r="D10998" t="str">
            <v>Tables</v>
          </cell>
          <cell r="E10998">
            <v>13355.481999999998</v>
          </cell>
          <cell r="F10998">
            <v>10</v>
          </cell>
        </row>
        <row r="10999">
          <cell r="A10999">
            <v>2018</v>
          </cell>
          <cell r="B10999" t="str">
            <v>Budget</v>
          </cell>
          <cell r="C10999" t="str">
            <v>Oct</v>
          </cell>
          <cell r="D10999" t="str">
            <v>Kitchen</v>
          </cell>
          <cell r="E10999">
            <v>1834826.5319999997</v>
          </cell>
          <cell r="F10999">
            <v>10</v>
          </cell>
        </row>
        <row r="11000">
          <cell r="A11000">
            <v>2018</v>
          </cell>
          <cell r="B11000" t="str">
            <v>Actual</v>
          </cell>
          <cell r="C11000" t="str">
            <v>Oct</v>
          </cell>
          <cell r="D11000" t="str">
            <v>Accessories</v>
          </cell>
          <cell r="E11000">
            <v>2115244.67</v>
          </cell>
          <cell r="F11000">
            <v>10</v>
          </cell>
        </row>
        <row r="11001">
          <cell r="A11001">
            <v>2019</v>
          </cell>
          <cell r="B11001" t="str">
            <v>Budget</v>
          </cell>
          <cell r="C11001" t="str">
            <v>Oct</v>
          </cell>
          <cell r="D11001" t="str">
            <v>Chairs</v>
          </cell>
          <cell r="E11001">
            <v>141608.34099999999</v>
          </cell>
          <cell r="F11001">
            <v>10</v>
          </cell>
        </row>
        <row r="11002">
          <cell r="A11002">
            <v>2019</v>
          </cell>
          <cell r="B11002" t="str">
            <v>Actual</v>
          </cell>
          <cell r="C11002" t="str">
            <v>Oct</v>
          </cell>
          <cell r="D11002" t="str">
            <v>Tables</v>
          </cell>
          <cell r="E11002">
            <v>87976.7</v>
          </cell>
          <cell r="F11002">
            <v>10</v>
          </cell>
        </row>
        <row r="11003">
          <cell r="A11003">
            <v>2019</v>
          </cell>
          <cell r="B11003" t="str">
            <v>Budget</v>
          </cell>
          <cell r="C11003" t="str">
            <v>Oct</v>
          </cell>
          <cell r="D11003" t="str">
            <v>Kitchen</v>
          </cell>
          <cell r="E11003">
            <v>45438.358</v>
          </cell>
          <cell r="F11003">
            <v>10</v>
          </cell>
        </row>
        <row r="11004">
          <cell r="A11004">
            <v>2018</v>
          </cell>
          <cell r="B11004" t="str">
            <v>Actual</v>
          </cell>
          <cell r="C11004" t="str">
            <v>Oct</v>
          </cell>
          <cell r="D11004" t="str">
            <v>Accessories</v>
          </cell>
          <cell r="E11004">
            <v>89981.43</v>
          </cell>
          <cell r="F11004">
            <v>10</v>
          </cell>
        </row>
        <row r="11005">
          <cell r="A11005">
            <v>2019</v>
          </cell>
          <cell r="B11005" t="str">
            <v>Budget</v>
          </cell>
          <cell r="C11005" t="str">
            <v>Oct</v>
          </cell>
          <cell r="D11005" t="str">
            <v>Chairs</v>
          </cell>
          <cell r="E11005">
            <v>1107844.9479999999</v>
          </cell>
          <cell r="F11005">
            <v>10</v>
          </cell>
        </row>
        <row r="11006">
          <cell r="A11006">
            <v>2018</v>
          </cell>
          <cell r="B11006" t="str">
            <v>Actual</v>
          </cell>
          <cell r="C11006" t="str">
            <v>Oct</v>
          </cell>
          <cell r="D11006" t="str">
            <v>Tables</v>
          </cell>
          <cell r="E11006">
            <v>586916.71499999997</v>
          </cell>
          <cell r="F11006">
            <v>10</v>
          </cell>
        </row>
        <row r="11007">
          <cell r="A11007">
            <v>2019</v>
          </cell>
          <cell r="B11007" t="str">
            <v>Budget</v>
          </cell>
          <cell r="C11007" t="str">
            <v>Oct</v>
          </cell>
          <cell r="D11007" t="str">
            <v>Kitchen</v>
          </cell>
          <cell r="E11007">
            <v>67470.004000000001</v>
          </cell>
          <cell r="F11007">
            <v>10</v>
          </cell>
        </row>
        <row r="11008">
          <cell r="A11008">
            <v>2019</v>
          </cell>
          <cell r="B11008" t="str">
            <v>Actual</v>
          </cell>
          <cell r="C11008" t="str">
            <v>Oct</v>
          </cell>
          <cell r="D11008" t="str">
            <v>Accessories</v>
          </cell>
          <cell r="E11008">
            <v>22507.303</v>
          </cell>
          <cell r="F11008">
            <v>10</v>
          </cell>
        </row>
        <row r="11009">
          <cell r="A11009">
            <v>2018</v>
          </cell>
          <cell r="B11009" t="str">
            <v>Budget</v>
          </cell>
          <cell r="C11009" t="str">
            <v>Oct</v>
          </cell>
          <cell r="D11009" t="str">
            <v>Chairs</v>
          </cell>
          <cell r="E11009">
            <v>116050.00399999999</v>
          </cell>
          <cell r="F11009">
            <v>10</v>
          </cell>
        </row>
        <row r="11010">
          <cell r="A11010">
            <v>2019</v>
          </cell>
          <cell r="B11010" t="str">
            <v>Actual</v>
          </cell>
          <cell r="C11010" t="str">
            <v>Oct</v>
          </cell>
          <cell r="D11010" t="str">
            <v>Tables</v>
          </cell>
          <cell r="E11010">
            <v>1585092.4739999997</v>
          </cell>
          <cell r="F11010">
            <v>10</v>
          </cell>
        </row>
        <row r="11011">
          <cell r="A11011">
            <v>2018</v>
          </cell>
          <cell r="B11011" t="str">
            <v>Budget</v>
          </cell>
          <cell r="C11011" t="str">
            <v>Oct</v>
          </cell>
          <cell r="D11011" t="str">
            <v>Kitchen</v>
          </cell>
          <cell r="E11011">
            <v>1019487.1189999998</v>
          </cell>
          <cell r="F11011">
            <v>10</v>
          </cell>
        </row>
        <row r="11012">
          <cell r="A11012">
            <v>2018</v>
          </cell>
          <cell r="B11012" t="str">
            <v>Actual</v>
          </cell>
          <cell r="C11012" t="str">
            <v>Oct</v>
          </cell>
          <cell r="D11012" t="str">
            <v>Accessories</v>
          </cell>
          <cell r="E11012">
            <v>948457.20200000005</v>
          </cell>
          <cell r="F11012">
            <v>10</v>
          </cell>
        </row>
        <row r="11013">
          <cell r="A11013">
            <v>2018</v>
          </cell>
          <cell r="B11013" t="str">
            <v>Budget</v>
          </cell>
          <cell r="C11013" t="str">
            <v>Oct</v>
          </cell>
          <cell r="D11013" t="str">
            <v>Chairs</v>
          </cell>
          <cell r="E11013">
            <v>135903.24299999999</v>
          </cell>
          <cell r="F11013">
            <v>10</v>
          </cell>
        </row>
        <row r="11014">
          <cell r="A11014">
            <v>2018</v>
          </cell>
          <cell r="B11014" t="str">
            <v>Actual</v>
          </cell>
          <cell r="C11014" t="str">
            <v>Oct</v>
          </cell>
          <cell r="D11014" t="str">
            <v>Chairs</v>
          </cell>
          <cell r="E11014">
            <v>249750.48699999996</v>
          </cell>
          <cell r="F11014">
            <v>10</v>
          </cell>
        </row>
        <row r="11015">
          <cell r="A11015">
            <v>2019</v>
          </cell>
          <cell r="B11015" t="str">
            <v>Budget</v>
          </cell>
          <cell r="C11015" t="str">
            <v>Oct</v>
          </cell>
          <cell r="D11015" t="str">
            <v>Tables</v>
          </cell>
          <cell r="E11015">
            <v>25673.017999999996</v>
          </cell>
          <cell r="F11015">
            <v>10</v>
          </cell>
        </row>
        <row r="11016">
          <cell r="A11016">
            <v>2019</v>
          </cell>
          <cell r="B11016" t="str">
            <v>Actual</v>
          </cell>
          <cell r="C11016" t="str">
            <v>Oct</v>
          </cell>
          <cell r="D11016" t="str">
            <v>Kitchen</v>
          </cell>
          <cell r="E11016">
            <v>36635.402999999998</v>
          </cell>
          <cell r="F11016">
            <v>10</v>
          </cell>
        </row>
        <row r="11017">
          <cell r="A11017">
            <v>2019</v>
          </cell>
          <cell r="B11017" t="str">
            <v>Budget</v>
          </cell>
          <cell r="C11017" t="str">
            <v>Oct</v>
          </cell>
          <cell r="D11017" t="str">
            <v>Chairs</v>
          </cell>
          <cell r="E11017">
            <v>202513.72399999999</v>
          </cell>
          <cell r="F11017">
            <v>10</v>
          </cell>
        </row>
        <row r="11018">
          <cell r="A11018">
            <v>2018</v>
          </cell>
          <cell r="B11018" t="str">
            <v>Actual</v>
          </cell>
          <cell r="C11018" t="str">
            <v>Oct</v>
          </cell>
          <cell r="D11018" t="str">
            <v>Tables</v>
          </cell>
          <cell r="E11018">
            <v>1541011.0659999999</v>
          </cell>
          <cell r="F11018">
            <v>10</v>
          </cell>
        </row>
        <row r="11019">
          <cell r="A11019">
            <v>2019</v>
          </cell>
          <cell r="B11019" t="str">
            <v>Budget</v>
          </cell>
          <cell r="C11019" t="str">
            <v>Oct</v>
          </cell>
          <cell r="D11019" t="str">
            <v>Kitchen</v>
          </cell>
          <cell r="E11019">
            <v>83093.310999999987</v>
          </cell>
          <cell r="F11019">
            <v>10</v>
          </cell>
        </row>
        <row r="11020">
          <cell r="A11020">
            <v>2018</v>
          </cell>
          <cell r="B11020" t="str">
            <v>Actual</v>
          </cell>
          <cell r="C11020" t="str">
            <v>Oct</v>
          </cell>
          <cell r="D11020" t="str">
            <v>Chairs</v>
          </cell>
          <cell r="E11020">
            <v>41039.088999999993</v>
          </cell>
          <cell r="F11020">
            <v>10</v>
          </cell>
        </row>
        <row r="11021">
          <cell r="A11021">
            <v>2019</v>
          </cell>
          <cell r="B11021" t="str">
            <v>Budget</v>
          </cell>
          <cell r="C11021" t="str">
            <v>Oct</v>
          </cell>
          <cell r="D11021" t="str">
            <v>Tables</v>
          </cell>
          <cell r="E11021">
            <v>1274221.3609999998</v>
          </cell>
          <cell r="F11021">
            <v>10</v>
          </cell>
        </row>
        <row r="11022">
          <cell r="A11022">
            <v>2018</v>
          </cell>
          <cell r="B11022" t="str">
            <v>Actual</v>
          </cell>
          <cell r="C11022" t="str">
            <v>Oct</v>
          </cell>
          <cell r="D11022" t="str">
            <v>Kitchen</v>
          </cell>
          <cell r="E11022">
            <v>565804.652</v>
          </cell>
          <cell r="F11022">
            <v>10</v>
          </cell>
        </row>
        <row r="11023">
          <cell r="A11023">
            <v>2018</v>
          </cell>
          <cell r="B11023" t="str">
            <v>Budget</v>
          </cell>
          <cell r="C11023" t="str">
            <v>Oct</v>
          </cell>
          <cell r="D11023" t="str">
            <v>Chairs</v>
          </cell>
          <cell r="E11023">
            <v>38829.188999999998</v>
          </cell>
          <cell r="F11023">
            <v>10</v>
          </cell>
        </row>
        <row r="11024">
          <cell r="A11024">
            <v>2018</v>
          </cell>
          <cell r="B11024" t="str">
            <v>Actual</v>
          </cell>
          <cell r="C11024" t="str">
            <v>Oct</v>
          </cell>
          <cell r="D11024" t="str">
            <v>Chairs</v>
          </cell>
          <cell r="E11024">
            <v>155400.02099999998</v>
          </cell>
          <cell r="F11024">
            <v>10</v>
          </cell>
        </row>
        <row r="11025">
          <cell r="A11025">
            <v>2018</v>
          </cell>
          <cell r="B11025" t="str">
            <v>Budget</v>
          </cell>
          <cell r="C11025" t="str">
            <v>Oct</v>
          </cell>
          <cell r="D11025" t="str">
            <v>Chairs</v>
          </cell>
          <cell r="E11025">
            <v>37069.766999999993</v>
          </cell>
          <cell r="F11025">
            <v>10</v>
          </cell>
        </row>
        <row r="11026">
          <cell r="A11026">
            <v>2019</v>
          </cell>
          <cell r="B11026" t="str">
            <v>Actual</v>
          </cell>
          <cell r="C11026" t="str">
            <v>Oct</v>
          </cell>
          <cell r="D11026" t="str">
            <v>Chairs</v>
          </cell>
          <cell r="E11026">
            <v>49441.426999999996</v>
          </cell>
          <cell r="F11026">
            <v>10</v>
          </cell>
        </row>
        <row r="11027">
          <cell r="A11027">
            <v>2018</v>
          </cell>
          <cell r="B11027" t="str">
            <v>Budget</v>
          </cell>
          <cell r="C11027" t="str">
            <v>Oct</v>
          </cell>
          <cell r="D11027" t="str">
            <v>Chairs</v>
          </cell>
          <cell r="E11027">
            <v>12051.857999999998</v>
          </cell>
          <cell r="F11027">
            <v>10</v>
          </cell>
        </row>
        <row r="11028">
          <cell r="A11028">
            <v>2019</v>
          </cell>
          <cell r="B11028" t="str">
            <v>Actual</v>
          </cell>
          <cell r="C11028" t="str">
            <v>Oct</v>
          </cell>
          <cell r="D11028" t="str">
            <v>Chairs</v>
          </cell>
          <cell r="E11028">
            <v>90024.472999999998</v>
          </cell>
          <cell r="F11028">
            <v>10</v>
          </cell>
        </row>
        <row r="11029">
          <cell r="A11029">
            <v>2019</v>
          </cell>
          <cell r="B11029" t="str">
            <v>Budget</v>
          </cell>
          <cell r="C11029" t="str">
            <v>Oct</v>
          </cell>
          <cell r="D11029" t="str">
            <v>Chairs</v>
          </cell>
          <cell r="E11029">
            <v>65704.365999999995</v>
          </cell>
          <cell r="F11029">
            <v>10</v>
          </cell>
        </row>
        <row r="11030">
          <cell r="A11030">
            <v>2019</v>
          </cell>
          <cell r="B11030" t="str">
            <v>Actual</v>
          </cell>
          <cell r="C11030" t="str">
            <v>Oct</v>
          </cell>
          <cell r="D11030" t="str">
            <v>Chairs</v>
          </cell>
          <cell r="E11030">
            <v>19798.834999999999</v>
          </cell>
          <cell r="F11030">
            <v>10</v>
          </cell>
        </row>
        <row r="11031">
          <cell r="A11031">
            <v>2019</v>
          </cell>
          <cell r="B11031" t="str">
            <v>Budget</v>
          </cell>
          <cell r="C11031" t="str">
            <v>Oct</v>
          </cell>
          <cell r="D11031" t="str">
            <v>Chairs</v>
          </cell>
          <cell r="E11031">
            <v>191788.59</v>
          </cell>
          <cell r="F11031">
            <v>10</v>
          </cell>
        </row>
        <row r="11032">
          <cell r="A11032">
            <v>2019</v>
          </cell>
          <cell r="B11032" t="str">
            <v>Actual</v>
          </cell>
          <cell r="C11032" t="str">
            <v>Oct</v>
          </cell>
          <cell r="D11032" t="str">
            <v>Chairs</v>
          </cell>
          <cell r="E11032">
            <v>173564.53099999999</v>
          </cell>
          <cell r="F11032">
            <v>10</v>
          </cell>
        </row>
        <row r="11033">
          <cell r="A11033">
            <v>2018</v>
          </cell>
          <cell r="B11033" t="str">
            <v>Budget</v>
          </cell>
          <cell r="C11033" t="str">
            <v>Oct</v>
          </cell>
          <cell r="D11033" t="str">
            <v>Chairs</v>
          </cell>
          <cell r="E11033">
            <v>314777.98800000001</v>
          </cell>
          <cell r="F11033">
            <v>10</v>
          </cell>
        </row>
        <row r="11034">
          <cell r="A11034">
            <v>2019</v>
          </cell>
          <cell r="B11034" t="str">
            <v>Actual</v>
          </cell>
          <cell r="C11034" t="str">
            <v>Oct</v>
          </cell>
          <cell r="D11034" t="str">
            <v>Chairs</v>
          </cell>
          <cell r="E11034">
            <v>328188.61599999998</v>
          </cell>
          <cell r="F11034">
            <v>10</v>
          </cell>
        </row>
        <row r="11035">
          <cell r="A11035">
            <v>2018</v>
          </cell>
          <cell r="B11035" t="str">
            <v>Budget</v>
          </cell>
          <cell r="C11035" t="str">
            <v>Oct</v>
          </cell>
          <cell r="D11035" t="str">
            <v>Chairs</v>
          </cell>
          <cell r="E11035">
            <v>41037.199000000001</v>
          </cell>
          <cell r="F11035">
            <v>10</v>
          </cell>
        </row>
        <row r="11036">
          <cell r="A11036">
            <v>2018</v>
          </cell>
          <cell r="B11036" t="str">
            <v>Actual</v>
          </cell>
          <cell r="C11036" t="str">
            <v>Oct</v>
          </cell>
          <cell r="D11036" t="str">
            <v>Chairs</v>
          </cell>
          <cell r="E11036">
            <v>161780.66099999999</v>
          </cell>
          <cell r="F11036">
            <v>10</v>
          </cell>
        </row>
        <row r="11037">
          <cell r="A11037">
            <v>2018</v>
          </cell>
          <cell r="B11037" t="str">
            <v>Budget</v>
          </cell>
          <cell r="C11037" t="str">
            <v>Oct</v>
          </cell>
          <cell r="D11037" t="str">
            <v>Chairs</v>
          </cell>
          <cell r="E11037">
            <v>42494.858</v>
          </cell>
          <cell r="F11037">
            <v>10</v>
          </cell>
        </row>
        <row r="11038">
          <cell r="A11038">
            <v>2018</v>
          </cell>
          <cell r="B11038" t="str">
            <v>Actual</v>
          </cell>
          <cell r="C11038" t="str">
            <v>Oct</v>
          </cell>
          <cell r="D11038" t="str">
            <v>Chairs</v>
          </cell>
          <cell r="E11038">
            <v>69289.317999999999</v>
          </cell>
          <cell r="F11038">
            <v>10</v>
          </cell>
        </row>
        <row r="11039">
          <cell r="A11039">
            <v>2019</v>
          </cell>
          <cell r="B11039" t="str">
            <v>Budget</v>
          </cell>
          <cell r="C11039" t="str">
            <v>Oct</v>
          </cell>
          <cell r="D11039" t="str">
            <v>Chairs</v>
          </cell>
          <cell r="E11039">
            <v>267996.04300000001</v>
          </cell>
          <cell r="F11039">
            <v>10</v>
          </cell>
        </row>
        <row r="11040">
          <cell r="A11040">
            <v>2018</v>
          </cell>
          <cell r="B11040" t="str">
            <v>Actual</v>
          </cell>
          <cell r="C11040" t="str">
            <v>Oct</v>
          </cell>
          <cell r="D11040" t="str">
            <v>Chairs</v>
          </cell>
          <cell r="E11040">
            <v>99999.234999999986</v>
          </cell>
          <cell r="F11040">
            <v>10</v>
          </cell>
        </row>
        <row r="11041">
          <cell r="A11041">
            <v>2018</v>
          </cell>
          <cell r="B11041" t="str">
            <v>Budget</v>
          </cell>
          <cell r="C11041" t="str">
            <v>Oct</v>
          </cell>
          <cell r="D11041" t="str">
            <v>Chairs</v>
          </cell>
          <cell r="E11041">
            <v>44361.645999999993</v>
          </cell>
          <cell r="F11041">
            <v>10</v>
          </cell>
        </row>
        <row r="11042">
          <cell r="A11042">
            <v>2019</v>
          </cell>
          <cell r="B11042" t="str">
            <v>Actual</v>
          </cell>
          <cell r="C11042" t="str">
            <v>Oct</v>
          </cell>
          <cell r="D11042" t="str">
            <v>Chairs</v>
          </cell>
          <cell r="E11042">
            <v>238501.788</v>
          </cell>
          <cell r="F11042">
            <v>10</v>
          </cell>
        </row>
        <row r="11043">
          <cell r="A11043">
            <v>2018</v>
          </cell>
          <cell r="B11043" t="str">
            <v>Budget</v>
          </cell>
          <cell r="C11043" t="str">
            <v>Oct</v>
          </cell>
          <cell r="D11043" t="str">
            <v>Chairs</v>
          </cell>
          <cell r="E11043">
            <v>49346.766000000003</v>
          </cell>
          <cell r="F11043">
            <v>10</v>
          </cell>
        </row>
        <row r="11044">
          <cell r="A11044">
            <v>2019</v>
          </cell>
          <cell r="B11044" t="str">
            <v>Actual</v>
          </cell>
          <cell r="C11044" t="str">
            <v>Oct</v>
          </cell>
          <cell r="D11044" t="str">
            <v>Chairs</v>
          </cell>
          <cell r="E11044">
            <v>86073.861999999994</v>
          </cell>
          <cell r="F11044">
            <v>10</v>
          </cell>
        </row>
        <row r="11045">
          <cell r="A11045">
            <v>2019</v>
          </cell>
          <cell r="B11045" t="str">
            <v>Budget</v>
          </cell>
          <cell r="C11045" t="str">
            <v>Oct</v>
          </cell>
          <cell r="D11045" t="str">
            <v>Chairs</v>
          </cell>
          <cell r="E11045">
            <v>73507.468999999997</v>
          </cell>
          <cell r="F11045">
            <v>10</v>
          </cell>
        </row>
        <row r="11046">
          <cell r="A11046">
            <v>2018</v>
          </cell>
          <cell r="B11046" t="str">
            <v>Actual</v>
          </cell>
          <cell r="C11046" t="str">
            <v>Oct</v>
          </cell>
          <cell r="D11046" t="str">
            <v>Chairs</v>
          </cell>
          <cell r="E11046">
            <v>3755921.8829999999</v>
          </cell>
          <cell r="F11046">
            <v>10</v>
          </cell>
        </row>
        <row r="11047">
          <cell r="A11047">
            <v>2019</v>
          </cell>
          <cell r="B11047" t="str">
            <v>Budget</v>
          </cell>
          <cell r="C11047" t="str">
            <v>Oct</v>
          </cell>
          <cell r="D11047" t="str">
            <v>Chairs</v>
          </cell>
          <cell r="E11047">
            <v>109594.954</v>
          </cell>
          <cell r="F11047">
            <v>10</v>
          </cell>
        </row>
        <row r="11048">
          <cell r="A11048">
            <v>2018</v>
          </cell>
          <cell r="B11048" t="str">
            <v>Actual</v>
          </cell>
          <cell r="C11048" t="str">
            <v>Oct</v>
          </cell>
          <cell r="D11048" t="str">
            <v>Chairs</v>
          </cell>
          <cell r="E11048">
            <v>47295.576999999997</v>
          </cell>
          <cell r="F11048">
            <v>10</v>
          </cell>
        </row>
        <row r="11049">
          <cell r="A11049">
            <v>2018</v>
          </cell>
          <cell r="B11049" t="str">
            <v>Budget</v>
          </cell>
          <cell r="C11049" t="str">
            <v>Oct</v>
          </cell>
          <cell r="D11049" t="str">
            <v>Tables</v>
          </cell>
          <cell r="E11049">
            <v>2799.3490000000002</v>
          </cell>
          <cell r="F11049">
            <v>10</v>
          </cell>
        </row>
        <row r="11050">
          <cell r="A11050">
            <v>2019</v>
          </cell>
          <cell r="B11050" t="str">
            <v>Actual</v>
          </cell>
          <cell r="C11050" t="str">
            <v>Oct</v>
          </cell>
          <cell r="D11050" t="str">
            <v>Kitchen</v>
          </cell>
          <cell r="E11050">
            <v>133850.98300000001</v>
          </cell>
          <cell r="F11050">
            <v>10</v>
          </cell>
        </row>
        <row r="11051">
          <cell r="A11051">
            <v>2018</v>
          </cell>
          <cell r="B11051" t="str">
            <v>Budget</v>
          </cell>
          <cell r="C11051" t="str">
            <v>Oct</v>
          </cell>
          <cell r="D11051" t="str">
            <v>Chairs</v>
          </cell>
          <cell r="E11051">
            <v>490243.46</v>
          </cell>
          <cell r="F11051">
            <v>10</v>
          </cell>
        </row>
        <row r="11052">
          <cell r="A11052">
            <v>2019</v>
          </cell>
          <cell r="B11052" t="str">
            <v>Actual</v>
          </cell>
          <cell r="C11052" t="str">
            <v>Oct</v>
          </cell>
          <cell r="D11052" t="str">
            <v>Chairs</v>
          </cell>
          <cell r="E11052">
            <v>791354.66199999989</v>
          </cell>
          <cell r="F11052">
            <v>10</v>
          </cell>
        </row>
        <row r="11053">
          <cell r="A11053">
            <v>2019</v>
          </cell>
          <cell r="B11053" t="str">
            <v>Budget</v>
          </cell>
          <cell r="C11053" t="str">
            <v>Oct</v>
          </cell>
          <cell r="D11053" t="str">
            <v>Chairs</v>
          </cell>
          <cell r="E11053">
            <v>1236137.693</v>
          </cell>
          <cell r="F11053">
            <v>10</v>
          </cell>
        </row>
        <row r="11054">
          <cell r="A11054">
            <v>2019</v>
          </cell>
          <cell r="B11054" t="str">
            <v>Actual</v>
          </cell>
          <cell r="C11054" t="str">
            <v>Oct</v>
          </cell>
          <cell r="D11054" t="str">
            <v>Chairs</v>
          </cell>
          <cell r="E11054">
            <v>314115.99099999998</v>
          </cell>
          <cell r="F11054">
            <v>10</v>
          </cell>
        </row>
        <row r="11055">
          <cell r="A11055">
            <v>2018</v>
          </cell>
          <cell r="B11055" t="str">
            <v>Budget</v>
          </cell>
          <cell r="C11055" t="str">
            <v>Oct</v>
          </cell>
          <cell r="D11055" t="str">
            <v>Chairs</v>
          </cell>
          <cell r="E11055">
            <v>474331.89999999997</v>
          </cell>
          <cell r="F11055">
            <v>10</v>
          </cell>
        </row>
        <row r="11056">
          <cell r="A11056">
            <v>2018</v>
          </cell>
          <cell r="B11056" t="str">
            <v>Actual</v>
          </cell>
          <cell r="C11056" t="str">
            <v>Oct</v>
          </cell>
          <cell r="D11056" t="str">
            <v>Tables</v>
          </cell>
          <cell r="E11056">
            <v>2133342.6939999997</v>
          </cell>
          <cell r="F11056">
            <v>10</v>
          </cell>
        </row>
        <row r="11057">
          <cell r="A11057">
            <v>2019</v>
          </cell>
          <cell r="B11057" t="str">
            <v>Budget</v>
          </cell>
          <cell r="C11057" t="str">
            <v>Oct</v>
          </cell>
          <cell r="D11057" t="str">
            <v>Kitchen</v>
          </cell>
          <cell r="E11057">
            <v>433694.86999999994</v>
          </cell>
          <cell r="F11057">
            <v>10</v>
          </cell>
        </row>
        <row r="11058">
          <cell r="A11058">
            <v>2018</v>
          </cell>
          <cell r="B11058" t="str">
            <v>Actual</v>
          </cell>
          <cell r="C11058" t="str">
            <v>Oct</v>
          </cell>
          <cell r="D11058" t="str">
            <v>Chairs</v>
          </cell>
          <cell r="E11058">
            <v>325056.56400000001</v>
          </cell>
          <cell r="F11058">
            <v>10</v>
          </cell>
        </row>
        <row r="11059">
          <cell r="A11059">
            <v>2018</v>
          </cell>
          <cell r="B11059" t="str">
            <v>Budget</v>
          </cell>
          <cell r="C11059" t="str">
            <v>Oct</v>
          </cell>
          <cell r="D11059" t="str">
            <v>Chairs</v>
          </cell>
          <cell r="E11059">
            <v>1642508.2379999999</v>
          </cell>
          <cell r="F11059">
            <v>10</v>
          </cell>
        </row>
        <row r="11060">
          <cell r="A11060">
            <v>2018</v>
          </cell>
          <cell r="B11060" t="str">
            <v>Actual</v>
          </cell>
          <cell r="C11060" t="str">
            <v>Oct</v>
          </cell>
          <cell r="D11060" t="str">
            <v>Chairs</v>
          </cell>
          <cell r="E11060">
            <v>960882.82499999995</v>
          </cell>
          <cell r="F11060">
            <v>10</v>
          </cell>
        </row>
        <row r="11061">
          <cell r="A11061">
            <v>2019</v>
          </cell>
          <cell r="B11061" t="str">
            <v>Budget</v>
          </cell>
          <cell r="C11061" t="str">
            <v>Oct</v>
          </cell>
          <cell r="D11061" t="str">
            <v>Tables</v>
          </cell>
          <cell r="E11061">
            <v>584483.46600000001</v>
          </cell>
          <cell r="F11061">
            <v>10</v>
          </cell>
        </row>
        <row r="11062">
          <cell r="A11062">
            <v>2019</v>
          </cell>
          <cell r="B11062" t="str">
            <v>Actual</v>
          </cell>
          <cell r="C11062" t="str">
            <v>Oct</v>
          </cell>
          <cell r="D11062" t="str">
            <v>Kitchen</v>
          </cell>
          <cell r="E11062">
            <v>744432.06599999988</v>
          </cell>
          <cell r="F11062">
            <v>10</v>
          </cell>
        </row>
        <row r="11063">
          <cell r="A11063">
            <v>2019</v>
          </cell>
          <cell r="B11063" t="str">
            <v>Budget</v>
          </cell>
          <cell r="C11063" t="str">
            <v>Oct</v>
          </cell>
          <cell r="D11063" t="str">
            <v>Chairs</v>
          </cell>
          <cell r="E11063">
            <v>101130.46299999999</v>
          </cell>
          <cell r="F11063">
            <v>10</v>
          </cell>
        </row>
        <row r="11064">
          <cell r="A11064">
            <v>2019</v>
          </cell>
          <cell r="B11064" t="str">
            <v>Actual</v>
          </cell>
          <cell r="C11064" t="str">
            <v>Oct</v>
          </cell>
          <cell r="D11064" t="str">
            <v>Chairs</v>
          </cell>
          <cell r="E11064">
            <v>258354.53699999995</v>
          </cell>
          <cell r="F11064">
            <v>10</v>
          </cell>
        </row>
        <row r="11065">
          <cell r="A11065">
            <v>2018</v>
          </cell>
          <cell r="B11065" t="str">
            <v>Budget</v>
          </cell>
          <cell r="C11065" t="str">
            <v>Oct</v>
          </cell>
          <cell r="D11065" t="str">
            <v>Tables</v>
          </cell>
          <cell r="E11065">
            <v>204901.872</v>
          </cell>
          <cell r="F11065">
            <v>10</v>
          </cell>
        </row>
        <row r="11066">
          <cell r="A11066">
            <v>2018</v>
          </cell>
          <cell r="B11066" t="str">
            <v>Actual</v>
          </cell>
          <cell r="C11066" t="str">
            <v>Oct</v>
          </cell>
          <cell r="D11066" t="str">
            <v>Kitchen</v>
          </cell>
          <cell r="E11066">
            <v>1885950.8289999999</v>
          </cell>
          <cell r="F11066">
            <v>10</v>
          </cell>
        </row>
        <row r="11067">
          <cell r="A11067">
            <v>2018</v>
          </cell>
          <cell r="B11067" t="str">
            <v>Budget</v>
          </cell>
          <cell r="C11067" t="str">
            <v>Oct</v>
          </cell>
          <cell r="D11067" t="str">
            <v>Chairs</v>
          </cell>
          <cell r="E11067">
            <v>1989741.9569999997</v>
          </cell>
          <cell r="F11067">
            <v>10</v>
          </cell>
        </row>
        <row r="11068">
          <cell r="A11068">
            <v>2019</v>
          </cell>
          <cell r="B11068" t="str">
            <v>Actual</v>
          </cell>
          <cell r="C11068" t="str">
            <v>Oct</v>
          </cell>
          <cell r="D11068" t="str">
            <v>Chairs</v>
          </cell>
          <cell r="E11068">
            <v>1096276.4749999999</v>
          </cell>
          <cell r="F11068">
            <v>10</v>
          </cell>
        </row>
        <row r="11069">
          <cell r="A11069">
            <v>2019</v>
          </cell>
          <cell r="B11069" t="str">
            <v>Budget</v>
          </cell>
          <cell r="C11069" t="str">
            <v>Oct</v>
          </cell>
          <cell r="D11069" t="str">
            <v>Chairs</v>
          </cell>
          <cell r="E11069">
            <v>113960.245</v>
          </cell>
          <cell r="F11069">
            <v>10</v>
          </cell>
        </row>
        <row r="11070">
          <cell r="A11070">
            <v>2019</v>
          </cell>
          <cell r="B11070" t="str">
            <v>Actual</v>
          </cell>
          <cell r="C11070" t="str">
            <v>Oct</v>
          </cell>
          <cell r="D11070" t="str">
            <v>Tables</v>
          </cell>
          <cell r="E11070">
            <v>2898070.602</v>
          </cell>
          <cell r="F11070">
            <v>10</v>
          </cell>
        </row>
        <row r="11071">
          <cell r="A11071">
            <v>2019</v>
          </cell>
          <cell r="B11071" t="str">
            <v>Budget</v>
          </cell>
          <cell r="C11071" t="str">
            <v>Oct</v>
          </cell>
          <cell r="D11071" t="str">
            <v>Kitchen</v>
          </cell>
          <cell r="E11071">
            <v>187507.37599999999</v>
          </cell>
          <cell r="F11071">
            <v>10</v>
          </cell>
        </row>
        <row r="11072">
          <cell r="A11072">
            <v>2019</v>
          </cell>
          <cell r="B11072" t="str">
            <v>Actual</v>
          </cell>
          <cell r="C11072" t="str">
            <v>Oct</v>
          </cell>
          <cell r="D11072" t="str">
            <v>Accessories</v>
          </cell>
          <cell r="E11072">
            <v>307568.35199999996</v>
          </cell>
          <cell r="F11072">
            <v>10</v>
          </cell>
        </row>
        <row r="11073">
          <cell r="A11073">
            <v>2018</v>
          </cell>
          <cell r="B11073" t="str">
            <v>Budget</v>
          </cell>
          <cell r="C11073" t="str">
            <v>Oct</v>
          </cell>
          <cell r="D11073" t="str">
            <v>Chairs</v>
          </cell>
          <cell r="E11073">
            <v>139763.883</v>
          </cell>
          <cell r="F11073">
            <v>10</v>
          </cell>
        </row>
        <row r="11074">
          <cell r="A11074">
            <v>2019</v>
          </cell>
          <cell r="B11074" t="str">
            <v>Actual</v>
          </cell>
          <cell r="C11074" t="str">
            <v>Oct</v>
          </cell>
          <cell r="D11074" t="str">
            <v>Tables</v>
          </cell>
          <cell r="E11074">
            <v>454106.88399999996</v>
          </cell>
          <cell r="F11074">
            <v>10</v>
          </cell>
        </row>
        <row r="11075">
          <cell r="A11075">
            <v>2019</v>
          </cell>
          <cell r="B11075" t="str">
            <v>Budget</v>
          </cell>
          <cell r="C11075" t="str">
            <v>Oct</v>
          </cell>
          <cell r="D11075" t="str">
            <v>Kitchen</v>
          </cell>
          <cell r="E11075">
            <v>153634.22899999999</v>
          </cell>
          <cell r="F11075">
            <v>10</v>
          </cell>
        </row>
        <row r="11076">
          <cell r="A11076">
            <v>2018</v>
          </cell>
          <cell r="B11076" t="str">
            <v>Actual</v>
          </cell>
          <cell r="C11076" t="str">
            <v>Oct</v>
          </cell>
          <cell r="D11076" t="str">
            <v>Accessories</v>
          </cell>
          <cell r="E11076">
            <v>70483.482999999993</v>
          </cell>
          <cell r="F11076">
            <v>10</v>
          </cell>
        </row>
        <row r="11077">
          <cell r="A11077">
            <v>2019</v>
          </cell>
          <cell r="B11077" t="str">
            <v>Budget</v>
          </cell>
          <cell r="C11077" t="str">
            <v>Oct</v>
          </cell>
          <cell r="D11077" t="str">
            <v>Chairs</v>
          </cell>
          <cell r="E11077">
            <v>27837.326999999997</v>
          </cell>
          <cell r="F11077">
            <v>10</v>
          </cell>
        </row>
        <row r="11078">
          <cell r="A11078">
            <v>2018</v>
          </cell>
          <cell r="B11078" t="str">
            <v>Actual</v>
          </cell>
          <cell r="C11078" t="str">
            <v>Oct</v>
          </cell>
          <cell r="D11078" t="str">
            <v>Tables</v>
          </cell>
          <cell r="E11078">
            <v>154514.01699999999</v>
          </cell>
          <cell r="F11078">
            <v>10</v>
          </cell>
        </row>
        <row r="11079">
          <cell r="A11079">
            <v>2018</v>
          </cell>
          <cell r="B11079" t="str">
            <v>Budget</v>
          </cell>
          <cell r="C11079" t="str">
            <v>Oct</v>
          </cell>
          <cell r="D11079" t="str">
            <v>Kitchen</v>
          </cell>
          <cell r="E11079">
            <v>16267.531000000001</v>
          </cell>
          <cell r="F11079">
            <v>10</v>
          </cell>
        </row>
        <row r="11080">
          <cell r="A11080">
            <v>2019</v>
          </cell>
          <cell r="B11080" t="str">
            <v>Actual</v>
          </cell>
          <cell r="C11080" t="str">
            <v>Oct</v>
          </cell>
          <cell r="D11080" t="str">
            <v>Accessories</v>
          </cell>
          <cell r="E11080">
            <v>339643.97599999997</v>
          </cell>
          <cell r="F11080">
            <v>10</v>
          </cell>
        </row>
        <row r="11081">
          <cell r="A11081">
            <v>2019</v>
          </cell>
          <cell r="B11081" t="str">
            <v>Budget</v>
          </cell>
          <cell r="C11081" t="str">
            <v>Oct</v>
          </cell>
          <cell r="D11081" t="str">
            <v>Chairs</v>
          </cell>
          <cell r="E11081">
            <v>20145.887999999999</v>
          </cell>
          <cell r="F11081">
            <v>10</v>
          </cell>
        </row>
        <row r="11082">
          <cell r="A11082">
            <v>2019</v>
          </cell>
          <cell r="B11082" t="str">
            <v>Actual</v>
          </cell>
          <cell r="C11082" t="str">
            <v>Oct</v>
          </cell>
          <cell r="D11082" t="str">
            <v>Tables</v>
          </cell>
          <cell r="E11082">
            <v>32019.561000000002</v>
          </cell>
          <cell r="F11082">
            <v>10</v>
          </cell>
        </row>
        <row r="11083">
          <cell r="A11083">
            <v>2019</v>
          </cell>
          <cell r="B11083" t="str">
            <v>Budget</v>
          </cell>
          <cell r="C11083" t="str">
            <v>Oct</v>
          </cell>
          <cell r="D11083" t="str">
            <v>Kitchen</v>
          </cell>
          <cell r="E11083">
            <v>61257.853999999999</v>
          </cell>
          <cell r="F11083">
            <v>10</v>
          </cell>
        </row>
        <row r="11084">
          <cell r="A11084">
            <v>2018</v>
          </cell>
          <cell r="B11084" t="str">
            <v>Actual</v>
          </cell>
          <cell r="C11084" t="str">
            <v>Oct</v>
          </cell>
          <cell r="D11084" t="str">
            <v>Accessories</v>
          </cell>
          <cell r="E11084">
            <v>3954.3839999999996</v>
          </cell>
          <cell r="F11084">
            <v>10</v>
          </cell>
        </row>
        <row r="11085">
          <cell r="A11085">
            <v>2019</v>
          </cell>
          <cell r="B11085" t="str">
            <v>Budget</v>
          </cell>
          <cell r="C11085" t="str">
            <v>Oct</v>
          </cell>
          <cell r="D11085" t="str">
            <v>Chairs</v>
          </cell>
          <cell r="E11085">
            <v>583060.33099999989</v>
          </cell>
          <cell r="F11085">
            <v>10</v>
          </cell>
        </row>
        <row r="11086">
          <cell r="A11086">
            <v>2018</v>
          </cell>
          <cell r="B11086" t="str">
            <v>Actual</v>
          </cell>
          <cell r="C11086" t="str">
            <v>Oct</v>
          </cell>
          <cell r="D11086" t="str">
            <v>Chairs</v>
          </cell>
          <cell r="E11086">
            <v>146301.03599999999</v>
          </cell>
          <cell r="F11086">
            <v>10</v>
          </cell>
        </row>
        <row r="11087">
          <cell r="A11087">
            <v>2019</v>
          </cell>
          <cell r="B11087" t="str">
            <v>Budget</v>
          </cell>
          <cell r="C11087" t="str">
            <v>Oct</v>
          </cell>
          <cell r="D11087" t="str">
            <v>Tables</v>
          </cell>
          <cell r="E11087">
            <v>24768.611000000001</v>
          </cell>
          <cell r="F11087">
            <v>10</v>
          </cell>
        </row>
        <row r="11088">
          <cell r="A11088">
            <v>2018</v>
          </cell>
          <cell r="B11088" t="str">
            <v>Actual</v>
          </cell>
          <cell r="C11088" t="str">
            <v>Oct</v>
          </cell>
          <cell r="D11088" t="str">
            <v>Kitchen</v>
          </cell>
          <cell r="E11088">
            <v>162249.71</v>
          </cell>
          <cell r="F11088">
            <v>10</v>
          </cell>
        </row>
        <row r="11089">
          <cell r="A11089">
            <v>2019</v>
          </cell>
          <cell r="B11089" t="str">
            <v>Budget</v>
          </cell>
          <cell r="C11089" t="str">
            <v>Oct</v>
          </cell>
          <cell r="D11089" t="str">
            <v>Chairs</v>
          </cell>
          <cell r="E11089">
            <v>65094.875999999989</v>
          </cell>
          <cell r="F11089">
            <v>10</v>
          </cell>
        </row>
        <row r="11090">
          <cell r="A11090">
            <v>2019</v>
          </cell>
          <cell r="B11090" t="str">
            <v>Actual</v>
          </cell>
          <cell r="C11090" t="str">
            <v>Oct</v>
          </cell>
          <cell r="D11090" t="str">
            <v>Tables</v>
          </cell>
          <cell r="E11090">
            <v>1119378.7149999999</v>
          </cell>
          <cell r="F11090">
            <v>10</v>
          </cell>
        </row>
        <row r="11091">
          <cell r="A11091">
            <v>2018</v>
          </cell>
          <cell r="B11091" t="str">
            <v>Budget</v>
          </cell>
          <cell r="C11091" t="str">
            <v>Oct</v>
          </cell>
          <cell r="D11091" t="str">
            <v>Kitchen</v>
          </cell>
          <cell r="E11091">
            <v>77997.373999999996</v>
          </cell>
          <cell r="F11091">
            <v>10</v>
          </cell>
        </row>
        <row r="11092">
          <cell r="A11092">
            <v>2019</v>
          </cell>
          <cell r="B11092" t="str">
            <v>Actual</v>
          </cell>
          <cell r="C11092" t="str">
            <v>Oct</v>
          </cell>
          <cell r="D11092" t="str">
            <v>Chairs</v>
          </cell>
          <cell r="E11092">
            <v>240955.81999999998</v>
          </cell>
          <cell r="F11092">
            <v>10</v>
          </cell>
        </row>
        <row r="11093">
          <cell r="A11093">
            <v>2018</v>
          </cell>
          <cell r="B11093" t="str">
            <v>Budget</v>
          </cell>
          <cell r="C11093" t="str">
            <v>Oct</v>
          </cell>
          <cell r="D11093" t="str">
            <v>Tables</v>
          </cell>
          <cell r="E11093">
            <v>47162.731</v>
          </cell>
          <cell r="F11093">
            <v>10</v>
          </cell>
        </row>
        <row r="11094">
          <cell r="A11094">
            <v>2018</v>
          </cell>
          <cell r="B11094" t="str">
            <v>Actual</v>
          </cell>
          <cell r="C11094" t="str">
            <v>Oct</v>
          </cell>
          <cell r="D11094" t="str">
            <v>Kitchen</v>
          </cell>
          <cell r="E11094">
            <v>63850.702999999994</v>
          </cell>
          <cell r="F11094">
            <v>10</v>
          </cell>
        </row>
        <row r="11095">
          <cell r="A11095">
            <v>2019</v>
          </cell>
          <cell r="B11095" t="str">
            <v>Budget</v>
          </cell>
          <cell r="C11095" t="str">
            <v>Oct</v>
          </cell>
          <cell r="D11095" t="str">
            <v>Chairs</v>
          </cell>
          <cell r="E11095">
            <v>80053.077999999994</v>
          </cell>
          <cell r="F11095">
            <v>10</v>
          </cell>
        </row>
        <row r="11096">
          <cell r="A11096">
            <v>2019</v>
          </cell>
          <cell r="B11096" t="str">
            <v>Actual</v>
          </cell>
          <cell r="C11096" t="str">
            <v>Oct</v>
          </cell>
          <cell r="D11096" t="str">
            <v>Chairs</v>
          </cell>
          <cell r="E11096">
            <v>438865.10499999998</v>
          </cell>
          <cell r="F11096">
            <v>10</v>
          </cell>
        </row>
        <row r="11097">
          <cell r="A11097">
            <v>2019</v>
          </cell>
          <cell r="B11097" t="str">
            <v>Budget</v>
          </cell>
          <cell r="C11097" t="str">
            <v>Oct</v>
          </cell>
          <cell r="D11097" t="str">
            <v>Chairs</v>
          </cell>
          <cell r="E11097">
            <v>64048.564999999995</v>
          </cell>
          <cell r="F11097">
            <v>10</v>
          </cell>
        </row>
        <row r="11098">
          <cell r="A11098">
            <v>2018</v>
          </cell>
          <cell r="B11098" t="str">
            <v>Actual</v>
          </cell>
          <cell r="C11098" t="str">
            <v>Oct</v>
          </cell>
          <cell r="D11098" t="str">
            <v>Chairs</v>
          </cell>
          <cell r="E11098">
            <v>1055514.9639999999</v>
          </cell>
          <cell r="F11098">
            <v>10</v>
          </cell>
        </row>
        <row r="11099">
          <cell r="A11099">
            <v>2018</v>
          </cell>
          <cell r="B11099" t="str">
            <v>Budget</v>
          </cell>
          <cell r="C11099" t="str">
            <v>Oct</v>
          </cell>
          <cell r="D11099" t="str">
            <v>Chairs</v>
          </cell>
          <cell r="E11099">
            <v>154205.05799999999</v>
          </cell>
          <cell r="F11099">
            <v>10</v>
          </cell>
        </row>
        <row r="11100">
          <cell r="A11100">
            <v>2019</v>
          </cell>
          <cell r="B11100" t="str">
            <v>Actual</v>
          </cell>
          <cell r="C11100" t="str">
            <v>Oct</v>
          </cell>
          <cell r="D11100" t="str">
            <v>Chairs</v>
          </cell>
          <cell r="E11100">
            <v>690110.32299999997</v>
          </cell>
          <cell r="F11100">
            <v>10</v>
          </cell>
        </row>
        <row r="11101">
          <cell r="A11101">
            <v>2018</v>
          </cell>
          <cell r="B11101" t="str">
            <v>Budget</v>
          </cell>
          <cell r="C11101" t="str">
            <v>Oct</v>
          </cell>
          <cell r="D11101" t="str">
            <v>Chairs</v>
          </cell>
          <cell r="E11101">
            <v>888458.74599999993</v>
          </cell>
          <cell r="F11101">
            <v>10</v>
          </cell>
        </row>
        <row r="11102">
          <cell r="A11102">
            <v>2019</v>
          </cell>
          <cell r="B11102" t="str">
            <v>Actual</v>
          </cell>
          <cell r="C11102" t="str">
            <v>Oct</v>
          </cell>
          <cell r="D11102" t="str">
            <v>Chairs</v>
          </cell>
          <cell r="E11102">
            <v>28681.218999999997</v>
          </cell>
          <cell r="F11102">
            <v>10</v>
          </cell>
        </row>
        <row r="11103">
          <cell r="A11103">
            <v>2019</v>
          </cell>
          <cell r="B11103" t="str">
            <v>Budget</v>
          </cell>
          <cell r="C11103" t="str">
            <v>Oct</v>
          </cell>
          <cell r="D11103" t="str">
            <v>Chairs</v>
          </cell>
          <cell r="E11103">
            <v>1965220.5579999997</v>
          </cell>
          <cell r="F11103">
            <v>10</v>
          </cell>
        </row>
        <row r="11104">
          <cell r="A11104">
            <v>2019</v>
          </cell>
          <cell r="B11104" t="str">
            <v>Actual</v>
          </cell>
          <cell r="C11104" t="str">
            <v>Oct</v>
          </cell>
          <cell r="D11104" t="str">
            <v>Chairs</v>
          </cell>
          <cell r="E11104">
            <v>97177.899000000005</v>
          </cell>
          <cell r="F11104">
            <v>10</v>
          </cell>
        </row>
        <row r="11105">
          <cell r="A11105">
            <v>2019</v>
          </cell>
          <cell r="B11105" t="str">
            <v>Budget</v>
          </cell>
          <cell r="C11105" t="str">
            <v>Oct</v>
          </cell>
          <cell r="D11105" t="str">
            <v>Chairs</v>
          </cell>
          <cell r="E11105">
            <v>33444.340999999993</v>
          </cell>
          <cell r="F11105">
            <v>10</v>
          </cell>
        </row>
        <row r="11106">
          <cell r="A11106">
            <v>2019</v>
          </cell>
          <cell r="B11106" t="str">
            <v>Actual</v>
          </cell>
          <cell r="C11106" t="str">
            <v>Oct</v>
          </cell>
          <cell r="D11106" t="str">
            <v>Chairs</v>
          </cell>
          <cell r="E11106">
            <v>99023.232000000004</v>
          </cell>
          <cell r="F11106">
            <v>10</v>
          </cell>
        </row>
        <row r="11107">
          <cell r="A11107">
            <v>2019</v>
          </cell>
          <cell r="B11107" t="str">
            <v>Budget</v>
          </cell>
          <cell r="C11107" t="str">
            <v>Oct</v>
          </cell>
          <cell r="D11107" t="str">
            <v>Chairs</v>
          </cell>
          <cell r="E11107">
            <v>2744141.477</v>
          </cell>
          <cell r="F11107">
            <v>10</v>
          </cell>
        </row>
        <row r="11108">
          <cell r="A11108">
            <v>2018</v>
          </cell>
          <cell r="B11108" t="str">
            <v>Actual</v>
          </cell>
          <cell r="C11108" t="str">
            <v>Oct</v>
          </cell>
          <cell r="D11108" t="str">
            <v>Chairs</v>
          </cell>
          <cell r="E11108">
            <v>44824.870999999999</v>
          </cell>
          <cell r="F11108">
            <v>10</v>
          </cell>
        </row>
        <row r="11109">
          <cell r="A11109">
            <v>2018</v>
          </cell>
          <cell r="B11109" t="str">
            <v>Budget</v>
          </cell>
          <cell r="C11109" t="str">
            <v>Oct</v>
          </cell>
          <cell r="D11109" t="str">
            <v>Chairs</v>
          </cell>
          <cell r="E11109">
            <v>87604.37</v>
          </cell>
          <cell r="F11109">
            <v>10</v>
          </cell>
        </row>
        <row r="11110">
          <cell r="A11110">
            <v>2019</v>
          </cell>
          <cell r="B11110" t="str">
            <v>Actual</v>
          </cell>
          <cell r="C11110" t="str">
            <v>Oct</v>
          </cell>
          <cell r="D11110" t="str">
            <v>Chairs</v>
          </cell>
          <cell r="E11110">
            <v>45305.203999999998</v>
          </cell>
          <cell r="F11110">
            <v>10</v>
          </cell>
        </row>
        <row r="11111">
          <cell r="A11111">
            <v>2018</v>
          </cell>
          <cell r="B11111" t="str">
            <v>Budget</v>
          </cell>
          <cell r="C11111" t="str">
            <v>Oct</v>
          </cell>
          <cell r="D11111" t="str">
            <v>Chairs</v>
          </cell>
          <cell r="E11111">
            <v>-1114.162</v>
          </cell>
          <cell r="F11111">
            <v>10</v>
          </cell>
        </row>
        <row r="11112">
          <cell r="A11112">
            <v>2019</v>
          </cell>
          <cell r="B11112" t="str">
            <v>Actual</v>
          </cell>
          <cell r="C11112" t="str">
            <v>Oct</v>
          </cell>
          <cell r="D11112" t="str">
            <v>Chairs</v>
          </cell>
          <cell r="E11112">
            <v>10723.915999999999</v>
          </cell>
          <cell r="F11112">
            <v>10</v>
          </cell>
        </row>
        <row r="11113">
          <cell r="A11113">
            <v>2019</v>
          </cell>
          <cell r="B11113" t="str">
            <v>Budget</v>
          </cell>
          <cell r="C11113" t="str">
            <v>Oct</v>
          </cell>
          <cell r="D11113" t="str">
            <v>Chairs</v>
          </cell>
          <cell r="E11113">
            <v>251778.12799999997</v>
          </cell>
          <cell r="F11113">
            <v>10</v>
          </cell>
        </row>
        <row r="11114">
          <cell r="A11114">
            <v>2019</v>
          </cell>
          <cell r="B11114" t="str">
            <v>Actual</v>
          </cell>
          <cell r="C11114" t="str">
            <v>Oct</v>
          </cell>
          <cell r="D11114" t="str">
            <v>Chairs</v>
          </cell>
          <cell r="E11114">
            <v>1017276.3859999999</v>
          </cell>
          <cell r="F11114">
            <v>10</v>
          </cell>
        </row>
        <row r="11115">
          <cell r="A11115">
            <v>2019</v>
          </cell>
          <cell r="B11115" t="str">
            <v>Budget</v>
          </cell>
          <cell r="C11115" t="str">
            <v>Oct</v>
          </cell>
          <cell r="D11115" t="str">
            <v>Chairs</v>
          </cell>
          <cell r="E11115">
            <v>891615.52199999988</v>
          </cell>
          <cell r="F11115">
            <v>10</v>
          </cell>
        </row>
        <row r="11116">
          <cell r="A11116">
            <v>2019</v>
          </cell>
          <cell r="B11116" t="str">
            <v>Actual</v>
          </cell>
          <cell r="C11116" t="str">
            <v>Oct</v>
          </cell>
          <cell r="D11116" t="str">
            <v>Chairs</v>
          </cell>
          <cell r="E11116">
            <v>1299349.317</v>
          </cell>
          <cell r="F11116">
            <v>10</v>
          </cell>
        </row>
        <row r="11117">
          <cell r="A11117">
            <v>2019</v>
          </cell>
          <cell r="B11117" t="str">
            <v>Budget</v>
          </cell>
          <cell r="C11117" t="str">
            <v>Oct</v>
          </cell>
          <cell r="D11117" t="str">
            <v>Chairs</v>
          </cell>
          <cell r="E11117">
            <v>2736647.5639999998</v>
          </cell>
          <cell r="F11117">
            <v>10</v>
          </cell>
        </row>
        <row r="11118">
          <cell r="A11118">
            <v>2019</v>
          </cell>
          <cell r="B11118" t="str">
            <v>Actual</v>
          </cell>
          <cell r="C11118" t="str">
            <v>Oct</v>
          </cell>
          <cell r="D11118" t="str">
            <v>Chairs</v>
          </cell>
          <cell r="E11118">
            <v>2819194.84</v>
          </cell>
          <cell r="F11118">
            <v>10</v>
          </cell>
        </row>
        <row r="11119">
          <cell r="A11119">
            <v>2018</v>
          </cell>
          <cell r="B11119" t="str">
            <v>Budget</v>
          </cell>
          <cell r="C11119" t="str">
            <v>Oct</v>
          </cell>
          <cell r="D11119" t="str">
            <v>Chairs</v>
          </cell>
          <cell r="E11119">
            <v>2843010.625</v>
          </cell>
          <cell r="F11119">
            <v>10</v>
          </cell>
        </row>
        <row r="11120">
          <cell r="A11120">
            <v>2019</v>
          </cell>
          <cell r="B11120" t="str">
            <v>Actual</v>
          </cell>
          <cell r="C11120" t="str">
            <v>Oct</v>
          </cell>
          <cell r="D11120" t="str">
            <v>Chairs</v>
          </cell>
          <cell r="E11120">
            <v>297685.68900000001</v>
          </cell>
          <cell r="F11120">
            <v>10</v>
          </cell>
        </row>
        <row r="11121">
          <cell r="A11121">
            <v>2019</v>
          </cell>
          <cell r="B11121" t="str">
            <v>Budget</v>
          </cell>
          <cell r="C11121" t="str">
            <v>Oct</v>
          </cell>
          <cell r="D11121" t="str">
            <v>Tables</v>
          </cell>
          <cell r="E11121">
            <v>2595953.227</v>
          </cell>
          <cell r="F11121">
            <v>10</v>
          </cell>
        </row>
        <row r="11122">
          <cell r="A11122">
            <v>2019</v>
          </cell>
          <cell r="B11122" t="str">
            <v>Actual</v>
          </cell>
          <cell r="C11122" t="str">
            <v>Oct</v>
          </cell>
          <cell r="D11122" t="str">
            <v>Kitchen</v>
          </cell>
          <cell r="E11122">
            <v>993513.42999999982</v>
          </cell>
          <cell r="F11122">
            <v>10</v>
          </cell>
        </row>
        <row r="11123">
          <cell r="A11123">
            <v>2019</v>
          </cell>
          <cell r="B11123" t="str">
            <v>Budget</v>
          </cell>
          <cell r="C11123" t="str">
            <v>Oct</v>
          </cell>
          <cell r="D11123" t="str">
            <v>Chairs</v>
          </cell>
          <cell r="E11123">
            <v>2701.0479999999998</v>
          </cell>
          <cell r="F11123">
            <v>10</v>
          </cell>
        </row>
        <row r="11124">
          <cell r="A11124">
            <v>2018</v>
          </cell>
          <cell r="B11124" t="str">
            <v>Actual</v>
          </cell>
          <cell r="C11124" t="str">
            <v>Oct</v>
          </cell>
          <cell r="D11124" t="str">
            <v>Chairs</v>
          </cell>
          <cell r="E11124">
            <v>136.04499999999999</v>
          </cell>
          <cell r="F11124">
            <v>10</v>
          </cell>
        </row>
        <row r="11125">
          <cell r="A11125">
            <v>2019</v>
          </cell>
          <cell r="B11125" t="str">
            <v>Budget</v>
          </cell>
          <cell r="C11125" t="str">
            <v>Oct</v>
          </cell>
          <cell r="D11125" t="str">
            <v>Chairs</v>
          </cell>
          <cell r="E11125">
            <v>140547.95300000001</v>
          </cell>
          <cell r="F11125">
            <v>10</v>
          </cell>
        </row>
        <row r="11126">
          <cell r="A11126">
            <v>2019</v>
          </cell>
          <cell r="B11126" t="str">
            <v>Actual</v>
          </cell>
          <cell r="C11126" t="str">
            <v>Oct</v>
          </cell>
          <cell r="D11126" t="str">
            <v>Chairs</v>
          </cell>
          <cell r="E11126">
            <v>152728.163</v>
          </cell>
          <cell r="F11126">
            <v>10</v>
          </cell>
        </row>
        <row r="11127">
          <cell r="A11127">
            <v>2018</v>
          </cell>
          <cell r="B11127" t="str">
            <v>Budget</v>
          </cell>
          <cell r="C11127" t="str">
            <v>Oct</v>
          </cell>
          <cell r="D11127" t="str">
            <v>Chairs</v>
          </cell>
          <cell r="E11127">
            <v>52974.529999999992</v>
          </cell>
          <cell r="F11127">
            <v>10</v>
          </cell>
        </row>
        <row r="11128">
          <cell r="A11128">
            <v>2019</v>
          </cell>
          <cell r="B11128" t="str">
            <v>Actual</v>
          </cell>
          <cell r="C11128" t="str">
            <v>Oct</v>
          </cell>
          <cell r="D11128" t="str">
            <v>Tables</v>
          </cell>
          <cell r="E11128">
            <v>63101.968999999997</v>
          </cell>
          <cell r="F11128">
            <v>10</v>
          </cell>
        </row>
        <row r="11129">
          <cell r="A11129">
            <v>2019</v>
          </cell>
          <cell r="B11129" t="str">
            <v>Budget</v>
          </cell>
          <cell r="C11129" t="str">
            <v>Oct</v>
          </cell>
          <cell r="D11129" t="str">
            <v>Kitchen</v>
          </cell>
          <cell r="E11129">
            <v>82442.373999999996</v>
          </cell>
          <cell r="F11129">
            <v>10</v>
          </cell>
        </row>
        <row r="11130">
          <cell r="A11130">
            <v>2018</v>
          </cell>
          <cell r="B11130" t="str">
            <v>Actual</v>
          </cell>
          <cell r="C11130" t="str">
            <v>Oct</v>
          </cell>
          <cell r="D11130" t="str">
            <v>Chairs</v>
          </cell>
          <cell r="E11130">
            <v>39012.582000000002</v>
          </cell>
          <cell r="F11130">
            <v>10</v>
          </cell>
        </row>
        <row r="11131">
          <cell r="A11131">
            <v>2019</v>
          </cell>
          <cell r="B11131" t="str">
            <v>Budget</v>
          </cell>
          <cell r="C11131" t="str">
            <v>Oct</v>
          </cell>
          <cell r="D11131" t="str">
            <v>Chairs</v>
          </cell>
          <cell r="E11131">
            <v>30861.347999999998</v>
          </cell>
          <cell r="F11131">
            <v>10</v>
          </cell>
        </row>
        <row r="11132">
          <cell r="A11132">
            <v>2019</v>
          </cell>
          <cell r="B11132" t="str">
            <v>Actual</v>
          </cell>
          <cell r="C11132" t="str">
            <v>Oct</v>
          </cell>
          <cell r="D11132" t="str">
            <v>Chairs</v>
          </cell>
          <cell r="E11132">
            <v>1075144.6089999999</v>
          </cell>
          <cell r="F11132">
            <v>10</v>
          </cell>
        </row>
        <row r="11133">
          <cell r="A11133">
            <v>2019</v>
          </cell>
          <cell r="B11133" t="str">
            <v>Budget</v>
          </cell>
          <cell r="C11133" t="str">
            <v>Oct</v>
          </cell>
          <cell r="D11133" t="str">
            <v>Tables</v>
          </cell>
          <cell r="E11133">
            <v>55627.116999999998</v>
          </cell>
          <cell r="F11133">
            <v>10</v>
          </cell>
        </row>
        <row r="11134">
          <cell r="A11134">
            <v>2019</v>
          </cell>
          <cell r="B11134" t="str">
            <v>Actual</v>
          </cell>
          <cell r="C11134" t="str">
            <v>Oct</v>
          </cell>
          <cell r="D11134" t="str">
            <v>Kitchen</v>
          </cell>
          <cell r="E11134">
            <v>86058.384999999995</v>
          </cell>
          <cell r="F11134">
            <v>10</v>
          </cell>
        </row>
        <row r="11135">
          <cell r="A11135">
            <v>2019</v>
          </cell>
          <cell r="B11135" t="str">
            <v>Budget</v>
          </cell>
          <cell r="C11135" t="str">
            <v>Oct</v>
          </cell>
          <cell r="D11135" t="str">
            <v>Chairs</v>
          </cell>
          <cell r="E11135">
            <v>1063864.8859999999</v>
          </cell>
          <cell r="F11135">
            <v>10</v>
          </cell>
        </row>
        <row r="11136">
          <cell r="A11136">
            <v>2019</v>
          </cell>
          <cell r="B11136" t="str">
            <v>Actual</v>
          </cell>
          <cell r="C11136" t="str">
            <v>Oct</v>
          </cell>
          <cell r="D11136" t="str">
            <v>Chairs</v>
          </cell>
          <cell r="E11136">
            <v>36117.689999999995</v>
          </cell>
          <cell r="F11136">
            <v>10</v>
          </cell>
        </row>
        <row r="11137">
          <cell r="A11137">
            <v>2018</v>
          </cell>
          <cell r="B11137" t="str">
            <v>Budget</v>
          </cell>
          <cell r="C11137" t="str">
            <v>Oct</v>
          </cell>
          <cell r="D11137" t="str">
            <v>Tables</v>
          </cell>
          <cell r="E11137">
            <v>176610.97999999998</v>
          </cell>
          <cell r="F11137">
            <v>10</v>
          </cell>
        </row>
        <row r="11138">
          <cell r="A11138">
            <v>2019</v>
          </cell>
          <cell r="B11138" t="str">
            <v>Actual</v>
          </cell>
          <cell r="C11138" t="str">
            <v>Oct</v>
          </cell>
          <cell r="D11138" t="str">
            <v>Kitchen</v>
          </cell>
          <cell r="E11138">
            <v>9614.92</v>
          </cell>
          <cell r="F11138">
            <v>10</v>
          </cell>
        </row>
        <row r="11139">
          <cell r="A11139">
            <v>2019</v>
          </cell>
          <cell r="B11139" t="str">
            <v>Budget</v>
          </cell>
          <cell r="C11139" t="str">
            <v>Oct</v>
          </cell>
          <cell r="D11139" t="str">
            <v>Chairs</v>
          </cell>
          <cell r="E11139">
            <v>89995.940999999992</v>
          </cell>
          <cell r="F11139">
            <v>10</v>
          </cell>
        </row>
        <row r="11140">
          <cell r="A11140">
            <v>2019</v>
          </cell>
          <cell r="B11140" t="str">
            <v>Actual</v>
          </cell>
          <cell r="C11140" t="str">
            <v>Oct</v>
          </cell>
          <cell r="D11140" t="str">
            <v>Chairs</v>
          </cell>
          <cell r="E11140">
            <v>977569.58599999989</v>
          </cell>
          <cell r="F11140">
            <v>10</v>
          </cell>
        </row>
        <row r="11141">
          <cell r="A11141">
            <v>2018</v>
          </cell>
          <cell r="B11141" t="str">
            <v>Budget</v>
          </cell>
          <cell r="C11141" t="str">
            <v>Oct</v>
          </cell>
          <cell r="D11141" t="str">
            <v>Chairs</v>
          </cell>
          <cell r="E11141">
            <v>44540.055</v>
          </cell>
          <cell r="F11141">
            <v>10</v>
          </cell>
        </row>
        <row r="11142">
          <cell r="A11142">
            <v>2018</v>
          </cell>
          <cell r="B11142" t="str">
            <v>Actual</v>
          </cell>
          <cell r="C11142" t="str">
            <v>Oct</v>
          </cell>
          <cell r="D11142" t="str">
            <v>Tables</v>
          </cell>
          <cell r="E11142">
            <v>220099.88</v>
          </cell>
          <cell r="F11142">
            <v>10</v>
          </cell>
        </row>
        <row r="11143">
          <cell r="A11143">
            <v>2018</v>
          </cell>
          <cell r="B11143" t="str">
            <v>Budget</v>
          </cell>
          <cell r="C11143" t="str">
            <v>Oct</v>
          </cell>
          <cell r="D11143" t="str">
            <v>Kitchen</v>
          </cell>
          <cell r="E11143">
            <v>494288.94199999998</v>
          </cell>
          <cell r="F11143">
            <v>10</v>
          </cell>
        </row>
        <row r="11144">
          <cell r="A11144">
            <v>2019</v>
          </cell>
          <cell r="B11144" t="str">
            <v>Actual</v>
          </cell>
          <cell r="C11144" t="str">
            <v>Oct</v>
          </cell>
          <cell r="D11144" t="str">
            <v>Accessories</v>
          </cell>
          <cell r="E11144">
            <v>3068431.8</v>
          </cell>
          <cell r="F11144">
            <v>10</v>
          </cell>
        </row>
        <row r="11145">
          <cell r="A11145">
            <v>2019</v>
          </cell>
          <cell r="B11145" t="str">
            <v>Budget</v>
          </cell>
          <cell r="C11145" t="str">
            <v>Oct</v>
          </cell>
          <cell r="D11145" t="str">
            <v>Chairs</v>
          </cell>
          <cell r="E11145">
            <v>211233.33000000002</v>
          </cell>
          <cell r="F11145">
            <v>10</v>
          </cell>
        </row>
        <row r="11146">
          <cell r="A11146">
            <v>2019</v>
          </cell>
          <cell r="B11146" t="str">
            <v>Actual</v>
          </cell>
          <cell r="C11146" t="str">
            <v>Oct</v>
          </cell>
          <cell r="D11146" t="str">
            <v>Tables</v>
          </cell>
          <cell r="E11146">
            <v>839294.27399999998</v>
          </cell>
          <cell r="F11146">
            <v>10</v>
          </cell>
        </row>
        <row r="11147">
          <cell r="A11147">
            <v>2019</v>
          </cell>
          <cell r="B11147" t="str">
            <v>Budget</v>
          </cell>
          <cell r="C11147" t="str">
            <v>Oct</v>
          </cell>
          <cell r="D11147" t="str">
            <v>Kitchen</v>
          </cell>
          <cell r="E11147">
            <v>63877.351999999999</v>
          </cell>
          <cell r="F11147">
            <v>10</v>
          </cell>
        </row>
        <row r="11148">
          <cell r="A11148">
            <v>2019</v>
          </cell>
          <cell r="B11148" t="str">
            <v>Actual</v>
          </cell>
          <cell r="C11148" t="str">
            <v>Oct</v>
          </cell>
          <cell r="D11148" t="str">
            <v>Accessories</v>
          </cell>
          <cell r="E11148">
            <v>225717.00899999999</v>
          </cell>
          <cell r="F11148">
            <v>10</v>
          </cell>
        </row>
        <row r="11149">
          <cell r="A11149">
            <v>2019</v>
          </cell>
          <cell r="B11149" t="str">
            <v>Budget</v>
          </cell>
          <cell r="C11149" t="str">
            <v>Oct</v>
          </cell>
          <cell r="D11149" t="str">
            <v>Chairs</v>
          </cell>
          <cell r="E11149">
            <v>838194.64399999985</v>
          </cell>
          <cell r="F11149">
            <v>10</v>
          </cell>
        </row>
        <row r="11150">
          <cell r="A11150">
            <v>2019</v>
          </cell>
          <cell r="B11150" t="str">
            <v>Actual</v>
          </cell>
          <cell r="C11150" t="str">
            <v>Oct</v>
          </cell>
          <cell r="D11150" t="str">
            <v>Tables</v>
          </cell>
          <cell r="E11150">
            <v>699402.23499999999</v>
          </cell>
          <cell r="F11150">
            <v>10</v>
          </cell>
        </row>
        <row r="11151">
          <cell r="A11151">
            <v>2019</v>
          </cell>
          <cell r="B11151" t="str">
            <v>Budget</v>
          </cell>
          <cell r="C11151" t="str">
            <v>Oct</v>
          </cell>
          <cell r="D11151" t="str">
            <v>Kitchen</v>
          </cell>
          <cell r="E11151">
            <v>424361.217</v>
          </cell>
          <cell r="F11151">
            <v>10</v>
          </cell>
        </row>
        <row r="11152">
          <cell r="A11152">
            <v>2019</v>
          </cell>
          <cell r="B11152" t="str">
            <v>Actual</v>
          </cell>
          <cell r="C11152" t="str">
            <v>Oct</v>
          </cell>
          <cell r="D11152" t="str">
            <v>Accessories</v>
          </cell>
          <cell r="E11152">
            <v>187659.35299999997</v>
          </cell>
          <cell r="F11152">
            <v>10</v>
          </cell>
        </row>
        <row r="11153">
          <cell r="A11153">
            <v>2018</v>
          </cell>
          <cell r="B11153" t="str">
            <v>Budget</v>
          </cell>
          <cell r="C11153" t="str">
            <v>Oct</v>
          </cell>
          <cell r="D11153" t="str">
            <v>Chairs</v>
          </cell>
          <cell r="E11153">
            <v>170105.30599999998</v>
          </cell>
          <cell r="F11153">
            <v>10</v>
          </cell>
        </row>
        <row r="11154">
          <cell r="A11154">
            <v>2018</v>
          </cell>
          <cell r="B11154" t="str">
            <v>Actual</v>
          </cell>
          <cell r="C11154" t="str">
            <v>Oct</v>
          </cell>
          <cell r="D11154" t="str">
            <v>Tables</v>
          </cell>
          <cell r="E11154">
            <v>31343.48</v>
          </cell>
          <cell r="F11154">
            <v>10</v>
          </cell>
        </row>
        <row r="11155">
          <cell r="A11155">
            <v>2018</v>
          </cell>
          <cell r="B11155" t="str">
            <v>Budget</v>
          </cell>
          <cell r="C11155" t="str">
            <v>Oct</v>
          </cell>
          <cell r="D11155" t="str">
            <v>Kitchen</v>
          </cell>
          <cell r="E11155">
            <v>190551.29800000001</v>
          </cell>
          <cell r="F11155">
            <v>10</v>
          </cell>
        </row>
        <row r="11156">
          <cell r="A11156">
            <v>2018</v>
          </cell>
          <cell r="B11156" t="str">
            <v>Actual</v>
          </cell>
          <cell r="C11156" t="str">
            <v>Oct</v>
          </cell>
          <cell r="D11156" t="str">
            <v>Accessories</v>
          </cell>
          <cell r="E11156">
            <v>594341.223</v>
          </cell>
          <cell r="F11156">
            <v>10</v>
          </cell>
        </row>
        <row r="11157">
          <cell r="A11157">
            <v>2019</v>
          </cell>
          <cell r="B11157" t="str">
            <v>Budget</v>
          </cell>
          <cell r="C11157" t="str">
            <v>Oct</v>
          </cell>
          <cell r="D11157" t="str">
            <v>Chairs</v>
          </cell>
          <cell r="E11157">
            <v>318354.25999999995</v>
          </cell>
          <cell r="F11157">
            <v>10</v>
          </cell>
        </row>
        <row r="11158">
          <cell r="A11158">
            <v>2018</v>
          </cell>
          <cell r="B11158" t="str">
            <v>Actual</v>
          </cell>
          <cell r="C11158" t="str">
            <v>Oct</v>
          </cell>
          <cell r="D11158" t="str">
            <v>Chairs</v>
          </cell>
          <cell r="E11158">
            <v>243094.97099999999</v>
          </cell>
          <cell r="F11158">
            <v>10</v>
          </cell>
        </row>
        <row r="11159">
          <cell r="A11159">
            <v>2019</v>
          </cell>
          <cell r="B11159" t="str">
            <v>Budget</v>
          </cell>
          <cell r="C11159" t="str">
            <v>Oct</v>
          </cell>
          <cell r="D11159" t="str">
            <v>Tables</v>
          </cell>
          <cell r="E11159">
            <v>76829.899999999994</v>
          </cell>
          <cell r="F11159">
            <v>10</v>
          </cell>
        </row>
        <row r="11160">
          <cell r="A11160">
            <v>2019</v>
          </cell>
          <cell r="B11160" t="str">
            <v>Actual</v>
          </cell>
          <cell r="C11160" t="str">
            <v>Oct</v>
          </cell>
          <cell r="D11160" t="str">
            <v>Kitchen</v>
          </cell>
          <cell r="E11160">
            <v>5580.5540000000001</v>
          </cell>
          <cell r="F11160">
            <v>10</v>
          </cell>
        </row>
        <row r="11161">
          <cell r="A11161">
            <v>2018</v>
          </cell>
          <cell r="B11161" t="str">
            <v>Budget</v>
          </cell>
          <cell r="C11161" t="str">
            <v>Oct</v>
          </cell>
          <cell r="D11161" t="str">
            <v>Chairs</v>
          </cell>
          <cell r="E11161">
            <v>280559.56599999999</v>
          </cell>
          <cell r="F11161">
            <v>10</v>
          </cell>
        </row>
        <row r="11162">
          <cell r="A11162">
            <v>2018</v>
          </cell>
          <cell r="B11162" t="str">
            <v>Actual</v>
          </cell>
          <cell r="C11162" t="str">
            <v>Oct</v>
          </cell>
          <cell r="D11162" t="str">
            <v>Tables</v>
          </cell>
          <cell r="E11162">
            <v>225270.38099999999</v>
          </cell>
          <cell r="F11162">
            <v>10</v>
          </cell>
        </row>
        <row r="11163">
          <cell r="A11163">
            <v>2019</v>
          </cell>
          <cell r="B11163" t="str">
            <v>Budget</v>
          </cell>
          <cell r="C11163" t="str">
            <v>Oct</v>
          </cell>
          <cell r="D11163" t="str">
            <v>Kitchen</v>
          </cell>
          <cell r="E11163">
            <v>46008.899999999994</v>
          </cell>
          <cell r="F11163">
            <v>10</v>
          </cell>
        </row>
        <row r="11164">
          <cell r="A11164">
            <v>2018</v>
          </cell>
          <cell r="B11164" t="str">
            <v>Actual</v>
          </cell>
          <cell r="C11164" t="str">
            <v>Oct</v>
          </cell>
          <cell r="D11164" t="str">
            <v>Chairs</v>
          </cell>
          <cell r="E11164">
            <v>76351.799999999988</v>
          </cell>
          <cell r="F11164">
            <v>10</v>
          </cell>
        </row>
        <row r="11165">
          <cell r="A11165">
            <v>2018</v>
          </cell>
          <cell r="B11165" t="str">
            <v>Budget</v>
          </cell>
          <cell r="C11165" t="str">
            <v>Oct</v>
          </cell>
          <cell r="D11165" t="str">
            <v>Tables</v>
          </cell>
          <cell r="E11165">
            <v>28215073.418000001</v>
          </cell>
          <cell r="F11165">
            <v>10</v>
          </cell>
        </row>
        <row r="11166">
          <cell r="A11166">
            <v>2019</v>
          </cell>
          <cell r="B11166" t="str">
            <v>Actual</v>
          </cell>
          <cell r="C11166" t="str">
            <v>Oct</v>
          </cell>
          <cell r="D11166" t="str">
            <v>Kitchen</v>
          </cell>
          <cell r="E11166">
            <v>11221.252</v>
          </cell>
          <cell r="F11166">
            <v>10</v>
          </cell>
        </row>
        <row r="11167">
          <cell r="A11167">
            <v>2018</v>
          </cell>
          <cell r="B11167" t="str">
            <v>Budget</v>
          </cell>
          <cell r="C11167" t="str">
            <v>Oct</v>
          </cell>
          <cell r="D11167" t="str">
            <v>Chairs</v>
          </cell>
          <cell r="E11167">
            <v>139969.53599999999</v>
          </cell>
          <cell r="F11167">
            <v>10</v>
          </cell>
        </row>
        <row r="11168">
          <cell r="A11168">
            <v>2019</v>
          </cell>
          <cell r="B11168" t="str">
            <v>Actual</v>
          </cell>
          <cell r="C11168" t="str">
            <v>Oct</v>
          </cell>
          <cell r="D11168" t="str">
            <v>Chairs</v>
          </cell>
          <cell r="E11168">
            <v>13064.968000000001</v>
          </cell>
          <cell r="F11168">
            <v>10</v>
          </cell>
        </row>
        <row r="11169">
          <cell r="A11169">
            <v>2018</v>
          </cell>
          <cell r="B11169" t="str">
            <v>Budget</v>
          </cell>
          <cell r="C11169" t="str">
            <v>Oct</v>
          </cell>
          <cell r="D11169" t="str">
            <v>Chairs</v>
          </cell>
          <cell r="E11169">
            <v>137807.15899999999</v>
          </cell>
          <cell r="F11169">
            <v>10</v>
          </cell>
        </row>
        <row r="11170">
          <cell r="A11170">
            <v>2018</v>
          </cell>
          <cell r="B11170" t="str">
            <v>Actual</v>
          </cell>
          <cell r="C11170" t="str">
            <v>Oct</v>
          </cell>
          <cell r="D11170" t="str">
            <v>Chairs</v>
          </cell>
          <cell r="E11170">
            <v>69327.516999999993</v>
          </cell>
          <cell r="F11170">
            <v>10</v>
          </cell>
        </row>
        <row r="11171">
          <cell r="A11171">
            <v>2018</v>
          </cell>
          <cell r="B11171" t="str">
            <v>Budget</v>
          </cell>
          <cell r="C11171" t="str">
            <v>Oct</v>
          </cell>
          <cell r="D11171" t="str">
            <v>Chairs</v>
          </cell>
          <cell r="E11171">
            <v>15867.956999999999</v>
          </cell>
          <cell r="F11171">
            <v>10</v>
          </cell>
        </row>
        <row r="11172">
          <cell r="A11172">
            <v>2018</v>
          </cell>
          <cell r="B11172" t="str">
            <v>Actual</v>
          </cell>
          <cell r="C11172" t="str">
            <v>Oct</v>
          </cell>
          <cell r="D11172" t="str">
            <v>Chairs</v>
          </cell>
          <cell r="E11172">
            <v>28952.216999999997</v>
          </cell>
          <cell r="F11172">
            <v>10</v>
          </cell>
        </row>
        <row r="11173">
          <cell r="A11173">
            <v>2019</v>
          </cell>
          <cell r="B11173" t="str">
            <v>Budget</v>
          </cell>
          <cell r="C11173" t="str">
            <v>Oct</v>
          </cell>
          <cell r="D11173" t="str">
            <v>Chairs</v>
          </cell>
          <cell r="E11173">
            <v>10585843.911999999</v>
          </cell>
          <cell r="F11173">
            <v>10</v>
          </cell>
        </row>
        <row r="11174">
          <cell r="A11174">
            <v>2019</v>
          </cell>
          <cell r="B11174" t="str">
            <v>Actual</v>
          </cell>
          <cell r="C11174" t="str">
            <v>Oct</v>
          </cell>
          <cell r="D11174" t="str">
            <v>Chairs</v>
          </cell>
          <cell r="E11174">
            <v>1035.9019999999998</v>
          </cell>
          <cell r="F11174">
            <v>10</v>
          </cell>
        </row>
        <row r="11175">
          <cell r="A11175">
            <v>2018</v>
          </cell>
          <cell r="B11175" t="str">
            <v>Budget</v>
          </cell>
          <cell r="C11175" t="str">
            <v>Oct</v>
          </cell>
          <cell r="D11175" t="str">
            <v>Chairs</v>
          </cell>
          <cell r="E11175">
            <v>122690.4</v>
          </cell>
          <cell r="F11175">
            <v>10</v>
          </cell>
        </row>
        <row r="11176">
          <cell r="A11176">
            <v>2018</v>
          </cell>
          <cell r="B11176" t="str">
            <v>Actual</v>
          </cell>
          <cell r="C11176" t="str">
            <v>Oct</v>
          </cell>
          <cell r="D11176" t="str">
            <v>Chairs</v>
          </cell>
          <cell r="E11176">
            <v>15517.522999999999</v>
          </cell>
          <cell r="F11176">
            <v>10</v>
          </cell>
        </row>
        <row r="11177">
          <cell r="A11177">
            <v>2019</v>
          </cell>
          <cell r="B11177" t="str">
            <v>Budget</v>
          </cell>
          <cell r="C11177" t="str">
            <v>Oct</v>
          </cell>
          <cell r="D11177" t="str">
            <v>Chairs</v>
          </cell>
          <cell r="E11177">
            <v>281045.96799999999</v>
          </cell>
          <cell r="F11177">
            <v>10</v>
          </cell>
        </row>
        <row r="11178">
          <cell r="A11178">
            <v>2019</v>
          </cell>
          <cell r="B11178" t="str">
            <v>Actual</v>
          </cell>
          <cell r="C11178" t="str">
            <v>Oct</v>
          </cell>
          <cell r="D11178" t="str">
            <v>Chairs</v>
          </cell>
          <cell r="E11178">
            <v>13160.203</v>
          </cell>
          <cell r="F11178">
            <v>10</v>
          </cell>
        </row>
        <row r="11179">
          <cell r="A11179">
            <v>2018</v>
          </cell>
          <cell r="B11179" t="str">
            <v>Budget</v>
          </cell>
          <cell r="C11179" t="str">
            <v>Oct</v>
          </cell>
          <cell r="D11179" t="str">
            <v>Chairs</v>
          </cell>
          <cell r="E11179">
            <v>374028.15799999994</v>
          </cell>
          <cell r="F11179">
            <v>10</v>
          </cell>
        </row>
        <row r="11180">
          <cell r="A11180">
            <v>2019</v>
          </cell>
          <cell r="B11180" t="str">
            <v>Actual</v>
          </cell>
          <cell r="C11180" t="str">
            <v>Oct</v>
          </cell>
          <cell r="D11180" t="str">
            <v>Chairs</v>
          </cell>
          <cell r="E11180">
            <v>52637.493999999999</v>
          </cell>
          <cell r="F11180">
            <v>10</v>
          </cell>
        </row>
        <row r="11181">
          <cell r="A11181">
            <v>2018</v>
          </cell>
          <cell r="B11181" t="str">
            <v>Budget</v>
          </cell>
          <cell r="C11181" t="str">
            <v>Oct</v>
          </cell>
          <cell r="D11181" t="str">
            <v>Chairs</v>
          </cell>
          <cell r="E11181">
            <v>36829742.914999999</v>
          </cell>
          <cell r="F11181">
            <v>10</v>
          </cell>
        </row>
        <row r="11182">
          <cell r="A11182">
            <v>2019</v>
          </cell>
          <cell r="B11182" t="str">
            <v>Actual</v>
          </cell>
          <cell r="C11182" t="str">
            <v>Oct</v>
          </cell>
          <cell r="D11182" t="str">
            <v>Chairs</v>
          </cell>
          <cell r="E11182">
            <v>6517.3919999999989</v>
          </cell>
          <cell r="F11182">
            <v>10</v>
          </cell>
        </row>
        <row r="11183">
          <cell r="A11183">
            <v>2019</v>
          </cell>
          <cell r="B11183" t="str">
            <v>Budget</v>
          </cell>
          <cell r="C11183" t="str">
            <v>Oct</v>
          </cell>
          <cell r="D11183" t="str">
            <v>Chairs</v>
          </cell>
          <cell r="E11183">
            <v>3904.95</v>
          </cell>
          <cell r="F11183">
            <v>10</v>
          </cell>
        </row>
        <row r="11184">
          <cell r="A11184">
            <v>2019</v>
          </cell>
          <cell r="B11184" t="str">
            <v>Actual</v>
          </cell>
          <cell r="C11184" t="str">
            <v>Oct</v>
          </cell>
          <cell r="D11184" t="str">
            <v>Chairs</v>
          </cell>
          <cell r="E11184">
            <v>29884.378999999997</v>
          </cell>
          <cell r="F11184">
            <v>10</v>
          </cell>
        </row>
        <row r="11185">
          <cell r="A11185">
            <v>2018</v>
          </cell>
          <cell r="B11185" t="str">
            <v>Budget</v>
          </cell>
          <cell r="C11185" t="str">
            <v>Oct</v>
          </cell>
          <cell r="D11185" t="str">
            <v>Chairs</v>
          </cell>
          <cell r="E11185">
            <v>79728.263999999996</v>
          </cell>
          <cell r="F11185">
            <v>10</v>
          </cell>
        </row>
        <row r="11186">
          <cell r="A11186">
            <v>2019</v>
          </cell>
          <cell r="B11186" t="str">
            <v>Actual</v>
          </cell>
          <cell r="C11186" t="str">
            <v>Oct</v>
          </cell>
          <cell r="D11186" t="str">
            <v>Chairs</v>
          </cell>
          <cell r="E11186">
            <v>380773.92499999999</v>
          </cell>
          <cell r="F11186">
            <v>10</v>
          </cell>
        </row>
        <row r="11187">
          <cell r="A11187">
            <v>2018</v>
          </cell>
          <cell r="B11187" t="str">
            <v>Budget</v>
          </cell>
          <cell r="C11187" t="str">
            <v>Oct</v>
          </cell>
          <cell r="D11187" t="str">
            <v>Chairs</v>
          </cell>
          <cell r="E11187">
            <v>53799.774000000005</v>
          </cell>
          <cell r="F11187">
            <v>10</v>
          </cell>
        </row>
        <row r="11188">
          <cell r="A11188">
            <v>2018</v>
          </cell>
          <cell r="B11188" t="str">
            <v>Actual</v>
          </cell>
          <cell r="C11188" t="str">
            <v>Oct</v>
          </cell>
          <cell r="D11188" t="str">
            <v>Chairs</v>
          </cell>
          <cell r="E11188">
            <v>7022.6729999999989</v>
          </cell>
          <cell r="F11188">
            <v>10</v>
          </cell>
        </row>
        <row r="11189">
          <cell r="A11189">
            <v>2019</v>
          </cell>
          <cell r="B11189" t="str">
            <v>Budget</v>
          </cell>
          <cell r="C11189" t="str">
            <v>Oct</v>
          </cell>
          <cell r="D11189" t="str">
            <v>Chairs</v>
          </cell>
          <cell r="E11189">
            <v>3815.567</v>
          </cell>
          <cell r="F11189">
            <v>10</v>
          </cell>
        </row>
        <row r="11190">
          <cell r="A11190">
            <v>2019</v>
          </cell>
          <cell r="B11190" t="str">
            <v>Actual</v>
          </cell>
          <cell r="C11190" t="str">
            <v>Oct</v>
          </cell>
          <cell r="D11190" t="str">
            <v>Chairs</v>
          </cell>
          <cell r="E11190">
            <v>3843.9589999999998</v>
          </cell>
          <cell r="F11190">
            <v>10</v>
          </cell>
        </row>
        <row r="11191">
          <cell r="A11191">
            <v>2019</v>
          </cell>
          <cell r="B11191" t="str">
            <v>Budget</v>
          </cell>
          <cell r="C11191" t="str">
            <v>Oct</v>
          </cell>
          <cell r="D11191" t="str">
            <v>Chairs</v>
          </cell>
          <cell r="E11191">
            <v>68878.697999999989</v>
          </cell>
          <cell r="F11191">
            <v>10</v>
          </cell>
        </row>
        <row r="11192">
          <cell r="A11192">
            <v>2018</v>
          </cell>
          <cell r="B11192" t="str">
            <v>Actual</v>
          </cell>
          <cell r="C11192" t="str">
            <v>Oct</v>
          </cell>
          <cell r="D11192" t="str">
            <v>Chairs</v>
          </cell>
          <cell r="E11192">
            <v>45345.055</v>
          </cell>
          <cell r="F11192">
            <v>10</v>
          </cell>
        </row>
        <row r="11193">
          <cell r="A11193">
            <v>2018</v>
          </cell>
          <cell r="B11193" t="str">
            <v>Budget</v>
          </cell>
          <cell r="C11193" t="str">
            <v>Oct</v>
          </cell>
          <cell r="D11193" t="str">
            <v>Tables</v>
          </cell>
          <cell r="E11193">
            <v>13506.752</v>
          </cell>
          <cell r="F11193">
            <v>10</v>
          </cell>
        </row>
        <row r="11194">
          <cell r="A11194">
            <v>2018</v>
          </cell>
          <cell r="B11194" t="str">
            <v>Actual</v>
          </cell>
          <cell r="C11194" t="str">
            <v>Oct</v>
          </cell>
          <cell r="D11194" t="str">
            <v>Kitchen</v>
          </cell>
          <cell r="E11194">
            <v>51643.249000000003</v>
          </cell>
          <cell r="F11194">
            <v>10</v>
          </cell>
        </row>
        <row r="11195">
          <cell r="A11195">
            <v>2018</v>
          </cell>
          <cell r="B11195" t="str">
            <v>Budget</v>
          </cell>
          <cell r="C11195" t="str">
            <v>Oct</v>
          </cell>
          <cell r="D11195" t="str">
            <v>Chairs</v>
          </cell>
          <cell r="E11195">
            <v>11621.631000000001</v>
          </cell>
          <cell r="F11195">
            <v>10</v>
          </cell>
        </row>
        <row r="11196">
          <cell r="A11196">
            <v>2018</v>
          </cell>
          <cell r="B11196" t="str">
            <v>Actual</v>
          </cell>
          <cell r="C11196" t="str">
            <v>Oct</v>
          </cell>
          <cell r="D11196" t="str">
            <v>Chairs</v>
          </cell>
          <cell r="E11196">
            <v>10711.561</v>
          </cell>
          <cell r="F11196">
            <v>10</v>
          </cell>
        </row>
        <row r="11197">
          <cell r="A11197">
            <v>2018</v>
          </cell>
          <cell r="B11197" t="str">
            <v>Budget</v>
          </cell>
          <cell r="C11197" t="str">
            <v>Oct</v>
          </cell>
          <cell r="D11197" t="str">
            <v>Chairs</v>
          </cell>
          <cell r="E11197">
            <v>8993.2080000000005</v>
          </cell>
          <cell r="F11197">
            <v>10</v>
          </cell>
        </row>
        <row r="11198">
          <cell r="A11198">
            <v>2018</v>
          </cell>
          <cell r="B11198" t="str">
            <v>Actual</v>
          </cell>
          <cell r="C11198" t="str">
            <v>Oct</v>
          </cell>
          <cell r="D11198" t="str">
            <v>Chairs</v>
          </cell>
          <cell r="E11198">
            <v>7000.9520000000002</v>
          </cell>
          <cell r="F11198">
            <v>10</v>
          </cell>
        </row>
        <row r="11199">
          <cell r="A11199">
            <v>2019</v>
          </cell>
          <cell r="B11199" t="str">
            <v>Budget</v>
          </cell>
          <cell r="C11199" t="str">
            <v>Oct</v>
          </cell>
          <cell r="D11199" t="str">
            <v>Chairs</v>
          </cell>
          <cell r="E11199">
            <v>125870.58399999999</v>
          </cell>
          <cell r="F11199">
            <v>10</v>
          </cell>
        </row>
        <row r="11200">
          <cell r="A11200">
            <v>2019</v>
          </cell>
          <cell r="B11200" t="str">
            <v>Actual</v>
          </cell>
          <cell r="C11200" t="str">
            <v>Oct</v>
          </cell>
          <cell r="D11200" t="str">
            <v>Tables</v>
          </cell>
          <cell r="E11200">
            <v>7665301.9169999994</v>
          </cell>
          <cell r="F11200">
            <v>10</v>
          </cell>
        </row>
        <row r="11201">
          <cell r="A11201">
            <v>2018</v>
          </cell>
          <cell r="B11201" t="str">
            <v>Budget</v>
          </cell>
          <cell r="C11201" t="str">
            <v>Oct</v>
          </cell>
          <cell r="D11201" t="str">
            <v>Kitchen</v>
          </cell>
          <cell r="E11201">
            <v>15698124.071</v>
          </cell>
          <cell r="F11201">
            <v>10</v>
          </cell>
        </row>
        <row r="11202">
          <cell r="A11202">
            <v>2019</v>
          </cell>
          <cell r="B11202" t="str">
            <v>Actual</v>
          </cell>
          <cell r="C11202" t="str">
            <v>Oct</v>
          </cell>
          <cell r="D11202" t="str">
            <v>Chairs</v>
          </cell>
          <cell r="E11202">
            <v>145874.65199999997</v>
          </cell>
          <cell r="F11202">
            <v>10</v>
          </cell>
        </row>
        <row r="11203">
          <cell r="A11203">
            <v>2018</v>
          </cell>
          <cell r="B11203" t="str">
            <v>Budget</v>
          </cell>
          <cell r="C11203" t="str">
            <v>Oct</v>
          </cell>
          <cell r="D11203" t="str">
            <v>Chairs</v>
          </cell>
          <cell r="E11203">
            <v>348705.413</v>
          </cell>
          <cell r="F11203">
            <v>10</v>
          </cell>
        </row>
        <row r="11204">
          <cell r="A11204">
            <v>2018</v>
          </cell>
          <cell r="B11204" t="str">
            <v>Actual</v>
          </cell>
          <cell r="C11204" t="str">
            <v>Oct</v>
          </cell>
          <cell r="D11204" t="str">
            <v>Chairs</v>
          </cell>
          <cell r="E11204">
            <v>-186160.49899999998</v>
          </cell>
          <cell r="F11204">
            <v>10</v>
          </cell>
        </row>
        <row r="11205">
          <cell r="A11205">
            <v>2018</v>
          </cell>
          <cell r="B11205" t="str">
            <v>Budget</v>
          </cell>
          <cell r="C11205" t="str">
            <v>Oct</v>
          </cell>
          <cell r="D11205" t="str">
            <v>Tables</v>
          </cell>
          <cell r="E11205">
            <v>768045.50900000008</v>
          </cell>
          <cell r="F11205">
            <v>10</v>
          </cell>
        </row>
        <row r="11206">
          <cell r="A11206">
            <v>2019</v>
          </cell>
          <cell r="B11206" t="str">
            <v>Actual</v>
          </cell>
          <cell r="C11206" t="str">
            <v>Oct</v>
          </cell>
          <cell r="D11206" t="str">
            <v>Kitchen</v>
          </cell>
          <cell r="E11206">
            <v>7473.5709999999999</v>
          </cell>
          <cell r="F11206">
            <v>10</v>
          </cell>
        </row>
        <row r="11207">
          <cell r="A11207">
            <v>2018</v>
          </cell>
          <cell r="B11207" t="str">
            <v>Budget</v>
          </cell>
          <cell r="C11207" t="str">
            <v>Oct</v>
          </cell>
          <cell r="D11207" t="str">
            <v>Chairs</v>
          </cell>
          <cell r="E11207">
            <v>32017.208999999999</v>
          </cell>
          <cell r="F11207">
            <v>10</v>
          </cell>
        </row>
        <row r="11208">
          <cell r="A11208">
            <v>2019</v>
          </cell>
          <cell r="B11208" t="str">
            <v>Actual</v>
          </cell>
          <cell r="C11208" t="str">
            <v>Oct</v>
          </cell>
          <cell r="D11208" t="str">
            <v>Chairs</v>
          </cell>
          <cell r="E11208">
            <v>374849.04099999997</v>
          </cell>
          <cell r="F11208">
            <v>10</v>
          </cell>
        </row>
        <row r="11209">
          <cell r="A11209">
            <v>2018</v>
          </cell>
          <cell r="B11209" t="str">
            <v>Budget</v>
          </cell>
          <cell r="C11209" t="str">
            <v>Oct</v>
          </cell>
          <cell r="D11209" t="str">
            <v>Tables</v>
          </cell>
          <cell r="E11209">
            <v>257180.33599999998</v>
          </cell>
          <cell r="F11209">
            <v>10</v>
          </cell>
        </row>
        <row r="11210">
          <cell r="A11210">
            <v>2019</v>
          </cell>
          <cell r="B11210" t="str">
            <v>Actual</v>
          </cell>
          <cell r="C11210" t="str">
            <v>Oct</v>
          </cell>
          <cell r="D11210" t="str">
            <v>Kitchen</v>
          </cell>
          <cell r="E11210">
            <v>105907.186</v>
          </cell>
          <cell r="F11210">
            <v>10</v>
          </cell>
        </row>
        <row r="11211">
          <cell r="A11211">
            <v>2019</v>
          </cell>
          <cell r="B11211" t="str">
            <v>Budget</v>
          </cell>
          <cell r="C11211" t="str">
            <v>Oct</v>
          </cell>
          <cell r="D11211" t="str">
            <v>Chairs</v>
          </cell>
          <cell r="E11211">
            <v>2532835.1510000001</v>
          </cell>
          <cell r="F11211">
            <v>10</v>
          </cell>
        </row>
        <row r="11212">
          <cell r="A11212">
            <v>2019</v>
          </cell>
          <cell r="B11212" t="str">
            <v>Actual</v>
          </cell>
          <cell r="C11212" t="str">
            <v>Oct</v>
          </cell>
          <cell r="D11212" t="str">
            <v>Chairs</v>
          </cell>
          <cell r="E11212">
            <v>442492.01499999996</v>
          </cell>
          <cell r="F11212">
            <v>10</v>
          </cell>
        </row>
        <row r="11213">
          <cell r="A11213">
            <v>2018</v>
          </cell>
          <cell r="B11213" t="str">
            <v>Budget</v>
          </cell>
          <cell r="C11213" t="str">
            <v>Oct</v>
          </cell>
          <cell r="D11213" t="str">
            <v>Chairs</v>
          </cell>
          <cell r="E11213">
            <v>21727.468000000001</v>
          </cell>
          <cell r="F11213">
            <v>10</v>
          </cell>
        </row>
        <row r="11214">
          <cell r="A11214">
            <v>2019</v>
          </cell>
          <cell r="B11214" t="str">
            <v>Actual</v>
          </cell>
          <cell r="C11214" t="str">
            <v>Oct</v>
          </cell>
          <cell r="D11214" t="str">
            <v>Tables</v>
          </cell>
          <cell r="E11214">
            <v>11363.659999999998</v>
          </cell>
          <cell r="F11214">
            <v>10</v>
          </cell>
        </row>
        <row r="11215">
          <cell r="A11215">
            <v>2018</v>
          </cell>
          <cell r="B11215" t="str">
            <v>Budget</v>
          </cell>
          <cell r="C11215" t="str">
            <v>Oct</v>
          </cell>
          <cell r="D11215" t="str">
            <v>Kitchen</v>
          </cell>
          <cell r="E11215">
            <v>15501.002999999999</v>
          </cell>
          <cell r="F11215">
            <v>10</v>
          </cell>
        </row>
        <row r="11216">
          <cell r="A11216">
            <v>2018</v>
          </cell>
          <cell r="B11216" t="str">
            <v>Actual</v>
          </cell>
          <cell r="C11216" t="str">
            <v>Oct</v>
          </cell>
          <cell r="D11216" t="str">
            <v>Accessories</v>
          </cell>
          <cell r="E11216">
            <v>508058.31299999997</v>
          </cell>
          <cell r="F11216">
            <v>10</v>
          </cell>
        </row>
        <row r="11217">
          <cell r="A11217">
            <v>2019</v>
          </cell>
          <cell r="B11217" t="str">
            <v>Budget</v>
          </cell>
          <cell r="C11217" t="str">
            <v>Oct</v>
          </cell>
          <cell r="D11217" t="str">
            <v>Chairs</v>
          </cell>
          <cell r="E11217">
            <v>28837.458999999999</v>
          </cell>
          <cell r="F11217">
            <v>10</v>
          </cell>
        </row>
        <row r="11218">
          <cell r="A11218">
            <v>2018</v>
          </cell>
          <cell r="B11218" t="str">
            <v>Actual</v>
          </cell>
          <cell r="C11218" t="str">
            <v>Oct</v>
          </cell>
          <cell r="D11218" t="str">
            <v>Tables</v>
          </cell>
          <cell r="E11218">
            <v>28230.559000000001</v>
          </cell>
          <cell r="F11218">
            <v>10</v>
          </cell>
        </row>
        <row r="11219">
          <cell r="A11219">
            <v>2019</v>
          </cell>
          <cell r="B11219" t="str">
            <v>Budget</v>
          </cell>
          <cell r="C11219" t="str">
            <v>Oct</v>
          </cell>
          <cell r="D11219" t="str">
            <v>Kitchen</v>
          </cell>
          <cell r="E11219">
            <v>139540.99599999998</v>
          </cell>
          <cell r="F11219">
            <v>10</v>
          </cell>
        </row>
        <row r="11220">
          <cell r="A11220">
            <v>2019</v>
          </cell>
          <cell r="B11220" t="str">
            <v>Actual</v>
          </cell>
          <cell r="C11220" t="str">
            <v>Oct</v>
          </cell>
          <cell r="D11220" t="str">
            <v>Accessories</v>
          </cell>
          <cell r="E11220">
            <v>146640.158</v>
          </cell>
          <cell r="F11220">
            <v>10</v>
          </cell>
        </row>
        <row r="11221">
          <cell r="A11221">
            <v>2018</v>
          </cell>
          <cell r="B11221" t="str">
            <v>Budget</v>
          </cell>
          <cell r="C11221" t="str">
            <v>Oct</v>
          </cell>
          <cell r="D11221" t="str">
            <v>Chairs</v>
          </cell>
          <cell r="E11221">
            <v>787913.11899999995</v>
          </cell>
          <cell r="F11221">
            <v>10</v>
          </cell>
        </row>
        <row r="11222">
          <cell r="A11222">
            <v>2019</v>
          </cell>
          <cell r="B11222" t="str">
            <v>Actual</v>
          </cell>
          <cell r="C11222" t="str">
            <v>Oct</v>
          </cell>
          <cell r="D11222" t="str">
            <v>Tables</v>
          </cell>
          <cell r="E11222">
            <v>5942.7129999999997</v>
          </cell>
          <cell r="F11222">
            <v>10</v>
          </cell>
        </row>
        <row r="11223">
          <cell r="A11223">
            <v>2019</v>
          </cell>
          <cell r="B11223" t="str">
            <v>Budget</v>
          </cell>
          <cell r="C11223" t="str">
            <v>Oct</v>
          </cell>
          <cell r="D11223" t="str">
            <v>Kitchen</v>
          </cell>
          <cell r="E11223">
            <v>2508698.9479999999</v>
          </cell>
          <cell r="F11223">
            <v>10</v>
          </cell>
        </row>
        <row r="11224">
          <cell r="A11224">
            <v>2018</v>
          </cell>
          <cell r="B11224" t="str">
            <v>Actual</v>
          </cell>
          <cell r="C11224" t="str">
            <v>Oct</v>
          </cell>
          <cell r="D11224" t="str">
            <v>Accessories</v>
          </cell>
          <cell r="E11224">
            <v>63433.950999999994</v>
          </cell>
          <cell r="F11224">
            <v>10</v>
          </cell>
        </row>
        <row r="11225">
          <cell r="A11225">
            <v>2019</v>
          </cell>
          <cell r="B11225" t="str">
            <v>Budget</v>
          </cell>
          <cell r="C11225" t="str">
            <v>Oct</v>
          </cell>
          <cell r="D11225" t="str">
            <v>Chairs</v>
          </cell>
          <cell r="E11225">
            <v>621493.86599999992</v>
          </cell>
          <cell r="F11225">
            <v>10</v>
          </cell>
        </row>
        <row r="11226">
          <cell r="A11226">
            <v>2019</v>
          </cell>
          <cell r="B11226" t="str">
            <v>Actual</v>
          </cell>
          <cell r="C11226" t="str">
            <v>Oct</v>
          </cell>
          <cell r="D11226" t="str">
            <v>Tables</v>
          </cell>
          <cell r="E11226">
            <v>53032.231</v>
          </cell>
          <cell r="F11226">
            <v>10</v>
          </cell>
        </row>
        <row r="11227">
          <cell r="A11227">
            <v>2019</v>
          </cell>
          <cell r="B11227" t="str">
            <v>Budget</v>
          </cell>
          <cell r="C11227" t="str">
            <v>Oct</v>
          </cell>
          <cell r="D11227" t="str">
            <v>Kitchen</v>
          </cell>
          <cell r="E11227">
            <v>172397.98799999998</v>
          </cell>
          <cell r="F11227">
            <v>10</v>
          </cell>
        </row>
        <row r="11228">
          <cell r="A11228">
            <v>2019</v>
          </cell>
          <cell r="B11228" t="str">
            <v>Actual</v>
          </cell>
          <cell r="C11228" t="str">
            <v>Oct</v>
          </cell>
          <cell r="D11228" t="str">
            <v>Accessories</v>
          </cell>
          <cell r="E11228">
            <v>131761.95199999999</v>
          </cell>
          <cell r="F11228">
            <v>10</v>
          </cell>
        </row>
        <row r="11229">
          <cell r="A11229">
            <v>2018</v>
          </cell>
          <cell r="B11229" t="str">
            <v>Budget</v>
          </cell>
          <cell r="C11229" t="str">
            <v>Oct</v>
          </cell>
          <cell r="D11229" t="str">
            <v>Chairs</v>
          </cell>
          <cell r="E11229">
            <v>307562.283</v>
          </cell>
          <cell r="F11229">
            <v>10</v>
          </cell>
        </row>
        <row r="11230">
          <cell r="A11230">
            <v>2019</v>
          </cell>
          <cell r="B11230" t="str">
            <v>Actual</v>
          </cell>
          <cell r="C11230" t="str">
            <v>Oct</v>
          </cell>
          <cell r="D11230" t="str">
            <v>Chairs</v>
          </cell>
          <cell r="E11230">
            <v>59840.739000000001</v>
          </cell>
          <cell r="F11230">
            <v>10</v>
          </cell>
        </row>
        <row r="11231">
          <cell r="A11231">
            <v>2018</v>
          </cell>
          <cell r="B11231" t="str">
            <v>Budget</v>
          </cell>
          <cell r="C11231" t="str">
            <v>Oct</v>
          </cell>
          <cell r="D11231" t="str">
            <v>Tables</v>
          </cell>
          <cell r="E11231">
            <v>110933.19299999998</v>
          </cell>
          <cell r="F11231">
            <v>10</v>
          </cell>
        </row>
        <row r="11232">
          <cell r="A11232">
            <v>2018</v>
          </cell>
          <cell r="B11232" t="str">
            <v>Actual</v>
          </cell>
          <cell r="C11232" t="str">
            <v>Oct</v>
          </cell>
          <cell r="D11232" t="str">
            <v>Kitchen</v>
          </cell>
          <cell r="E11232">
            <v>200125.226</v>
          </cell>
          <cell r="F11232">
            <v>10</v>
          </cell>
        </row>
        <row r="11233">
          <cell r="A11233">
            <v>2019</v>
          </cell>
          <cell r="B11233" t="str">
            <v>Budget</v>
          </cell>
          <cell r="C11233" t="str">
            <v>Oct</v>
          </cell>
          <cell r="D11233" t="str">
            <v>Chairs</v>
          </cell>
          <cell r="E11233">
            <v>76236.691999999995</v>
          </cell>
          <cell r="F11233">
            <v>10</v>
          </cell>
        </row>
        <row r="11234">
          <cell r="A11234">
            <v>2018</v>
          </cell>
          <cell r="B11234" t="str">
            <v>Actual</v>
          </cell>
          <cell r="C11234" t="str">
            <v>Oct</v>
          </cell>
          <cell r="D11234" t="str">
            <v>Tables</v>
          </cell>
          <cell r="E11234">
            <v>261976.65199999997</v>
          </cell>
          <cell r="F11234">
            <v>10</v>
          </cell>
        </row>
        <row r="11235">
          <cell r="A11235">
            <v>2019</v>
          </cell>
          <cell r="B11235" t="str">
            <v>Budget</v>
          </cell>
          <cell r="C11235" t="str">
            <v>Oct</v>
          </cell>
          <cell r="D11235" t="str">
            <v>Kitchen</v>
          </cell>
          <cell r="E11235">
            <v>62330.421999999999</v>
          </cell>
          <cell r="F11235">
            <v>10</v>
          </cell>
        </row>
        <row r="11236">
          <cell r="A11236">
            <v>2018</v>
          </cell>
          <cell r="B11236" t="str">
            <v>Actual</v>
          </cell>
          <cell r="C11236" t="str">
            <v>Oct</v>
          </cell>
          <cell r="D11236" t="str">
            <v>Chairs</v>
          </cell>
          <cell r="E11236">
            <v>93985.948000000004</v>
          </cell>
          <cell r="F11236">
            <v>10</v>
          </cell>
        </row>
        <row r="11237">
          <cell r="A11237">
            <v>2019</v>
          </cell>
          <cell r="B11237" t="str">
            <v>Budget</v>
          </cell>
          <cell r="C11237" t="str">
            <v>Oct</v>
          </cell>
          <cell r="D11237" t="str">
            <v>Tables</v>
          </cell>
          <cell r="E11237">
            <v>67418.637999999992</v>
          </cell>
          <cell r="F11237">
            <v>10</v>
          </cell>
        </row>
        <row r="11238">
          <cell r="A11238">
            <v>2018</v>
          </cell>
          <cell r="B11238" t="str">
            <v>Actual</v>
          </cell>
          <cell r="C11238" t="str">
            <v>Oct</v>
          </cell>
          <cell r="D11238" t="str">
            <v>Kitchen</v>
          </cell>
          <cell r="E11238">
            <v>180665.47099999999</v>
          </cell>
          <cell r="F11238">
            <v>10</v>
          </cell>
        </row>
        <row r="11239">
          <cell r="A11239">
            <v>2018</v>
          </cell>
          <cell r="B11239" t="str">
            <v>Budget</v>
          </cell>
          <cell r="C11239" t="str">
            <v>Oct</v>
          </cell>
          <cell r="D11239" t="str">
            <v>Chairs</v>
          </cell>
          <cell r="E11239">
            <v>3025614.7110000001</v>
          </cell>
          <cell r="F11239">
            <v>10</v>
          </cell>
        </row>
        <row r="11240">
          <cell r="A11240">
            <v>2018</v>
          </cell>
          <cell r="B11240" t="str">
            <v>Actual</v>
          </cell>
          <cell r="C11240" t="str">
            <v>Oct</v>
          </cell>
          <cell r="D11240" t="str">
            <v>Chairs</v>
          </cell>
          <cell r="E11240">
            <v>986695.63299999991</v>
          </cell>
          <cell r="F11240">
            <v>10</v>
          </cell>
        </row>
        <row r="11241">
          <cell r="A11241">
            <v>2018</v>
          </cell>
          <cell r="B11241" t="str">
            <v>Budget</v>
          </cell>
          <cell r="C11241" t="str">
            <v>Oct</v>
          </cell>
          <cell r="D11241" t="str">
            <v>Chairs</v>
          </cell>
          <cell r="E11241">
            <v>276343.49399999995</v>
          </cell>
          <cell r="F11241">
            <v>10</v>
          </cell>
        </row>
        <row r="11242">
          <cell r="A11242">
            <v>2019</v>
          </cell>
          <cell r="B11242" t="str">
            <v>Actual</v>
          </cell>
          <cell r="C11242" t="str">
            <v>Oct</v>
          </cell>
          <cell r="D11242" t="str">
            <v>Chairs</v>
          </cell>
          <cell r="E11242">
            <v>69250875.721999988</v>
          </cell>
          <cell r="F11242">
            <v>10</v>
          </cell>
        </row>
        <row r="11243">
          <cell r="A11243">
            <v>2018</v>
          </cell>
          <cell r="B11243" t="str">
            <v>Budget</v>
          </cell>
          <cell r="C11243" t="str">
            <v>Oct</v>
          </cell>
          <cell r="D11243" t="str">
            <v>Chairs</v>
          </cell>
          <cell r="E11243">
            <v>253274.99399999998</v>
          </cell>
          <cell r="F11243">
            <v>10</v>
          </cell>
        </row>
        <row r="11244">
          <cell r="A11244">
            <v>2019</v>
          </cell>
          <cell r="B11244" t="str">
            <v>Actual</v>
          </cell>
          <cell r="C11244" t="str">
            <v>Oct</v>
          </cell>
          <cell r="D11244" t="str">
            <v>Chairs</v>
          </cell>
          <cell r="E11244">
            <v>123702.446</v>
          </cell>
          <cell r="F11244">
            <v>10</v>
          </cell>
        </row>
        <row r="11245">
          <cell r="A11245">
            <v>2018</v>
          </cell>
          <cell r="B11245" t="str">
            <v>Budget</v>
          </cell>
          <cell r="C11245" t="str">
            <v>Oct</v>
          </cell>
          <cell r="D11245" t="str">
            <v>Chairs</v>
          </cell>
          <cell r="E11245">
            <v>6225721.523</v>
          </cell>
          <cell r="F11245">
            <v>10</v>
          </cell>
        </row>
        <row r="11246">
          <cell r="A11246">
            <v>2019</v>
          </cell>
          <cell r="B11246" t="str">
            <v>Actual</v>
          </cell>
          <cell r="C11246" t="str">
            <v>Oct</v>
          </cell>
          <cell r="D11246" t="str">
            <v>Chairs</v>
          </cell>
          <cell r="E11246">
            <v>18383673.349999998</v>
          </cell>
          <cell r="F11246">
            <v>10</v>
          </cell>
        </row>
        <row r="11247">
          <cell r="A11247">
            <v>2018</v>
          </cell>
          <cell r="B11247" t="str">
            <v>Budget</v>
          </cell>
          <cell r="C11247" t="str">
            <v>Oct</v>
          </cell>
          <cell r="D11247" t="str">
            <v>Chairs</v>
          </cell>
          <cell r="E11247">
            <v>10303162.050999999</v>
          </cell>
          <cell r="F11247">
            <v>10</v>
          </cell>
        </row>
        <row r="11248">
          <cell r="A11248">
            <v>2018</v>
          </cell>
          <cell r="B11248" t="str">
            <v>Actual</v>
          </cell>
          <cell r="C11248" t="str">
            <v>Oct</v>
          </cell>
          <cell r="D11248" t="str">
            <v>Chairs</v>
          </cell>
          <cell r="E11248">
            <v>63582.140999999996</v>
          </cell>
          <cell r="F11248">
            <v>10</v>
          </cell>
        </row>
        <row r="11249">
          <cell r="A11249">
            <v>2019</v>
          </cell>
          <cell r="B11249" t="str">
            <v>Budget</v>
          </cell>
          <cell r="C11249" t="str">
            <v>Oct</v>
          </cell>
          <cell r="D11249" t="str">
            <v>Chairs</v>
          </cell>
          <cell r="E11249">
            <v>23074687.691999998</v>
          </cell>
          <cell r="F11249">
            <v>10</v>
          </cell>
        </row>
        <row r="11250">
          <cell r="A11250">
            <v>2018</v>
          </cell>
          <cell r="B11250" t="str">
            <v>Actual</v>
          </cell>
          <cell r="C11250" t="str">
            <v>Oct</v>
          </cell>
          <cell r="D11250" t="str">
            <v>Chairs</v>
          </cell>
          <cell r="E11250">
            <v>24500140.588</v>
          </cell>
          <cell r="F11250">
            <v>10</v>
          </cell>
        </row>
        <row r="11251">
          <cell r="A11251">
            <v>2019</v>
          </cell>
          <cell r="B11251" t="str">
            <v>Budget</v>
          </cell>
          <cell r="C11251" t="str">
            <v>Oct</v>
          </cell>
          <cell r="D11251" t="str">
            <v>Chairs</v>
          </cell>
          <cell r="E11251">
            <v>4725555.9610000001</v>
          </cell>
          <cell r="F11251">
            <v>10</v>
          </cell>
        </row>
        <row r="11252">
          <cell r="A11252">
            <v>2018</v>
          </cell>
          <cell r="B11252" t="str">
            <v>Actual</v>
          </cell>
          <cell r="C11252" t="str">
            <v>Oct</v>
          </cell>
          <cell r="D11252" t="str">
            <v>Chairs</v>
          </cell>
          <cell r="E11252">
            <v>263281.109</v>
          </cell>
          <cell r="F11252">
            <v>10</v>
          </cell>
        </row>
        <row r="11253">
          <cell r="A11253">
            <v>2018</v>
          </cell>
          <cell r="B11253" t="str">
            <v>Budget</v>
          </cell>
          <cell r="C11253" t="str">
            <v>Oct</v>
          </cell>
          <cell r="D11253" t="str">
            <v>Chairs</v>
          </cell>
          <cell r="E11253">
            <v>2322098.5549999997</v>
          </cell>
          <cell r="F11253">
            <v>10</v>
          </cell>
        </row>
        <row r="11254">
          <cell r="A11254">
            <v>2019</v>
          </cell>
          <cell r="B11254" t="str">
            <v>Actual</v>
          </cell>
          <cell r="C11254" t="str">
            <v>Oct</v>
          </cell>
          <cell r="D11254" t="str">
            <v>Chairs</v>
          </cell>
          <cell r="E11254">
            <v>9437861.2999999989</v>
          </cell>
          <cell r="F11254">
            <v>10</v>
          </cell>
        </row>
        <row r="11255">
          <cell r="A11255">
            <v>2018</v>
          </cell>
          <cell r="B11255" t="str">
            <v>Budget</v>
          </cell>
          <cell r="C11255" t="str">
            <v>Oct</v>
          </cell>
          <cell r="D11255" t="str">
            <v>Chairs</v>
          </cell>
          <cell r="E11255">
            <v>4024764.4499999997</v>
          </cell>
          <cell r="F11255">
            <v>10</v>
          </cell>
        </row>
        <row r="11256">
          <cell r="A11256">
            <v>2019</v>
          </cell>
          <cell r="B11256" t="str">
            <v>Actual</v>
          </cell>
          <cell r="C11256" t="str">
            <v>Oct</v>
          </cell>
          <cell r="D11256" t="str">
            <v>Chairs</v>
          </cell>
          <cell r="E11256">
            <v>2431410.59</v>
          </cell>
          <cell r="F11256">
            <v>10</v>
          </cell>
        </row>
        <row r="11257">
          <cell r="A11257">
            <v>2018</v>
          </cell>
          <cell r="B11257" t="str">
            <v>Budget</v>
          </cell>
          <cell r="C11257" t="str">
            <v>Oct</v>
          </cell>
          <cell r="D11257" t="str">
            <v>Chairs</v>
          </cell>
          <cell r="E11257">
            <v>13272708.924999999</v>
          </cell>
          <cell r="F11257">
            <v>10</v>
          </cell>
        </row>
        <row r="11258">
          <cell r="A11258">
            <v>2019</v>
          </cell>
          <cell r="B11258" t="str">
            <v>Actual</v>
          </cell>
          <cell r="C11258" t="str">
            <v>Oct</v>
          </cell>
          <cell r="D11258" t="str">
            <v>Chairs</v>
          </cell>
          <cell r="E11258">
            <v>32492433.931999996</v>
          </cell>
          <cell r="F11258">
            <v>10</v>
          </cell>
        </row>
        <row r="11259">
          <cell r="A11259">
            <v>2018</v>
          </cell>
          <cell r="B11259" t="str">
            <v>Budget</v>
          </cell>
          <cell r="C11259" t="str">
            <v>Oct</v>
          </cell>
          <cell r="D11259" t="str">
            <v>Chairs</v>
          </cell>
          <cell r="E11259">
            <v>1721577.9</v>
          </cell>
          <cell r="F11259">
            <v>10</v>
          </cell>
        </row>
        <row r="11260">
          <cell r="A11260">
            <v>2019</v>
          </cell>
          <cell r="B11260" t="str">
            <v>Actual</v>
          </cell>
          <cell r="C11260" t="str">
            <v>Oct</v>
          </cell>
          <cell r="D11260" t="str">
            <v>Chairs</v>
          </cell>
          <cell r="E11260">
            <v>-37626.091999999997</v>
          </cell>
          <cell r="F11260">
            <v>10</v>
          </cell>
        </row>
        <row r="11261">
          <cell r="A11261">
            <v>2018</v>
          </cell>
          <cell r="B11261" t="str">
            <v>Budget</v>
          </cell>
          <cell r="C11261" t="str">
            <v>Oct</v>
          </cell>
          <cell r="D11261" t="str">
            <v>Chairs</v>
          </cell>
          <cell r="E11261">
            <v>-73746.448999999993</v>
          </cell>
          <cell r="F11261">
            <v>10</v>
          </cell>
        </row>
        <row r="11262">
          <cell r="A11262">
            <v>2018</v>
          </cell>
          <cell r="B11262" t="str">
            <v>Actual</v>
          </cell>
          <cell r="C11262" t="str">
            <v>Oct</v>
          </cell>
          <cell r="D11262" t="str">
            <v>Chairs</v>
          </cell>
          <cell r="E11262">
            <v>-321275.43699999998</v>
          </cell>
          <cell r="F11262">
            <v>10</v>
          </cell>
        </row>
        <row r="11263">
          <cell r="A11263">
            <v>2019</v>
          </cell>
          <cell r="B11263" t="str">
            <v>Budget</v>
          </cell>
          <cell r="C11263" t="str">
            <v>Oct</v>
          </cell>
          <cell r="D11263" t="str">
            <v>Chairs</v>
          </cell>
          <cell r="E11263">
            <v>10083541.824999999</v>
          </cell>
          <cell r="F11263">
            <v>10</v>
          </cell>
        </row>
        <row r="11264">
          <cell r="A11264">
            <v>2019</v>
          </cell>
          <cell r="B11264" t="str">
            <v>Actual</v>
          </cell>
          <cell r="C11264" t="str">
            <v>Oct</v>
          </cell>
          <cell r="D11264" t="str">
            <v>Chairs</v>
          </cell>
          <cell r="E11264">
            <v>355439.40600000002</v>
          </cell>
          <cell r="F11264">
            <v>10</v>
          </cell>
        </row>
        <row r="11265">
          <cell r="A11265">
            <v>2019</v>
          </cell>
          <cell r="B11265" t="str">
            <v>Budget</v>
          </cell>
          <cell r="C11265" t="str">
            <v>Oct</v>
          </cell>
          <cell r="D11265" t="str">
            <v>Tables</v>
          </cell>
          <cell r="E11265">
            <v>838541.99099999992</v>
          </cell>
          <cell r="F11265">
            <v>10</v>
          </cell>
        </row>
        <row r="11266">
          <cell r="A11266">
            <v>2018</v>
          </cell>
          <cell r="B11266" t="str">
            <v>Actual</v>
          </cell>
          <cell r="C11266" t="str">
            <v>Oct</v>
          </cell>
          <cell r="D11266" t="str">
            <v>Kitchen</v>
          </cell>
          <cell r="E11266">
            <v>355439.40600000002</v>
          </cell>
          <cell r="F11266">
            <v>10</v>
          </cell>
        </row>
        <row r="11267">
          <cell r="A11267">
            <v>2018</v>
          </cell>
          <cell r="B11267" t="str">
            <v>Budget</v>
          </cell>
          <cell r="C11267" t="str">
            <v>Oct</v>
          </cell>
          <cell r="D11267" t="str">
            <v>Chairs</v>
          </cell>
          <cell r="E11267">
            <v>637177.70199999993</v>
          </cell>
          <cell r="F11267">
            <v>10</v>
          </cell>
        </row>
        <row r="11268">
          <cell r="A11268">
            <v>2018</v>
          </cell>
          <cell r="B11268" t="str">
            <v>Actual</v>
          </cell>
          <cell r="C11268" t="str">
            <v>Oct</v>
          </cell>
          <cell r="D11268" t="str">
            <v>Chairs</v>
          </cell>
          <cell r="E11268">
            <v>16688151.479999999</v>
          </cell>
          <cell r="F11268">
            <v>10</v>
          </cell>
        </row>
        <row r="11269">
          <cell r="A11269">
            <v>2018</v>
          </cell>
          <cell r="B11269" t="str">
            <v>Budget</v>
          </cell>
          <cell r="C11269" t="str">
            <v>Oct</v>
          </cell>
          <cell r="D11269" t="str">
            <v>Chairs</v>
          </cell>
          <cell r="E11269">
            <v>808838.73699999985</v>
          </cell>
          <cell r="F11269">
            <v>10</v>
          </cell>
        </row>
        <row r="11270">
          <cell r="A11270">
            <v>2019</v>
          </cell>
          <cell r="B11270" t="str">
            <v>Actual</v>
          </cell>
          <cell r="C11270" t="str">
            <v>Oct</v>
          </cell>
          <cell r="D11270" t="str">
            <v>Chairs</v>
          </cell>
          <cell r="E11270">
            <v>190709.16199999998</v>
          </cell>
          <cell r="F11270">
            <v>10</v>
          </cell>
        </row>
        <row r="11271">
          <cell r="A11271">
            <v>2019</v>
          </cell>
          <cell r="B11271" t="str">
            <v>Budget</v>
          </cell>
          <cell r="C11271" t="str">
            <v>Oct</v>
          </cell>
          <cell r="D11271" t="str">
            <v>Chairs</v>
          </cell>
          <cell r="E11271">
            <v>43447.159</v>
          </cell>
          <cell r="F11271">
            <v>10</v>
          </cell>
        </row>
        <row r="11272">
          <cell r="A11272">
            <v>2019</v>
          </cell>
          <cell r="B11272" t="str">
            <v>Actual</v>
          </cell>
          <cell r="C11272" t="str">
            <v>Oct</v>
          </cell>
          <cell r="D11272" t="str">
            <v>Tables</v>
          </cell>
          <cell r="E11272">
            <v>955856.47499999998</v>
          </cell>
          <cell r="F11272">
            <v>10</v>
          </cell>
        </row>
        <row r="11273">
          <cell r="A11273">
            <v>2018</v>
          </cell>
          <cell r="B11273" t="str">
            <v>Budget</v>
          </cell>
          <cell r="C11273" t="str">
            <v>Oct</v>
          </cell>
          <cell r="D11273" t="str">
            <v>Kitchen</v>
          </cell>
          <cell r="E11273">
            <v>488369.45499999996</v>
          </cell>
          <cell r="F11273">
            <v>10</v>
          </cell>
        </row>
        <row r="11274">
          <cell r="A11274">
            <v>2018</v>
          </cell>
          <cell r="B11274" t="str">
            <v>Actual</v>
          </cell>
          <cell r="C11274" t="str">
            <v>Oct</v>
          </cell>
          <cell r="D11274" t="str">
            <v>Chairs</v>
          </cell>
          <cell r="E11274">
            <v>450691.353</v>
          </cell>
          <cell r="F11274">
            <v>10</v>
          </cell>
        </row>
        <row r="11275">
          <cell r="A11275">
            <v>2019</v>
          </cell>
          <cell r="B11275" t="str">
            <v>Budget</v>
          </cell>
          <cell r="C11275" t="str">
            <v>Oct</v>
          </cell>
          <cell r="D11275" t="str">
            <v>Chairs</v>
          </cell>
          <cell r="E11275">
            <v>117478.22099999999</v>
          </cell>
          <cell r="F11275">
            <v>10</v>
          </cell>
        </row>
        <row r="11276">
          <cell r="A11276">
            <v>2018</v>
          </cell>
          <cell r="B11276" t="str">
            <v>Actual</v>
          </cell>
          <cell r="C11276" t="str">
            <v>Oct</v>
          </cell>
          <cell r="D11276" t="str">
            <v>Chairs</v>
          </cell>
          <cell r="E11276">
            <v>-15206.008999999998</v>
          </cell>
          <cell r="F11276">
            <v>10</v>
          </cell>
        </row>
        <row r="11277">
          <cell r="A11277">
            <v>2019</v>
          </cell>
          <cell r="B11277" t="str">
            <v>Budget</v>
          </cell>
          <cell r="C11277" t="str">
            <v>Oct</v>
          </cell>
          <cell r="D11277" t="str">
            <v>Tables</v>
          </cell>
          <cell r="E11277">
            <v>3775296.693</v>
          </cell>
          <cell r="F11277">
            <v>10</v>
          </cell>
        </row>
        <row r="11278">
          <cell r="A11278">
            <v>2018</v>
          </cell>
          <cell r="B11278" t="str">
            <v>Actual</v>
          </cell>
          <cell r="C11278" t="str">
            <v>Oct</v>
          </cell>
          <cell r="D11278" t="str">
            <v>Kitchen</v>
          </cell>
          <cell r="E11278">
            <v>3063603.8159999996</v>
          </cell>
          <cell r="F11278">
            <v>10</v>
          </cell>
        </row>
        <row r="11279">
          <cell r="A11279">
            <v>2018</v>
          </cell>
          <cell r="B11279" t="str">
            <v>Budget</v>
          </cell>
          <cell r="C11279" t="str">
            <v>Oct</v>
          </cell>
          <cell r="D11279" t="str">
            <v>Chairs</v>
          </cell>
          <cell r="E11279">
            <v>392151.54299999995</v>
          </cell>
          <cell r="F11279">
            <v>10</v>
          </cell>
        </row>
        <row r="11280">
          <cell r="A11280">
            <v>2018</v>
          </cell>
          <cell r="B11280" t="str">
            <v>Actual</v>
          </cell>
          <cell r="C11280" t="str">
            <v>Oct</v>
          </cell>
          <cell r="D11280" t="str">
            <v>Chairs</v>
          </cell>
          <cell r="E11280">
            <v>340517.53399999999</v>
          </cell>
          <cell r="F11280">
            <v>10</v>
          </cell>
        </row>
        <row r="11281">
          <cell r="A11281">
            <v>2018</v>
          </cell>
          <cell r="B11281" t="str">
            <v>Budget</v>
          </cell>
          <cell r="C11281" t="str">
            <v>Oct</v>
          </cell>
          <cell r="D11281" t="str">
            <v>Tables</v>
          </cell>
          <cell r="E11281">
            <v>917480.50799999991</v>
          </cell>
          <cell r="F11281">
            <v>10</v>
          </cell>
        </row>
        <row r="11282">
          <cell r="A11282">
            <v>2018</v>
          </cell>
          <cell r="B11282" t="str">
            <v>Actual</v>
          </cell>
          <cell r="C11282" t="str">
            <v>Oct</v>
          </cell>
          <cell r="D11282" t="str">
            <v>Kitchen</v>
          </cell>
          <cell r="E11282">
            <v>709524.42399999988</v>
          </cell>
          <cell r="F11282">
            <v>10</v>
          </cell>
        </row>
        <row r="11283">
          <cell r="A11283">
            <v>2018</v>
          </cell>
          <cell r="B11283" t="str">
            <v>Budget</v>
          </cell>
          <cell r="C11283" t="str">
            <v>Oct</v>
          </cell>
          <cell r="D11283" t="str">
            <v>Chairs</v>
          </cell>
          <cell r="E11283">
            <v>4263157.8499999996</v>
          </cell>
          <cell r="F11283">
            <v>10</v>
          </cell>
        </row>
        <row r="11284">
          <cell r="A11284">
            <v>2018</v>
          </cell>
          <cell r="B11284" t="str">
            <v>Actual</v>
          </cell>
          <cell r="C11284" t="str">
            <v>Oct</v>
          </cell>
          <cell r="D11284" t="str">
            <v>Chairs</v>
          </cell>
          <cell r="E11284">
            <v>1696519.3069999998</v>
          </cell>
          <cell r="F11284">
            <v>10</v>
          </cell>
        </row>
        <row r="11285">
          <cell r="A11285">
            <v>2019</v>
          </cell>
          <cell r="B11285" t="str">
            <v>Budget</v>
          </cell>
          <cell r="C11285" t="str">
            <v>Oct</v>
          </cell>
          <cell r="D11285" t="str">
            <v>Chairs</v>
          </cell>
          <cell r="E11285">
            <v>3908849.8050000002</v>
          </cell>
          <cell r="F11285">
            <v>10</v>
          </cell>
        </row>
        <row r="11286">
          <cell r="A11286">
            <v>2019</v>
          </cell>
          <cell r="B11286" t="str">
            <v>Actual</v>
          </cell>
          <cell r="C11286" t="str">
            <v>Oct</v>
          </cell>
          <cell r="D11286" t="str">
            <v>Tables</v>
          </cell>
          <cell r="E11286">
            <v>6160322.1399999987</v>
          </cell>
          <cell r="F11286">
            <v>10</v>
          </cell>
        </row>
        <row r="11287">
          <cell r="A11287">
            <v>2018</v>
          </cell>
          <cell r="B11287" t="str">
            <v>Budget</v>
          </cell>
          <cell r="C11287" t="str">
            <v>Oct</v>
          </cell>
          <cell r="D11287" t="str">
            <v>Kitchen</v>
          </cell>
          <cell r="E11287">
            <v>1366010.2889999999</v>
          </cell>
          <cell r="F11287">
            <v>10</v>
          </cell>
        </row>
        <row r="11288">
          <cell r="A11288">
            <v>2019</v>
          </cell>
          <cell r="B11288" t="str">
            <v>Actual</v>
          </cell>
          <cell r="C11288" t="str">
            <v>Oct</v>
          </cell>
          <cell r="D11288" t="str">
            <v>Accessories</v>
          </cell>
          <cell r="E11288">
            <v>47732950.397999994</v>
          </cell>
          <cell r="F11288">
            <v>10</v>
          </cell>
        </row>
        <row r="11289">
          <cell r="A11289">
            <v>2018</v>
          </cell>
          <cell r="B11289" t="str">
            <v>Budget</v>
          </cell>
          <cell r="C11289" t="str">
            <v>Oct</v>
          </cell>
          <cell r="D11289" t="str">
            <v>Chairs</v>
          </cell>
          <cell r="E11289">
            <v>27679014.594000001</v>
          </cell>
          <cell r="F11289">
            <v>10</v>
          </cell>
        </row>
        <row r="11290">
          <cell r="A11290">
            <v>2018</v>
          </cell>
          <cell r="B11290" t="str">
            <v>Actual</v>
          </cell>
          <cell r="C11290" t="str">
            <v>Oct</v>
          </cell>
          <cell r="D11290" t="str">
            <v>Tables</v>
          </cell>
          <cell r="E11290">
            <v>4347767.1229999997</v>
          </cell>
          <cell r="F11290">
            <v>10</v>
          </cell>
        </row>
        <row r="11291">
          <cell r="A11291">
            <v>2018</v>
          </cell>
          <cell r="B11291" t="str">
            <v>Budget</v>
          </cell>
          <cell r="C11291" t="str">
            <v>Oct</v>
          </cell>
          <cell r="D11291" t="str">
            <v>Kitchen</v>
          </cell>
          <cell r="E11291">
            <v>32048869.544999998</v>
          </cell>
          <cell r="F11291">
            <v>10</v>
          </cell>
        </row>
        <row r="11292">
          <cell r="A11292">
            <v>2018</v>
          </cell>
          <cell r="B11292" t="str">
            <v>Actual</v>
          </cell>
          <cell r="C11292" t="str">
            <v>Oct</v>
          </cell>
          <cell r="D11292" t="str">
            <v>Accessories</v>
          </cell>
          <cell r="E11292">
            <v>13220205.585999999</v>
          </cell>
          <cell r="F11292">
            <v>10</v>
          </cell>
        </row>
        <row r="11293">
          <cell r="A11293">
            <v>2019</v>
          </cell>
          <cell r="B11293" t="str">
            <v>Budget</v>
          </cell>
          <cell r="C11293" t="str">
            <v>Oct</v>
          </cell>
          <cell r="D11293" t="str">
            <v>Chairs</v>
          </cell>
          <cell r="E11293">
            <v>72917565.797999993</v>
          </cell>
          <cell r="F11293">
            <v>10</v>
          </cell>
        </row>
        <row r="11294">
          <cell r="A11294">
            <v>2018</v>
          </cell>
          <cell r="B11294" t="str">
            <v>Actual</v>
          </cell>
          <cell r="C11294" t="str">
            <v>Oct</v>
          </cell>
          <cell r="D11294" t="str">
            <v>Tables</v>
          </cell>
          <cell r="E11294">
            <v>5377721.6359999999</v>
          </cell>
          <cell r="F11294">
            <v>10</v>
          </cell>
        </row>
        <row r="11295">
          <cell r="A11295">
            <v>2019</v>
          </cell>
          <cell r="B11295" t="str">
            <v>Budget</v>
          </cell>
          <cell r="C11295" t="str">
            <v>Oct</v>
          </cell>
          <cell r="D11295" t="str">
            <v>Kitchen</v>
          </cell>
          <cell r="E11295">
            <v>24790402.945</v>
          </cell>
          <cell r="F11295">
            <v>10</v>
          </cell>
        </row>
        <row r="11296">
          <cell r="A11296">
            <v>2019</v>
          </cell>
          <cell r="B11296" t="str">
            <v>Actual</v>
          </cell>
          <cell r="C11296" t="str">
            <v>Oct</v>
          </cell>
          <cell r="D11296" t="str">
            <v>Accessories</v>
          </cell>
          <cell r="E11296">
            <v>2290692.3829999999</v>
          </cell>
          <cell r="F11296">
            <v>10</v>
          </cell>
        </row>
        <row r="11297">
          <cell r="A11297">
            <v>2019</v>
          </cell>
          <cell r="B11297" t="str">
            <v>Budget</v>
          </cell>
          <cell r="C11297" t="str">
            <v>Oct</v>
          </cell>
          <cell r="D11297" t="str">
            <v>Chairs</v>
          </cell>
          <cell r="E11297">
            <v>6860008.0569999991</v>
          </cell>
          <cell r="F11297">
            <v>10</v>
          </cell>
        </row>
        <row r="11298">
          <cell r="A11298">
            <v>2019</v>
          </cell>
          <cell r="B11298" t="str">
            <v>Actual</v>
          </cell>
          <cell r="C11298" t="str">
            <v>Nov</v>
          </cell>
          <cell r="D11298" t="str">
            <v>Tables</v>
          </cell>
          <cell r="E11298">
            <v>306666.55599999998</v>
          </cell>
          <cell r="F11298">
            <v>11</v>
          </cell>
        </row>
        <row r="11299">
          <cell r="A11299">
            <v>2019</v>
          </cell>
          <cell r="B11299" t="str">
            <v>Budget</v>
          </cell>
          <cell r="C11299" t="str">
            <v>Nov</v>
          </cell>
          <cell r="D11299" t="str">
            <v>Kitchen</v>
          </cell>
          <cell r="E11299">
            <v>-114401.58099999999</v>
          </cell>
          <cell r="F11299">
            <v>11</v>
          </cell>
        </row>
        <row r="11300">
          <cell r="A11300">
            <v>2018</v>
          </cell>
          <cell r="B11300" t="str">
            <v>Actual</v>
          </cell>
          <cell r="C11300" t="str">
            <v>Nov</v>
          </cell>
          <cell r="D11300" t="str">
            <v>Accessories</v>
          </cell>
          <cell r="E11300">
            <v>111058.40199999999</v>
          </cell>
          <cell r="F11300">
            <v>11</v>
          </cell>
        </row>
        <row r="11301">
          <cell r="A11301">
            <v>2018</v>
          </cell>
          <cell r="B11301" t="str">
            <v>Budget</v>
          </cell>
          <cell r="C11301" t="str">
            <v>Nov</v>
          </cell>
          <cell r="D11301" t="str">
            <v>Chairs</v>
          </cell>
          <cell r="E11301">
            <v>1261563.7859999998</v>
          </cell>
          <cell r="F11301">
            <v>11</v>
          </cell>
        </row>
        <row r="11302">
          <cell r="A11302">
            <v>2019</v>
          </cell>
          <cell r="B11302" t="str">
            <v>Actual</v>
          </cell>
          <cell r="C11302" t="str">
            <v>Nov</v>
          </cell>
          <cell r="D11302" t="str">
            <v>Chairs</v>
          </cell>
          <cell r="E11302">
            <v>423875.326</v>
          </cell>
          <cell r="F11302">
            <v>11</v>
          </cell>
        </row>
        <row r="11303">
          <cell r="A11303">
            <v>2019</v>
          </cell>
          <cell r="B11303" t="str">
            <v>Budget</v>
          </cell>
          <cell r="C11303" t="str">
            <v>Nov</v>
          </cell>
          <cell r="D11303" t="str">
            <v>Tables</v>
          </cell>
          <cell r="E11303">
            <v>209926.42300000001</v>
          </cell>
          <cell r="F11303">
            <v>11</v>
          </cell>
        </row>
        <row r="11304">
          <cell r="A11304">
            <v>2018</v>
          </cell>
          <cell r="B11304" t="str">
            <v>Actual</v>
          </cell>
          <cell r="C11304" t="str">
            <v>Nov</v>
          </cell>
          <cell r="D11304" t="str">
            <v>Kitchen</v>
          </cell>
          <cell r="E11304">
            <v>46784.591</v>
          </cell>
          <cell r="F11304">
            <v>11</v>
          </cell>
        </row>
        <row r="11305">
          <cell r="A11305">
            <v>2019</v>
          </cell>
          <cell r="B11305" t="str">
            <v>Budget</v>
          </cell>
          <cell r="C11305" t="str">
            <v>Nov</v>
          </cell>
          <cell r="D11305" t="str">
            <v>Chairs</v>
          </cell>
          <cell r="E11305">
            <v>821449.82499999995</v>
          </cell>
          <cell r="F11305">
            <v>11</v>
          </cell>
        </row>
        <row r="11306">
          <cell r="A11306">
            <v>2018</v>
          </cell>
          <cell r="B11306" t="str">
            <v>Actual</v>
          </cell>
          <cell r="C11306" t="str">
            <v>Nov</v>
          </cell>
          <cell r="D11306" t="str">
            <v>Tables</v>
          </cell>
          <cell r="E11306">
            <v>42824.684000000001</v>
          </cell>
          <cell r="F11306">
            <v>11</v>
          </cell>
        </row>
        <row r="11307">
          <cell r="A11307">
            <v>2019</v>
          </cell>
          <cell r="B11307" t="str">
            <v>Budget</v>
          </cell>
          <cell r="C11307" t="str">
            <v>Nov</v>
          </cell>
          <cell r="D11307" t="str">
            <v>Kitchen</v>
          </cell>
          <cell r="E11307">
            <v>76610.70199999999</v>
          </cell>
          <cell r="F11307">
            <v>11</v>
          </cell>
        </row>
        <row r="11308">
          <cell r="A11308">
            <v>2018</v>
          </cell>
          <cell r="B11308" t="str">
            <v>Actual</v>
          </cell>
          <cell r="C11308" t="str">
            <v>Nov</v>
          </cell>
          <cell r="D11308" t="str">
            <v>Chairs</v>
          </cell>
          <cell r="E11308">
            <v>62347.158999999992</v>
          </cell>
          <cell r="F11308">
            <v>11</v>
          </cell>
        </row>
        <row r="11309">
          <cell r="A11309">
            <v>2019</v>
          </cell>
          <cell r="B11309" t="str">
            <v>Budget</v>
          </cell>
          <cell r="C11309" t="str">
            <v>Nov</v>
          </cell>
          <cell r="D11309" t="str">
            <v>Tables</v>
          </cell>
          <cell r="E11309">
            <v>26843.509000000002</v>
          </cell>
          <cell r="F11309">
            <v>11</v>
          </cell>
        </row>
        <row r="11310">
          <cell r="A11310">
            <v>2019</v>
          </cell>
          <cell r="B11310" t="str">
            <v>Actual</v>
          </cell>
          <cell r="C11310" t="str">
            <v>Nov</v>
          </cell>
          <cell r="D11310" t="str">
            <v>Kitchen</v>
          </cell>
          <cell r="E11310">
            <v>38355.086000000003</v>
          </cell>
          <cell r="F11310">
            <v>11</v>
          </cell>
        </row>
        <row r="11311">
          <cell r="A11311">
            <v>2018</v>
          </cell>
          <cell r="B11311" t="str">
            <v>Budget</v>
          </cell>
          <cell r="C11311" t="str">
            <v>Nov</v>
          </cell>
          <cell r="D11311" t="str">
            <v>Chairs</v>
          </cell>
          <cell r="E11311">
            <v>302844.21999999997</v>
          </cell>
          <cell r="F11311">
            <v>11</v>
          </cell>
        </row>
        <row r="11312">
          <cell r="A11312">
            <v>2018</v>
          </cell>
          <cell r="B11312" t="str">
            <v>Actual</v>
          </cell>
          <cell r="C11312" t="str">
            <v>Nov</v>
          </cell>
          <cell r="D11312" t="str">
            <v>Chairs</v>
          </cell>
          <cell r="E11312">
            <v>160857.05999999997</v>
          </cell>
          <cell r="F11312">
            <v>11</v>
          </cell>
        </row>
        <row r="11313">
          <cell r="A11313">
            <v>2019</v>
          </cell>
          <cell r="B11313" t="str">
            <v>Budget</v>
          </cell>
          <cell r="C11313" t="str">
            <v>Nov</v>
          </cell>
          <cell r="D11313" t="str">
            <v>Chairs</v>
          </cell>
          <cell r="E11313">
            <v>160066.9</v>
          </cell>
          <cell r="F11313">
            <v>11</v>
          </cell>
        </row>
        <row r="11314">
          <cell r="A11314">
            <v>2018</v>
          </cell>
          <cell r="B11314" t="str">
            <v>Actual</v>
          </cell>
          <cell r="C11314" t="str">
            <v>Nov</v>
          </cell>
          <cell r="D11314" t="str">
            <v>Chairs</v>
          </cell>
          <cell r="E11314">
            <v>70592.381999999998</v>
          </cell>
          <cell r="F11314">
            <v>11</v>
          </cell>
        </row>
        <row r="11315">
          <cell r="A11315">
            <v>2018</v>
          </cell>
          <cell r="B11315" t="str">
            <v>Budget</v>
          </cell>
          <cell r="C11315" t="str">
            <v>Nov</v>
          </cell>
          <cell r="D11315" t="str">
            <v>Chairs</v>
          </cell>
          <cell r="E11315">
            <v>124381.88699999999</v>
          </cell>
          <cell r="F11315">
            <v>11</v>
          </cell>
        </row>
        <row r="11316">
          <cell r="A11316">
            <v>2019</v>
          </cell>
          <cell r="B11316" t="str">
            <v>Actual</v>
          </cell>
          <cell r="C11316" t="str">
            <v>Nov</v>
          </cell>
          <cell r="D11316" t="str">
            <v>Chairs</v>
          </cell>
          <cell r="E11316">
            <v>160220.21399999998</v>
          </cell>
          <cell r="F11316">
            <v>11</v>
          </cell>
        </row>
        <row r="11317">
          <cell r="A11317">
            <v>2019</v>
          </cell>
          <cell r="B11317" t="str">
            <v>Budget</v>
          </cell>
          <cell r="C11317" t="str">
            <v>Nov</v>
          </cell>
          <cell r="D11317" t="str">
            <v>Chairs</v>
          </cell>
          <cell r="E11317">
            <v>76667.5</v>
          </cell>
          <cell r="F11317">
            <v>11</v>
          </cell>
        </row>
        <row r="11318">
          <cell r="A11318">
            <v>2018</v>
          </cell>
          <cell r="B11318" t="str">
            <v>Actual</v>
          </cell>
          <cell r="C11318" t="str">
            <v>Nov</v>
          </cell>
          <cell r="D11318" t="str">
            <v>Chairs</v>
          </cell>
          <cell r="E11318">
            <v>85668.120999999999</v>
          </cell>
          <cell r="F11318">
            <v>11</v>
          </cell>
        </row>
        <row r="11319">
          <cell r="A11319">
            <v>2018</v>
          </cell>
          <cell r="B11319" t="str">
            <v>Budget</v>
          </cell>
          <cell r="C11319" t="str">
            <v>Nov</v>
          </cell>
          <cell r="D11319" t="str">
            <v>Chairs</v>
          </cell>
          <cell r="E11319">
            <v>21417.031999999999</v>
          </cell>
          <cell r="F11319">
            <v>11</v>
          </cell>
        </row>
        <row r="11320">
          <cell r="A11320">
            <v>2019</v>
          </cell>
          <cell r="B11320" t="str">
            <v>Actual</v>
          </cell>
          <cell r="C11320" t="str">
            <v>Nov</v>
          </cell>
          <cell r="D11320" t="str">
            <v>Chairs</v>
          </cell>
          <cell r="E11320">
            <v>34927.375</v>
          </cell>
          <cell r="F11320">
            <v>11</v>
          </cell>
        </row>
        <row r="11321">
          <cell r="A11321">
            <v>2019</v>
          </cell>
          <cell r="B11321" t="str">
            <v>Budget</v>
          </cell>
          <cell r="C11321" t="str">
            <v>Nov</v>
          </cell>
          <cell r="D11321" t="str">
            <v>Chairs</v>
          </cell>
          <cell r="E11321">
            <v>137560.29</v>
          </cell>
          <cell r="F11321">
            <v>11</v>
          </cell>
        </row>
        <row r="11322">
          <cell r="A11322">
            <v>2019</v>
          </cell>
          <cell r="B11322" t="str">
            <v>Actual</v>
          </cell>
          <cell r="C11322" t="str">
            <v>Nov</v>
          </cell>
          <cell r="D11322" t="str">
            <v>Chairs</v>
          </cell>
          <cell r="E11322">
            <v>21531.481999999996</v>
          </cell>
          <cell r="F11322">
            <v>11</v>
          </cell>
        </row>
        <row r="11323">
          <cell r="A11323">
            <v>2019</v>
          </cell>
          <cell r="B11323" t="str">
            <v>Budget</v>
          </cell>
          <cell r="C11323" t="str">
            <v>Nov</v>
          </cell>
          <cell r="D11323" t="str">
            <v>Chairs</v>
          </cell>
          <cell r="E11323">
            <v>31052.812000000002</v>
          </cell>
          <cell r="F11323">
            <v>11</v>
          </cell>
        </row>
        <row r="11324">
          <cell r="A11324">
            <v>2019</v>
          </cell>
          <cell r="B11324" t="str">
            <v>Actual</v>
          </cell>
          <cell r="C11324" t="str">
            <v>Nov</v>
          </cell>
          <cell r="D11324" t="str">
            <v>Chairs</v>
          </cell>
          <cell r="E11324">
            <v>46062.002</v>
          </cell>
          <cell r="F11324">
            <v>11</v>
          </cell>
        </row>
        <row r="11325">
          <cell r="A11325">
            <v>2018</v>
          </cell>
          <cell r="B11325" t="str">
            <v>Budget</v>
          </cell>
          <cell r="C11325" t="str">
            <v>Nov</v>
          </cell>
          <cell r="D11325" t="str">
            <v>Chairs</v>
          </cell>
          <cell r="E11325">
            <v>11466.951999999999</v>
          </cell>
          <cell r="F11325">
            <v>11</v>
          </cell>
        </row>
        <row r="11326">
          <cell r="A11326">
            <v>2018</v>
          </cell>
          <cell r="B11326" t="str">
            <v>Actual</v>
          </cell>
          <cell r="C11326" t="str">
            <v>Nov</v>
          </cell>
          <cell r="D11326" t="str">
            <v>Chairs</v>
          </cell>
          <cell r="E11326">
            <v>40697.796999999999</v>
          </cell>
          <cell r="F11326">
            <v>11</v>
          </cell>
        </row>
        <row r="11327">
          <cell r="A11327">
            <v>2019</v>
          </cell>
          <cell r="B11327" t="str">
            <v>Budget</v>
          </cell>
          <cell r="C11327" t="str">
            <v>Nov</v>
          </cell>
          <cell r="D11327" t="str">
            <v>Chairs</v>
          </cell>
          <cell r="E11327">
            <v>248393.432</v>
          </cell>
          <cell r="F11327">
            <v>11</v>
          </cell>
        </row>
        <row r="11328">
          <cell r="A11328">
            <v>2019</v>
          </cell>
          <cell r="B11328" t="str">
            <v>Actual</v>
          </cell>
          <cell r="C11328" t="str">
            <v>Nov</v>
          </cell>
          <cell r="D11328" t="str">
            <v>Chairs</v>
          </cell>
          <cell r="E11328">
            <v>182034.58</v>
          </cell>
          <cell r="F11328">
            <v>11</v>
          </cell>
        </row>
        <row r="11329">
          <cell r="A11329">
            <v>2018</v>
          </cell>
          <cell r="B11329" t="str">
            <v>Budget</v>
          </cell>
          <cell r="C11329" t="str">
            <v>Nov</v>
          </cell>
          <cell r="D11329" t="str">
            <v>Chairs</v>
          </cell>
          <cell r="E11329">
            <v>201154.19099999999</v>
          </cell>
          <cell r="F11329">
            <v>11</v>
          </cell>
        </row>
        <row r="11330">
          <cell r="A11330">
            <v>2018</v>
          </cell>
          <cell r="B11330" t="str">
            <v>Actual</v>
          </cell>
          <cell r="C11330" t="str">
            <v>Nov</v>
          </cell>
          <cell r="D11330" t="str">
            <v>Chairs</v>
          </cell>
          <cell r="E11330">
            <v>295479.44999999995</v>
          </cell>
          <cell r="F11330">
            <v>11</v>
          </cell>
        </row>
        <row r="11331">
          <cell r="A11331">
            <v>2018</v>
          </cell>
          <cell r="B11331" t="str">
            <v>Budget</v>
          </cell>
          <cell r="C11331" t="str">
            <v>Nov</v>
          </cell>
          <cell r="D11331" t="str">
            <v>Chairs</v>
          </cell>
          <cell r="E11331">
            <v>40150.417999999998</v>
          </cell>
          <cell r="F11331">
            <v>11</v>
          </cell>
        </row>
        <row r="11332">
          <cell r="A11332">
            <v>2018</v>
          </cell>
          <cell r="B11332" t="str">
            <v>Actual</v>
          </cell>
          <cell r="C11332" t="str">
            <v>Nov</v>
          </cell>
          <cell r="D11332" t="str">
            <v>Chairs</v>
          </cell>
          <cell r="E11332">
            <v>39885.523999999998</v>
          </cell>
          <cell r="F11332">
            <v>11</v>
          </cell>
        </row>
        <row r="11333">
          <cell r="A11333">
            <v>2019</v>
          </cell>
          <cell r="B11333" t="str">
            <v>Budget</v>
          </cell>
          <cell r="C11333" t="str">
            <v>Nov</v>
          </cell>
          <cell r="D11333" t="str">
            <v>Chairs</v>
          </cell>
          <cell r="E11333">
            <v>70449.616999999998</v>
          </cell>
          <cell r="F11333">
            <v>11</v>
          </cell>
        </row>
        <row r="11334">
          <cell r="A11334">
            <v>2019</v>
          </cell>
          <cell r="B11334" t="str">
            <v>Actual</v>
          </cell>
          <cell r="C11334" t="str">
            <v>Nov</v>
          </cell>
          <cell r="D11334" t="str">
            <v>Chairs</v>
          </cell>
          <cell r="E11334">
            <v>211019.788</v>
          </cell>
          <cell r="F11334">
            <v>11</v>
          </cell>
        </row>
        <row r="11335">
          <cell r="A11335">
            <v>2018</v>
          </cell>
          <cell r="B11335" t="str">
            <v>Budget</v>
          </cell>
          <cell r="C11335" t="str">
            <v>Nov</v>
          </cell>
          <cell r="D11335" t="str">
            <v>Chairs</v>
          </cell>
          <cell r="E11335">
            <v>363300.73499999999</v>
          </cell>
          <cell r="F11335">
            <v>11</v>
          </cell>
        </row>
        <row r="11336">
          <cell r="A11336">
            <v>2019</v>
          </cell>
          <cell r="B11336" t="str">
            <v>Actual</v>
          </cell>
          <cell r="C11336" t="str">
            <v>Nov</v>
          </cell>
          <cell r="D11336" t="str">
            <v>Chairs</v>
          </cell>
          <cell r="E11336">
            <v>754165.22299999988</v>
          </cell>
          <cell r="F11336">
            <v>11</v>
          </cell>
        </row>
        <row r="11337">
          <cell r="A11337">
            <v>2018</v>
          </cell>
          <cell r="B11337" t="str">
            <v>Budget</v>
          </cell>
          <cell r="C11337" t="str">
            <v>Nov</v>
          </cell>
          <cell r="D11337" t="str">
            <v>Tables</v>
          </cell>
          <cell r="E11337">
            <v>183079.91799999998</v>
          </cell>
          <cell r="F11337">
            <v>11</v>
          </cell>
        </row>
        <row r="11338">
          <cell r="A11338">
            <v>2019</v>
          </cell>
          <cell r="B11338" t="str">
            <v>Actual</v>
          </cell>
          <cell r="C11338" t="str">
            <v>Nov</v>
          </cell>
          <cell r="D11338" t="str">
            <v>Kitchen</v>
          </cell>
          <cell r="E11338">
            <v>81471.823999999993</v>
          </cell>
          <cell r="F11338">
            <v>11</v>
          </cell>
        </row>
        <row r="11339">
          <cell r="A11339">
            <v>2019</v>
          </cell>
          <cell r="B11339" t="str">
            <v>Budget</v>
          </cell>
          <cell r="C11339" t="str">
            <v>Nov</v>
          </cell>
          <cell r="D11339" t="str">
            <v>Chairs</v>
          </cell>
          <cell r="E11339">
            <v>85995.881999999998</v>
          </cell>
          <cell r="F11339">
            <v>11</v>
          </cell>
        </row>
        <row r="11340">
          <cell r="A11340">
            <v>2018</v>
          </cell>
          <cell r="B11340" t="str">
            <v>Actual</v>
          </cell>
          <cell r="C11340" t="str">
            <v>Nov</v>
          </cell>
          <cell r="D11340" t="str">
            <v>Chairs</v>
          </cell>
          <cell r="E11340">
            <v>4395.9790000000003</v>
          </cell>
          <cell r="F11340">
            <v>11</v>
          </cell>
        </row>
        <row r="11341">
          <cell r="A11341">
            <v>2018</v>
          </cell>
          <cell r="B11341" t="str">
            <v>Budget</v>
          </cell>
          <cell r="C11341" t="str">
            <v>Nov</v>
          </cell>
          <cell r="D11341" t="str">
            <v>Chairs</v>
          </cell>
          <cell r="E11341">
            <v>161261.492</v>
          </cell>
          <cell r="F11341">
            <v>11</v>
          </cell>
        </row>
        <row r="11342">
          <cell r="A11342">
            <v>2019</v>
          </cell>
          <cell r="B11342" t="str">
            <v>Actual</v>
          </cell>
          <cell r="C11342" t="str">
            <v>Nov</v>
          </cell>
          <cell r="D11342" t="str">
            <v>Chairs</v>
          </cell>
          <cell r="E11342">
            <v>848928.6399999999</v>
          </cell>
          <cell r="F11342">
            <v>11</v>
          </cell>
        </row>
        <row r="11343">
          <cell r="A11343">
            <v>2019</v>
          </cell>
          <cell r="B11343" t="str">
            <v>Budget</v>
          </cell>
          <cell r="C11343" t="str">
            <v>Nov</v>
          </cell>
          <cell r="D11343" t="str">
            <v>Chairs</v>
          </cell>
          <cell r="E11343">
            <v>4420.6959999999999</v>
          </cell>
          <cell r="F11343">
            <v>11</v>
          </cell>
        </row>
        <row r="11344">
          <cell r="A11344">
            <v>2018</v>
          </cell>
          <cell r="B11344" t="str">
            <v>Actual</v>
          </cell>
          <cell r="C11344" t="str">
            <v>Nov</v>
          </cell>
          <cell r="D11344" t="str">
            <v>Tables</v>
          </cell>
          <cell r="E11344">
            <v>31093.530999999999</v>
          </cell>
          <cell r="F11344">
            <v>11</v>
          </cell>
        </row>
        <row r="11345">
          <cell r="A11345">
            <v>2018</v>
          </cell>
          <cell r="B11345" t="str">
            <v>Budget</v>
          </cell>
          <cell r="C11345" t="str">
            <v>Nov</v>
          </cell>
          <cell r="D11345" t="str">
            <v>Kitchen</v>
          </cell>
          <cell r="E11345">
            <v>43726.724999999999</v>
          </cell>
          <cell r="F11345">
            <v>11</v>
          </cell>
        </row>
        <row r="11346">
          <cell r="A11346">
            <v>2019</v>
          </cell>
          <cell r="B11346" t="str">
            <v>Actual</v>
          </cell>
          <cell r="C11346" t="str">
            <v>Nov</v>
          </cell>
          <cell r="D11346" t="str">
            <v>Chairs</v>
          </cell>
          <cell r="E11346">
            <v>46815.327999999994</v>
          </cell>
          <cell r="F11346">
            <v>11</v>
          </cell>
        </row>
        <row r="11347">
          <cell r="A11347">
            <v>2018</v>
          </cell>
          <cell r="B11347" t="str">
            <v>Budget</v>
          </cell>
          <cell r="C11347" t="str">
            <v>Nov</v>
          </cell>
          <cell r="D11347" t="str">
            <v>Chairs</v>
          </cell>
          <cell r="E11347">
            <v>44239.957999999999</v>
          </cell>
          <cell r="F11347">
            <v>11</v>
          </cell>
        </row>
        <row r="11348">
          <cell r="A11348">
            <v>2018</v>
          </cell>
          <cell r="B11348" t="str">
            <v>Actual</v>
          </cell>
          <cell r="C11348" t="str">
            <v>Nov</v>
          </cell>
          <cell r="D11348" t="str">
            <v>Chairs</v>
          </cell>
          <cell r="E11348">
            <v>163402.12</v>
          </cell>
          <cell r="F11348">
            <v>11</v>
          </cell>
        </row>
        <row r="11349">
          <cell r="A11349">
            <v>2018</v>
          </cell>
          <cell r="B11349" t="str">
            <v>Budget</v>
          </cell>
          <cell r="C11349" t="str">
            <v>Nov</v>
          </cell>
          <cell r="D11349" t="str">
            <v>Tables</v>
          </cell>
          <cell r="E11349">
            <v>270047.07799999998</v>
          </cell>
          <cell r="F11349">
            <v>11</v>
          </cell>
        </row>
        <row r="11350">
          <cell r="A11350">
            <v>2018</v>
          </cell>
          <cell r="B11350" t="str">
            <v>Actual</v>
          </cell>
          <cell r="C11350" t="str">
            <v>Nov</v>
          </cell>
          <cell r="D11350" t="str">
            <v>Kitchen</v>
          </cell>
          <cell r="E11350">
            <v>62178.445</v>
          </cell>
          <cell r="F11350">
            <v>11</v>
          </cell>
        </row>
        <row r="11351">
          <cell r="A11351">
            <v>2018</v>
          </cell>
          <cell r="B11351" t="str">
            <v>Budget</v>
          </cell>
          <cell r="C11351" t="str">
            <v>Nov</v>
          </cell>
          <cell r="D11351" t="str">
            <v>Chairs</v>
          </cell>
          <cell r="E11351">
            <v>42736.504999999997</v>
          </cell>
          <cell r="F11351">
            <v>11</v>
          </cell>
        </row>
        <row r="11352">
          <cell r="A11352">
            <v>2019</v>
          </cell>
          <cell r="B11352" t="str">
            <v>Actual</v>
          </cell>
          <cell r="C11352" t="str">
            <v>Nov</v>
          </cell>
          <cell r="D11352" t="str">
            <v>Chairs</v>
          </cell>
          <cell r="E11352">
            <v>52315.528999999995</v>
          </cell>
          <cell r="F11352">
            <v>11</v>
          </cell>
        </row>
        <row r="11353">
          <cell r="A11353">
            <v>2018</v>
          </cell>
          <cell r="B11353" t="str">
            <v>Budget</v>
          </cell>
          <cell r="C11353" t="str">
            <v>Nov</v>
          </cell>
          <cell r="D11353" t="str">
            <v>Tables</v>
          </cell>
          <cell r="E11353">
            <v>233446.17799999996</v>
          </cell>
          <cell r="F11353">
            <v>11</v>
          </cell>
        </row>
        <row r="11354">
          <cell r="A11354">
            <v>2019</v>
          </cell>
          <cell r="B11354" t="str">
            <v>Actual</v>
          </cell>
          <cell r="C11354" t="str">
            <v>Nov</v>
          </cell>
          <cell r="D11354" t="str">
            <v>Kitchen</v>
          </cell>
          <cell r="E11354">
            <v>165992.18299999999</v>
          </cell>
          <cell r="F11354">
            <v>11</v>
          </cell>
        </row>
        <row r="11355">
          <cell r="A11355">
            <v>2018</v>
          </cell>
          <cell r="B11355" t="str">
            <v>Budget</v>
          </cell>
          <cell r="C11355" t="str">
            <v>Nov</v>
          </cell>
          <cell r="D11355" t="str">
            <v>Chairs</v>
          </cell>
          <cell r="E11355">
            <v>151744.41099999999</v>
          </cell>
          <cell r="F11355">
            <v>11</v>
          </cell>
        </row>
        <row r="11356">
          <cell r="A11356">
            <v>2018</v>
          </cell>
          <cell r="B11356" t="str">
            <v>Actual</v>
          </cell>
          <cell r="C11356" t="str">
            <v>Nov</v>
          </cell>
          <cell r="D11356" t="str">
            <v>Chairs</v>
          </cell>
          <cell r="E11356">
            <v>225351.28</v>
          </cell>
          <cell r="F11356">
            <v>11</v>
          </cell>
        </row>
        <row r="11357">
          <cell r="A11357">
            <v>2019</v>
          </cell>
          <cell r="B11357" t="str">
            <v>Budget</v>
          </cell>
          <cell r="C11357" t="str">
            <v>Nov</v>
          </cell>
          <cell r="D11357" t="str">
            <v>Tables</v>
          </cell>
          <cell r="E11357">
            <v>106657.69099999999</v>
          </cell>
          <cell r="F11357">
            <v>11</v>
          </cell>
        </row>
        <row r="11358">
          <cell r="A11358">
            <v>2019</v>
          </cell>
          <cell r="B11358" t="str">
            <v>Actual</v>
          </cell>
          <cell r="C11358" t="str">
            <v>Nov</v>
          </cell>
          <cell r="D11358" t="str">
            <v>Kitchen</v>
          </cell>
          <cell r="E11358">
            <v>12350.512999999999</v>
          </cell>
          <cell r="F11358">
            <v>11</v>
          </cell>
        </row>
        <row r="11359">
          <cell r="A11359">
            <v>2019</v>
          </cell>
          <cell r="B11359" t="str">
            <v>Budget</v>
          </cell>
          <cell r="C11359" t="str">
            <v>Nov</v>
          </cell>
          <cell r="D11359" t="str">
            <v>Accessories</v>
          </cell>
          <cell r="E11359">
            <v>8091.3349999999991</v>
          </cell>
          <cell r="F11359">
            <v>11</v>
          </cell>
        </row>
        <row r="11360">
          <cell r="A11360">
            <v>2019</v>
          </cell>
          <cell r="B11360" t="str">
            <v>Actual</v>
          </cell>
          <cell r="C11360" t="str">
            <v>Nov</v>
          </cell>
          <cell r="D11360" t="str">
            <v>Chairs</v>
          </cell>
          <cell r="E11360">
            <v>2102.9679999999998</v>
          </cell>
          <cell r="F11360">
            <v>11</v>
          </cell>
        </row>
        <row r="11361">
          <cell r="A11361">
            <v>2018</v>
          </cell>
          <cell r="B11361" t="str">
            <v>Budget</v>
          </cell>
          <cell r="C11361" t="str">
            <v>Nov</v>
          </cell>
          <cell r="D11361" t="str">
            <v>Tables</v>
          </cell>
          <cell r="E11361">
            <v>-1359.547</v>
          </cell>
          <cell r="F11361">
            <v>11</v>
          </cell>
        </row>
        <row r="11362">
          <cell r="A11362">
            <v>2019</v>
          </cell>
          <cell r="B11362" t="str">
            <v>Actual</v>
          </cell>
          <cell r="C11362" t="str">
            <v>Nov</v>
          </cell>
          <cell r="D11362" t="str">
            <v>Kitchen</v>
          </cell>
          <cell r="E11362">
            <v>107124.416</v>
          </cell>
          <cell r="F11362">
            <v>11</v>
          </cell>
        </row>
        <row r="11363">
          <cell r="A11363">
            <v>2019</v>
          </cell>
          <cell r="B11363" t="str">
            <v>Budget</v>
          </cell>
          <cell r="C11363" t="str">
            <v>Nov</v>
          </cell>
          <cell r="D11363" t="str">
            <v>Accessories</v>
          </cell>
          <cell r="E11363">
            <v>436974.41899999999</v>
          </cell>
          <cell r="F11363">
            <v>11</v>
          </cell>
        </row>
        <row r="11364">
          <cell r="A11364">
            <v>2018</v>
          </cell>
          <cell r="B11364" t="str">
            <v>Actual</v>
          </cell>
          <cell r="C11364" t="str">
            <v>Nov</v>
          </cell>
          <cell r="D11364" t="str">
            <v>Chairs</v>
          </cell>
          <cell r="E11364">
            <v>26171.725999999999</v>
          </cell>
          <cell r="F11364">
            <v>11</v>
          </cell>
        </row>
        <row r="11365">
          <cell r="A11365">
            <v>2018</v>
          </cell>
          <cell r="B11365" t="str">
            <v>Budget</v>
          </cell>
          <cell r="C11365" t="str">
            <v>Nov</v>
          </cell>
          <cell r="D11365" t="str">
            <v>Tables</v>
          </cell>
          <cell r="E11365">
            <v>764332.63199999998</v>
          </cell>
          <cell r="F11365">
            <v>11</v>
          </cell>
        </row>
        <row r="11366">
          <cell r="A11366">
            <v>2019</v>
          </cell>
          <cell r="B11366" t="str">
            <v>Actual</v>
          </cell>
          <cell r="C11366" t="str">
            <v>Nov</v>
          </cell>
          <cell r="D11366" t="str">
            <v>Kitchen</v>
          </cell>
          <cell r="E11366">
            <v>1029336.21</v>
          </cell>
          <cell r="F11366">
            <v>11</v>
          </cell>
        </row>
        <row r="11367">
          <cell r="A11367">
            <v>2019</v>
          </cell>
          <cell r="B11367" t="str">
            <v>Budget</v>
          </cell>
          <cell r="C11367" t="str">
            <v>Nov</v>
          </cell>
          <cell r="D11367" t="str">
            <v>Accessories</v>
          </cell>
          <cell r="E11367">
            <v>3812978.7499999995</v>
          </cell>
          <cell r="F11367">
            <v>11</v>
          </cell>
        </row>
        <row r="11368">
          <cell r="A11368">
            <v>2019</v>
          </cell>
          <cell r="B11368" t="str">
            <v>Actual</v>
          </cell>
          <cell r="C11368" t="str">
            <v>Nov</v>
          </cell>
          <cell r="D11368" t="str">
            <v>Chairs</v>
          </cell>
          <cell r="E11368">
            <v>-14402.268999999998</v>
          </cell>
          <cell r="F11368">
            <v>11</v>
          </cell>
        </row>
        <row r="11369">
          <cell r="A11369">
            <v>2019</v>
          </cell>
          <cell r="B11369" t="str">
            <v>Budget</v>
          </cell>
          <cell r="C11369" t="str">
            <v>Nov</v>
          </cell>
          <cell r="D11369" t="str">
            <v>Tables</v>
          </cell>
          <cell r="E11369">
            <v>16327.450999999999</v>
          </cell>
          <cell r="F11369">
            <v>11</v>
          </cell>
        </row>
        <row r="11370">
          <cell r="A11370">
            <v>2018</v>
          </cell>
          <cell r="B11370" t="str">
            <v>Actual</v>
          </cell>
          <cell r="C11370" t="str">
            <v>Nov</v>
          </cell>
          <cell r="D11370" t="str">
            <v>Kitchen</v>
          </cell>
          <cell r="E11370">
            <v>45820.774999999994</v>
          </cell>
          <cell r="F11370">
            <v>11</v>
          </cell>
        </row>
        <row r="11371">
          <cell r="A11371">
            <v>2019</v>
          </cell>
          <cell r="B11371" t="str">
            <v>Budget</v>
          </cell>
          <cell r="C11371" t="str">
            <v>Nov</v>
          </cell>
          <cell r="D11371" t="str">
            <v>Accessories</v>
          </cell>
          <cell r="E11371">
            <v>266946.46299999999</v>
          </cell>
          <cell r="F11371">
            <v>11</v>
          </cell>
        </row>
        <row r="11372">
          <cell r="A11372">
            <v>2019</v>
          </cell>
          <cell r="B11372" t="str">
            <v>Actual</v>
          </cell>
          <cell r="C11372" t="str">
            <v>Nov</v>
          </cell>
          <cell r="D11372" t="str">
            <v>Chairs</v>
          </cell>
          <cell r="E11372">
            <v>141805.20899999997</v>
          </cell>
          <cell r="F11372">
            <v>11</v>
          </cell>
        </row>
        <row r="11373">
          <cell r="A11373">
            <v>2018</v>
          </cell>
          <cell r="B11373" t="str">
            <v>Budget</v>
          </cell>
          <cell r="C11373" t="str">
            <v>Nov</v>
          </cell>
          <cell r="D11373" t="str">
            <v>Tables</v>
          </cell>
          <cell r="E11373">
            <v>199132.38099999999</v>
          </cell>
          <cell r="F11373">
            <v>11</v>
          </cell>
        </row>
        <row r="11374">
          <cell r="A11374">
            <v>2019</v>
          </cell>
          <cell r="B11374" t="str">
            <v>Actual</v>
          </cell>
          <cell r="C11374" t="str">
            <v>Nov</v>
          </cell>
          <cell r="D11374" t="str">
            <v>Kitchen</v>
          </cell>
          <cell r="E11374">
            <v>423366.67800000001</v>
          </cell>
          <cell r="F11374">
            <v>11</v>
          </cell>
        </row>
        <row r="11375">
          <cell r="A11375">
            <v>2018</v>
          </cell>
          <cell r="B11375" t="str">
            <v>Budget</v>
          </cell>
          <cell r="C11375" t="str">
            <v>Nov</v>
          </cell>
          <cell r="D11375" t="str">
            <v>Accessories</v>
          </cell>
          <cell r="E11375">
            <v>-27783.252</v>
          </cell>
          <cell r="F11375">
            <v>11</v>
          </cell>
        </row>
        <row r="11376">
          <cell r="A11376">
            <v>2018</v>
          </cell>
          <cell r="B11376" t="str">
            <v>Actual</v>
          </cell>
          <cell r="C11376" t="str">
            <v>Nov</v>
          </cell>
          <cell r="D11376" t="str">
            <v>Chairs</v>
          </cell>
          <cell r="E11376">
            <v>-112737.478</v>
          </cell>
          <cell r="F11376">
            <v>11</v>
          </cell>
        </row>
        <row r="11377">
          <cell r="A11377">
            <v>2018</v>
          </cell>
          <cell r="B11377" t="str">
            <v>Budget</v>
          </cell>
          <cell r="C11377" t="str">
            <v>Nov</v>
          </cell>
          <cell r="D11377" t="str">
            <v>Chairs</v>
          </cell>
          <cell r="E11377">
            <v>93874.829999999987</v>
          </cell>
          <cell r="F11377">
            <v>11</v>
          </cell>
        </row>
        <row r="11378">
          <cell r="A11378">
            <v>2019</v>
          </cell>
          <cell r="B11378" t="str">
            <v>Actual</v>
          </cell>
          <cell r="C11378" t="str">
            <v>Nov</v>
          </cell>
          <cell r="D11378" t="str">
            <v>Tables</v>
          </cell>
          <cell r="E11378">
            <v>1493730</v>
          </cell>
          <cell r="F11378">
            <v>11</v>
          </cell>
        </row>
        <row r="11379">
          <cell r="A11379">
            <v>2018</v>
          </cell>
          <cell r="B11379" t="str">
            <v>Budget</v>
          </cell>
          <cell r="C11379" t="str">
            <v>Nov</v>
          </cell>
          <cell r="D11379" t="str">
            <v>Kitchen</v>
          </cell>
          <cell r="E11379">
            <v>242950.13399999999</v>
          </cell>
          <cell r="F11379">
            <v>11</v>
          </cell>
        </row>
        <row r="11380">
          <cell r="A11380">
            <v>2018</v>
          </cell>
          <cell r="B11380" t="str">
            <v>Actual</v>
          </cell>
          <cell r="C11380" t="str">
            <v>Nov</v>
          </cell>
          <cell r="D11380" t="str">
            <v>Chairs</v>
          </cell>
          <cell r="E11380">
            <v>243644.57599999997</v>
          </cell>
          <cell r="F11380">
            <v>11</v>
          </cell>
        </row>
        <row r="11381">
          <cell r="A11381">
            <v>2019</v>
          </cell>
          <cell r="B11381" t="str">
            <v>Budget</v>
          </cell>
          <cell r="C11381" t="str">
            <v>Nov</v>
          </cell>
          <cell r="D11381" t="str">
            <v>Tables</v>
          </cell>
          <cell r="E11381">
            <v>2907.7089999999998</v>
          </cell>
          <cell r="F11381">
            <v>11</v>
          </cell>
        </row>
        <row r="11382">
          <cell r="A11382">
            <v>2019</v>
          </cell>
          <cell r="B11382" t="str">
            <v>Actual</v>
          </cell>
          <cell r="C11382" t="str">
            <v>Nov</v>
          </cell>
          <cell r="D11382" t="str">
            <v>Kitchen</v>
          </cell>
          <cell r="E11382">
            <v>22848.608999999997</v>
          </cell>
          <cell r="F11382">
            <v>11</v>
          </cell>
        </row>
        <row r="11383">
          <cell r="A11383">
            <v>2018</v>
          </cell>
          <cell r="B11383" t="str">
            <v>Budget</v>
          </cell>
          <cell r="C11383" t="str">
            <v>Nov</v>
          </cell>
          <cell r="D11383" t="str">
            <v>Chairs</v>
          </cell>
          <cell r="E11383">
            <v>28445.508000000002</v>
          </cell>
          <cell r="F11383">
            <v>11</v>
          </cell>
        </row>
        <row r="11384">
          <cell r="A11384">
            <v>2018</v>
          </cell>
          <cell r="B11384" t="str">
            <v>Actual</v>
          </cell>
          <cell r="C11384" t="str">
            <v>Nov</v>
          </cell>
          <cell r="D11384" t="str">
            <v>Tables</v>
          </cell>
          <cell r="E11384">
            <v>17633.524999999998</v>
          </cell>
          <cell r="F11384">
            <v>11</v>
          </cell>
        </row>
        <row r="11385">
          <cell r="A11385">
            <v>2018</v>
          </cell>
          <cell r="B11385" t="str">
            <v>Budget</v>
          </cell>
          <cell r="C11385" t="str">
            <v>Nov</v>
          </cell>
          <cell r="D11385" t="str">
            <v>Kitchen</v>
          </cell>
          <cell r="E11385">
            <v>31026.771999999997</v>
          </cell>
          <cell r="F11385">
            <v>11</v>
          </cell>
        </row>
        <row r="11386">
          <cell r="A11386">
            <v>2019</v>
          </cell>
          <cell r="B11386" t="str">
            <v>Actual</v>
          </cell>
          <cell r="C11386" t="str">
            <v>Nov</v>
          </cell>
          <cell r="D11386" t="str">
            <v>Chairs</v>
          </cell>
          <cell r="E11386">
            <v>6517.7629999999999</v>
          </cell>
          <cell r="F11386">
            <v>11</v>
          </cell>
        </row>
        <row r="11387">
          <cell r="A11387">
            <v>2018</v>
          </cell>
          <cell r="B11387" t="str">
            <v>Budget</v>
          </cell>
          <cell r="C11387" t="str">
            <v>Nov</v>
          </cell>
          <cell r="D11387" t="str">
            <v>Chairs</v>
          </cell>
          <cell r="E11387">
            <v>46849.649000000005</v>
          </cell>
          <cell r="F11387">
            <v>11</v>
          </cell>
        </row>
        <row r="11388">
          <cell r="A11388">
            <v>2018</v>
          </cell>
          <cell r="B11388" t="str">
            <v>Actual</v>
          </cell>
          <cell r="C11388" t="str">
            <v>Nov</v>
          </cell>
          <cell r="D11388" t="str">
            <v>Chairs</v>
          </cell>
          <cell r="E11388">
            <v>31802.057000000001</v>
          </cell>
          <cell r="F11388">
            <v>11</v>
          </cell>
        </row>
        <row r="11389">
          <cell r="A11389">
            <v>2019</v>
          </cell>
          <cell r="B11389" t="str">
            <v>Budget</v>
          </cell>
          <cell r="C11389" t="str">
            <v>Nov</v>
          </cell>
          <cell r="D11389" t="str">
            <v>Chairs</v>
          </cell>
          <cell r="E11389">
            <v>23834.649999999998</v>
          </cell>
          <cell r="F11389">
            <v>11</v>
          </cell>
        </row>
        <row r="11390">
          <cell r="A11390">
            <v>2019</v>
          </cell>
          <cell r="B11390" t="str">
            <v>Actual</v>
          </cell>
          <cell r="C11390" t="str">
            <v>Nov</v>
          </cell>
          <cell r="D11390" t="str">
            <v>Chairs</v>
          </cell>
          <cell r="E11390">
            <v>76129.157999999996</v>
          </cell>
          <cell r="F11390">
            <v>11</v>
          </cell>
        </row>
        <row r="11391">
          <cell r="A11391">
            <v>2019</v>
          </cell>
          <cell r="B11391" t="str">
            <v>Budget</v>
          </cell>
          <cell r="C11391" t="str">
            <v>Nov</v>
          </cell>
          <cell r="D11391" t="str">
            <v>Chairs</v>
          </cell>
          <cell r="E11391">
            <v>6856.4579999999996</v>
          </cell>
          <cell r="F11391">
            <v>11</v>
          </cell>
        </row>
        <row r="11392">
          <cell r="A11392">
            <v>2018</v>
          </cell>
          <cell r="B11392" t="str">
            <v>Actual</v>
          </cell>
          <cell r="C11392" t="str">
            <v>Nov</v>
          </cell>
          <cell r="D11392" t="str">
            <v>Chairs</v>
          </cell>
          <cell r="E11392">
            <v>15390.094999999998</v>
          </cell>
          <cell r="F11392">
            <v>11</v>
          </cell>
        </row>
        <row r="11393">
          <cell r="A11393">
            <v>2019</v>
          </cell>
          <cell r="B11393" t="str">
            <v>Budget</v>
          </cell>
          <cell r="C11393" t="str">
            <v>Nov</v>
          </cell>
          <cell r="D11393" t="str">
            <v>Chairs</v>
          </cell>
          <cell r="E11393">
            <v>69494.165999999997</v>
          </cell>
          <cell r="F11393">
            <v>11</v>
          </cell>
        </row>
        <row r="11394">
          <cell r="A11394">
            <v>2018</v>
          </cell>
          <cell r="B11394" t="str">
            <v>Actual</v>
          </cell>
          <cell r="C11394" t="str">
            <v>Nov</v>
          </cell>
          <cell r="D11394" t="str">
            <v>Chairs</v>
          </cell>
          <cell r="E11394">
            <v>135690.16999999998</v>
          </cell>
          <cell r="F11394">
            <v>11</v>
          </cell>
        </row>
        <row r="11395">
          <cell r="A11395">
            <v>2019</v>
          </cell>
          <cell r="B11395" t="str">
            <v>Budget</v>
          </cell>
          <cell r="C11395" t="str">
            <v>Nov</v>
          </cell>
          <cell r="D11395" t="str">
            <v>Chairs</v>
          </cell>
          <cell r="E11395">
            <v>77811.068999999989</v>
          </cell>
          <cell r="F11395">
            <v>11</v>
          </cell>
        </row>
        <row r="11396">
          <cell r="A11396">
            <v>2019</v>
          </cell>
          <cell r="B11396" t="str">
            <v>Actual</v>
          </cell>
          <cell r="C11396" t="str">
            <v>Nov</v>
          </cell>
          <cell r="D11396" t="str">
            <v>Chairs</v>
          </cell>
          <cell r="E11396">
            <v>132632.86399999997</v>
          </cell>
          <cell r="F11396">
            <v>11</v>
          </cell>
        </row>
        <row r="11397">
          <cell r="A11397">
            <v>2018</v>
          </cell>
          <cell r="B11397" t="str">
            <v>Budget</v>
          </cell>
          <cell r="C11397" t="str">
            <v>Nov</v>
          </cell>
          <cell r="D11397" t="str">
            <v>Chairs</v>
          </cell>
          <cell r="E11397">
            <v>19626.452999999998</v>
          </cell>
          <cell r="F11397">
            <v>11</v>
          </cell>
        </row>
        <row r="11398">
          <cell r="A11398">
            <v>2018</v>
          </cell>
          <cell r="B11398" t="str">
            <v>Actual</v>
          </cell>
          <cell r="C11398" t="str">
            <v>Nov</v>
          </cell>
          <cell r="D11398" t="str">
            <v>Chairs</v>
          </cell>
          <cell r="E11398">
            <v>76975.100999999995</v>
          </cell>
          <cell r="F11398">
            <v>11</v>
          </cell>
        </row>
        <row r="11399">
          <cell r="A11399">
            <v>2018</v>
          </cell>
          <cell r="B11399" t="str">
            <v>Budget</v>
          </cell>
          <cell r="C11399" t="str">
            <v>Nov</v>
          </cell>
          <cell r="D11399" t="str">
            <v>Chairs</v>
          </cell>
          <cell r="E11399">
            <v>89390.013999999996</v>
          </cell>
          <cell r="F11399">
            <v>11</v>
          </cell>
        </row>
        <row r="11400">
          <cell r="A11400">
            <v>2019</v>
          </cell>
          <cell r="B11400" t="str">
            <v>Actual</v>
          </cell>
          <cell r="C11400" t="str">
            <v>Nov</v>
          </cell>
          <cell r="D11400" t="str">
            <v>Chairs</v>
          </cell>
          <cell r="E11400">
            <v>45173.506000000001</v>
          </cell>
          <cell r="F11400">
            <v>11</v>
          </cell>
        </row>
        <row r="11401">
          <cell r="A11401">
            <v>2018</v>
          </cell>
          <cell r="B11401" t="str">
            <v>Budget</v>
          </cell>
          <cell r="C11401" t="str">
            <v>Nov</v>
          </cell>
          <cell r="D11401" t="str">
            <v>Chairs</v>
          </cell>
          <cell r="E11401">
            <v>32735.394999999997</v>
          </cell>
          <cell r="F11401">
            <v>11</v>
          </cell>
        </row>
        <row r="11402">
          <cell r="A11402">
            <v>2019</v>
          </cell>
          <cell r="B11402" t="str">
            <v>Actual</v>
          </cell>
          <cell r="C11402" t="str">
            <v>Nov</v>
          </cell>
          <cell r="D11402" t="str">
            <v>Chairs</v>
          </cell>
          <cell r="E11402">
            <v>29556.184000000001</v>
          </cell>
          <cell r="F11402">
            <v>11</v>
          </cell>
        </row>
        <row r="11403">
          <cell r="A11403">
            <v>2019</v>
          </cell>
          <cell r="B11403" t="str">
            <v>Budget</v>
          </cell>
          <cell r="C11403" t="str">
            <v>Nov</v>
          </cell>
          <cell r="D11403" t="str">
            <v>Chairs</v>
          </cell>
          <cell r="E11403">
            <v>3203244.0719999997</v>
          </cell>
          <cell r="F11403">
            <v>11</v>
          </cell>
        </row>
        <row r="11404">
          <cell r="A11404">
            <v>2019</v>
          </cell>
          <cell r="B11404" t="str">
            <v>Actual</v>
          </cell>
          <cell r="C11404" t="str">
            <v>Nov</v>
          </cell>
          <cell r="D11404" t="str">
            <v>Chairs</v>
          </cell>
          <cell r="E11404">
            <v>929185.46</v>
          </cell>
          <cell r="F11404">
            <v>11</v>
          </cell>
        </row>
        <row r="11405">
          <cell r="A11405">
            <v>2018</v>
          </cell>
          <cell r="B11405" t="str">
            <v>Budget</v>
          </cell>
          <cell r="C11405" t="str">
            <v>Nov</v>
          </cell>
          <cell r="D11405" t="str">
            <v>Chairs</v>
          </cell>
          <cell r="E11405">
            <v>64161.600999999988</v>
          </cell>
          <cell r="F11405">
            <v>11</v>
          </cell>
        </row>
        <row r="11406">
          <cell r="A11406">
            <v>2019</v>
          </cell>
          <cell r="B11406" t="str">
            <v>Actual</v>
          </cell>
          <cell r="C11406" t="str">
            <v>Nov</v>
          </cell>
          <cell r="D11406" t="str">
            <v>Chairs</v>
          </cell>
          <cell r="E11406">
            <v>23710.413999999997</v>
          </cell>
          <cell r="F11406">
            <v>11</v>
          </cell>
        </row>
        <row r="11407">
          <cell r="A11407">
            <v>2018</v>
          </cell>
          <cell r="B11407" t="str">
            <v>Budget</v>
          </cell>
          <cell r="C11407" t="str">
            <v>Nov</v>
          </cell>
          <cell r="D11407" t="str">
            <v>Chairs</v>
          </cell>
          <cell r="E11407">
            <v>44599.106999999996</v>
          </cell>
          <cell r="F11407">
            <v>11</v>
          </cell>
        </row>
        <row r="11408">
          <cell r="A11408">
            <v>2019</v>
          </cell>
          <cell r="B11408" t="str">
            <v>Actual</v>
          </cell>
          <cell r="C11408" t="str">
            <v>Nov</v>
          </cell>
          <cell r="D11408" t="str">
            <v>Chairs</v>
          </cell>
          <cell r="E11408">
            <v>3026.6950000000002</v>
          </cell>
          <cell r="F11408">
            <v>11</v>
          </cell>
        </row>
        <row r="11409">
          <cell r="A11409">
            <v>2019</v>
          </cell>
          <cell r="B11409" t="str">
            <v>Budget</v>
          </cell>
          <cell r="C11409" t="str">
            <v>Nov</v>
          </cell>
          <cell r="D11409" t="str">
            <v>Chairs</v>
          </cell>
          <cell r="E11409">
            <v>9019.8219999999983</v>
          </cell>
          <cell r="F11409">
            <v>11</v>
          </cell>
        </row>
        <row r="11410">
          <cell r="A11410">
            <v>2018</v>
          </cell>
          <cell r="B11410" t="str">
            <v>Actual</v>
          </cell>
          <cell r="C11410" t="str">
            <v>Nov</v>
          </cell>
          <cell r="D11410" t="str">
            <v>Chairs</v>
          </cell>
          <cell r="E11410">
            <v>117906.894</v>
          </cell>
          <cell r="F11410">
            <v>11</v>
          </cell>
        </row>
        <row r="11411">
          <cell r="A11411">
            <v>2019</v>
          </cell>
          <cell r="B11411" t="str">
            <v>Budget</v>
          </cell>
          <cell r="C11411" t="str">
            <v>Nov</v>
          </cell>
          <cell r="D11411" t="str">
            <v>Chairs</v>
          </cell>
          <cell r="E11411">
            <v>10259.501</v>
          </cell>
          <cell r="F11411">
            <v>11</v>
          </cell>
        </row>
        <row r="11412">
          <cell r="A11412">
            <v>2018</v>
          </cell>
          <cell r="B11412" t="str">
            <v>Actual</v>
          </cell>
          <cell r="C11412" t="str">
            <v>Nov</v>
          </cell>
          <cell r="D11412" t="str">
            <v>Tables</v>
          </cell>
          <cell r="E11412">
            <v>743723.31599999988</v>
          </cell>
          <cell r="F11412">
            <v>11</v>
          </cell>
        </row>
        <row r="11413">
          <cell r="A11413">
            <v>2018</v>
          </cell>
          <cell r="B11413" t="str">
            <v>Budget</v>
          </cell>
          <cell r="C11413" t="str">
            <v>Nov</v>
          </cell>
          <cell r="D11413" t="str">
            <v>Kitchen</v>
          </cell>
          <cell r="E11413">
            <v>165841.69699999999</v>
          </cell>
          <cell r="F11413">
            <v>11</v>
          </cell>
        </row>
        <row r="11414">
          <cell r="A11414">
            <v>2018</v>
          </cell>
          <cell r="B11414" t="str">
            <v>Actual</v>
          </cell>
          <cell r="C11414" t="str">
            <v>Nov</v>
          </cell>
          <cell r="D11414" t="str">
            <v>Chairs</v>
          </cell>
          <cell r="E11414">
            <v>1976481.612</v>
          </cell>
          <cell r="F11414">
            <v>11</v>
          </cell>
        </row>
        <row r="11415">
          <cell r="A11415">
            <v>2018</v>
          </cell>
          <cell r="B11415" t="str">
            <v>Budget</v>
          </cell>
          <cell r="C11415" t="str">
            <v>Nov</v>
          </cell>
          <cell r="D11415" t="str">
            <v>Chairs</v>
          </cell>
          <cell r="E11415">
            <v>64347.199000000001</v>
          </cell>
          <cell r="F11415">
            <v>11</v>
          </cell>
        </row>
        <row r="11416">
          <cell r="A11416">
            <v>2018</v>
          </cell>
          <cell r="B11416" t="str">
            <v>Actual</v>
          </cell>
          <cell r="C11416" t="str">
            <v>Nov</v>
          </cell>
          <cell r="D11416" t="str">
            <v>Chairs</v>
          </cell>
          <cell r="E11416">
            <v>189775.42499999999</v>
          </cell>
          <cell r="F11416">
            <v>11</v>
          </cell>
        </row>
        <row r="11417">
          <cell r="A11417">
            <v>2019</v>
          </cell>
          <cell r="B11417" t="str">
            <v>Budget</v>
          </cell>
          <cell r="C11417" t="str">
            <v>Nov</v>
          </cell>
          <cell r="D11417" t="str">
            <v>Chairs</v>
          </cell>
          <cell r="E11417">
            <v>25600.196999999996</v>
          </cell>
          <cell r="F11417">
            <v>11</v>
          </cell>
        </row>
        <row r="11418">
          <cell r="A11418">
            <v>2018</v>
          </cell>
          <cell r="B11418" t="str">
            <v>Actual</v>
          </cell>
          <cell r="C11418" t="str">
            <v>Nov</v>
          </cell>
          <cell r="D11418" t="str">
            <v>Chairs</v>
          </cell>
          <cell r="E11418">
            <v>134250.592</v>
          </cell>
          <cell r="F11418">
            <v>11</v>
          </cell>
        </row>
        <row r="11419">
          <cell r="A11419">
            <v>2019</v>
          </cell>
          <cell r="B11419" t="str">
            <v>Budget</v>
          </cell>
          <cell r="C11419" t="str">
            <v>Nov</v>
          </cell>
          <cell r="D11419" t="str">
            <v>Tables</v>
          </cell>
          <cell r="E11419">
            <v>2303195.9649999999</v>
          </cell>
          <cell r="F11419">
            <v>11</v>
          </cell>
        </row>
        <row r="11420">
          <cell r="A11420">
            <v>2018</v>
          </cell>
          <cell r="B11420" t="str">
            <v>Actual</v>
          </cell>
          <cell r="C11420" t="str">
            <v>Nov</v>
          </cell>
          <cell r="D11420" t="str">
            <v>Kitchen</v>
          </cell>
          <cell r="E11420">
            <v>166542.726</v>
          </cell>
          <cell r="F11420">
            <v>11</v>
          </cell>
        </row>
        <row r="11421">
          <cell r="A11421">
            <v>2019</v>
          </cell>
          <cell r="B11421" t="str">
            <v>Budget</v>
          </cell>
          <cell r="C11421" t="str">
            <v>Nov</v>
          </cell>
          <cell r="D11421" t="str">
            <v>Chairs</v>
          </cell>
          <cell r="E11421">
            <v>633357.64099999995</v>
          </cell>
          <cell r="F11421">
            <v>11</v>
          </cell>
        </row>
        <row r="11422">
          <cell r="A11422">
            <v>2019</v>
          </cell>
          <cell r="B11422" t="str">
            <v>Actual</v>
          </cell>
          <cell r="C11422" t="str">
            <v>Nov</v>
          </cell>
          <cell r="D11422" t="str">
            <v>Chairs</v>
          </cell>
          <cell r="E11422">
            <v>372296.77799999999</v>
          </cell>
          <cell r="F11422">
            <v>11</v>
          </cell>
        </row>
        <row r="11423">
          <cell r="A11423">
            <v>2018</v>
          </cell>
          <cell r="B11423" t="str">
            <v>Budget</v>
          </cell>
          <cell r="C11423" t="str">
            <v>Nov</v>
          </cell>
          <cell r="D11423" t="str">
            <v>Chairs</v>
          </cell>
          <cell r="E11423">
            <v>23177.363999999998</v>
          </cell>
          <cell r="F11423">
            <v>11</v>
          </cell>
        </row>
        <row r="11424">
          <cell r="A11424">
            <v>2019</v>
          </cell>
          <cell r="B11424" t="str">
            <v>Actual</v>
          </cell>
          <cell r="C11424" t="str">
            <v>Nov</v>
          </cell>
          <cell r="D11424" t="str">
            <v>Tables</v>
          </cell>
          <cell r="E11424">
            <v>8525.1179999999986</v>
          </cell>
          <cell r="F11424">
            <v>11</v>
          </cell>
        </row>
        <row r="11425">
          <cell r="A11425">
            <v>2019</v>
          </cell>
          <cell r="B11425" t="str">
            <v>Budget</v>
          </cell>
          <cell r="C11425" t="str">
            <v>Nov</v>
          </cell>
          <cell r="D11425" t="str">
            <v>Kitchen</v>
          </cell>
          <cell r="E11425">
            <v>704433.47100000002</v>
          </cell>
          <cell r="F11425">
            <v>11</v>
          </cell>
        </row>
        <row r="11426">
          <cell r="A11426">
            <v>2019</v>
          </cell>
          <cell r="B11426" t="str">
            <v>Actual</v>
          </cell>
          <cell r="C11426" t="str">
            <v>Nov</v>
          </cell>
          <cell r="D11426" t="str">
            <v>Chairs</v>
          </cell>
          <cell r="E11426">
            <v>344688.141</v>
          </cell>
          <cell r="F11426">
            <v>11</v>
          </cell>
        </row>
        <row r="11427">
          <cell r="A11427">
            <v>2019</v>
          </cell>
          <cell r="B11427" t="str">
            <v>Budget</v>
          </cell>
          <cell r="C11427" t="str">
            <v>Nov</v>
          </cell>
          <cell r="D11427" t="str">
            <v>Chairs</v>
          </cell>
          <cell r="E11427">
            <v>2276432.7599999998</v>
          </cell>
          <cell r="F11427">
            <v>11</v>
          </cell>
        </row>
        <row r="11428">
          <cell r="A11428">
            <v>2019</v>
          </cell>
          <cell r="B11428" t="str">
            <v>Actual</v>
          </cell>
          <cell r="C11428" t="str">
            <v>Nov</v>
          </cell>
          <cell r="D11428" t="str">
            <v>Tables</v>
          </cell>
          <cell r="E11428">
            <v>1050185.2479999999</v>
          </cell>
          <cell r="F11428">
            <v>11</v>
          </cell>
        </row>
        <row r="11429">
          <cell r="A11429">
            <v>2019</v>
          </cell>
          <cell r="B11429" t="str">
            <v>Budget</v>
          </cell>
          <cell r="C11429" t="str">
            <v>Nov</v>
          </cell>
          <cell r="D11429" t="str">
            <v>Kitchen</v>
          </cell>
          <cell r="E11429">
            <v>25703.901999999998</v>
          </cell>
          <cell r="F11429">
            <v>11</v>
          </cell>
        </row>
        <row r="11430">
          <cell r="A11430">
            <v>2019</v>
          </cell>
          <cell r="B11430" t="str">
            <v>Actual</v>
          </cell>
          <cell r="C11430" t="str">
            <v>Nov</v>
          </cell>
          <cell r="D11430" t="str">
            <v>Chairs</v>
          </cell>
          <cell r="E11430">
            <v>447043.41499999992</v>
          </cell>
          <cell r="F11430">
            <v>11</v>
          </cell>
        </row>
        <row r="11431">
          <cell r="A11431">
            <v>2019</v>
          </cell>
          <cell r="B11431" t="str">
            <v>Budget</v>
          </cell>
          <cell r="C11431" t="str">
            <v>Nov</v>
          </cell>
          <cell r="D11431" t="str">
            <v>Chairs</v>
          </cell>
          <cell r="E11431">
            <v>538541.31099999999</v>
          </cell>
          <cell r="F11431">
            <v>11</v>
          </cell>
        </row>
        <row r="11432">
          <cell r="A11432">
            <v>2018</v>
          </cell>
          <cell r="B11432" t="str">
            <v>Actual</v>
          </cell>
          <cell r="C11432" t="str">
            <v>Nov</v>
          </cell>
          <cell r="D11432" t="str">
            <v>Tables</v>
          </cell>
          <cell r="E11432">
            <v>618652.71299999999</v>
          </cell>
          <cell r="F11432">
            <v>11</v>
          </cell>
        </row>
        <row r="11433">
          <cell r="A11433">
            <v>2019</v>
          </cell>
          <cell r="B11433" t="str">
            <v>Budget</v>
          </cell>
          <cell r="C11433" t="str">
            <v>Nov</v>
          </cell>
          <cell r="D11433" t="str">
            <v>Chairs</v>
          </cell>
          <cell r="E11433">
            <v>388283.11200000002</v>
          </cell>
          <cell r="F11433">
            <v>11</v>
          </cell>
        </row>
        <row r="11434">
          <cell r="A11434">
            <v>2019</v>
          </cell>
          <cell r="B11434" t="str">
            <v>Actual</v>
          </cell>
          <cell r="C11434" t="str">
            <v>Nov</v>
          </cell>
          <cell r="D11434" t="str">
            <v>Tables</v>
          </cell>
          <cell r="E11434">
            <v>31468.247999999996</v>
          </cell>
          <cell r="F11434">
            <v>11</v>
          </cell>
        </row>
        <row r="11435">
          <cell r="A11435">
            <v>2018</v>
          </cell>
          <cell r="B11435" t="str">
            <v>Budget</v>
          </cell>
          <cell r="C11435" t="str">
            <v>Nov</v>
          </cell>
          <cell r="D11435" t="str">
            <v>Kitchen</v>
          </cell>
          <cell r="E11435">
            <v>56686.762999999992</v>
          </cell>
          <cell r="F11435">
            <v>11</v>
          </cell>
        </row>
        <row r="11436">
          <cell r="A11436">
            <v>2019</v>
          </cell>
          <cell r="B11436" t="str">
            <v>Actual</v>
          </cell>
          <cell r="C11436" t="str">
            <v>Nov</v>
          </cell>
          <cell r="D11436" t="str">
            <v>Accessories</v>
          </cell>
          <cell r="E11436">
            <v>303208.78699999995</v>
          </cell>
          <cell r="F11436">
            <v>11</v>
          </cell>
        </row>
        <row r="11437">
          <cell r="A11437">
            <v>2019</v>
          </cell>
          <cell r="B11437" t="str">
            <v>Budget</v>
          </cell>
          <cell r="C11437" t="str">
            <v>Nov</v>
          </cell>
          <cell r="D11437" t="str">
            <v>Chairs</v>
          </cell>
          <cell r="E11437">
            <v>121289.62300000001</v>
          </cell>
          <cell r="F11437">
            <v>11</v>
          </cell>
        </row>
        <row r="11438">
          <cell r="A11438">
            <v>2019</v>
          </cell>
          <cell r="B11438" t="str">
            <v>Actual</v>
          </cell>
          <cell r="C11438" t="str">
            <v>Nov</v>
          </cell>
          <cell r="D11438" t="str">
            <v>Tables</v>
          </cell>
          <cell r="E11438">
            <v>129119.68299999999</v>
          </cell>
          <cell r="F11438">
            <v>11</v>
          </cell>
        </row>
        <row r="11439">
          <cell r="A11439">
            <v>2019</v>
          </cell>
          <cell r="B11439" t="str">
            <v>Budget</v>
          </cell>
          <cell r="C11439" t="str">
            <v>Nov</v>
          </cell>
          <cell r="D11439" t="str">
            <v>Kitchen</v>
          </cell>
          <cell r="E11439">
            <v>585865.48999999987</v>
          </cell>
          <cell r="F11439">
            <v>11</v>
          </cell>
        </row>
        <row r="11440">
          <cell r="A11440">
            <v>2018</v>
          </cell>
          <cell r="B11440" t="str">
            <v>Actual</v>
          </cell>
          <cell r="C11440" t="str">
            <v>Nov</v>
          </cell>
          <cell r="D11440" t="str">
            <v>Accessories</v>
          </cell>
          <cell r="E11440">
            <v>909417.42499999993</v>
          </cell>
          <cell r="F11440">
            <v>11</v>
          </cell>
        </row>
        <row r="11441">
          <cell r="A11441">
            <v>2019</v>
          </cell>
          <cell r="B11441" t="str">
            <v>Budget</v>
          </cell>
          <cell r="C11441" t="str">
            <v>Nov</v>
          </cell>
          <cell r="D11441" t="str">
            <v>Chairs</v>
          </cell>
          <cell r="E11441">
            <v>2273295.6119999997</v>
          </cell>
          <cell r="F11441">
            <v>11</v>
          </cell>
        </row>
        <row r="11442">
          <cell r="A11442">
            <v>2018</v>
          </cell>
          <cell r="B11442" t="str">
            <v>Actual</v>
          </cell>
          <cell r="C11442" t="str">
            <v>Nov</v>
          </cell>
          <cell r="D11442" t="str">
            <v>Tables</v>
          </cell>
          <cell r="E11442">
            <v>134848.96599999999</v>
          </cell>
          <cell r="F11442">
            <v>11</v>
          </cell>
        </row>
        <row r="11443">
          <cell r="A11443">
            <v>2018</v>
          </cell>
          <cell r="B11443" t="str">
            <v>Budget</v>
          </cell>
          <cell r="C11443" t="str">
            <v>Nov</v>
          </cell>
          <cell r="D11443" t="str">
            <v>Kitchen</v>
          </cell>
          <cell r="E11443">
            <v>13218.212</v>
          </cell>
          <cell r="F11443">
            <v>11</v>
          </cell>
        </row>
        <row r="11444">
          <cell r="A11444">
            <v>2018</v>
          </cell>
          <cell r="B11444" t="str">
            <v>Actual</v>
          </cell>
          <cell r="C11444" t="str">
            <v>Nov</v>
          </cell>
          <cell r="D11444" t="str">
            <v>Accessories</v>
          </cell>
          <cell r="E11444">
            <v>317413.22899999993</v>
          </cell>
          <cell r="F11444">
            <v>11</v>
          </cell>
        </row>
        <row r="11445">
          <cell r="A11445">
            <v>2019</v>
          </cell>
          <cell r="B11445" t="str">
            <v>Budget</v>
          </cell>
          <cell r="C11445" t="str">
            <v>Nov</v>
          </cell>
          <cell r="D11445" t="str">
            <v>Chairs</v>
          </cell>
          <cell r="E11445">
            <v>364571.87899999996</v>
          </cell>
          <cell r="F11445">
            <v>11</v>
          </cell>
        </row>
        <row r="11446">
          <cell r="A11446">
            <v>2019</v>
          </cell>
          <cell r="B11446" t="str">
            <v>Actual</v>
          </cell>
          <cell r="C11446" t="str">
            <v>Nov</v>
          </cell>
          <cell r="D11446" t="str">
            <v>Tables</v>
          </cell>
          <cell r="E11446">
            <v>223542.53599999996</v>
          </cell>
          <cell r="F11446">
            <v>11</v>
          </cell>
        </row>
        <row r="11447">
          <cell r="A11447">
            <v>2019</v>
          </cell>
          <cell r="B11447" t="str">
            <v>Budget</v>
          </cell>
          <cell r="C11447" t="str">
            <v>Nov</v>
          </cell>
          <cell r="D11447" t="str">
            <v>Kitchen</v>
          </cell>
          <cell r="E11447">
            <v>333335.163</v>
          </cell>
          <cell r="F11447">
            <v>11</v>
          </cell>
        </row>
        <row r="11448">
          <cell r="A11448">
            <v>2019</v>
          </cell>
          <cell r="B11448" t="str">
            <v>Actual</v>
          </cell>
          <cell r="C11448" t="str">
            <v>Nov</v>
          </cell>
          <cell r="D11448" t="str">
            <v>Accessories</v>
          </cell>
          <cell r="E11448">
            <v>176413.99299999999</v>
          </cell>
          <cell r="F11448">
            <v>11</v>
          </cell>
        </row>
        <row r="11449">
          <cell r="A11449">
            <v>2019</v>
          </cell>
          <cell r="B11449" t="str">
            <v>Budget</v>
          </cell>
          <cell r="C11449" t="str">
            <v>Nov</v>
          </cell>
          <cell r="D11449" t="str">
            <v>Chairs</v>
          </cell>
          <cell r="E11449">
            <v>581509.01899999997</v>
          </cell>
          <cell r="F11449">
            <v>11</v>
          </cell>
        </row>
        <row r="11450">
          <cell r="A11450">
            <v>2019</v>
          </cell>
          <cell r="B11450" t="str">
            <v>Actual</v>
          </cell>
          <cell r="C11450" t="str">
            <v>Nov</v>
          </cell>
          <cell r="D11450" t="str">
            <v>Chairs</v>
          </cell>
          <cell r="E11450">
            <v>293434.14799999999</v>
          </cell>
          <cell r="F11450">
            <v>11</v>
          </cell>
        </row>
        <row r="11451">
          <cell r="A11451">
            <v>2018</v>
          </cell>
          <cell r="B11451" t="str">
            <v>Budget</v>
          </cell>
          <cell r="C11451" t="str">
            <v>Nov</v>
          </cell>
          <cell r="D11451" t="str">
            <v>Tables</v>
          </cell>
          <cell r="E11451">
            <v>202626.375</v>
          </cell>
          <cell r="F11451">
            <v>11</v>
          </cell>
        </row>
        <row r="11452">
          <cell r="A11452">
            <v>2018</v>
          </cell>
          <cell r="B11452" t="str">
            <v>Actual</v>
          </cell>
          <cell r="C11452" t="str">
            <v>Nov</v>
          </cell>
          <cell r="D11452" t="str">
            <v>Kitchen</v>
          </cell>
          <cell r="E11452">
            <v>167353.19999999998</v>
          </cell>
          <cell r="F11452">
            <v>11</v>
          </cell>
        </row>
        <row r="11453">
          <cell r="A11453">
            <v>2018</v>
          </cell>
          <cell r="B11453" t="str">
            <v>Budget</v>
          </cell>
          <cell r="C11453" t="str">
            <v>Nov</v>
          </cell>
          <cell r="D11453" t="str">
            <v>Chairs</v>
          </cell>
          <cell r="E11453">
            <v>104192.78799999999</v>
          </cell>
          <cell r="F11453">
            <v>11</v>
          </cell>
        </row>
        <row r="11454">
          <cell r="A11454">
            <v>2018</v>
          </cell>
          <cell r="B11454" t="str">
            <v>Actual</v>
          </cell>
          <cell r="C11454" t="str">
            <v>Nov</v>
          </cell>
          <cell r="D11454" t="str">
            <v>Tables</v>
          </cell>
          <cell r="E11454">
            <v>146619.753</v>
          </cell>
          <cell r="F11454">
            <v>11</v>
          </cell>
        </row>
        <row r="11455">
          <cell r="A11455">
            <v>2018</v>
          </cell>
          <cell r="B11455" t="str">
            <v>Budget</v>
          </cell>
          <cell r="C11455" t="str">
            <v>Nov</v>
          </cell>
          <cell r="D11455" t="str">
            <v>Kitchen</v>
          </cell>
          <cell r="E11455">
            <v>66128.391000000003</v>
          </cell>
          <cell r="F11455">
            <v>11</v>
          </cell>
        </row>
        <row r="11456">
          <cell r="A11456">
            <v>2019</v>
          </cell>
          <cell r="B11456" t="str">
            <v>Actual</v>
          </cell>
          <cell r="C11456" t="str">
            <v>Nov</v>
          </cell>
          <cell r="D11456" t="str">
            <v>Chairs</v>
          </cell>
          <cell r="E11456">
            <v>47004.712999999996</v>
          </cell>
          <cell r="F11456">
            <v>11</v>
          </cell>
        </row>
        <row r="11457">
          <cell r="A11457">
            <v>2018</v>
          </cell>
          <cell r="B11457" t="str">
            <v>Budget</v>
          </cell>
          <cell r="C11457" t="str">
            <v>Nov</v>
          </cell>
          <cell r="D11457" t="str">
            <v>Tables</v>
          </cell>
          <cell r="E11457">
            <v>11758.341</v>
          </cell>
          <cell r="F11457">
            <v>11</v>
          </cell>
        </row>
        <row r="11458">
          <cell r="A11458">
            <v>2018</v>
          </cell>
          <cell r="B11458" t="str">
            <v>Actual</v>
          </cell>
          <cell r="C11458" t="str">
            <v>Nov</v>
          </cell>
          <cell r="D11458" t="str">
            <v>Kitchen</v>
          </cell>
          <cell r="E11458">
            <v>23062.353999999999</v>
          </cell>
          <cell r="F11458">
            <v>11</v>
          </cell>
        </row>
        <row r="11459">
          <cell r="A11459">
            <v>2019</v>
          </cell>
          <cell r="B11459" t="str">
            <v>Budget</v>
          </cell>
          <cell r="C11459" t="str">
            <v>Nov</v>
          </cell>
          <cell r="D11459" t="str">
            <v>Chairs</v>
          </cell>
          <cell r="E11459">
            <v>35987.650999999998</v>
          </cell>
          <cell r="F11459">
            <v>11</v>
          </cell>
        </row>
        <row r="11460">
          <cell r="A11460">
            <v>2019</v>
          </cell>
          <cell r="B11460" t="str">
            <v>Actual</v>
          </cell>
          <cell r="C11460" t="str">
            <v>Nov</v>
          </cell>
          <cell r="D11460" t="str">
            <v>Chairs</v>
          </cell>
          <cell r="E11460">
            <v>613431.41299999994</v>
          </cell>
          <cell r="F11460">
            <v>11</v>
          </cell>
        </row>
        <row r="11461">
          <cell r="A11461">
            <v>2018</v>
          </cell>
          <cell r="B11461" t="str">
            <v>Budget</v>
          </cell>
          <cell r="C11461" t="str">
            <v>Nov</v>
          </cell>
          <cell r="D11461" t="str">
            <v>Chairs</v>
          </cell>
          <cell r="E11461">
            <v>184664.56400000001</v>
          </cell>
          <cell r="F11461">
            <v>11</v>
          </cell>
        </row>
        <row r="11462">
          <cell r="A11462">
            <v>2019</v>
          </cell>
          <cell r="B11462" t="str">
            <v>Actual</v>
          </cell>
          <cell r="C11462" t="str">
            <v>Nov</v>
          </cell>
          <cell r="D11462" t="str">
            <v>Chairs</v>
          </cell>
          <cell r="E11462">
            <v>271393.85700000002</v>
          </cell>
          <cell r="F11462">
            <v>11</v>
          </cell>
        </row>
        <row r="11463">
          <cell r="A11463">
            <v>2019</v>
          </cell>
          <cell r="B11463" t="str">
            <v>Budget</v>
          </cell>
          <cell r="C11463" t="str">
            <v>Nov</v>
          </cell>
          <cell r="D11463" t="str">
            <v>Chairs</v>
          </cell>
          <cell r="E11463">
            <v>322609.13299999997</v>
          </cell>
          <cell r="F11463">
            <v>11</v>
          </cell>
        </row>
        <row r="11464">
          <cell r="A11464">
            <v>2019</v>
          </cell>
          <cell r="B11464" t="str">
            <v>Actual</v>
          </cell>
          <cell r="C11464" t="str">
            <v>Nov</v>
          </cell>
          <cell r="D11464" t="str">
            <v>Chairs</v>
          </cell>
          <cell r="E11464">
            <v>33993.301999999996</v>
          </cell>
          <cell r="F11464">
            <v>11</v>
          </cell>
        </row>
        <row r="11465">
          <cell r="A11465">
            <v>2019</v>
          </cell>
          <cell r="B11465" t="str">
            <v>Budget</v>
          </cell>
          <cell r="C11465" t="str">
            <v>Nov</v>
          </cell>
          <cell r="D11465" t="str">
            <v>Chairs</v>
          </cell>
          <cell r="E11465">
            <v>433487.02600000001</v>
          </cell>
          <cell r="F11465">
            <v>11</v>
          </cell>
        </row>
        <row r="11466">
          <cell r="A11466">
            <v>2019</v>
          </cell>
          <cell r="B11466" t="str">
            <v>Actual</v>
          </cell>
          <cell r="C11466" t="str">
            <v>Nov</v>
          </cell>
          <cell r="D11466" t="str">
            <v>Chairs</v>
          </cell>
          <cell r="E11466">
            <v>562498.65700000001</v>
          </cell>
          <cell r="F11466">
            <v>11</v>
          </cell>
        </row>
        <row r="11467">
          <cell r="A11467">
            <v>2018</v>
          </cell>
          <cell r="B11467" t="str">
            <v>Budget</v>
          </cell>
          <cell r="C11467" t="str">
            <v>Nov</v>
          </cell>
          <cell r="D11467" t="str">
            <v>Chairs</v>
          </cell>
          <cell r="E11467">
            <v>801813.26399999997</v>
          </cell>
          <cell r="F11467">
            <v>11</v>
          </cell>
        </row>
        <row r="11468">
          <cell r="A11468">
            <v>2019</v>
          </cell>
          <cell r="B11468" t="str">
            <v>Actual</v>
          </cell>
          <cell r="C11468" t="str">
            <v>Nov</v>
          </cell>
          <cell r="D11468" t="str">
            <v>Chairs</v>
          </cell>
          <cell r="E11468">
            <v>122617.72599999998</v>
          </cell>
          <cell r="F11468">
            <v>11</v>
          </cell>
        </row>
        <row r="11469">
          <cell r="A11469">
            <v>2018</v>
          </cell>
          <cell r="B11469" t="str">
            <v>Budget</v>
          </cell>
          <cell r="C11469" t="str">
            <v>Nov</v>
          </cell>
          <cell r="D11469" t="str">
            <v>Chairs</v>
          </cell>
          <cell r="E11469">
            <v>88956.406000000003</v>
          </cell>
          <cell r="F11469">
            <v>11</v>
          </cell>
        </row>
        <row r="11470">
          <cell r="A11470">
            <v>2018</v>
          </cell>
          <cell r="B11470" t="str">
            <v>Actual</v>
          </cell>
          <cell r="C11470" t="str">
            <v>Nov</v>
          </cell>
          <cell r="D11470" t="str">
            <v>Chairs</v>
          </cell>
          <cell r="E11470">
            <v>1061957.2879999999</v>
          </cell>
          <cell r="F11470">
            <v>11</v>
          </cell>
        </row>
        <row r="11471">
          <cell r="A11471">
            <v>2019</v>
          </cell>
          <cell r="B11471" t="str">
            <v>Budget</v>
          </cell>
          <cell r="C11471" t="str">
            <v>Nov</v>
          </cell>
          <cell r="D11471" t="str">
            <v>Chairs</v>
          </cell>
          <cell r="E11471">
            <v>26969.509000000002</v>
          </cell>
          <cell r="F11471">
            <v>11</v>
          </cell>
        </row>
        <row r="11472">
          <cell r="A11472">
            <v>2019</v>
          </cell>
          <cell r="B11472" t="str">
            <v>Actual</v>
          </cell>
          <cell r="C11472" t="str">
            <v>Nov</v>
          </cell>
          <cell r="D11472" t="str">
            <v>Chairs</v>
          </cell>
          <cell r="E11472">
            <v>26111.253000000001</v>
          </cell>
          <cell r="F11472">
            <v>11</v>
          </cell>
        </row>
        <row r="11473">
          <cell r="A11473">
            <v>2019</v>
          </cell>
          <cell r="B11473" t="str">
            <v>Budget</v>
          </cell>
          <cell r="C11473" t="str">
            <v>Nov</v>
          </cell>
          <cell r="D11473" t="str">
            <v>Chairs</v>
          </cell>
          <cell r="E11473">
            <v>762931.5469999999</v>
          </cell>
          <cell r="F11473">
            <v>11</v>
          </cell>
        </row>
        <row r="11474">
          <cell r="A11474">
            <v>2019</v>
          </cell>
          <cell r="B11474" t="str">
            <v>Actual</v>
          </cell>
          <cell r="C11474" t="str">
            <v>Nov</v>
          </cell>
          <cell r="D11474" t="str">
            <v>Chairs</v>
          </cell>
          <cell r="E11474">
            <v>489626.97699999996</v>
          </cell>
          <cell r="F11474">
            <v>11</v>
          </cell>
        </row>
        <row r="11475">
          <cell r="A11475">
            <v>2018</v>
          </cell>
          <cell r="B11475" t="str">
            <v>Budget</v>
          </cell>
          <cell r="C11475" t="str">
            <v>Nov</v>
          </cell>
          <cell r="D11475" t="str">
            <v>Chairs</v>
          </cell>
          <cell r="E11475">
            <v>125747.53799999999</v>
          </cell>
          <cell r="F11475">
            <v>11</v>
          </cell>
        </row>
        <row r="11476">
          <cell r="A11476">
            <v>2018</v>
          </cell>
          <cell r="B11476" t="str">
            <v>Actual</v>
          </cell>
          <cell r="C11476" t="str">
            <v>Nov</v>
          </cell>
          <cell r="D11476" t="str">
            <v>Chairs</v>
          </cell>
          <cell r="E11476">
            <v>48019.152999999991</v>
          </cell>
          <cell r="F11476">
            <v>11</v>
          </cell>
        </row>
        <row r="11477">
          <cell r="A11477">
            <v>2018</v>
          </cell>
          <cell r="B11477" t="str">
            <v>Budget</v>
          </cell>
          <cell r="C11477" t="str">
            <v>Nov</v>
          </cell>
          <cell r="D11477" t="str">
            <v>Chairs</v>
          </cell>
          <cell r="E11477">
            <v>63694.070999999996</v>
          </cell>
          <cell r="F11477">
            <v>11</v>
          </cell>
        </row>
        <row r="11478">
          <cell r="A11478">
            <v>2018</v>
          </cell>
          <cell r="B11478" t="str">
            <v>Actual</v>
          </cell>
          <cell r="C11478" t="str">
            <v>Nov</v>
          </cell>
          <cell r="D11478" t="str">
            <v>Chairs</v>
          </cell>
          <cell r="E11478">
            <v>269138.09299999999</v>
          </cell>
          <cell r="F11478">
            <v>11</v>
          </cell>
        </row>
        <row r="11479">
          <cell r="A11479">
            <v>2018</v>
          </cell>
          <cell r="B11479" t="str">
            <v>Budget</v>
          </cell>
          <cell r="C11479" t="str">
            <v>Nov</v>
          </cell>
          <cell r="D11479" t="str">
            <v>Chairs</v>
          </cell>
          <cell r="E11479">
            <v>401057.50300000003</v>
          </cell>
          <cell r="F11479">
            <v>11</v>
          </cell>
        </row>
        <row r="11480">
          <cell r="A11480">
            <v>2019</v>
          </cell>
          <cell r="B11480" t="str">
            <v>Actual</v>
          </cell>
          <cell r="C11480" t="str">
            <v>Nov</v>
          </cell>
          <cell r="D11480" t="str">
            <v>Chairs</v>
          </cell>
          <cell r="E11480">
            <v>39204.150999999998</v>
          </cell>
          <cell r="F11480">
            <v>11</v>
          </cell>
        </row>
        <row r="11481">
          <cell r="A11481">
            <v>2018</v>
          </cell>
          <cell r="B11481" t="str">
            <v>Budget</v>
          </cell>
          <cell r="C11481" t="str">
            <v>Nov</v>
          </cell>
          <cell r="D11481" t="str">
            <v>Chairs</v>
          </cell>
          <cell r="E11481">
            <v>319365.56400000001</v>
          </cell>
          <cell r="F11481">
            <v>11</v>
          </cell>
        </row>
        <row r="11482">
          <cell r="A11482">
            <v>2019</v>
          </cell>
          <cell r="B11482" t="str">
            <v>Actual</v>
          </cell>
          <cell r="C11482" t="str">
            <v>Nov</v>
          </cell>
          <cell r="D11482" t="str">
            <v>Chairs</v>
          </cell>
          <cell r="E11482">
            <v>249653.48800000001</v>
          </cell>
          <cell r="F11482">
            <v>11</v>
          </cell>
        </row>
        <row r="11483">
          <cell r="A11483">
            <v>2018</v>
          </cell>
          <cell r="B11483" t="str">
            <v>Budget</v>
          </cell>
          <cell r="C11483" t="str">
            <v>Nov</v>
          </cell>
          <cell r="D11483" t="str">
            <v>Chairs</v>
          </cell>
          <cell r="E11483">
            <v>565290.66299999994</v>
          </cell>
          <cell r="F11483">
            <v>11</v>
          </cell>
        </row>
        <row r="11484">
          <cell r="A11484">
            <v>2018</v>
          </cell>
          <cell r="B11484" t="str">
            <v>Actual</v>
          </cell>
          <cell r="C11484" t="str">
            <v>Nov</v>
          </cell>
          <cell r="D11484" t="str">
            <v>Chairs</v>
          </cell>
          <cell r="E11484">
            <v>669164.09</v>
          </cell>
          <cell r="F11484">
            <v>11</v>
          </cell>
        </row>
        <row r="11485">
          <cell r="A11485">
            <v>2019</v>
          </cell>
          <cell r="B11485" t="str">
            <v>Budget</v>
          </cell>
          <cell r="C11485" t="str">
            <v>Nov</v>
          </cell>
          <cell r="D11485" t="str">
            <v>Tables</v>
          </cell>
          <cell r="E11485">
            <v>575490.09699999995</v>
          </cell>
          <cell r="F11485">
            <v>11</v>
          </cell>
        </row>
        <row r="11486">
          <cell r="A11486">
            <v>2018</v>
          </cell>
          <cell r="B11486" t="str">
            <v>Actual</v>
          </cell>
          <cell r="C11486" t="str">
            <v>Nov</v>
          </cell>
          <cell r="D11486" t="str">
            <v>Kitchen</v>
          </cell>
          <cell r="E11486">
            <v>680047.09499999997</v>
          </cell>
          <cell r="F11486">
            <v>11</v>
          </cell>
        </row>
        <row r="11487">
          <cell r="A11487">
            <v>2018</v>
          </cell>
          <cell r="B11487" t="str">
            <v>Budget</v>
          </cell>
          <cell r="C11487" t="str">
            <v>Nov</v>
          </cell>
          <cell r="D11487" t="str">
            <v>Chairs</v>
          </cell>
          <cell r="E11487">
            <v>112227.64</v>
          </cell>
          <cell r="F11487">
            <v>11</v>
          </cell>
        </row>
        <row r="11488">
          <cell r="A11488">
            <v>2019</v>
          </cell>
          <cell r="B11488" t="str">
            <v>Actual</v>
          </cell>
          <cell r="C11488" t="str">
            <v>Nov</v>
          </cell>
          <cell r="D11488" t="str">
            <v>Chairs</v>
          </cell>
          <cell r="E11488">
            <v>939906.87</v>
          </cell>
          <cell r="F11488">
            <v>11</v>
          </cell>
        </row>
        <row r="11489">
          <cell r="A11489">
            <v>2019</v>
          </cell>
          <cell r="B11489" t="str">
            <v>Budget</v>
          </cell>
          <cell r="C11489" t="str">
            <v>Nov</v>
          </cell>
          <cell r="D11489" t="str">
            <v>Chairs</v>
          </cell>
          <cell r="E11489">
            <v>11126.618999999999</v>
          </cell>
          <cell r="F11489">
            <v>11</v>
          </cell>
        </row>
        <row r="11490">
          <cell r="A11490">
            <v>2018</v>
          </cell>
          <cell r="B11490" t="str">
            <v>Actual</v>
          </cell>
          <cell r="C11490" t="str">
            <v>Nov</v>
          </cell>
          <cell r="D11490" t="str">
            <v>Chairs</v>
          </cell>
          <cell r="E11490">
            <v>1813533.7779999999</v>
          </cell>
          <cell r="F11490">
            <v>11</v>
          </cell>
        </row>
        <row r="11491">
          <cell r="A11491">
            <v>2018</v>
          </cell>
          <cell r="B11491" t="str">
            <v>Budget</v>
          </cell>
          <cell r="C11491" t="str">
            <v>Nov</v>
          </cell>
          <cell r="D11491" t="str">
            <v>Chairs</v>
          </cell>
          <cell r="E11491">
            <v>284312.33599999995</v>
          </cell>
          <cell r="F11491">
            <v>11</v>
          </cell>
        </row>
        <row r="11492">
          <cell r="A11492">
            <v>2018</v>
          </cell>
          <cell r="B11492" t="str">
            <v>Actual</v>
          </cell>
          <cell r="C11492" t="str">
            <v>Nov</v>
          </cell>
          <cell r="D11492" t="str">
            <v>Tables</v>
          </cell>
          <cell r="E11492">
            <v>1481836.2019999998</v>
          </cell>
          <cell r="F11492">
            <v>11</v>
          </cell>
        </row>
        <row r="11493">
          <cell r="A11493">
            <v>2018</v>
          </cell>
          <cell r="B11493" t="str">
            <v>Budget</v>
          </cell>
          <cell r="C11493" t="str">
            <v>Nov</v>
          </cell>
          <cell r="D11493" t="str">
            <v>Kitchen</v>
          </cell>
          <cell r="E11493">
            <v>2874294.4439999997</v>
          </cell>
          <cell r="F11493">
            <v>11</v>
          </cell>
        </row>
        <row r="11494">
          <cell r="A11494">
            <v>2019</v>
          </cell>
          <cell r="B11494" t="str">
            <v>Actual</v>
          </cell>
          <cell r="C11494" t="str">
            <v>Nov</v>
          </cell>
          <cell r="D11494" t="str">
            <v>Chairs</v>
          </cell>
          <cell r="E11494">
            <v>20302.687999999998</v>
          </cell>
          <cell r="F11494">
            <v>11</v>
          </cell>
        </row>
        <row r="11495">
          <cell r="A11495">
            <v>2019</v>
          </cell>
          <cell r="B11495" t="str">
            <v>Budget</v>
          </cell>
          <cell r="C11495" t="str">
            <v>Nov</v>
          </cell>
          <cell r="D11495" t="str">
            <v>Chairs</v>
          </cell>
          <cell r="E11495">
            <v>217425.88699999996</v>
          </cell>
          <cell r="F11495">
            <v>11</v>
          </cell>
        </row>
        <row r="11496">
          <cell r="A11496">
            <v>2018</v>
          </cell>
          <cell r="B11496" t="str">
            <v>Actual</v>
          </cell>
          <cell r="C11496" t="str">
            <v>Nov</v>
          </cell>
          <cell r="D11496" t="str">
            <v>Chairs</v>
          </cell>
          <cell r="E11496">
            <v>1338553.9159999997</v>
          </cell>
          <cell r="F11496">
            <v>11</v>
          </cell>
        </row>
        <row r="11497">
          <cell r="A11497">
            <v>2018</v>
          </cell>
          <cell r="B11497" t="str">
            <v>Budget</v>
          </cell>
          <cell r="C11497" t="str">
            <v>Nov</v>
          </cell>
          <cell r="D11497" t="str">
            <v>Tables</v>
          </cell>
          <cell r="E11497">
            <v>473559.56900000002</v>
          </cell>
          <cell r="F11497">
            <v>11</v>
          </cell>
        </row>
        <row r="11498">
          <cell r="A11498">
            <v>2019</v>
          </cell>
          <cell r="B11498" t="str">
            <v>Actual</v>
          </cell>
          <cell r="C11498" t="str">
            <v>Nov</v>
          </cell>
          <cell r="D11498" t="str">
            <v>Kitchen</v>
          </cell>
          <cell r="E11498">
            <v>540570.79299999995</v>
          </cell>
          <cell r="F11498">
            <v>11</v>
          </cell>
        </row>
        <row r="11499">
          <cell r="A11499">
            <v>2019</v>
          </cell>
          <cell r="B11499" t="str">
            <v>Budget</v>
          </cell>
          <cell r="C11499" t="str">
            <v>Nov</v>
          </cell>
          <cell r="D11499" t="str">
            <v>Chairs</v>
          </cell>
          <cell r="E11499">
            <v>620801.49599999993</v>
          </cell>
          <cell r="F11499">
            <v>11</v>
          </cell>
        </row>
        <row r="11500">
          <cell r="A11500">
            <v>2019</v>
          </cell>
          <cell r="B11500" t="str">
            <v>Actual</v>
          </cell>
          <cell r="C11500" t="str">
            <v>Nov</v>
          </cell>
          <cell r="D11500" t="str">
            <v>Chairs</v>
          </cell>
          <cell r="E11500">
            <v>1096277.483</v>
          </cell>
          <cell r="F11500">
            <v>11</v>
          </cell>
        </row>
        <row r="11501">
          <cell r="A11501">
            <v>2018</v>
          </cell>
          <cell r="B11501" t="str">
            <v>Budget</v>
          </cell>
          <cell r="C11501" t="str">
            <v>Nov</v>
          </cell>
          <cell r="D11501" t="str">
            <v>Tables</v>
          </cell>
          <cell r="E11501">
            <v>337316.147</v>
          </cell>
          <cell r="F11501">
            <v>11</v>
          </cell>
        </row>
        <row r="11502">
          <cell r="A11502">
            <v>2019</v>
          </cell>
          <cell r="B11502" t="str">
            <v>Actual</v>
          </cell>
          <cell r="C11502" t="str">
            <v>Nov</v>
          </cell>
          <cell r="D11502" t="str">
            <v>Kitchen</v>
          </cell>
          <cell r="E11502">
            <v>314469.81999999995</v>
          </cell>
          <cell r="F11502">
            <v>11</v>
          </cell>
        </row>
        <row r="11503">
          <cell r="A11503">
            <v>2019</v>
          </cell>
          <cell r="B11503" t="str">
            <v>Budget</v>
          </cell>
          <cell r="C11503" t="str">
            <v>Nov</v>
          </cell>
          <cell r="D11503" t="str">
            <v>Chairs</v>
          </cell>
          <cell r="E11503">
            <v>125876.53399999999</v>
          </cell>
          <cell r="F11503">
            <v>11</v>
          </cell>
        </row>
        <row r="11504">
          <cell r="A11504">
            <v>2019</v>
          </cell>
          <cell r="B11504" t="str">
            <v>Actual</v>
          </cell>
          <cell r="C11504" t="str">
            <v>Nov</v>
          </cell>
          <cell r="D11504" t="str">
            <v>Chairs</v>
          </cell>
          <cell r="E11504">
            <v>307680.76500000001</v>
          </cell>
          <cell r="F11504">
            <v>11</v>
          </cell>
        </row>
        <row r="11505">
          <cell r="A11505">
            <v>2018</v>
          </cell>
          <cell r="B11505" t="str">
            <v>Budget</v>
          </cell>
          <cell r="C11505" t="str">
            <v>Nov</v>
          </cell>
          <cell r="D11505" t="str">
            <v>Chairs</v>
          </cell>
          <cell r="E11505">
            <v>373675.38599999994</v>
          </cell>
          <cell r="F11505">
            <v>11</v>
          </cell>
        </row>
        <row r="11506">
          <cell r="A11506">
            <v>2019</v>
          </cell>
          <cell r="B11506" t="str">
            <v>Actual</v>
          </cell>
          <cell r="C11506" t="str">
            <v>Nov</v>
          </cell>
          <cell r="D11506" t="str">
            <v>Tables</v>
          </cell>
          <cell r="E11506">
            <v>718774.39899999998</v>
          </cell>
          <cell r="F11506">
            <v>11</v>
          </cell>
        </row>
        <row r="11507">
          <cell r="A11507">
            <v>2018</v>
          </cell>
          <cell r="B11507" t="str">
            <v>Budget</v>
          </cell>
          <cell r="C11507" t="str">
            <v>Nov</v>
          </cell>
          <cell r="D11507" t="str">
            <v>Kitchen</v>
          </cell>
          <cell r="E11507">
            <v>103621.48299999999</v>
          </cell>
          <cell r="F11507">
            <v>11</v>
          </cell>
        </row>
        <row r="11508">
          <cell r="A11508">
            <v>2018</v>
          </cell>
          <cell r="B11508" t="str">
            <v>Actual</v>
          </cell>
          <cell r="C11508" t="str">
            <v>Nov</v>
          </cell>
          <cell r="D11508" t="str">
            <v>Accessories</v>
          </cell>
          <cell r="E11508">
            <v>59561.683999999994</v>
          </cell>
          <cell r="F11508">
            <v>11</v>
          </cell>
        </row>
        <row r="11509">
          <cell r="A11509">
            <v>2019</v>
          </cell>
          <cell r="B11509" t="str">
            <v>Budget</v>
          </cell>
          <cell r="C11509" t="str">
            <v>Nov</v>
          </cell>
          <cell r="D11509" t="str">
            <v>Chairs</v>
          </cell>
          <cell r="E11509">
            <v>26404.756000000001</v>
          </cell>
          <cell r="F11509">
            <v>11</v>
          </cell>
        </row>
        <row r="11510">
          <cell r="A11510">
            <v>2018</v>
          </cell>
          <cell r="B11510" t="str">
            <v>Actual</v>
          </cell>
          <cell r="C11510" t="str">
            <v>Nov</v>
          </cell>
          <cell r="D11510" t="str">
            <v>Tables</v>
          </cell>
          <cell r="E11510">
            <v>41735.616999999998</v>
          </cell>
          <cell r="F11510">
            <v>11</v>
          </cell>
        </row>
        <row r="11511">
          <cell r="A11511">
            <v>2018</v>
          </cell>
          <cell r="B11511" t="str">
            <v>Budget</v>
          </cell>
          <cell r="C11511" t="str">
            <v>Nov</v>
          </cell>
          <cell r="D11511" t="str">
            <v>Kitchen</v>
          </cell>
          <cell r="E11511">
            <v>642988.99699999997</v>
          </cell>
          <cell r="F11511">
            <v>11</v>
          </cell>
        </row>
        <row r="11512">
          <cell r="A11512">
            <v>2018</v>
          </cell>
          <cell r="B11512" t="str">
            <v>Actual</v>
          </cell>
          <cell r="C11512" t="str">
            <v>Nov</v>
          </cell>
          <cell r="D11512" t="str">
            <v>Accessories</v>
          </cell>
          <cell r="E11512">
            <v>33442.485999999997</v>
          </cell>
          <cell r="F11512">
            <v>11</v>
          </cell>
        </row>
        <row r="11513">
          <cell r="A11513">
            <v>2018</v>
          </cell>
          <cell r="B11513" t="str">
            <v>Budget</v>
          </cell>
          <cell r="C11513" t="str">
            <v>Nov</v>
          </cell>
          <cell r="D11513" t="str">
            <v>Chairs</v>
          </cell>
          <cell r="E11513">
            <v>1129761.1359999999</v>
          </cell>
          <cell r="F11513">
            <v>11</v>
          </cell>
        </row>
        <row r="11514">
          <cell r="A11514">
            <v>2019</v>
          </cell>
          <cell r="B11514" t="str">
            <v>Actual</v>
          </cell>
          <cell r="C11514" t="str">
            <v>Nov</v>
          </cell>
          <cell r="D11514" t="str">
            <v>Tables</v>
          </cell>
          <cell r="E11514">
            <v>185450.783</v>
          </cell>
          <cell r="F11514">
            <v>11</v>
          </cell>
        </row>
        <row r="11515">
          <cell r="A11515">
            <v>2018</v>
          </cell>
          <cell r="B11515" t="str">
            <v>Budget</v>
          </cell>
          <cell r="C11515" t="str">
            <v>Nov</v>
          </cell>
          <cell r="D11515" t="str">
            <v>Kitchen</v>
          </cell>
          <cell r="E11515">
            <v>149859.77299999999</v>
          </cell>
          <cell r="F11515">
            <v>11</v>
          </cell>
        </row>
        <row r="11516">
          <cell r="A11516">
            <v>2018</v>
          </cell>
          <cell r="B11516" t="str">
            <v>Actual</v>
          </cell>
          <cell r="C11516" t="str">
            <v>Nov</v>
          </cell>
          <cell r="D11516" t="str">
            <v>Accessories</v>
          </cell>
          <cell r="E11516">
            <v>419882.96</v>
          </cell>
          <cell r="F11516">
            <v>11</v>
          </cell>
        </row>
        <row r="11517">
          <cell r="A11517">
            <v>2019</v>
          </cell>
          <cell r="B11517" t="str">
            <v>Budget</v>
          </cell>
          <cell r="C11517" t="str">
            <v>Nov</v>
          </cell>
          <cell r="D11517" t="str">
            <v>Chairs</v>
          </cell>
          <cell r="E11517">
            <v>1154070.379</v>
          </cell>
          <cell r="F11517">
            <v>11</v>
          </cell>
        </row>
        <row r="11518">
          <cell r="A11518">
            <v>2019</v>
          </cell>
          <cell r="B11518" t="str">
            <v>Actual</v>
          </cell>
          <cell r="C11518" t="str">
            <v>Nov</v>
          </cell>
          <cell r="D11518" t="str">
            <v>Tables</v>
          </cell>
          <cell r="E11518">
            <v>565060.51699999999</v>
          </cell>
          <cell r="F11518">
            <v>11</v>
          </cell>
        </row>
        <row r="11519">
          <cell r="A11519">
            <v>2018</v>
          </cell>
          <cell r="B11519" t="str">
            <v>Budget</v>
          </cell>
          <cell r="C11519" t="str">
            <v>Nov</v>
          </cell>
          <cell r="D11519" t="str">
            <v>Kitchen</v>
          </cell>
          <cell r="E11519">
            <v>230468.91699999999</v>
          </cell>
          <cell r="F11519">
            <v>11</v>
          </cell>
        </row>
        <row r="11520">
          <cell r="A11520">
            <v>2019</v>
          </cell>
          <cell r="B11520" t="str">
            <v>Actual</v>
          </cell>
          <cell r="C11520" t="str">
            <v>Nov</v>
          </cell>
          <cell r="D11520" t="str">
            <v>Accessories</v>
          </cell>
          <cell r="E11520">
            <v>75105.827999999994</v>
          </cell>
          <cell r="F11520">
            <v>11</v>
          </cell>
        </row>
        <row r="11521">
          <cell r="A11521">
            <v>2019</v>
          </cell>
          <cell r="B11521" t="str">
            <v>Budget</v>
          </cell>
          <cell r="C11521" t="str">
            <v>Nov</v>
          </cell>
          <cell r="D11521" t="str">
            <v>Chairs</v>
          </cell>
          <cell r="E11521">
            <v>205050.46799999999</v>
          </cell>
          <cell r="F11521">
            <v>11</v>
          </cell>
        </row>
        <row r="11522">
          <cell r="A11522">
            <v>2019</v>
          </cell>
          <cell r="B11522" t="str">
            <v>Actual</v>
          </cell>
          <cell r="C11522" t="str">
            <v>Nov</v>
          </cell>
          <cell r="D11522" t="str">
            <v>Chairs</v>
          </cell>
          <cell r="E11522">
            <v>97986.119000000006</v>
          </cell>
          <cell r="F11522">
            <v>11</v>
          </cell>
        </row>
        <row r="11523">
          <cell r="A11523">
            <v>2019</v>
          </cell>
          <cell r="B11523" t="str">
            <v>Budget</v>
          </cell>
          <cell r="C11523" t="str">
            <v>Nov</v>
          </cell>
          <cell r="D11523" t="str">
            <v>Tables</v>
          </cell>
          <cell r="E11523">
            <v>240140.97799999997</v>
          </cell>
          <cell r="F11523">
            <v>11</v>
          </cell>
        </row>
        <row r="11524">
          <cell r="A11524">
            <v>2018</v>
          </cell>
          <cell r="B11524" t="str">
            <v>Actual</v>
          </cell>
          <cell r="C11524" t="str">
            <v>Nov</v>
          </cell>
          <cell r="D11524" t="str">
            <v>Kitchen</v>
          </cell>
          <cell r="E11524">
            <v>176139.58600000001</v>
          </cell>
          <cell r="F11524">
            <v>11</v>
          </cell>
        </row>
        <row r="11525">
          <cell r="A11525">
            <v>2019</v>
          </cell>
          <cell r="B11525" t="str">
            <v>Budget</v>
          </cell>
          <cell r="C11525" t="str">
            <v>Nov</v>
          </cell>
          <cell r="D11525" t="str">
            <v>Chairs</v>
          </cell>
          <cell r="E11525">
            <v>120551.48699999999</v>
          </cell>
          <cell r="F11525">
            <v>11</v>
          </cell>
        </row>
        <row r="11526">
          <cell r="A11526">
            <v>2019</v>
          </cell>
          <cell r="B11526" t="str">
            <v>Actual</v>
          </cell>
          <cell r="C11526" t="str">
            <v>Nov</v>
          </cell>
          <cell r="D11526" t="str">
            <v>Tables</v>
          </cell>
          <cell r="E11526">
            <v>37941.651999999995</v>
          </cell>
          <cell r="F11526">
            <v>11</v>
          </cell>
        </row>
        <row r="11527">
          <cell r="A11527">
            <v>2018</v>
          </cell>
          <cell r="B11527" t="str">
            <v>Budget</v>
          </cell>
          <cell r="C11527" t="str">
            <v>Nov</v>
          </cell>
          <cell r="D11527" t="str">
            <v>Kitchen</v>
          </cell>
          <cell r="E11527">
            <v>827934.92599999986</v>
          </cell>
          <cell r="F11527">
            <v>11</v>
          </cell>
        </row>
        <row r="11528">
          <cell r="A11528">
            <v>2019</v>
          </cell>
          <cell r="B11528" t="str">
            <v>Actual</v>
          </cell>
          <cell r="C11528" t="str">
            <v>Nov</v>
          </cell>
          <cell r="D11528" t="str">
            <v>Chairs</v>
          </cell>
          <cell r="E11528">
            <v>3974406.6319999998</v>
          </cell>
          <cell r="F11528">
            <v>11</v>
          </cell>
        </row>
        <row r="11529">
          <cell r="A11529">
            <v>2018</v>
          </cell>
          <cell r="B11529" t="str">
            <v>Budget</v>
          </cell>
          <cell r="C11529" t="str">
            <v>Nov</v>
          </cell>
          <cell r="D11529" t="str">
            <v>Tables</v>
          </cell>
          <cell r="E11529">
            <v>179986.24699999997</v>
          </cell>
          <cell r="F11529">
            <v>11</v>
          </cell>
        </row>
        <row r="11530">
          <cell r="A11530">
            <v>2019</v>
          </cell>
          <cell r="B11530" t="str">
            <v>Actual</v>
          </cell>
          <cell r="C11530" t="str">
            <v>Nov</v>
          </cell>
          <cell r="D11530" t="str">
            <v>Kitchen</v>
          </cell>
          <cell r="E11530">
            <v>713469.41399999999</v>
          </cell>
          <cell r="F11530">
            <v>11</v>
          </cell>
        </row>
        <row r="11531">
          <cell r="A11531">
            <v>2019</v>
          </cell>
          <cell r="B11531" t="str">
            <v>Budget</v>
          </cell>
          <cell r="C11531" t="str">
            <v>Nov</v>
          </cell>
          <cell r="D11531" t="str">
            <v>Chairs</v>
          </cell>
          <cell r="E11531">
            <v>602762.98599999992</v>
          </cell>
          <cell r="F11531">
            <v>11</v>
          </cell>
        </row>
        <row r="11532">
          <cell r="A11532">
            <v>2018</v>
          </cell>
          <cell r="B11532" t="str">
            <v>Actual</v>
          </cell>
          <cell r="C11532" t="str">
            <v>Nov</v>
          </cell>
          <cell r="D11532" t="str">
            <v>Chairs</v>
          </cell>
          <cell r="E11532">
            <v>15353.127999999999</v>
          </cell>
          <cell r="F11532">
            <v>11</v>
          </cell>
        </row>
        <row r="11533">
          <cell r="A11533">
            <v>2019</v>
          </cell>
          <cell r="B11533" t="str">
            <v>Budget</v>
          </cell>
          <cell r="C11533" t="str">
            <v>Nov</v>
          </cell>
          <cell r="D11533" t="str">
            <v>Chairs</v>
          </cell>
          <cell r="E11533">
            <v>1113275.8979999998</v>
          </cell>
          <cell r="F11533">
            <v>11</v>
          </cell>
        </row>
        <row r="11534">
          <cell r="A11534">
            <v>2019</v>
          </cell>
          <cell r="B11534" t="str">
            <v>Actual</v>
          </cell>
          <cell r="C11534" t="str">
            <v>Nov</v>
          </cell>
          <cell r="D11534" t="str">
            <v>Chairs</v>
          </cell>
          <cell r="E11534">
            <v>943824.88899999997</v>
          </cell>
          <cell r="F11534">
            <v>11</v>
          </cell>
        </row>
        <row r="11535">
          <cell r="A11535">
            <v>2018</v>
          </cell>
          <cell r="B11535" t="str">
            <v>Budget</v>
          </cell>
          <cell r="C11535" t="str">
            <v>Nov</v>
          </cell>
          <cell r="D11535" t="str">
            <v>Chairs</v>
          </cell>
          <cell r="E11535">
            <v>3975612.9419999993</v>
          </cell>
          <cell r="F11535">
            <v>11</v>
          </cell>
        </row>
        <row r="11536">
          <cell r="A11536">
            <v>2018</v>
          </cell>
          <cell r="B11536" t="str">
            <v>Actual</v>
          </cell>
          <cell r="C11536" t="str">
            <v>Nov</v>
          </cell>
          <cell r="D11536" t="str">
            <v>Chairs</v>
          </cell>
          <cell r="E11536">
            <v>1033364.8009999999</v>
          </cell>
          <cell r="F11536">
            <v>11</v>
          </cell>
        </row>
        <row r="11537">
          <cell r="A11537">
            <v>2019</v>
          </cell>
          <cell r="B11537" t="str">
            <v>Budget</v>
          </cell>
          <cell r="C11537" t="str">
            <v>Nov</v>
          </cell>
          <cell r="D11537" t="str">
            <v>Chairs</v>
          </cell>
          <cell r="E11537">
            <v>939758.05699999991</v>
          </cell>
          <cell r="F11537">
            <v>11</v>
          </cell>
        </row>
        <row r="11538">
          <cell r="A11538">
            <v>2019</v>
          </cell>
          <cell r="B11538" t="str">
            <v>Actual</v>
          </cell>
          <cell r="C11538" t="str">
            <v>Nov</v>
          </cell>
          <cell r="D11538" t="str">
            <v>Chairs</v>
          </cell>
          <cell r="E11538">
            <v>689009.39099999995</v>
          </cell>
          <cell r="F11538">
            <v>11</v>
          </cell>
        </row>
        <row r="11539">
          <cell r="A11539">
            <v>2018</v>
          </cell>
          <cell r="B11539" t="str">
            <v>Budget</v>
          </cell>
          <cell r="C11539" t="str">
            <v>Nov</v>
          </cell>
          <cell r="D11539" t="str">
            <v>Chairs</v>
          </cell>
          <cell r="E11539">
            <v>74333.510999999999</v>
          </cell>
          <cell r="F11539">
            <v>11</v>
          </cell>
        </row>
        <row r="11540">
          <cell r="A11540">
            <v>2018</v>
          </cell>
          <cell r="B11540" t="str">
            <v>Actual</v>
          </cell>
          <cell r="C11540" t="str">
            <v>Nov</v>
          </cell>
          <cell r="D11540" t="str">
            <v>Chairs</v>
          </cell>
          <cell r="E11540">
            <v>-64890.462</v>
          </cell>
          <cell r="F11540">
            <v>11</v>
          </cell>
        </row>
        <row r="11541">
          <cell r="A11541">
            <v>2018</v>
          </cell>
          <cell r="B11541" t="str">
            <v>Budget</v>
          </cell>
          <cell r="C11541" t="str">
            <v>Nov</v>
          </cell>
          <cell r="D11541" t="str">
            <v>Chairs</v>
          </cell>
          <cell r="E11541">
            <v>1673109.4939999999</v>
          </cell>
          <cell r="F11541">
            <v>11</v>
          </cell>
        </row>
        <row r="11542">
          <cell r="A11542">
            <v>2018</v>
          </cell>
          <cell r="B11542" t="str">
            <v>Actual</v>
          </cell>
          <cell r="C11542" t="str">
            <v>Nov</v>
          </cell>
          <cell r="D11542" t="str">
            <v>Chairs</v>
          </cell>
          <cell r="E11542">
            <v>1145006.821</v>
          </cell>
          <cell r="F11542">
            <v>11</v>
          </cell>
        </row>
        <row r="11543">
          <cell r="A11543">
            <v>2018</v>
          </cell>
          <cell r="B11543" t="str">
            <v>Budget</v>
          </cell>
          <cell r="C11543" t="str">
            <v>Nov</v>
          </cell>
          <cell r="D11543" t="str">
            <v>Chairs</v>
          </cell>
          <cell r="E11543">
            <v>1285058.5929999999</v>
          </cell>
          <cell r="F11543">
            <v>11</v>
          </cell>
        </row>
        <row r="11544">
          <cell r="A11544">
            <v>2018</v>
          </cell>
          <cell r="B11544" t="str">
            <v>Actual</v>
          </cell>
          <cell r="C11544" t="str">
            <v>Nov</v>
          </cell>
          <cell r="D11544" t="str">
            <v>Chairs</v>
          </cell>
          <cell r="E11544">
            <v>1487566.1849999998</v>
          </cell>
          <cell r="F11544">
            <v>11</v>
          </cell>
        </row>
        <row r="11545">
          <cell r="A11545">
            <v>2018</v>
          </cell>
          <cell r="B11545" t="str">
            <v>Budget</v>
          </cell>
          <cell r="C11545" t="str">
            <v>Nov</v>
          </cell>
          <cell r="D11545" t="str">
            <v>Chairs</v>
          </cell>
          <cell r="E11545">
            <v>1104417.7479999999</v>
          </cell>
          <cell r="F11545">
            <v>11</v>
          </cell>
        </row>
        <row r="11546">
          <cell r="A11546">
            <v>2018</v>
          </cell>
          <cell r="B11546" t="str">
            <v>Actual</v>
          </cell>
          <cell r="C11546" t="str">
            <v>Nov</v>
          </cell>
          <cell r="D11546" t="str">
            <v>Chairs</v>
          </cell>
          <cell r="E11546">
            <v>977308.13599999994</v>
          </cell>
          <cell r="F11546">
            <v>11</v>
          </cell>
        </row>
        <row r="11547">
          <cell r="A11547">
            <v>2018</v>
          </cell>
          <cell r="B11547" t="str">
            <v>Budget</v>
          </cell>
          <cell r="C11547" t="str">
            <v>Nov</v>
          </cell>
          <cell r="D11547" t="str">
            <v>Chairs</v>
          </cell>
          <cell r="E11547">
            <v>1900703.5109999999</v>
          </cell>
          <cell r="F11547">
            <v>11</v>
          </cell>
        </row>
        <row r="11548">
          <cell r="A11548">
            <v>2018</v>
          </cell>
          <cell r="B11548" t="str">
            <v>Actual</v>
          </cell>
          <cell r="C11548" t="str">
            <v>Nov</v>
          </cell>
          <cell r="D11548" t="str">
            <v>Chairs</v>
          </cell>
          <cell r="E11548">
            <v>6207423.7470000004</v>
          </cell>
          <cell r="F11548">
            <v>11</v>
          </cell>
        </row>
        <row r="11549">
          <cell r="A11549">
            <v>2019</v>
          </cell>
          <cell r="B11549" t="str">
            <v>Budget</v>
          </cell>
          <cell r="C11549" t="str">
            <v>Nov</v>
          </cell>
          <cell r="D11549" t="str">
            <v>Chairs</v>
          </cell>
          <cell r="E11549">
            <v>306531.00099999999</v>
          </cell>
          <cell r="F11549">
            <v>11</v>
          </cell>
        </row>
        <row r="11550">
          <cell r="A11550">
            <v>2019</v>
          </cell>
          <cell r="B11550" t="str">
            <v>Actual</v>
          </cell>
          <cell r="C11550" t="str">
            <v>Nov</v>
          </cell>
          <cell r="D11550" t="str">
            <v>Chairs</v>
          </cell>
          <cell r="E11550">
            <v>68128.927999999985</v>
          </cell>
          <cell r="F11550">
            <v>11</v>
          </cell>
        </row>
        <row r="11551">
          <cell r="A11551">
            <v>2018</v>
          </cell>
          <cell r="B11551" t="str">
            <v>Budget</v>
          </cell>
          <cell r="C11551" t="str">
            <v>Nov</v>
          </cell>
          <cell r="D11551" t="str">
            <v>Chairs</v>
          </cell>
          <cell r="E11551">
            <v>869086.26</v>
          </cell>
          <cell r="F11551">
            <v>11</v>
          </cell>
        </row>
        <row r="11552">
          <cell r="A11552">
            <v>2019</v>
          </cell>
          <cell r="B11552" t="str">
            <v>Actual</v>
          </cell>
          <cell r="C11552" t="str">
            <v>Nov</v>
          </cell>
          <cell r="D11552" t="str">
            <v>Chairs</v>
          </cell>
          <cell r="E11552">
            <v>230275.48599999998</v>
          </cell>
          <cell r="F11552">
            <v>11</v>
          </cell>
        </row>
        <row r="11553">
          <cell r="A11553">
            <v>2019</v>
          </cell>
          <cell r="B11553" t="str">
            <v>Budget</v>
          </cell>
          <cell r="C11553" t="str">
            <v>Nov</v>
          </cell>
          <cell r="D11553" t="str">
            <v>Chairs</v>
          </cell>
          <cell r="E11553">
            <v>17370121.628999997</v>
          </cell>
          <cell r="F11553">
            <v>11</v>
          </cell>
        </row>
        <row r="11554">
          <cell r="A11554">
            <v>2018</v>
          </cell>
          <cell r="B11554" t="str">
            <v>Actual</v>
          </cell>
          <cell r="C11554" t="str">
            <v>Nov</v>
          </cell>
          <cell r="D11554" t="str">
            <v>Chairs</v>
          </cell>
          <cell r="E11554">
            <v>890110.12299999991</v>
          </cell>
          <cell r="F11554">
            <v>11</v>
          </cell>
        </row>
        <row r="11555">
          <cell r="A11555">
            <v>2018</v>
          </cell>
          <cell r="B11555" t="str">
            <v>Budget</v>
          </cell>
          <cell r="C11555" t="str">
            <v>Nov</v>
          </cell>
          <cell r="D11555" t="str">
            <v>Chairs</v>
          </cell>
          <cell r="E11555">
            <v>421200.43699999998</v>
          </cell>
          <cell r="F11555">
            <v>11</v>
          </cell>
        </row>
        <row r="11556">
          <cell r="A11556">
            <v>2019</v>
          </cell>
          <cell r="B11556" t="str">
            <v>Actual</v>
          </cell>
          <cell r="C11556" t="str">
            <v>Nov</v>
          </cell>
          <cell r="D11556" t="str">
            <v>Chairs</v>
          </cell>
          <cell r="E11556">
            <v>1913745.7569999998</v>
          </cell>
          <cell r="F11556">
            <v>11</v>
          </cell>
        </row>
        <row r="11557">
          <cell r="A11557">
            <v>2018</v>
          </cell>
          <cell r="B11557" t="str">
            <v>Budget</v>
          </cell>
          <cell r="C11557" t="str">
            <v>Nov</v>
          </cell>
          <cell r="D11557" t="str">
            <v>Tables</v>
          </cell>
          <cell r="E11557">
            <v>1693595.939</v>
          </cell>
          <cell r="F11557">
            <v>11</v>
          </cell>
        </row>
        <row r="11558">
          <cell r="A11558">
            <v>2018</v>
          </cell>
          <cell r="B11558" t="str">
            <v>Actual</v>
          </cell>
          <cell r="C11558" t="str">
            <v>Nov</v>
          </cell>
          <cell r="D11558" t="str">
            <v>Kitchen</v>
          </cell>
          <cell r="E11558">
            <v>2883992.517</v>
          </cell>
          <cell r="F11558">
            <v>11</v>
          </cell>
        </row>
        <row r="11559">
          <cell r="A11559">
            <v>2018</v>
          </cell>
          <cell r="B11559" t="str">
            <v>Budget</v>
          </cell>
          <cell r="C11559" t="str">
            <v>Nov</v>
          </cell>
          <cell r="D11559" t="str">
            <v>Chairs</v>
          </cell>
          <cell r="E11559">
            <v>127869.93099999998</v>
          </cell>
          <cell r="F11559">
            <v>11</v>
          </cell>
        </row>
        <row r="11560">
          <cell r="A11560">
            <v>2018</v>
          </cell>
          <cell r="B11560" t="str">
            <v>Actual</v>
          </cell>
          <cell r="C11560" t="str">
            <v>Nov</v>
          </cell>
          <cell r="D11560" t="str">
            <v>Chairs</v>
          </cell>
          <cell r="E11560">
            <v>2593301.0109999999</v>
          </cell>
          <cell r="F11560">
            <v>11</v>
          </cell>
        </row>
        <row r="11561">
          <cell r="A11561">
            <v>2018</v>
          </cell>
          <cell r="B11561" t="str">
            <v>Budget</v>
          </cell>
          <cell r="C11561" t="str">
            <v>Nov</v>
          </cell>
          <cell r="D11561" t="str">
            <v>Chairs</v>
          </cell>
          <cell r="E11561">
            <v>5030698.75</v>
          </cell>
          <cell r="F11561">
            <v>11</v>
          </cell>
        </row>
        <row r="11562">
          <cell r="A11562">
            <v>2018</v>
          </cell>
          <cell r="B11562" t="str">
            <v>Actual</v>
          </cell>
          <cell r="C11562" t="str">
            <v>Nov</v>
          </cell>
          <cell r="D11562" t="str">
            <v>Chairs</v>
          </cell>
          <cell r="E11562">
            <v>1824181.3659999999</v>
          </cell>
          <cell r="F11562">
            <v>11</v>
          </cell>
        </row>
        <row r="11563">
          <cell r="A11563">
            <v>2019</v>
          </cell>
          <cell r="B11563" t="str">
            <v>Budget</v>
          </cell>
          <cell r="C11563" t="str">
            <v>Nov</v>
          </cell>
          <cell r="D11563" t="str">
            <v>Chairs</v>
          </cell>
          <cell r="E11563">
            <v>517381.52899999992</v>
          </cell>
          <cell r="F11563">
            <v>11</v>
          </cell>
        </row>
        <row r="11564">
          <cell r="A11564">
            <v>2018</v>
          </cell>
          <cell r="B11564" t="str">
            <v>Actual</v>
          </cell>
          <cell r="C11564" t="str">
            <v>Nov</v>
          </cell>
          <cell r="D11564" t="str">
            <v>Tables</v>
          </cell>
          <cell r="E11564">
            <v>338388.946</v>
          </cell>
          <cell r="F11564">
            <v>11</v>
          </cell>
        </row>
        <row r="11565">
          <cell r="A11565">
            <v>2019</v>
          </cell>
          <cell r="B11565" t="str">
            <v>Budget</v>
          </cell>
          <cell r="C11565" t="str">
            <v>Nov</v>
          </cell>
          <cell r="D11565" t="str">
            <v>Kitchen</v>
          </cell>
          <cell r="E11565">
            <v>885455.10900000005</v>
          </cell>
          <cell r="F11565">
            <v>11</v>
          </cell>
        </row>
        <row r="11566">
          <cell r="A11566">
            <v>2019</v>
          </cell>
          <cell r="B11566" t="str">
            <v>Actual</v>
          </cell>
          <cell r="C11566" t="str">
            <v>Nov</v>
          </cell>
          <cell r="D11566" t="str">
            <v>Chairs</v>
          </cell>
          <cell r="E11566">
            <v>577221.61699999997</v>
          </cell>
          <cell r="F11566">
            <v>11</v>
          </cell>
        </row>
        <row r="11567">
          <cell r="A11567">
            <v>2018</v>
          </cell>
          <cell r="B11567" t="str">
            <v>Budget</v>
          </cell>
          <cell r="C11567" t="str">
            <v>Nov</v>
          </cell>
          <cell r="D11567" t="str">
            <v>Chairs</v>
          </cell>
          <cell r="E11567">
            <v>2696160.6769999997</v>
          </cell>
          <cell r="F11567">
            <v>11</v>
          </cell>
        </row>
        <row r="11568">
          <cell r="A11568">
            <v>2019</v>
          </cell>
          <cell r="B11568" t="str">
            <v>Actual</v>
          </cell>
          <cell r="C11568" t="str">
            <v>Nov</v>
          </cell>
          <cell r="D11568" t="str">
            <v>Chairs</v>
          </cell>
          <cell r="E11568">
            <v>225871.226</v>
          </cell>
          <cell r="F11568">
            <v>11</v>
          </cell>
        </row>
        <row r="11569">
          <cell r="A11569">
            <v>2019</v>
          </cell>
          <cell r="B11569" t="str">
            <v>Budget</v>
          </cell>
          <cell r="C11569" t="str">
            <v>Nov</v>
          </cell>
          <cell r="D11569" t="str">
            <v>Tables</v>
          </cell>
          <cell r="E11569">
            <v>60626.404999999992</v>
          </cell>
          <cell r="F11569">
            <v>11</v>
          </cell>
        </row>
        <row r="11570">
          <cell r="A11570">
            <v>2019</v>
          </cell>
          <cell r="B11570" t="str">
            <v>Actual</v>
          </cell>
          <cell r="C11570" t="str">
            <v>Nov</v>
          </cell>
          <cell r="D11570" t="str">
            <v>Kitchen</v>
          </cell>
          <cell r="E11570">
            <v>278958.37899999996</v>
          </cell>
          <cell r="F11570">
            <v>11</v>
          </cell>
        </row>
        <row r="11571">
          <cell r="A11571">
            <v>2018</v>
          </cell>
          <cell r="B11571" t="str">
            <v>Budget</v>
          </cell>
          <cell r="C11571" t="str">
            <v>Nov</v>
          </cell>
          <cell r="D11571" t="str">
            <v>Chairs</v>
          </cell>
          <cell r="E11571">
            <v>912351.60099999991</v>
          </cell>
          <cell r="F11571">
            <v>11</v>
          </cell>
        </row>
        <row r="11572">
          <cell r="A11572">
            <v>2018</v>
          </cell>
          <cell r="B11572" t="str">
            <v>Actual</v>
          </cell>
          <cell r="C11572" t="str">
            <v>Nov</v>
          </cell>
          <cell r="D11572" t="str">
            <v>Chairs</v>
          </cell>
          <cell r="E11572">
            <v>2666968.227</v>
          </cell>
          <cell r="F11572">
            <v>11</v>
          </cell>
        </row>
        <row r="11573">
          <cell r="A11573">
            <v>2019</v>
          </cell>
          <cell r="B11573" t="str">
            <v>Budget</v>
          </cell>
          <cell r="C11573" t="str">
            <v>Nov</v>
          </cell>
          <cell r="D11573" t="str">
            <v>Tables</v>
          </cell>
          <cell r="E11573">
            <v>1324890.5529999998</v>
          </cell>
          <cell r="F11573">
            <v>11</v>
          </cell>
        </row>
        <row r="11574">
          <cell r="A11574">
            <v>2018</v>
          </cell>
          <cell r="B11574" t="str">
            <v>Actual</v>
          </cell>
          <cell r="C11574" t="str">
            <v>Nov</v>
          </cell>
          <cell r="D11574" t="str">
            <v>Kitchen</v>
          </cell>
          <cell r="E11574">
            <v>12462.31</v>
          </cell>
          <cell r="F11574">
            <v>11</v>
          </cell>
        </row>
        <row r="11575">
          <cell r="A11575">
            <v>2018</v>
          </cell>
          <cell r="B11575" t="str">
            <v>Budget</v>
          </cell>
          <cell r="C11575" t="str">
            <v>Nov</v>
          </cell>
          <cell r="D11575" t="str">
            <v>Chairs</v>
          </cell>
          <cell r="E11575">
            <v>-212292.94099999999</v>
          </cell>
          <cell r="F11575">
            <v>11</v>
          </cell>
        </row>
        <row r="11576">
          <cell r="A11576">
            <v>2019</v>
          </cell>
          <cell r="B11576" t="str">
            <v>Actual</v>
          </cell>
          <cell r="C11576" t="str">
            <v>Nov</v>
          </cell>
          <cell r="D11576" t="str">
            <v>Chairs</v>
          </cell>
          <cell r="E11576">
            <v>-254305.08599999998</v>
          </cell>
          <cell r="F11576">
            <v>11</v>
          </cell>
        </row>
        <row r="11577">
          <cell r="A11577">
            <v>2018</v>
          </cell>
          <cell r="B11577" t="str">
            <v>Budget</v>
          </cell>
          <cell r="C11577" t="str">
            <v>Nov</v>
          </cell>
          <cell r="D11577" t="str">
            <v>Chairs</v>
          </cell>
          <cell r="E11577">
            <v>25234.593999999997</v>
          </cell>
          <cell r="F11577">
            <v>11</v>
          </cell>
        </row>
        <row r="11578">
          <cell r="A11578">
            <v>2019</v>
          </cell>
          <cell r="B11578" t="str">
            <v>Actual</v>
          </cell>
          <cell r="C11578" t="str">
            <v>Nov</v>
          </cell>
          <cell r="D11578" t="str">
            <v>Tables</v>
          </cell>
          <cell r="E11578">
            <v>146732.25699999998</v>
          </cell>
          <cell r="F11578">
            <v>11</v>
          </cell>
        </row>
        <row r="11579">
          <cell r="A11579">
            <v>2018</v>
          </cell>
          <cell r="B11579" t="str">
            <v>Budget</v>
          </cell>
          <cell r="C11579" t="str">
            <v>Nov</v>
          </cell>
          <cell r="D11579" t="str">
            <v>Kitchen</v>
          </cell>
          <cell r="E11579">
            <v>5057084.5009999992</v>
          </cell>
          <cell r="F11579">
            <v>11</v>
          </cell>
        </row>
        <row r="11580">
          <cell r="A11580">
            <v>2018</v>
          </cell>
          <cell r="B11580" t="str">
            <v>Actual</v>
          </cell>
          <cell r="C11580" t="str">
            <v>Nov</v>
          </cell>
          <cell r="D11580" t="str">
            <v>Accessories</v>
          </cell>
          <cell r="E11580">
            <v>294181.25799999997</v>
          </cell>
          <cell r="F11580">
            <v>11</v>
          </cell>
        </row>
        <row r="11581">
          <cell r="A11581">
            <v>2018</v>
          </cell>
          <cell r="B11581" t="str">
            <v>Budget</v>
          </cell>
          <cell r="C11581" t="str">
            <v>Nov</v>
          </cell>
          <cell r="D11581" t="str">
            <v>Chairs</v>
          </cell>
          <cell r="E11581">
            <v>693994.31499999994</v>
          </cell>
          <cell r="F11581">
            <v>11</v>
          </cell>
        </row>
        <row r="11582">
          <cell r="A11582">
            <v>2019</v>
          </cell>
          <cell r="B11582" t="str">
            <v>Actual</v>
          </cell>
          <cell r="C11582" t="str">
            <v>Nov</v>
          </cell>
          <cell r="D11582" t="str">
            <v>Tables</v>
          </cell>
          <cell r="E11582">
            <v>428322.50300000003</v>
          </cell>
          <cell r="F11582">
            <v>11</v>
          </cell>
        </row>
        <row r="11583">
          <cell r="A11583">
            <v>2018</v>
          </cell>
          <cell r="B11583" t="str">
            <v>Budget</v>
          </cell>
          <cell r="C11583" t="str">
            <v>Nov</v>
          </cell>
          <cell r="D11583" t="str">
            <v>Kitchen</v>
          </cell>
          <cell r="E11583">
            <v>54867.455999999998</v>
          </cell>
          <cell r="F11583">
            <v>11</v>
          </cell>
        </row>
        <row r="11584">
          <cell r="A11584">
            <v>2018</v>
          </cell>
          <cell r="B11584" t="str">
            <v>Actual</v>
          </cell>
          <cell r="C11584" t="str">
            <v>Nov</v>
          </cell>
          <cell r="D11584" t="str">
            <v>Accessories</v>
          </cell>
          <cell r="E11584">
            <v>69204.722999999998</v>
          </cell>
          <cell r="F11584">
            <v>11</v>
          </cell>
        </row>
        <row r="11585">
          <cell r="A11585">
            <v>2019</v>
          </cell>
          <cell r="B11585" t="str">
            <v>Budget</v>
          </cell>
          <cell r="C11585" t="str">
            <v>Nov</v>
          </cell>
          <cell r="D11585" t="str">
            <v>Chairs</v>
          </cell>
          <cell r="E11585">
            <v>102053.469</v>
          </cell>
          <cell r="F11585">
            <v>11</v>
          </cell>
        </row>
        <row r="11586">
          <cell r="A11586">
            <v>2018</v>
          </cell>
          <cell r="B11586" t="str">
            <v>Actual</v>
          </cell>
          <cell r="C11586" t="str">
            <v>Nov</v>
          </cell>
          <cell r="D11586" t="str">
            <v>Tables</v>
          </cell>
          <cell r="E11586">
            <v>9098349.3859999999</v>
          </cell>
          <cell r="F11586">
            <v>11</v>
          </cell>
        </row>
        <row r="11587">
          <cell r="A11587">
            <v>2019</v>
          </cell>
          <cell r="B11587" t="str">
            <v>Budget</v>
          </cell>
          <cell r="C11587" t="str">
            <v>Nov</v>
          </cell>
          <cell r="D11587" t="str">
            <v>Kitchen</v>
          </cell>
          <cell r="E11587">
            <v>3335281.8029999998</v>
          </cell>
          <cell r="F11587">
            <v>11</v>
          </cell>
        </row>
        <row r="11588">
          <cell r="A11588">
            <v>2019</v>
          </cell>
          <cell r="B11588" t="str">
            <v>Actual</v>
          </cell>
          <cell r="C11588" t="str">
            <v>Nov</v>
          </cell>
          <cell r="D11588" t="str">
            <v>Accessories</v>
          </cell>
          <cell r="E11588">
            <v>656765.1719999999</v>
          </cell>
          <cell r="F11588">
            <v>11</v>
          </cell>
        </row>
        <row r="11589">
          <cell r="A11589">
            <v>2018</v>
          </cell>
          <cell r="B11589" t="str">
            <v>Budget</v>
          </cell>
          <cell r="C11589" t="str">
            <v>Nov</v>
          </cell>
          <cell r="D11589" t="str">
            <v>Chairs</v>
          </cell>
          <cell r="E11589">
            <v>851434.71</v>
          </cell>
          <cell r="F11589">
            <v>11</v>
          </cell>
        </row>
        <row r="11590">
          <cell r="A11590">
            <v>2018</v>
          </cell>
          <cell r="B11590" t="str">
            <v>Actual</v>
          </cell>
          <cell r="C11590" t="str">
            <v>Nov</v>
          </cell>
          <cell r="D11590" t="str">
            <v>Tables</v>
          </cell>
          <cell r="E11590">
            <v>217339.89199999999</v>
          </cell>
          <cell r="F11590">
            <v>11</v>
          </cell>
        </row>
        <row r="11591">
          <cell r="A11591">
            <v>2018</v>
          </cell>
          <cell r="B11591" t="str">
            <v>Budget</v>
          </cell>
          <cell r="C11591" t="str">
            <v>Nov</v>
          </cell>
          <cell r="D11591" t="str">
            <v>Kitchen</v>
          </cell>
          <cell r="E11591">
            <v>2584833.7059999998</v>
          </cell>
          <cell r="F11591">
            <v>11</v>
          </cell>
        </row>
        <row r="11592">
          <cell r="A11592">
            <v>2019</v>
          </cell>
          <cell r="B11592" t="str">
            <v>Actual</v>
          </cell>
          <cell r="C11592" t="str">
            <v>Nov</v>
          </cell>
          <cell r="D11592" t="str">
            <v>Accessories</v>
          </cell>
          <cell r="E11592">
            <v>1156429.6240000001</v>
          </cell>
          <cell r="F11592">
            <v>11</v>
          </cell>
        </row>
        <row r="11593">
          <cell r="A11593">
            <v>2018</v>
          </cell>
          <cell r="B11593" t="str">
            <v>Budget</v>
          </cell>
          <cell r="C11593" t="str">
            <v>Nov</v>
          </cell>
          <cell r="D11593" t="str">
            <v>Chairs</v>
          </cell>
          <cell r="E11593">
            <v>806418.18599999999</v>
          </cell>
          <cell r="F11593">
            <v>11</v>
          </cell>
        </row>
        <row r="11594">
          <cell r="A11594">
            <v>2018</v>
          </cell>
          <cell r="B11594" t="str">
            <v>Actual</v>
          </cell>
          <cell r="C11594" t="str">
            <v>Nov</v>
          </cell>
          <cell r="D11594" t="str">
            <v>Chairs</v>
          </cell>
          <cell r="E11594">
            <v>10018877.442</v>
          </cell>
          <cell r="F11594">
            <v>11</v>
          </cell>
        </row>
        <row r="11595">
          <cell r="A11595">
            <v>2018</v>
          </cell>
          <cell r="B11595" t="str">
            <v>Budget</v>
          </cell>
          <cell r="C11595" t="str">
            <v>Nov</v>
          </cell>
          <cell r="D11595" t="str">
            <v>Tables</v>
          </cell>
          <cell r="E11595">
            <v>-1002311.975</v>
          </cell>
          <cell r="F11595">
            <v>11</v>
          </cell>
        </row>
        <row r="11596">
          <cell r="A11596">
            <v>2019</v>
          </cell>
          <cell r="B11596" t="str">
            <v>Actual</v>
          </cell>
          <cell r="C11596" t="str">
            <v>Nov</v>
          </cell>
          <cell r="D11596" t="str">
            <v>Kitchen</v>
          </cell>
          <cell r="E11596">
            <v>7080741.4790000003</v>
          </cell>
          <cell r="F11596">
            <v>11</v>
          </cell>
        </row>
        <row r="11597">
          <cell r="A11597">
            <v>2019</v>
          </cell>
          <cell r="B11597" t="str">
            <v>Budget</v>
          </cell>
          <cell r="C11597" t="str">
            <v>Nov</v>
          </cell>
          <cell r="D11597" t="str">
            <v>Chairs</v>
          </cell>
          <cell r="E11597">
            <v>820523.45200000005</v>
          </cell>
          <cell r="F11597">
            <v>11</v>
          </cell>
        </row>
        <row r="11598">
          <cell r="A11598">
            <v>2019</v>
          </cell>
          <cell r="B11598" t="str">
            <v>Actual</v>
          </cell>
          <cell r="C11598" t="str">
            <v>Nov</v>
          </cell>
          <cell r="D11598" t="str">
            <v>Tables</v>
          </cell>
          <cell r="E11598">
            <v>134645.329</v>
          </cell>
          <cell r="F11598">
            <v>11</v>
          </cell>
        </row>
        <row r="11599">
          <cell r="A11599">
            <v>2019</v>
          </cell>
          <cell r="B11599" t="str">
            <v>Budget</v>
          </cell>
          <cell r="C11599" t="str">
            <v>Nov</v>
          </cell>
          <cell r="D11599" t="str">
            <v>Kitchen</v>
          </cell>
          <cell r="E11599">
            <v>499245.46</v>
          </cell>
          <cell r="F11599">
            <v>11</v>
          </cell>
        </row>
        <row r="11600">
          <cell r="A11600">
            <v>2018</v>
          </cell>
          <cell r="B11600" t="str">
            <v>Actual</v>
          </cell>
          <cell r="C11600" t="str">
            <v>Nov</v>
          </cell>
          <cell r="D11600" t="str">
            <v>Chairs</v>
          </cell>
          <cell r="E11600">
            <v>2918668.7390000001</v>
          </cell>
          <cell r="F11600">
            <v>11</v>
          </cell>
        </row>
        <row r="11601">
          <cell r="A11601">
            <v>2018</v>
          </cell>
          <cell r="B11601" t="str">
            <v>Budget</v>
          </cell>
          <cell r="C11601" t="str">
            <v>Nov</v>
          </cell>
          <cell r="D11601" t="str">
            <v>Tables</v>
          </cell>
          <cell r="E11601">
            <v>71381.708999999988</v>
          </cell>
          <cell r="F11601">
            <v>11</v>
          </cell>
        </row>
        <row r="11602">
          <cell r="A11602">
            <v>2019</v>
          </cell>
          <cell r="B11602" t="str">
            <v>Actual</v>
          </cell>
          <cell r="C11602" t="str">
            <v>Nov</v>
          </cell>
          <cell r="D11602" t="str">
            <v>Kitchen</v>
          </cell>
          <cell r="E11602">
            <v>413019.103</v>
          </cell>
          <cell r="F11602">
            <v>11</v>
          </cell>
        </row>
        <row r="11603">
          <cell r="A11603">
            <v>2018</v>
          </cell>
          <cell r="B11603" t="str">
            <v>Budget</v>
          </cell>
          <cell r="C11603" t="str">
            <v>Nov</v>
          </cell>
          <cell r="D11603" t="str">
            <v>Chairs</v>
          </cell>
          <cell r="E11603">
            <v>207101.755</v>
          </cell>
          <cell r="F11603">
            <v>11</v>
          </cell>
        </row>
        <row r="11604">
          <cell r="A11604">
            <v>2019</v>
          </cell>
          <cell r="B11604" t="str">
            <v>Actual</v>
          </cell>
          <cell r="C11604" t="str">
            <v>Nov</v>
          </cell>
          <cell r="D11604" t="str">
            <v>Chairs</v>
          </cell>
          <cell r="E11604">
            <v>822976.44799999986</v>
          </cell>
          <cell r="F11604">
            <v>11</v>
          </cell>
        </row>
        <row r="11605">
          <cell r="A11605">
            <v>2019</v>
          </cell>
          <cell r="B11605" t="str">
            <v>Budget</v>
          </cell>
          <cell r="C11605" t="str">
            <v>Nov</v>
          </cell>
          <cell r="D11605" t="str">
            <v>Chairs</v>
          </cell>
          <cell r="E11605">
            <v>1029726.0819999999</v>
          </cell>
          <cell r="F11605">
            <v>11</v>
          </cell>
        </row>
        <row r="11606">
          <cell r="A11606">
            <v>2018</v>
          </cell>
          <cell r="B11606" t="str">
            <v>Actual</v>
          </cell>
          <cell r="C11606" t="str">
            <v>Nov</v>
          </cell>
          <cell r="D11606" t="str">
            <v>Chairs</v>
          </cell>
          <cell r="E11606">
            <v>32984.748999999996</v>
          </cell>
          <cell r="F11606">
            <v>11</v>
          </cell>
        </row>
        <row r="11607">
          <cell r="A11607">
            <v>2018</v>
          </cell>
          <cell r="B11607" t="str">
            <v>Budget</v>
          </cell>
          <cell r="C11607" t="str">
            <v>Nov</v>
          </cell>
          <cell r="D11607" t="str">
            <v>Chairs</v>
          </cell>
          <cell r="E11607">
            <v>205312.16999999998</v>
          </cell>
          <cell r="F11607">
            <v>11</v>
          </cell>
        </row>
        <row r="11608">
          <cell r="A11608">
            <v>2018</v>
          </cell>
          <cell r="B11608" t="str">
            <v>Actual</v>
          </cell>
          <cell r="C11608" t="str">
            <v>Nov</v>
          </cell>
          <cell r="D11608" t="str">
            <v>Chairs</v>
          </cell>
          <cell r="E11608">
            <v>41972.048999999999</v>
          </cell>
          <cell r="F11608">
            <v>11</v>
          </cell>
        </row>
        <row r="11609">
          <cell r="A11609">
            <v>2019</v>
          </cell>
          <cell r="B11609" t="str">
            <v>Budget</v>
          </cell>
          <cell r="C11609" t="str">
            <v>Nov</v>
          </cell>
          <cell r="D11609" t="str">
            <v>Chairs</v>
          </cell>
          <cell r="E11609">
            <v>4446.2950000000001</v>
          </cell>
          <cell r="F11609">
            <v>11</v>
          </cell>
        </row>
        <row r="11610">
          <cell r="A11610">
            <v>2019</v>
          </cell>
          <cell r="B11610" t="str">
            <v>Actual</v>
          </cell>
          <cell r="C11610" t="str">
            <v>Nov</v>
          </cell>
          <cell r="D11610" t="str">
            <v>Chairs</v>
          </cell>
          <cell r="E11610">
            <v>74921.314999999988</v>
          </cell>
          <cell r="F11610">
            <v>11</v>
          </cell>
        </row>
        <row r="11611">
          <cell r="A11611">
            <v>2019</v>
          </cell>
          <cell r="B11611" t="str">
            <v>Budget</v>
          </cell>
          <cell r="C11611" t="str">
            <v>Nov</v>
          </cell>
          <cell r="D11611" t="str">
            <v>Chairs</v>
          </cell>
          <cell r="E11611">
            <v>51600.87799999999</v>
          </cell>
          <cell r="F11611">
            <v>11</v>
          </cell>
        </row>
        <row r="11612">
          <cell r="A11612">
            <v>2018</v>
          </cell>
          <cell r="B11612" t="str">
            <v>Actual</v>
          </cell>
          <cell r="C11612" t="str">
            <v>Nov</v>
          </cell>
          <cell r="D11612" t="str">
            <v>Chairs</v>
          </cell>
          <cell r="E11612">
            <v>32323.528999999999</v>
          </cell>
          <cell r="F11612">
            <v>11</v>
          </cell>
        </row>
        <row r="11613">
          <cell r="A11613">
            <v>2019</v>
          </cell>
          <cell r="B11613" t="str">
            <v>Budget</v>
          </cell>
          <cell r="C11613" t="str">
            <v>Nov</v>
          </cell>
          <cell r="D11613" t="str">
            <v>Chairs</v>
          </cell>
          <cell r="E11613">
            <v>166663.511</v>
          </cell>
          <cell r="F11613">
            <v>11</v>
          </cell>
        </row>
        <row r="11614">
          <cell r="A11614">
            <v>2019</v>
          </cell>
          <cell r="B11614" t="str">
            <v>Actual</v>
          </cell>
          <cell r="C11614" t="str">
            <v>Nov</v>
          </cell>
          <cell r="D11614" t="str">
            <v>Chairs</v>
          </cell>
          <cell r="E11614">
            <v>99690.415999999997</v>
          </cell>
          <cell r="F11614">
            <v>11</v>
          </cell>
        </row>
        <row r="11615">
          <cell r="A11615">
            <v>2018</v>
          </cell>
          <cell r="B11615" t="str">
            <v>Budget</v>
          </cell>
          <cell r="C11615" t="str">
            <v>Nov</v>
          </cell>
          <cell r="D11615" t="str">
            <v>Chairs</v>
          </cell>
          <cell r="E11615">
            <v>216160.448</v>
          </cell>
          <cell r="F11615">
            <v>11</v>
          </cell>
        </row>
        <row r="11616">
          <cell r="A11616">
            <v>2018</v>
          </cell>
          <cell r="B11616" t="str">
            <v>Actual</v>
          </cell>
          <cell r="C11616" t="str">
            <v>Nov</v>
          </cell>
          <cell r="D11616" t="str">
            <v>Chairs</v>
          </cell>
          <cell r="E11616">
            <v>270439.05</v>
          </cell>
          <cell r="F11616">
            <v>11</v>
          </cell>
        </row>
        <row r="11617">
          <cell r="A11617">
            <v>2018</v>
          </cell>
          <cell r="B11617" t="str">
            <v>Budget</v>
          </cell>
          <cell r="C11617" t="str">
            <v>Nov</v>
          </cell>
          <cell r="D11617" t="str">
            <v>Chairs</v>
          </cell>
          <cell r="E11617">
            <v>1455.1529999999998</v>
          </cell>
          <cell r="F11617">
            <v>11</v>
          </cell>
        </row>
        <row r="11618">
          <cell r="A11618">
            <v>2018</v>
          </cell>
          <cell r="B11618" t="str">
            <v>Actual</v>
          </cell>
          <cell r="C11618" t="str">
            <v>Nov</v>
          </cell>
          <cell r="D11618" t="str">
            <v>Chairs</v>
          </cell>
          <cell r="E11618">
            <v>-83164.577999999994</v>
          </cell>
          <cell r="F11618">
            <v>11</v>
          </cell>
        </row>
        <row r="11619">
          <cell r="A11619">
            <v>2018</v>
          </cell>
          <cell r="B11619" t="str">
            <v>Budget</v>
          </cell>
          <cell r="C11619" t="str">
            <v>Nov</v>
          </cell>
          <cell r="D11619" t="str">
            <v>Chairs</v>
          </cell>
          <cell r="E11619">
            <v>-214031.06899999999</v>
          </cell>
          <cell r="F11619">
            <v>11</v>
          </cell>
        </row>
        <row r="11620">
          <cell r="A11620">
            <v>2019</v>
          </cell>
          <cell r="B11620" t="str">
            <v>Actual</v>
          </cell>
          <cell r="C11620" t="str">
            <v>Nov</v>
          </cell>
          <cell r="D11620" t="str">
            <v>Chairs</v>
          </cell>
          <cell r="E11620">
            <v>-57673.216999999997</v>
          </cell>
          <cell r="F11620">
            <v>11</v>
          </cell>
        </row>
        <row r="11621">
          <cell r="A11621">
            <v>2019</v>
          </cell>
          <cell r="B11621" t="str">
            <v>Budget</v>
          </cell>
          <cell r="C11621" t="str">
            <v>Nov</v>
          </cell>
          <cell r="D11621" t="str">
            <v>Chairs</v>
          </cell>
          <cell r="E11621">
            <v>65058.909999999996</v>
          </cell>
          <cell r="F11621">
            <v>11</v>
          </cell>
        </row>
        <row r="11622">
          <cell r="A11622">
            <v>2018</v>
          </cell>
          <cell r="B11622" t="str">
            <v>Actual</v>
          </cell>
          <cell r="C11622" t="str">
            <v>Nov</v>
          </cell>
          <cell r="D11622" t="str">
            <v>Chairs</v>
          </cell>
          <cell r="E11622">
            <v>89119.989000000001</v>
          </cell>
          <cell r="F11622">
            <v>11</v>
          </cell>
        </row>
        <row r="11623">
          <cell r="A11623">
            <v>2018</v>
          </cell>
          <cell r="B11623" t="str">
            <v>Budget</v>
          </cell>
          <cell r="C11623" t="str">
            <v>Nov</v>
          </cell>
          <cell r="D11623" t="str">
            <v>Chairs</v>
          </cell>
          <cell r="E11623">
            <v>124924.26799999998</v>
          </cell>
          <cell r="F11623">
            <v>11</v>
          </cell>
        </row>
        <row r="11624">
          <cell r="A11624">
            <v>2019</v>
          </cell>
          <cell r="B11624" t="str">
            <v>Actual</v>
          </cell>
          <cell r="C11624" t="str">
            <v>Nov</v>
          </cell>
          <cell r="D11624" t="str">
            <v>Chairs</v>
          </cell>
          <cell r="E11624">
            <v>244520.40199999997</v>
          </cell>
          <cell r="F11624">
            <v>11</v>
          </cell>
        </row>
        <row r="11625">
          <cell r="A11625">
            <v>2018</v>
          </cell>
          <cell r="B11625" t="str">
            <v>Budget</v>
          </cell>
          <cell r="C11625" t="str">
            <v>Nov</v>
          </cell>
          <cell r="D11625" t="str">
            <v>Chairs</v>
          </cell>
          <cell r="E11625">
            <v>319003.14600000001</v>
          </cell>
          <cell r="F11625">
            <v>11</v>
          </cell>
        </row>
        <row r="11626">
          <cell r="A11626">
            <v>2018</v>
          </cell>
          <cell r="B11626" t="str">
            <v>Actual</v>
          </cell>
          <cell r="C11626" t="str">
            <v>Nov</v>
          </cell>
          <cell r="D11626" t="str">
            <v>Chairs</v>
          </cell>
          <cell r="E11626">
            <v>25912.411</v>
          </cell>
          <cell r="F11626">
            <v>11</v>
          </cell>
        </row>
        <row r="11627">
          <cell r="A11627">
            <v>2018</v>
          </cell>
          <cell r="B11627" t="str">
            <v>Budget</v>
          </cell>
          <cell r="C11627" t="str">
            <v>Nov</v>
          </cell>
          <cell r="D11627" t="str">
            <v>Chairs</v>
          </cell>
          <cell r="E11627">
            <v>92611.343999999997</v>
          </cell>
          <cell r="F11627">
            <v>11</v>
          </cell>
        </row>
        <row r="11628">
          <cell r="A11628">
            <v>2019</v>
          </cell>
          <cell r="B11628" t="str">
            <v>Actual</v>
          </cell>
          <cell r="C11628" t="str">
            <v>Nov</v>
          </cell>
          <cell r="D11628" t="str">
            <v>Chairs</v>
          </cell>
          <cell r="E11628">
            <v>546181.38399999996</v>
          </cell>
          <cell r="F11628">
            <v>11</v>
          </cell>
        </row>
        <row r="11629">
          <cell r="A11629">
            <v>2019</v>
          </cell>
          <cell r="B11629" t="str">
            <v>Budget</v>
          </cell>
          <cell r="C11629" t="str">
            <v>Nov</v>
          </cell>
          <cell r="D11629" t="str">
            <v>Tables</v>
          </cell>
          <cell r="E11629">
            <v>69152.705999999991</v>
          </cell>
          <cell r="F11629">
            <v>11</v>
          </cell>
        </row>
        <row r="11630">
          <cell r="A11630">
            <v>2019</v>
          </cell>
          <cell r="B11630" t="str">
            <v>Actual</v>
          </cell>
          <cell r="C11630" t="str">
            <v>Nov</v>
          </cell>
          <cell r="D11630" t="str">
            <v>Kitchen</v>
          </cell>
          <cell r="E11630">
            <v>84296.974999999991</v>
          </cell>
          <cell r="F11630">
            <v>11</v>
          </cell>
        </row>
        <row r="11631">
          <cell r="A11631">
            <v>2019</v>
          </cell>
          <cell r="B11631" t="str">
            <v>Budget</v>
          </cell>
          <cell r="C11631" t="str">
            <v>Nov</v>
          </cell>
          <cell r="D11631" t="str">
            <v>Chairs</v>
          </cell>
          <cell r="E11631">
            <v>144952.633</v>
          </cell>
          <cell r="F11631">
            <v>11</v>
          </cell>
        </row>
        <row r="11632">
          <cell r="A11632">
            <v>2019</v>
          </cell>
          <cell r="B11632" t="str">
            <v>Actual</v>
          </cell>
          <cell r="C11632" t="str">
            <v>Nov</v>
          </cell>
          <cell r="D11632" t="str">
            <v>Chairs</v>
          </cell>
          <cell r="E11632">
            <v>188341.405</v>
          </cell>
          <cell r="F11632">
            <v>11</v>
          </cell>
        </row>
        <row r="11633">
          <cell r="A11633">
            <v>2018</v>
          </cell>
          <cell r="B11633" t="str">
            <v>Budget</v>
          </cell>
          <cell r="C11633" t="str">
            <v>Nov</v>
          </cell>
          <cell r="D11633" t="str">
            <v>Chairs</v>
          </cell>
          <cell r="E11633">
            <v>169690.766</v>
          </cell>
          <cell r="F11633">
            <v>11</v>
          </cell>
        </row>
        <row r="11634">
          <cell r="A11634">
            <v>2018</v>
          </cell>
          <cell r="B11634" t="str">
            <v>Actual</v>
          </cell>
          <cell r="C11634" t="str">
            <v>Nov</v>
          </cell>
          <cell r="D11634" t="str">
            <v>Chairs</v>
          </cell>
          <cell r="E11634">
            <v>83781.900999999983</v>
          </cell>
          <cell r="F11634">
            <v>11</v>
          </cell>
        </row>
        <row r="11635">
          <cell r="A11635">
            <v>2019</v>
          </cell>
          <cell r="B11635" t="str">
            <v>Budget</v>
          </cell>
          <cell r="C11635" t="str">
            <v>Nov</v>
          </cell>
          <cell r="D11635" t="str">
            <v>Chairs</v>
          </cell>
          <cell r="E11635">
            <v>348167.31599999999</v>
          </cell>
          <cell r="F11635">
            <v>11</v>
          </cell>
        </row>
        <row r="11636">
          <cell r="A11636">
            <v>2019</v>
          </cell>
          <cell r="B11636" t="str">
            <v>Actual</v>
          </cell>
          <cell r="C11636" t="str">
            <v>Nov</v>
          </cell>
          <cell r="D11636" t="str">
            <v>Tables</v>
          </cell>
          <cell r="E11636">
            <v>30707.837999999996</v>
          </cell>
          <cell r="F11636">
            <v>11</v>
          </cell>
        </row>
        <row r="11637">
          <cell r="A11637">
            <v>2019</v>
          </cell>
          <cell r="B11637" t="str">
            <v>Budget</v>
          </cell>
          <cell r="C11637" t="str">
            <v>Nov</v>
          </cell>
          <cell r="D11637" t="str">
            <v>Kitchen</v>
          </cell>
          <cell r="E11637">
            <v>138670.875</v>
          </cell>
          <cell r="F11637">
            <v>11</v>
          </cell>
        </row>
        <row r="11638">
          <cell r="A11638">
            <v>2019</v>
          </cell>
          <cell r="B11638" t="str">
            <v>Actual</v>
          </cell>
          <cell r="C11638" t="str">
            <v>Nov</v>
          </cell>
          <cell r="D11638" t="str">
            <v>Chairs</v>
          </cell>
          <cell r="E11638">
            <v>21685.055</v>
          </cell>
          <cell r="F11638">
            <v>11</v>
          </cell>
        </row>
        <row r="11639">
          <cell r="A11639">
            <v>2018</v>
          </cell>
          <cell r="B11639" t="str">
            <v>Budget</v>
          </cell>
          <cell r="C11639" t="str">
            <v>Nov</v>
          </cell>
          <cell r="D11639" t="str">
            <v>Chairs</v>
          </cell>
          <cell r="E11639">
            <v>11078.732</v>
          </cell>
          <cell r="F11639">
            <v>11</v>
          </cell>
        </row>
        <row r="11640">
          <cell r="A11640">
            <v>2019</v>
          </cell>
          <cell r="B11640" t="str">
            <v>Actual</v>
          </cell>
          <cell r="C11640" t="str">
            <v>Nov</v>
          </cell>
          <cell r="D11640" t="str">
            <v>Chairs</v>
          </cell>
          <cell r="E11640">
            <v>10465.959000000001</v>
          </cell>
          <cell r="F11640">
            <v>11</v>
          </cell>
        </row>
        <row r="11641">
          <cell r="A11641">
            <v>2019</v>
          </cell>
          <cell r="B11641" t="str">
            <v>Budget</v>
          </cell>
          <cell r="C11641" t="str">
            <v>Nov</v>
          </cell>
          <cell r="D11641" t="str">
            <v>Tables</v>
          </cell>
          <cell r="E11641">
            <v>73240.803999999989</v>
          </cell>
          <cell r="F11641">
            <v>11</v>
          </cell>
        </row>
        <row r="11642">
          <cell r="A11642">
            <v>2018</v>
          </cell>
          <cell r="B11642" t="str">
            <v>Actual</v>
          </cell>
          <cell r="C11642" t="str">
            <v>Nov</v>
          </cell>
          <cell r="D11642" t="str">
            <v>Kitchen</v>
          </cell>
          <cell r="E11642">
            <v>2368.5759999999996</v>
          </cell>
          <cell r="F11642">
            <v>11</v>
          </cell>
        </row>
        <row r="11643">
          <cell r="A11643">
            <v>2019</v>
          </cell>
          <cell r="B11643" t="str">
            <v>Budget</v>
          </cell>
          <cell r="C11643" t="str">
            <v>Nov</v>
          </cell>
          <cell r="D11643" t="str">
            <v>Chairs</v>
          </cell>
          <cell r="E11643">
            <v>76005.915999999997</v>
          </cell>
          <cell r="F11643">
            <v>11</v>
          </cell>
        </row>
        <row r="11644">
          <cell r="A11644">
            <v>2019</v>
          </cell>
          <cell r="B11644" t="str">
            <v>Actual</v>
          </cell>
          <cell r="C11644" t="str">
            <v>Nov</v>
          </cell>
          <cell r="D11644" t="str">
            <v>Chairs</v>
          </cell>
          <cell r="E11644">
            <v>17496.143</v>
          </cell>
          <cell r="F11644">
            <v>11</v>
          </cell>
        </row>
        <row r="11645">
          <cell r="A11645">
            <v>2019</v>
          </cell>
          <cell r="B11645" t="str">
            <v>Budget</v>
          </cell>
          <cell r="C11645" t="str">
            <v>Nov</v>
          </cell>
          <cell r="D11645" t="str">
            <v>Tables</v>
          </cell>
          <cell r="E11645">
            <v>974244.24999999988</v>
          </cell>
          <cell r="F11645">
            <v>11</v>
          </cell>
        </row>
        <row r="11646">
          <cell r="A11646">
            <v>2018</v>
          </cell>
          <cell r="B11646" t="str">
            <v>Actual</v>
          </cell>
          <cell r="C11646" t="str">
            <v>Nov</v>
          </cell>
          <cell r="D11646" t="str">
            <v>Kitchen</v>
          </cell>
          <cell r="E11646">
            <v>226425.45099999997</v>
          </cell>
          <cell r="F11646">
            <v>11</v>
          </cell>
        </row>
        <row r="11647">
          <cell r="A11647">
            <v>2019</v>
          </cell>
          <cell r="B11647" t="str">
            <v>Budget</v>
          </cell>
          <cell r="C11647" t="str">
            <v>Nov</v>
          </cell>
          <cell r="D11647" t="str">
            <v>Chairs</v>
          </cell>
          <cell r="E11647">
            <v>464332.30199999997</v>
          </cell>
          <cell r="F11647">
            <v>11</v>
          </cell>
        </row>
        <row r="11648">
          <cell r="A11648">
            <v>2019</v>
          </cell>
          <cell r="B11648" t="str">
            <v>Actual</v>
          </cell>
          <cell r="C11648" t="str">
            <v>Nov</v>
          </cell>
          <cell r="D11648" t="str">
            <v>Chairs</v>
          </cell>
          <cell r="E11648">
            <v>818441.70099999988</v>
          </cell>
          <cell r="F11648">
            <v>11</v>
          </cell>
        </row>
        <row r="11649">
          <cell r="A11649">
            <v>2018</v>
          </cell>
          <cell r="B11649" t="str">
            <v>Budget</v>
          </cell>
          <cell r="C11649" t="str">
            <v>Nov</v>
          </cell>
          <cell r="D11649" t="str">
            <v>Chairs</v>
          </cell>
          <cell r="E11649">
            <v>469653.99599999998</v>
          </cell>
          <cell r="F11649">
            <v>11</v>
          </cell>
        </row>
        <row r="11650">
          <cell r="A11650">
            <v>2019</v>
          </cell>
          <cell r="B11650" t="str">
            <v>Actual</v>
          </cell>
          <cell r="C11650" t="str">
            <v>Nov</v>
          </cell>
          <cell r="D11650" t="str">
            <v>Tables</v>
          </cell>
          <cell r="E11650">
            <v>-223151.663</v>
          </cell>
          <cell r="F11650">
            <v>11</v>
          </cell>
        </row>
        <row r="11651">
          <cell r="A11651">
            <v>2018</v>
          </cell>
          <cell r="B11651" t="str">
            <v>Budget</v>
          </cell>
          <cell r="C11651" t="str">
            <v>Nov</v>
          </cell>
          <cell r="D11651" t="str">
            <v>Kitchen</v>
          </cell>
          <cell r="E11651">
            <v>1150800.2869999998</v>
          </cell>
          <cell r="F11651">
            <v>11</v>
          </cell>
        </row>
        <row r="11652">
          <cell r="A11652">
            <v>2019</v>
          </cell>
          <cell r="B11652" t="str">
            <v>Actual</v>
          </cell>
          <cell r="C11652" t="str">
            <v>Nov</v>
          </cell>
          <cell r="D11652" t="str">
            <v>Accessories</v>
          </cell>
          <cell r="E11652">
            <v>19069915.276999999</v>
          </cell>
          <cell r="F11652">
            <v>11</v>
          </cell>
        </row>
        <row r="11653">
          <cell r="A11653">
            <v>2018</v>
          </cell>
          <cell r="B11653" t="str">
            <v>Budget</v>
          </cell>
          <cell r="C11653" t="str">
            <v>Nov</v>
          </cell>
          <cell r="D11653" t="str">
            <v>Chairs</v>
          </cell>
          <cell r="E11653">
            <v>146458.19999999998</v>
          </cell>
          <cell r="F11653">
            <v>11</v>
          </cell>
        </row>
        <row r="11654">
          <cell r="A11654">
            <v>2018</v>
          </cell>
          <cell r="B11654" t="str">
            <v>Actual</v>
          </cell>
          <cell r="C11654" t="str">
            <v>Nov</v>
          </cell>
          <cell r="D11654" t="str">
            <v>Tables</v>
          </cell>
          <cell r="E11654">
            <v>64473.591</v>
          </cell>
          <cell r="F11654">
            <v>11</v>
          </cell>
        </row>
        <row r="11655">
          <cell r="A11655">
            <v>2019</v>
          </cell>
          <cell r="B11655" t="str">
            <v>Budget</v>
          </cell>
          <cell r="C11655" t="str">
            <v>Nov</v>
          </cell>
          <cell r="D11655" t="str">
            <v>Kitchen</v>
          </cell>
          <cell r="E11655">
            <v>230885.59199999998</v>
          </cell>
          <cell r="F11655">
            <v>11</v>
          </cell>
        </row>
        <row r="11656">
          <cell r="A11656">
            <v>2018</v>
          </cell>
          <cell r="B11656" t="str">
            <v>Actual</v>
          </cell>
          <cell r="C11656" t="str">
            <v>Nov</v>
          </cell>
          <cell r="D11656" t="str">
            <v>Accessories</v>
          </cell>
          <cell r="E11656">
            <v>105221.56399999998</v>
          </cell>
          <cell r="F11656">
            <v>11</v>
          </cell>
        </row>
        <row r="11657">
          <cell r="A11657">
            <v>2019</v>
          </cell>
          <cell r="B11657" t="str">
            <v>Budget</v>
          </cell>
          <cell r="C11657" t="str">
            <v>Nov</v>
          </cell>
          <cell r="D11657" t="str">
            <v>Chairs</v>
          </cell>
          <cell r="E11657">
            <v>32492.249999999996</v>
          </cell>
          <cell r="F11657">
            <v>11</v>
          </cell>
        </row>
        <row r="11658">
          <cell r="A11658">
            <v>2019</v>
          </cell>
          <cell r="B11658" t="str">
            <v>Actual</v>
          </cell>
          <cell r="C11658" t="str">
            <v>Nov</v>
          </cell>
          <cell r="D11658" t="str">
            <v>Tables</v>
          </cell>
          <cell r="E11658">
            <v>12137.356</v>
          </cell>
          <cell r="F11658">
            <v>11</v>
          </cell>
        </row>
        <row r="11659">
          <cell r="A11659">
            <v>2018</v>
          </cell>
          <cell r="B11659" t="str">
            <v>Budget</v>
          </cell>
          <cell r="C11659" t="str">
            <v>Nov</v>
          </cell>
          <cell r="D11659" t="str">
            <v>Kitchen</v>
          </cell>
          <cell r="E11659">
            <v>32727.807000000001</v>
          </cell>
          <cell r="F11659">
            <v>11</v>
          </cell>
        </row>
        <row r="11660">
          <cell r="A11660">
            <v>2018</v>
          </cell>
          <cell r="B11660" t="str">
            <v>Actual</v>
          </cell>
          <cell r="C11660" t="str">
            <v>Nov</v>
          </cell>
          <cell r="D11660" t="str">
            <v>Accessories</v>
          </cell>
          <cell r="E11660">
            <v>296026.96199999994</v>
          </cell>
          <cell r="F11660">
            <v>11</v>
          </cell>
        </row>
        <row r="11661">
          <cell r="A11661">
            <v>2019</v>
          </cell>
          <cell r="B11661" t="str">
            <v>Budget</v>
          </cell>
          <cell r="C11661" t="str">
            <v>Nov</v>
          </cell>
          <cell r="D11661" t="str">
            <v>Chairs</v>
          </cell>
          <cell r="E11661">
            <v>362828.39600000001</v>
          </cell>
          <cell r="F11661">
            <v>11</v>
          </cell>
        </row>
        <row r="11662">
          <cell r="A11662">
            <v>2018</v>
          </cell>
          <cell r="B11662" t="str">
            <v>Actual</v>
          </cell>
          <cell r="C11662" t="str">
            <v>Nov</v>
          </cell>
          <cell r="D11662" t="str">
            <v>Tables</v>
          </cell>
          <cell r="E11662">
            <v>224112.476</v>
          </cell>
          <cell r="F11662">
            <v>11</v>
          </cell>
        </row>
        <row r="11663">
          <cell r="A11663">
            <v>2018</v>
          </cell>
          <cell r="B11663" t="str">
            <v>Budget</v>
          </cell>
          <cell r="C11663" t="str">
            <v>Nov</v>
          </cell>
          <cell r="D11663" t="str">
            <v>Kitchen</v>
          </cell>
          <cell r="E11663">
            <v>105909.503</v>
          </cell>
          <cell r="F11663">
            <v>11</v>
          </cell>
        </row>
        <row r="11664">
          <cell r="A11664">
            <v>2019</v>
          </cell>
          <cell r="B11664" t="str">
            <v>Actual</v>
          </cell>
          <cell r="C11664" t="str">
            <v>Nov</v>
          </cell>
          <cell r="D11664" t="str">
            <v>Accessories</v>
          </cell>
          <cell r="E11664">
            <v>1022389.7529999999</v>
          </cell>
          <cell r="F11664">
            <v>11</v>
          </cell>
        </row>
        <row r="11665">
          <cell r="A11665">
            <v>2019</v>
          </cell>
          <cell r="B11665" t="str">
            <v>Budget</v>
          </cell>
          <cell r="C11665" t="str">
            <v>Nov</v>
          </cell>
          <cell r="D11665" t="str">
            <v>Chairs</v>
          </cell>
          <cell r="E11665">
            <v>924227.99699999986</v>
          </cell>
          <cell r="F11665">
            <v>11</v>
          </cell>
        </row>
        <row r="11666">
          <cell r="A11666">
            <v>2019</v>
          </cell>
          <cell r="B11666" t="str">
            <v>Actual</v>
          </cell>
          <cell r="C11666" t="str">
            <v>Nov</v>
          </cell>
          <cell r="D11666" t="str">
            <v>Chairs</v>
          </cell>
          <cell r="E11666">
            <v>2722095.6839999999</v>
          </cell>
          <cell r="F11666">
            <v>11</v>
          </cell>
        </row>
        <row r="11667">
          <cell r="A11667">
            <v>2018</v>
          </cell>
          <cell r="B11667" t="str">
            <v>Budget</v>
          </cell>
          <cell r="C11667" t="str">
            <v>Nov</v>
          </cell>
          <cell r="D11667" t="str">
            <v>Tables</v>
          </cell>
          <cell r="E11667">
            <v>27421.274999999998</v>
          </cell>
          <cell r="F11667">
            <v>11</v>
          </cell>
        </row>
        <row r="11668">
          <cell r="A11668">
            <v>2019</v>
          </cell>
          <cell r="B11668" t="str">
            <v>Actual</v>
          </cell>
          <cell r="C11668" t="str">
            <v>Nov</v>
          </cell>
          <cell r="D11668" t="str">
            <v>Kitchen</v>
          </cell>
          <cell r="E11668">
            <v>23817.842999999997</v>
          </cell>
          <cell r="F11668">
            <v>11</v>
          </cell>
        </row>
        <row r="11669">
          <cell r="A11669">
            <v>2018</v>
          </cell>
          <cell r="B11669" t="str">
            <v>Budget</v>
          </cell>
          <cell r="C11669" t="str">
            <v>Nov</v>
          </cell>
          <cell r="D11669" t="str">
            <v>Chairs</v>
          </cell>
          <cell r="E11669">
            <v>49878.00299999999</v>
          </cell>
          <cell r="F11669">
            <v>11</v>
          </cell>
        </row>
        <row r="11670">
          <cell r="A11670">
            <v>2018</v>
          </cell>
          <cell r="B11670" t="str">
            <v>Actual</v>
          </cell>
          <cell r="C11670" t="str">
            <v>Nov</v>
          </cell>
          <cell r="D11670" t="str">
            <v>Tables</v>
          </cell>
          <cell r="E11670">
            <v>82461.357999999993</v>
          </cell>
          <cell r="F11670">
            <v>11</v>
          </cell>
        </row>
        <row r="11671">
          <cell r="A11671">
            <v>2018</v>
          </cell>
          <cell r="B11671" t="str">
            <v>Budget</v>
          </cell>
          <cell r="C11671" t="str">
            <v>Nov</v>
          </cell>
          <cell r="D11671" t="str">
            <v>Kitchen</v>
          </cell>
          <cell r="E11671">
            <v>64129.218999999997</v>
          </cell>
          <cell r="F11671">
            <v>11</v>
          </cell>
        </row>
        <row r="11672">
          <cell r="A11672">
            <v>2018</v>
          </cell>
          <cell r="B11672" t="str">
            <v>Actual</v>
          </cell>
          <cell r="C11672" t="str">
            <v>Nov</v>
          </cell>
          <cell r="D11672" t="str">
            <v>Chairs</v>
          </cell>
          <cell r="E11672">
            <v>191971.18499999997</v>
          </cell>
          <cell r="F11672">
            <v>11</v>
          </cell>
        </row>
        <row r="11673">
          <cell r="A11673">
            <v>2018</v>
          </cell>
          <cell r="B11673" t="str">
            <v>Budget</v>
          </cell>
          <cell r="C11673" t="str">
            <v>Nov</v>
          </cell>
          <cell r="D11673" t="str">
            <v>Tables</v>
          </cell>
          <cell r="E11673">
            <v>15404.641</v>
          </cell>
          <cell r="F11673">
            <v>11</v>
          </cell>
        </row>
        <row r="11674">
          <cell r="A11674">
            <v>2019</v>
          </cell>
          <cell r="B11674" t="str">
            <v>Actual</v>
          </cell>
          <cell r="C11674" t="str">
            <v>Nov</v>
          </cell>
          <cell r="D11674" t="str">
            <v>Kitchen</v>
          </cell>
          <cell r="E11674">
            <v>1639287.615</v>
          </cell>
          <cell r="F11674">
            <v>11</v>
          </cell>
        </row>
        <row r="11675">
          <cell r="A11675">
            <v>2019</v>
          </cell>
          <cell r="B11675" t="str">
            <v>Budget</v>
          </cell>
          <cell r="C11675" t="str">
            <v>Nov</v>
          </cell>
          <cell r="D11675" t="str">
            <v>Chairs</v>
          </cell>
          <cell r="E11675">
            <v>2127985.9509999999</v>
          </cell>
          <cell r="F11675">
            <v>11</v>
          </cell>
        </row>
        <row r="11676">
          <cell r="A11676">
            <v>2018</v>
          </cell>
          <cell r="B11676" t="str">
            <v>Actual</v>
          </cell>
          <cell r="C11676" t="str">
            <v>Nov</v>
          </cell>
          <cell r="D11676" t="str">
            <v>Chairs</v>
          </cell>
          <cell r="E11676">
            <v>21848608.963999998</v>
          </cell>
          <cell r="F11676">
            <v>11</v>
          </cell>
        </row>
        <row r="11677">
          <cell r="A11677">
            <v>2018</v>
          </cell>
          <cell r="B11677" t="str">
            <v>Budget</v>
          </cell>
          <cell r="C11677" t="str">
            <v>Nov</v>
          </cell>
          <cell r="D11677" t="str">
            <v>Chairs</v>
          </cell>
          <cell r="E11677">
            <v>191412.51499999998</v>
          </cell>
          <cell r="F11677">
            <v>11</v>
          </cell>
        </row>
        <row r="11678">
          <cell r="A11678">
            <v>2019</v>
          </cell>
          <cell r="B11678" t="str">
            <v>Actual</v>
          </cell>
          <cell r="C11678" t="str">
            <v>Nov</v>
          </cell>
          <cell r="D11678" t="str">
            <v>Chairs</v>
          </cell>
          <cell r="E11678">
            <v>286699.80499999999</v>
          </cell>
          <cell r="F11678">
            <v>11</v>
          </cell>
        </row>
        <row r="11679">
          <cell r="A11679">
            <v>2018</v>
          </cell>
          <cell r="B11679" t="str">
            <v>Budget</v>
          </cell>
          <cell r="C11679" t="str">
            <v>Nov</v>
          </cell>
          <cell r="D11679" t="str">
            <v>Chairs</v>
          </cell>
          <cell r="E11679">
            <v>566018.55099999998</v>
          </cell>
          <cell r="F11679">
            <v>11</v>
          </cell>
        </row>
        <row r="11680">
          <cell r="A11680">
            <v>2019</v>
          </cell>
          <cell r="B11680" t="str">
            <v>Actual</v>
          </cell>
          <cell r="C11680" t="str">
            <v>Nov</v>
          </cell>
          <cell r="D11680" t="str">
            <v>Chairs</v>
          </cell>
          <cell r="E11680">
            <v>38933.145999999993</v>
          </cell>
          <cell r="F11680">
            <v>11</v>
          </cell>
        </row>
        <row r="11681">
          <cell r="A11681">
            <v>2019</v>
          </cell>
          <cell r="B11681" t="str">
            <v>Budget</v>
          </cell>
          <cell r="C11681" t="str">
            <v>Nov</v>
          </cell>
          <cell r="D11681" t="str">
            <v>Chairs</v>
          </cell>
          <cell r="E11681">
            <v>209321.72100000002</v>
          </cell>
          <cell r="F11681">
            <v>11</v>
          </cell>
        </row>
        <row r="11682">
          <cell r="A11682">
            <v>2019</v>
          </cell>
          <cell r="B11682" t="str">
            <v>Actual</v>
          </cell>
          <cell r="C11682" t="str">
            <v>Nov</v>
          </cell>
          <cell r="D11682" t="str">
            <v>Chairs</v>
          </cell>
          <cell r="E11682">
            <v>299011.23</v>
          </cell>
          <cell r="F11682">
            <v>11</v>
          </cell>
        </row>
        <row r="11683">
          <cell r="A11683">
            <v>2019</v>
          </cell>
          <cell r="B11683" t="str">
            <v>Budget</v>
          </cell>
          <cell r="C11683" t="str">
            <v>Nov</v>
          </cell>
          <cell r="D11683" t="str">
            <v>Chairs</v>
          </cell>
          <cell r="E11683">
            <v>596128.09199999995</v>
          </cell>
          <cell r="F11683">
            <v>11</v>
          </cell>
        </row>
        <row r="11684">
          <cell r="A11684">
            <v>2019</v>
          </cell>
          <cell r="B11684" t="str">
            <v>Actual</v>
          </cell>
          <cell r="C11684" t="str">
            <v>Nov</v>
          </cell>
          <cell r="D11684" t="str">
            <v>Chairs</v>
          </cell>
          <cell r="E11684">
            <v>17254056.938999999</v>
          </cell>
          <cell r="F11684">
            <v>11</v>
          </cell>
        </row>
        <row r="11685">
          <cell r="A11685">
            <v>2019</v>
          </cell>
          <cell r="B11685" t="str">
            <v>Budget</v>
          </cell>
          <cell r="C11685" t="str">
            <v>Nov</v>
          </cell>
          <cell r="D11685" t="str">
            <v>Chairs</v>
          </cell>
          <cell r="E11685">
            <v>1994905.787</v>
          </cell>
          <cell r="F11685">
            <v>11</v>
          </cell>
        </row>
        <row r="11686">
          <cell r="A11686">
            <v>2019</v>
          </cell>
          <cell r="B11686" t="str">
            <v>Actual</v>
          </cell>
          <cell r="C11686" t="str">
            <v>Nov</v>
          </cell>
          <cell r="D11686" t="str">
            <v>Chairs</v>
          </cell>
          <cell r="E11686">
            <v>343219.68099999998</v>
          </cell>
          <cell r="F11686">
            <v>11</v>
          </cell>
        </row>
        <row r="11687">
          <cell r="A11687">
            <v>2019</v>
          </cell>
          <cell r="B11687" t="str">
            <v>Budget</v>
          </cell>
          <cell r="C11687" t="str">
            <v>Nov</v>
          </cell>
          <cell r="D11687" t="str">
            <v>Chairs</v>
          </cell>
          <cell r="E11687">
            <v>2656493.9169999999</v>
          </cell>
          <cell r="F11687">
            <v>11</v>
          </cell>
        </row>
        <row r="11688">
          <cell r="A11688">
            <v>2019</v>
          </cell>
          <cell r="B11688" t="str">
            <v>Actual</v>
          </cell>
          <cell r="C11688" t="str">
            <v>Nov</v>
          </cell>
          <cell r="D11688" t="str">
            <v>Chairs</v>
          </cell>
          <cell r="E11688">
            <v>339214.46299999999</v>
          </cell>
          <cell r="F11688">
            <v>11</v>
          </cell>
        </row>
        <row r="11689">
          <cell r="A11689">
            <v>2019</v>
          </cell>
          <cell r="B11689" t="str">
            <v>Budget</v>
          </cell>
          <cell r="C11689" t="str">
            <v>Nov</v>
          </cell>
          <cell r="D11689" t="str">
            <v>Chairs</v>
          </cell>
          <cell r="E11689">
            <v>160556.984</v>
          </cell>
          <cell r="F11689">
            <v>11</v>
          </cell>
        </row>
        <row r="11690">
          <cell r="A11690">
            <v>2018</v>
          </cell>
          <cell r="B11690" t="str">
            <v>Actual</v>
          </cell>
          <cell r="C11690" t="str">
            <v>Nov</v>
          </cell>
          <cell r="D11690" t="str">
            <v>Chairs</v>
          </cell>
          <cell r="E11690">
            <v>2742709.5779999997</v>
          </cell>
          <cell r="F11690">
            <v>11</v>
          </cell>
        </row>
        <row r="11691">
          <cell r="A11691">
            <v>2018</v>
          </cell>
          <cell r="B11691" t="str">
            <v>Budget</v>
          </cell>
          <cell r="C11691" t="str">
            <v>Nov</v>
          </cell>
          <cell r="D11691" t="str">
            <v>Chairs</v>
          </cell>
          <cell r="E11691">
            <v>2716741.6709999996</v>
          </cell>
          <cell r="F11691">
            <v>11</v>
          </cell>
        </row>
        <row r="11692">
          <cell r="A11692">
            <v>2018</v>
          </cell>
          <cell r="B11692" t="str">
            <v>Actual</v>
          </cell>
          <cell r="C11692" t="str">
            <v>Nov</v>
          </cell>
          <cell r="D11692" t="str">
            <v>Chairs</v>
          </cell>
          <cell r="E11692">
            <v>7724.436999999999</v>
          </cell>
          <cell r="F11692">
            <v>11</v>
          </cell>
        </row>
        <row r="11693">
          <cell r="A11693">
            <v>2019</v>
          </cell>
          <cell r="B11693" t="str">
            <v>Budget</v>
          </cell>
          <cell r="C11693" t="str">
            <v>Nov</v>
          </cell>
          <cell r="D11693" t="str">
            <v>Chairs</v>
          </cell>
          <cell r="E11693">
            <v>334555.28399999999</v>
          </cell>
          <cell r="F11693">
            <v>11</v>
          </cell>
        </row>
        <row r="11694">
          <cell r="A11694">
            <v>2019</v>
          </cell>
          <cell r="B11694" t="str">
            <v>Actual</v>
          </cell>
          <cell r="C11694" t="str">
            <v>Nov</v>
          </cell>
          <cell r="D11694" t="str">
            <v>Chairs</v>
          </cell>
          <cell r="E11694">
            <v>367003.32899999997</v>
          </cell>
          <cell r="F11694">
            <v>11</v>
          </cell>
        </row>
        <row r="11695">
          <cell r="A11695">
            <v>2019</v>
          </cell>
          <cell r="B11695" t="str">
            <v>Budget</v>
          </cell>
          <cell r="C11695" t="str">
            <v>Nov</v>
          </cell>
          <cell r="D11695" t="str">
            <v>Chairs</v>
          </cell>
          <cell r="E11695">
            <v>59557.449000000001</v>
          </cell>
          <cell r="F11695">
            <v>11</v>
          </cell>
        </row>
        <row r="11696">
          <cell r="A11696">
            <v>2018</v>
          </cell>
          <cell r="B11696" t="str">
            <v>Actual</v>
          </cell>
          <cell r="C11696" t="str">
            <v>Nov</v>
          </cell>
          <cell r="D11696" t="str">
            <v>Chairs</v>
          </cell>
          <cell r="E11696">
            <v>382801.04800000001</v>
          </cell>
          <cell r="F11696">
            <v>11</v>
          </cell>
        </row>
        <row r="11697">
          <cell r="A11697">
            <v>2019</v>
          </cell>
          <cell r="B11697" t="str">
            <v>Budget</v>
          </cell>
          <cell r="C11697" t="str">
            <v>Nov</v>
          </cell>
          <cell r="D11697" t="str">
            <v>Chairs</v>
          </cell>
          <cell r="E11697">
            <v>1092426.699</v>
          </cell>
          <cell r="F11697">
            <v>11</v>
          </cell>
        </row>
        <row r="11698">
          <cell r="A11698">
            <v>2018</v>
          </cell>
          <cell r="B11698" t="str">
            <v>Actual</v>
          </cell>
          <cell r="C11698" t="str">
            <v>Nov</v>
          </cell>
          <cell r="D11698" t="str">
            <v>Chairs</v>
          </cell>
          <cell r="E11698">
            <v>2228709.406</v>
          </cell>
          <cell r="F11698">
            <v>11</v>
          </cell>
        </row>
        <row r="11699">
          <cell r="A11699">
            <v>2019</v>
          </cell>
          <cell r="B11699" t="str">
            <v>Budget</v>
          </cell>
          <cell r="C11699" t="str">
            <v>Nov</v>
          </cell>
          <cell r="D11699" t="str">
            <v>Chairs</v>
          </cell>
          <cell r="E11699">
            <v>-21023.631999999998</v>
          </cell>
          <cell r="F11699">
            <v>11</v>
          </cell>
        </row>
        <row r="11700">
          <cell r="A11700">
            <v>2019</v>
          </cell>
          <cell r="B11700" t="str">
            <v>Actual</v>
          </cell>
          <cell r="C11700" t="str">
            <v>Nov</v>
          </cell>
          <cell r="D11700" t="str">
            <v>Chairs</v>
          </cell>
          <cell r="E11700">
            <v>128017.519</v>
          </cell>
          <cell r="F11700">
            <v>11</v>
          </cell>
        </row>
        <row r="11701">
          <cell r="A11701">
            <v>2019</v>
          </cell>
          <cell r="B11701" t="str">
            <v>Budget</v>
          </cell>
          <cell r="C11701" t="str">
            <v>Nov</v>
          </cell>
          <cell r="D11701" t="str">
            <v>Tables</v>
          </cell>
          <cell r="E11701">
            <v>15806.566999999999</v>
          </cell>
          <cell r="F11701">
            <v>11</v>
          </cell>
        </row>
        <row r="11702">
          <cell r="A11702">
            <v>2018</v>
          </cell>
          <cell r="B11702" t="str">
            <v>Actual</v>
          </cell>
          <cell r="C11702" t="str">
            <v>Nov</v>
          </cell>
          <cell r="D11702" t="str">
            <v>Kitchen</v>
          </cell>
          <cell r="E11702">
            <v>235824.03599999996</v>
          </cell>
          <cell r="F11702">
            <v>11</v>
          </cell>
        </row>
        <row r="11703">
          <cell r="A11703">
            <v>2018</v>
          </cell>
          <cell r="B11703" t="str">
            <v>Budget</v>
          </cell>
          <cell r="C11703" t="str">
            <v>Nov</v>
          </cell>
          <cell r="D11703" t="str">
            <v>Chairs</v>
          </cell>
          <cell r="E11703">
            <v>570539.79499999993</v>
          </cell>
          <cell r="F11703">
            <v>11</v>
          </cell>
        </row>
        <row r="11704">
          <cell r="A11704">
            <v>2018</v>
          </cell>
          <cell r="B11704" t="str">
            <v>Actual</v>
          </cell>
          <cell r="C11704" t="str">
            <v>Nov</v>
          </cell>
          <cell r="D11704" t="str">
            <v>Chairs</v>
          </cell>
          <cell r="E11704">
            <v>269052.30799999996</v>
          </cell>
          <cell r="F11704">
            <v>11</v>
          </cell>
        </row>
        <row r="11705">
          <cell r="A11705">
            <v>2018</v>
          </cell>
          <cell r="B11705" t="str">
            <v>Budget</v>
          </cell>
          <cell r="C11705" t="str">
            <v>Nov</v>
          </cell>
          <cell r="D11705" t="str">
            <v>Chairs</v>
          </cell>
          <cell r="E11705">
            <v>180155.43</v>
          </cell>
          <cell r="F11705">
            <v>11</v>
          </cell>
        </row>
        <row r="11706">
          <cell r="A11706">
            <v>2019</v>
          </cell>
          <cell r="B11706" t="str">
            <v>Actual</v>
          </cell>
          <cell r="C11706" t="str">
            <v>Nov</v>
          </cell>
          <cell r="D11706" t="str">
            <v>Chairs</v>
          </cell>
          <cell r="E11706">
            <v>73286.597999999998</v>
          </cell>
          <cell r="F11706">
            <v>11</v>
          </cell>
        </row>
        <row r="11707">
          <cell r="A11707">
            <v>2018</v>
          </cell>
          <cell r="B11707" t="str">
            <v>Budget</v>
          </cell>
          <cell r="C11707" t="str">
            <v>Nov</v>
          </cell>
          <cell r="D11707" t="str">
            <v>Chairs</v>
          </cell>
          <cell r="E11707">
            <v>978922.75599999994</v>
          </cell>
          <cell r="F11707">
            <v>11</v>
          </cell>
        </row>
        <row r="11708">
          <cell r="A11708">
            <v>2018</v>
          </cell>
          <cell r="B11708" t="str">
            <v>Actual</v>
          </cell>
          <cell r="C11708" t="str">
            <v>Nov</v>
          </cell>
          <cell r="D11708" t="str">
            <v>Tables</v>
          </cell>
          <cell r="E11708">
            <v>596625.82699999993</v>
          </cell>
          <cell r="F11708">
            <v>11</v>
          </cell>
        </row>
        <row r="11709">
          <cell r="A11709">
            <v>2019</v>
          </cell>
          <cell r="B11709" t="str">
            <v>Budget</v>
          </cell>
          <cell r="C11709" t="str">
            <v>Nov</v>
          </cell>
          <cell r="D11709" t="str">
            <v>Kitchen</v>
          </cell>
          <cell r="E11709">
            <v>349268.68199999997</v>
          </cell>
          <cell r="F11709">
            <v>11</v>
          </cell>
        </row>
        <row r="11710">
          <cell r="A11710">
            <v>2019</v>
          </cell>
          <cell r="B11710" t="str">
            <v>Actual</v>
          </cell>
          <cell r="C11710" t="str">
            <v>Nov</v>
          </cell>
          <cell r="D11710" t="str">
            <v>Chairs</v>
          </cell>
          <cell r="E11710">
            <v>2766607.1439999999</v>
          </cell>
          <cell r="F11710">
            <v>11</v>
          </cell>
        </row>
        <row r="11711">
          <cell r="A11711">
            <v>2019</v>
          </cell>
          <cell r="B11711" t="str">
            <v>Budget</v>
          </cell>
          <cell r="C11711" t="str">
            <v>Nov</v>
          </cell>
          <cell r="D11711" t="str">
            <v>Chairs</v>
          </cell>
          <cell r="E11711">
            <v>696098.95599999989</v>
          </cell>
          <cell r="F11711">
            <v>11</v>
          </cell>
        </row>
        <row r="11712">
          <cell r="A11712">
            <v>2018</v>
          </cell>
          <cell r="B11712" t="str">
            <v>Actual</v>
          </cell>
          <cell r="C11712" t="str">
            <v>Nov</v>
          </cell>
          <cell r="D11712" t="str">
            <v>Chairs</v>
          </cell>
          <cell r="E11712">
            <v>719269.87300000002</v>
          </cell>
          <cell r="F11712">
            <v>11</v>
          </cell>
        </row>
        <row r="11713">
          <cell r="A11713">
            <v>2018</v>
          </cell>
          <cell r="B11713" t="str">
            <v>Budget</v>
          </cell>
          <cell r="C11713" t="str">
            <v>Nov</v>
          </cell>
          <cell r="D11713" t="str">
            <v>Tables</v>
          </cell>
          <cell r="E11713">
            <v>874940.82899999991</v>
          </cell>
          <cell r="F11713">
            <v>11</v>
          </cell>
        </row>
        <row r="11714">
          <cell r="A11714">
            <v>2019</v>
          </cell>
          <cell r="B11714" t="str">
            <v>Actual</v>
          </cell>
          <cell r="C11714" t="str">
            <v>Nov</v>
          </cell>
          <cell r="D11714" t="str">
            <v>Kitchen</v>
          </cell>
          <cell r="E11714">
            <v>1733544.0359999998</v>
          </cell>
          <cell r="F11714">
            <v>11</v>
          </cell>
        </row>
        <row r="11715">
          <cell r="A11715">
            <v>2019</v>
          </cell>
          <cell r="B11715" t="str">
            <v>Budget</v>
          </cell>
          <cell r="C11715" t="str">
            <v>Nov</v>
          </cell>
          <cell r="D11715" t="str">
            <v>Chairs</v>
          </cell>
          <cell r="E11715">
            <v>114914.09999999999</v>
          </cell>
          <cell r="F11715">
            <v>11</v>
          </cell>
        </row>
        <row r="11716">
          <cell r="A11716">
            <v>2018</v>
          </cell>
          <cell r="B11716" t="str">
            <v>Actual</v>
          </cell>
          <cell r="C11716" t="str">
            <v>Nov</v>
          </cell>
          <cell r="D11716" t="str">
            <v>Chairs</v>
          </cell>
          <cell r="E11716">
            <v>230052.9</v>
          </cell>
          <cell r="F11716">
            <v>11</v>
          </cell>
        </row>
        <row r="11717">
          <cell r="A11717">
            <v>2018</v>
          </cell>
          <cell r="B11717" t="str">
            <v>Budget</v>
          </cell>
          <cell r="C11717" t="str">
            <v>Nov</v>
          </cell>
          <cell r="D11717" t="str">
            <v>Tables</v>
          </cell>
          <cell r="E11717">
            <v>344933.39999999997</v>
          </cell>
          <cell r="F11717">
            <v>11</v>
          </cell>
        </row>
        <row r="11718">
          <cell r="A11718">
            <v>2018</v>
          </cell>
          <cell r="B11718" t="str">
            <v>Actual</v>
          </cell>
          <cell r="C11718" t="str">
            <v>Nov</v>
          </cell>
          <cell r="D11718" t="str">
            <v>Kitchen</v>
          </cell>
          <cell r="E11718">
            <v>66668.566999999995</v>
          </cell>
          <cell r="F11718">
            <v>11</v>
          </cell>
        </row>
        <row r="11719">
          <cell r="A11719">
            <v>2018</v>
          </cell>
          <cell r="B11719" t="str">
            <v>Budget</v>
          </cell>
          <cell r="C11719" t="str">
            <v>Nov</v>
          </cell>
          <cell r="D11719" t="str">
            <v>Chairs</v>
          </cell>
          <cell r="E11719">
            <v>74303.291999999987</v>
          </cell>
          <cell r="F11719">
            <v>11</v>
          </cell>
        </row>
        <row r="11720">
          <cell r="A11720">
            <v>2018</v>
          </cell>
          <cell r="B11720" t="str">
            <v>Actual</v>
          </cell>
          <cell r="C11720" t="str">
            <v>Nov</v>
          </cell>
          <cell r="D11720" t="str">
            <v>Chairs</v>
          </cell>
          <cell r="E11720">
            <v>197320.80899999998</v>
          </cell>
          <cell r="F11720">
            <v>11</v>
          </cell>
        </row>
        <row r="11721">
          <cell r="A11721">
            <v>2019</v>
          </cell>
          <cell r="B11721" t="str">
            <v>Budget</v>
          </cell>
          <cell r="C11721" t="str">
            <v>Nov</v>
          </cell>
          <cell r="D11721" t="str">
            <v>Chairs</v>
          </cell>
          <cell r="E11721">
            <v>263538.45</v>
          </cell>
          <cell r="F11721">
            <v>11</v>
          </cell>
        </row>
        <row r="11722">
          <cell r="A11722">
            <v>2018</v>
          </cell>
          <cell r="B11722" t="str">
            <v>Actual</v>
          </cell>
          <cell r="C11722" t="str">
            <v>Nov</v>
          </cell>
          <cell r="D11722" t="str">
            <v>Tables</v>
          </cell>
          <cell r="E11722">
            <v>203543.95600000001</v>
          </cell>
          <cell r="F11722">
            <v>11</v>
          </cell>
        </row>
        <row r="11723">
          <cell r="A11723">
            <v>2018</v>
          </cell>
          <cell r="B11723" t="str">
            <v>Budget</v>
          </cell>
          <cell r="C11723" t="str">
            <v>Nov</v>
          </cell>
          <cell r="D11723" t="str">
            <v>Kitchen</v>
          </cell>
          <cell r="E11723">
            <v>130309.011</v>
          </cell>
          <cell r="F11723">
            <v>11</v>
          </cell>
        </row>
        <row r="11724">
          <cell r="A11724">
            <v>2019</v>
          </cell>
          <cell r="B11724" t="str">
            <v>Actual</v>
          </cell>
          <cell r="C11724" t="str">
            <v>Nov</v>
          </cell>
          <cell r="D11724" t="str">
            <v>Accessories</v>
          </cell>
          <cell r="E11724">
            <v>205261.476</v>
          </cell>
          <cell r="F11724">
            <v>11</v>
          </cell>
        </row>
        <row r="11725">
          <cell r="A11725">
            <v>2018</v>
          </cell>
          <cell r="B11725" t="str">
            <v>Budget</v>
          </cell>
          <cell r="C11725" t="str">
            <v>Nov</v>
          </cell>
          <cell r="D11725" t="str">
            <v>Chairs</v>
          </cell>
          <cell r="E11725">
            <v>85616.005999999994</v>
          </cell>
          <cell r="F11725">
            <v>11</v>
          </cell>
        </row>
        <row r="11726">
          <cell r="A11726">
            <v>2018</v>
          </cell>
          <cell r="B11726" t="str">
            <v>Actual</v>
          </cell>
          <cell r="C11726" t="str">
            <v>Nov</v>
          </cell>
          <cell r="D11726" t="str">
            <v>Tables</v>
          </cell>
          <cell r="E11726">
            <v>100477.20899999999</v>
          </cell>
          <cell r="F11726">
            <v>11</v>
          </cell>
        </row>
        <row r="11727">
          <cell r="A11727">
            <v>2018</v>
          </cell>
          <cell r="B11727" t="str">
            <v>Budget</v>
          </cell>
          <cell r="C11727" t="str">
            <v>Nov</v>
          </cell>
          <cell r="D11727" t="str">
            <v>Kitchen</v>
          </cell>
          <cell r="E11727">
            <v>166837.965</v>
          </cell>
          <cell r="F11727">
            <v>11</v>
          </cell>
        </row>
        <row r="11728">
          <cell r="A11728">
            <v>2018</v>
          </cell>
          <cell r="B11728" t="str">
            <v>Actual</v>
          </cell>
          <cell r="C11728" t="str">
            <v>Nov</v>
          </cell>
          <cell r="D11728" t="str">
            <v>Accessories</v>
          </cell>
          <cell r="E11728">
            <v>251423.88599999997</v>
          </cell>
          <cell r="F11728">
            <v>11</v>
          </cell>
        </row>
        <row r="11729">
          <cell r="A11729">
            <v>2018</v>
          </cell>
          <cell r="B11729" t="str">
            <v>Budget</v>
          </cell>
          <cell r="C11729" t="str">
            <v>Nov</v>
          </cell>
          <cell r="D11729" t="str">
            <v>Chairs</v>
          </cell>
          <cell r="E11729">
            <v>254078.356</v>
          </cell>
          <cell r="F11729">
            <v>11</v>
          </cell>
        </row>
        <row r="11730">
          <cell r="A11730">
            <v>2018</v>
          </cell>
          <cell r="B11730" t="str">
            <v>Actual</v>
          </cell>
          <cell r="C11730" t="str">
            <v>Nov</v>
          </cell>
          <cell r="D11730" t="str">
            <v>Tables</v>
          </cell>
          <cell r="E11730">
            <v>205170.60199999998</v>
          </cell>
          <cell r="F11730">
            <v>11</v>
          </cell>
        </row>
        <row r="11731">
          <cell r="A11731">
            <v>2018</v>
          </cell>
          <cell r="B11731" t="str">
            <v>Budget</v>
          </cell>
          <cell r="C11731" t="str">
            <v>Nov</v>
          </cell>
          <cell r="D11731" t="str">
            <v>Kitchen</v>
          </cell>
          <cell r="E11731">
            <v>68844.09</v>
          </cell>
          <cell r="F11731">
            <v>11</v>
          </cell>
        </row>
        <row r="11732">
          <cell r="A11732">
            <v>2018</v>
          </cell>
          <cell r="B11732" t="str">
            <v>Actual</v>
          </cell>
          <cell r="C11732" t="str">
            <v>Nov</v>
          </cell>
          <cell r="D11732" t="str">
            <v>Accessories</v>
          </cell>
          <cell r="E11732">
            <v>52156.118000000002</v>
          </cell>
          <cell r="F11732">
            <v>11</v>
          </cell>
        </row>
        <row r="11733">
          <cell r="A11733">
            <v>2018</v>
          </cell>
          <cell r="B11733" t="str">
            <v>Budget</v>
          </cell>
          <cell r="C11733" t="str">
            <v>Nov</v>
          </cell>
          <cell r="D11733" t="str">
            <v>Chairs</v>
          </cell>
          <cell r="E11733">
            <v>125049.015</v>
          </cell>
          <cell r="F11733">
            <v>11</v>
          </cell>
        </row>
        <row r="11734">
          <cell r="A11734">
            <v>2018</v>
          </cell>
          <cell r="B11734" t="str">
            <v>Actual</v>
          </cell>
          <cell r="C11734" t="str">
            <v>Nov</v>
          </cell>
          <cell r="D11734" t="str">
            <v>Tables</v>
          </cell>
          <cell r="E11734">
            <v>94072.320999999996</v>
          </cell>
          <cell r="F11734">
            <v>11</v>
          </cell>
        </row>
        <row r="11735">
          <cell r="A11735">
            <v>2019</v>
          </cell>
          <cell r="B11735" t="str">
            <v>Budget</v>
          </cell>
          <cell r="C11735" t="str">
            <v>Nov</v>
          </cell>
          <cell r="D11735" t="str">
            <v>Kitchen</v>
          </cell>
          <cell r="E11735">
            <v>45928.743000000002</v>
          </cell>
          <cell r="F11735">
            <v>11</v>
          </cell>
        </row>
        <row r="11736">
          <cell r="A11736">
            <v>2018</v>
          </cell>
          <cell r="B11736" t="str">
            <v>Actual</v>
          </cell>
          <cell r="C11736" t="str">
            <v>Nov</v>
          </cell>
          <cell r="D11736" t="str">
            <v>Accessories</v>
          </cell>
          <cell r="E11736">
            <v>338949.28899999999</v>
          </cell>
          <cell r="F11736">
            <v>11</v>
          </cell>
        </row>
        <row r="11737">
          <cell r="A11737">
            <v>2019</v>
          </cell>
          <cell r="B11737" t="str">
            <v>Budget</v>
          </cell>
          <cell r="C11737" t="str">
            <v>Nov</v>
          </cell>
          <cell r="D11737" t="str">
            <v>Chairs</v>
          </cell>
          <cell r="E11737">
            <v>5185.3549999999996</v>
          </cell>
          <cell r="F11737">
            <v>11</v>
          </cell>
        </row>
        <row r="11738">
          <cell r="A11738">
            <v>2019</v>
          </cell>
          <cell r="B11738" t="str">
            <v>Actual</v>
          </cell>
          <cell r="C11738" t="str">
            <v>Nov</v>
          </cell>
          <cell r="D11738" t="str">
            <v>Chairs</v>
          </cell>
          <cell r="E11738">
            <v>52483.066999999995</v>
          </cell>
          <cell r="F11738">
            <v>11</v>
          </cell>
        </row>
        <row r="11739">
          <cell r="A11739">
            <v>2018</v>
          </cell>
          <cell r="B11739" t="str">
            <v>Budget</v>
          </cell>
          <cell r="C11739" t="str">
            <v>Nov</v>
          </cell>
          <cell r="D11739" t="str">
            <v>Tables</v>
          </cell>
          <cell r="E11739">
            <v>20004.683999999997</v>
          </cell>
          <cell r="F11739">
            <v>11</v>
          </cell>
        </row>
        <row r="11740">
          <cell r="A11740">
            <v>2019</v>
          </cell>
          <cell r="B11740" t="str">
            <v>Actual</v>
          </cell>
          <cell r="C11740" t="str">
            <v>Nov</v>
          </cell>
          <cell r="D11740" t="str">
            <v>Kitchen</v>
          </cell>
          <cell r="E11740">
            <v>185765.10399999996</v>
          </cell>
          <cell r="F11740">
            <v>11</v>
          </cell>
        </row>
        <row r="11741">
          <cell r="A11741">
            <v>2019</v>
          </cell>
          <cell r="B11741" t="str">
            <v>Budget</v>
          </cell>
          <cell r="C11741" t="str">
            <v>Nov</v>
          </cell>
          <cell r="D11741" t="str">
            <v>Chairs</v>
          </cell>
          <cell r="E11741">
            <v>568762.73999999987</v>
          </cell>
          <cell r="F11741">
            <v>11</v>
          </cell>
        </row>
        <row r="11742">
          <cell r="A11742">
            <v>2018</v>
          </cell>
          <cell r="B11742" t="str">
            <v>Actual</v>
          </cell>
          <cell r="C11742" t="str">
            <v>Nov</v>
          </cell>
          <cell r="D11742" t="str">
            <v>Tables</v>
          </cell>
          <cell r="E11742">
            <v>6859.5169999999989</v>
          </cell>
          <cell r="F11742">
            <v>11</v>
          </cell>
        </row>
        <row r="11743">
          <cell r="A11743">
            <v>2019</v>
          </cell>
          <cell r="B11743" t="str">
            <v>Budget</v>
          </cell>
          <cell r="C11743" t="str">
            <v>Nov</v>
          </cell>
          <cell r="D11743" t="str">
            <v>Kitchen</v>
          </cell>
          <cell r="E11743">
            <v>20211.155999999999</v>
          </cell>
          <cell r="F11743">
            <v>11</v>
          </cell>
        </row>
        <row r="11744">
          <cell r="A11744">
            <v>2019</v>
          </cell>
          <cell r="B11744" t="str">
            <v>Actual</v>
          </cell>
          <cell r="C11744" t="str">
            <v>Nov</v>
          </cell>
          <cell r="D11744" t="str">
            <v>Chairs</v>
          </cell>
          <cell r="E11744">
            <v>182519.253</v>
          </cell>
          <cell r="F11744">
            <v>11</v>
          </cell>
        </row>
        <row r="11745">
          <cell r="A11745">
            <v>2019</v>
          </cell>
          <cell r="B11745" t="str">
            <v>Budget</v>
          </cell>
          <cell r="C11745" t="str">
            <v>Nov</v>
          </cell>
          <cell r="D11745" t="str">
            <v>Tables</v>
          </cell>
          <cell r="E11745">
            <v>377251.83299999993</v>
          </cell>
          <cell r="F11745">
            <v>11</v>
          </cell>
        </row>
        <row r="11746">
          <cell r="A11746">
            <v>2019</v>
          </cell>
          <cell r="B11746" t="str">
            <v>Actual</v>
          </cell>
          <cell r="C11746" t="str">
            <v>Nov</v>
          </cell>
          <cell r="D11746" t="str">
            <v>Kitchen</v>
          </cell>
          <cell r="E11746">
            <v>32245.506999999998</v>
          </cell>
          <cell r="F11746">
            <v>11</v>
          </cell>
        </row>
        <row r="11747">
          <cell r="A11747">
            <v>2018</v>
          </cell>
          <cell r="B11747" t="str">
            <v>Budget</v>
          </cell>
          <cell r="C11747" t="str">
            <v>Nov</v>
          </cell>
          <cell r="D11747" t="str">
            <v>Chairs</v>
          </cell>
          <cell r="E11747">
            <v>37958.606</v>
          </cell>
          <cell r="F11747">
            <v>11</v>
          </cell>
        </row>
        <row r="11748">
          <cell r="A11748">
            <v>2018</v>
          </cell>
          <cell r="B11748" t="str">
            <v>Actual</v>
          </cell>
          <cell r="C11748" t="str">
            <v>Nov</v>
          </cell>
          <cell r="D11748" t="str">
            <v>Chairs</v>
          </cell>
          <cell r="E11748">
            <v>205242.96099999998</v>
          </cell>
          <cell r="F11748">
            <v>11</v>
          </cell>
        </row>
        <row r="11749">
          <cell r="A11749">
            <v>2018</v>
          </cell>
          <cell r="B11749" t="str">
            <v>Budget</v>
          </cell>
          <cell r="C11749" t="str">
            <v>Nov</v>
          </cell>
          <cell r="D11749" t="str">
            <v>Chairs</v>
          </cell>
          <cell r="E11749">
            <v>124428.07999999999</v>
          </cell>
          <cell r="F11749">
            <v>11</v>
          </cell>
        </row>
        <row r="11750">
          <cell r="A11750">
            <v>2018</v>
          </cell>
          <cell r="B11750" t="str">
            <v>Actual</v>
          </cell>
          <cell r="C11750" t="str">
            <v>Nov</v>
          </cell>
          <cell r="D11750" t="str">
            <v>Chairs</v>
          </cell>
          <cell r="E11750">
            <v>220339.22399999999</v>
          </cell>
          <cell r="F11750">
            <v>11</v>
          </cell>
        </row>
        <row r="11751">
          <cell r="A11751">
            <v>2018</v>
          </cell>
          <cell r="B11751" t="str">
            <v>Budget</v>
          </cell>
          <cell r="C11751" t="str">
            <v>Nov</v>
          </cell>
          <cell r="D11751" t="str">
            <v>Chairs</v>
          </cell>
          <cell r="E11751">
            <v>94767.490999999995</v>
          </cell>
          <cell r="F11751">
            <v>11</v>
          </cell>
        </row>
        <row r="11752">
          <cell r="A11752">
            <v>2019</v>
          </cell>
          <cell r="B11752" t="str">
            <v>Actual</v>
          </cell>
          <cell r="C11752" t="str">
            <v>Nov</v>
          </cell>
          <cell r="D11752" t="str">
            <v>Chairs</v>
          </cell>
          <cell r="E11752">
            <v>587407.73699999996</v>
          </cell>
          <cell r="F11752">
            <v>11</v>
          </cell>
        </row>
        <row r="11753">
          <cell r="A11753">
            <v>2018</v>
          </cell>
          <cell r="B11753" t="str">
            <v>Budget</v>
          </cell>
          <cell r="C11753" t="str">
            <v>Nov</v>
          </cell>
          <cell r="D11753" t="str">
            <v>Chairs</v>
          </cell>
          <cell r="E11753">
            <v>167487.299</v>
          </cell>
          <cell r="F11753">
            <v>11</v>
          </cell>
        </row>
        <row r="11754">
          <cell r="A11754">
            <v>2019</v>
          </cell>
          <cell r="B11754" t="str">
            <v>Actual</v>
          </cell>
          <cell r="C11754" t="str">
            <v>Nov</v>
          </cell>
          <cell r="D11754" t="str">
            <v>Chairs</v>
          </cell>
          <cell r="E11754">
            <v>170678.389</v>
          </cell>
          <cell r="F11754">
            <v>11</v>
          </cell>
        </row>
        <row r="11755">
          <cell r="A11755">
            <v>2019</v>
          </cell>
          <cell r="B11755" t="str">
            <v>Budget</v>
          </cell>
          <cell r="C11755" t="str">
            <v>Nov</v>
          </cell>
          <cell r="D11755" t="str">
            <v>Chairs</v>
          </cell>
          <cell r="E11755">
            <v>159753.43299999999</v>
          </cell>
          <cell r="F11755">
            <v>11</v>
          </cell>
        </row>
        <row r="11756">
          <cell r="A11756">
            <v>2018</v>
          </cell>
          <cell r="B11756" t="str">
            <v>Actual</v>
          </cell>
          <cell r="C11756" t="str">
            <v>Nov</v>
          </cell>
          <cell r="D11756" t="str">
            <v>Chairs</v>
          </cell>
          <cell r="E11756">
            <v>111996.42300000001</v>
          </cell>
          <cell r="F11756">
            <v>11</v>
          </cell>
        </row>
        <row r="11757">
          <cell r="A11757">
            <v>2019</v>
          </cell>
          <cell r="B11757" t="str">
            <v>Budget</v>
          </cell>
          <cell r="C11757" t="str">
            <v>Nov</v>
          </cell>
          <cell r="D11757" t="str">
            <v>Chairs</v>
          </cell>
          <cell r="E11757">
            <v>563076.10799999989</v>
          </cell>
          <cell r="F11757">
            <v>11</v>
          </cell>
        </row>
        <row r="11758">
          <cell r="A11758">
            <v>2019</v>
          </cell>
          <cell r="B11758" t="str">
            <v>Actual</v>
          </cell>
          <cell r="C11758" t="str">
            <v>Nov</v>
          </cell>
          <cell r="D11758" t="str">
            <v>Chairs</v>
          </cell>
          <cell r="E11758">
            <v>192497.84399999998</v>
          </cell>
          <cell r="F11758">
            <v>11</v>
          </cell>
        </row>
        <row r="11759">
          <cell r="A11759">
            <v>2019</v>
          </cell>
          <cell r="B11759" t="str">
            <v>Budget</v>
          </cell>
          <cell r="C11759" t="str">
            <v>Nov</v>
          </cell>
          <cell r="D11759" t="str">
            <v>Chairs</v>
          </cell>
          <cell r="E11759">
            <v>77438.641000000003</v>
          </cell>
          <cell r="F11759">
            <v>11</v>
          </cell>
        </row>
        <row r="11760">
          <cell r="A11760">
            <v>2019</v>
          </cell>
          <cell r="B11760" t="str">
            <v>Actual</v>
          </cell>
          <cell r="C11760" t="str">
            <v>Nov</v>
          </cell>
          <cell r="D11760" t="str">
            <v>Chairs</v>
          </cell>
          <cell r="E11760">
            <v>75991.398000000001</v>
          </cell>
          <cell r="F11760">
            <v>11</v>
          </cell>
        </row>
        <row r="11761">
          <cell r="A11761">
            <v>2019</v>
          </cell>
          <cell r="B11761" t="str">
            <v>Budget</v>
          </cell>
          <cell r="C11761" t="str">
            <v>Nov</v>
          </cell>
          <cell r="D11761" t="str">
            <v>Chairs</v>
          </cell>
          <cell r="E11761">
            <v>1222779.838</v>
          </cell>
          <cell r="F11761">
            <v>11</v>
          </cell>
        </row>
        <row r="11762">
          <cell r="A11762">
            <v>2019</v>
          </cell>
          <cell r="B11762" t="str">
            <v>Actual</v>
          </cell>
          <cell r="C11762" t="str">
            <v>Nov</v>
          </cell>
          <cell r="D11762" t="str">
            <v>Chairs</v>
          </cell>
          <cell r="E11762">
            <v>693987.51099999994</v>
          </cell>
          <cell r="F11762">
            <v>11</v>
          </cell>
        </row>
        <row r="11763">
          <cell r="A11763">
            <v>2019</v>
          </cell>
          <cell r="B11763" t="str">
            <v>Budget</v>
          </cell>
          <cell r="C11763" t="str">
            <v>Nov</v>
          </cell>
          <cell r="D11763" t="str">
            <v>Chairs</v>
          </cell>
          <cell r="E11763">
            <v>403255.26499999996</v>
          </cell>
          <cell r="F11763">
            <v>11</v>
          </cell>
        </row>
        <row r="11764">
          <cell r="A11764">
            <v>2018</v>
          </cell>
          <cell r="B11764" t="str">
            <v>Actual</v>
          </cell>
          <cell r="C11764" t="str">
            <v>Nov</v>
          </cell>
          <cell r="D11764" t="str">
            <v>Chairs</v>
          </cell>
          <cell r="E11764">
            <v>632333.23299999989</v>
          </cell>
          <cell r="F11764">
            <v>11</v>
          </cell>
        </row>
        <row r="11765">
          <cell r="A11765">
            <v>2019</v>
          </cell>
          <cell r="B11765" t="str">
            <v>Budget</v>
          </cell>
          <cell r="C11765" t="str">
            <v>Nov</v>
          </cell>
          <cell r="D11765" t="str">
            <v>Chairs</v>
          </cell>
          <cell r="E11765">
            <v>3192.2730000000001</v>
          </cell>
          <cell r="F11765">
            <v>11</v>
          </cell>
        </row>
        <row r="11766">
          <cell r="A11766">
            <v>2019</v>
          </cell>
          <cell r="B11766" t="str">
            <v>Actual</v>
          </cell>
          <cell r="C11766" t="str">
            <v>Nov</v>
          </cell>
          <cell r="D11766" t="str">
            <v>Chairs</v>
          </cell>
          <cell r="E11766">
            <v>128650.08799999999</v>
          </cell>
          <cell r="F11766">
            <v>11</v>
          </cell>
        </row>
        <row r="11767">
          <cell r="A11767">
            <v>2019</v>
          </cell>
          <cell r="B11767" t="str">
            <v>Budget</v>
          </cell>
          <cell r="C11767" t="str">
            <v>Nov</v>
          </cell>
          <cell r="D11767" t="str">
            <v>Chairs</v>
          </cell>
          <cell r="E11767">
            <v>60799.332999999999</v>
          </cell>
          <cell r="F11767">
            <v>11</v>
          </cell>
        </row>
        <row r="11768">
          <cell r="A11768">
            <v>2019</v>
          </cell>
          <cell r="B11768" t="str">
            <v>Actual</v>
          </cell>
          <cell r="C11768" t="str">
            <v>Nov</v>
          </cell>
          <cell r="D11768" t="str">
            <v>Chairs</v>
          </cell>
          <cell r="E11768">
            <v>136733.198</v>
          </cell>
          <cell r="F11768">
            <v>11</v>
          </cell>
        </row>
        <row r="11769">
          <cell r="A11769">
            <v>2018</v>
          </cell>
          <cell r="B11769" t="str">
            <v>Budget</v>
          </cell>
          <cell r="C11769" t="str">
            <v>Nov</v>
          </cell>
          <cell r="D11769" t="str">
            <v>Chairs</v>
          </cell>
          <cell r="E11769">
            <v>72292.92</v>
          </cell>
          <cell r="F11769">
            <v>11</v>
          </cell>
        </row>
        <row r="11770">
          <cell r="A11770">
            <v>2019</v>
          </cell>
          <cell r="B11770" t="str">
            <v>Actual</v>
          </cell>
          <cell r="C11770" t="str">
            <v>Nov</v>
          </cell>
          <cell r="D11770" t="str">
            <v>Chairs</v>
          </cell>
          <cell r="E11770">
            <v>69935.87999999999</v>
          </cell>
          <cell r="F11770">
            <v>11</v>
          </cell>
        </row>
        <row r="11771">
          <cell r="A11771">
            <v>2018</v>
          </cell>
          <cell r="B11771" t="str">
            <v>Budget</v>
          </cell>
          <cell r="C11771" t="str">
            <v>Nov</v>
          </cell>
          <cell r="D11771" t="str">
            <v>Chairs</v>
          </cell>
          <cell r="E11771">
            <v>61010.158999999992</v>
          </cell>
          <cell r="F11771">
            <v>11</v>
          </cell>
        </row>
        <row r="11772">
          <cell r="A11772">
            <v>2019</v>
          </cell>
          <cell r="B11772" t="str">
            <v>Actual</v>
          </cell>
          <cell r="C11772" t="str">
            <v>Nov</v>
          </cell>
          <cell r="D11772" t="str">
            <v>Chairs</v>
          </cell>
          <cell r="E11772">
            <v>60713.239999999991</v>
          </cell>
          <cell r="F11772">
            <v>11</v>
          </cell>
        </row>
        <row r="11773">
          <cell r="A11773">
            <v>2019</v>
          </cell>
          <cell r="B11773" t="str">
            <v>Budget</v>
          </cell>
          <cell r="C11773" t="str">
            <v>Nov</v>
          </cell>
          <cell r="D11773" t="str">
            <v>Tables</v>
          </cell>
          <cell r="E11773">
            <v>57936.878999999994</v>
          </cell>
          <cell r="F11773">
            <v>11</v>
          </cell>
        </row>
        <row r="11774">
          <cell r="A11774">
            <v>2018</v>
          </cell>
          <cell r="B11774" t="str">
            <v>Actual</v>
          </cell>
          <cell r="C11774" t="str">
            <v>Nov</v>
          </cell>
          <cell r="D11774" t="str">
            <v>Kitchen</v>
          </cell>
          <cell r="E11774">
            <v>130841.158</v>
          </cell>
          <cell r="F11774">
            <v>11</v>
          </cell>
        </row>
        <row r="11775">
          <cell r="A11775">
            <v>2019</v>
          </cell>
          <cell r="B11775" t="str">
            <v>Budget</v>
          </cell>
          <cell r="C11775" t="str">
            <v>Nov</v>
          </cell>
          <cell r="D11775" t="str">
            <v>Chairs</v>
          </cell>
          <cell r="E11775">
            <v>21774.983999999997</v>
          </cell>
          <cell r="F11775">
            <v>11</v>
          </cell>
        </row>
        <row r="11776">
          <cell r="A11776">
            <v>2019</v>
          </cell>
          <cell r="B11776" t="str">
            <v>Actual</v>
          </cell>
          <cell r="C11776" t="str">
            <v>Nov</v>
          </cell>
          <cell r="D11776" t="str">
            <v>Chairs</v>
          </cell>
          <cell r="E11776">
            <v>60731.614999999991</v>
          </cell>
          <cell r="F11776">
            <v>11</v>
          </cell>
        </row>
        <row r="11777">
          <cell r="A11777">
            <v>2018</v>
          </cell>
          <cell r="B11777" t="str">
            <v>Budget</v>
          </cell>
          <cell r="C11777" t="str">
            <v>Nov</v>
          </cell>
          <cell r="D11777" t="str">
            <v>Chairs</v>
          </cell>
          <cell r="E11777">
            <v>307789.53100000002</v>
          </cell>
          <cell r="F11777">
            <v>11</v>
          </cell>
        </row>
        <row r="11778">
          <cell r="A11778">
            <v>2019</v>
          </cell>
          <cell r="B11778" t="str">
            <v>Actual</v>
          </cell>
          <cell r="C11778" t="str">
            <v>Nov</v>
          </cell>
          <cell r="D11778" t="str">
            <v>Chairs</v>
          </cell>
          <cell r="E11778">
            <v>926374.55399999989</v>
          </cell>
          <cell r="F11778">
            <v>11</v>
          </cell>
        </row>
        <row r="11779">
          <cell r="A11779">
            <v>2018</v>
          </cell>
          <cell r="B11779" t="str">
            <v>Budget</v>
          </cell>
          <cell r="C11779" t="str">
            <v>Nov</v>
          </cell>
          <cell r="D11779" t="str">
            <v>Chairs</v>
          </cell>
          <cell r="E11779">
            <v>103419.89699999998</v>
          </cell>
          <cell r="F11779">
            <v>11</v>
          </cell>
        </row>
        <row r="11780">
          <cell r="A11780">
            <v>2019</v>
          </cell>
          <cell r="B11780" t="str">
            <v>Actual</v>
          </cell>
          <cell r="C11780" t="str">
            <v>Nov</v>
          </cell>
          <cell r="D11780" t="str">
            <v>Tables</v>
          </cell>
          <cell r="E11780">
            <v>259658.47599999997</v>
          </cell>
          <cell r="F11780">
            <v>11</v>
          </cell>
        </row>
        <row r="11781">
          <cell r="A11781">
            <v>2018</v>
          </cell>
          <cell r="B11781" t="str">
            <v>Budget</v>
          </cell>
          <cell r="C11781" t="str">
            <v>Nov</v>
          </cell>
          <cell r="D11781" t="str">
            <v>Kitchen</v>
          </cell>
          <cell r="E11781">
            <v>1582487.1019999997</v>
          </cell>
          <cell r="F11781">
            <v>11</v>
          </cell>
        </row>
        <row r="11782">
          <cell r="A11782">
            <v>2018</v>
          </cell>
          <cell r="B11782" t="str">
            <v>Actual</v>
          </cell>
          <cell r="C11782" t="str">
            <v>Nov</v>
          </cell>
          <cell r="D11782" t="str">
            <v>Chairs</v>
          </cell>
          <cell r="E11782">
            <v>3917247.943</v>
          </cell>
          <cell r="F11782">
            <v>11</v>
          </cell>
        </row>
        <row r="11783">
          <cell r="A11783">
            <v>2019</v>
          </cell>
          <cell r="B11783" t="str">
            <v>Budget</v>
          </cell>
          <cell r="C11783" t="str">
            <v>Nov</v>
          </cell>
          <cell r="D11783" t="str">
            <v>Chairs</v>
          </cell>
          <cell r="E11783">
            <v>328746.10299999994</v>
          </cell>
          <cell r="F11783">
            <v>11</v>
          </cell>
        </row>
        <row r="11784">
          <cell r="A11784">
            <v>2019</v>
          </cell>
          <cell r="B11784" t="str">
            <v>Actual</v>
          </cell>
          <cell r="C11784" t="str">
            <v>Nov</v>
          </cell>
          <cell r="D11784" t="str">
            <v>Chairs</v>
          </cell>
          <cell r="E11784">
            <v>59421.46</v>
          </cell>
          <cell r="F11784">
            <v>11</v>
          </cell>
        </row>
        <row r="11785">
          <cell r="A11785">
            <v>2018</v>
          </cell>
          <cell r="B11785" t="str">
            <v>Budget</v>
          </cell>
          <cell r="C11785" t="str">
            <v>Nov</v>
          </cell>
          <cell r="D11785" t="str">
            <v>Tables</v>
          </cell>
          <cell r="E11785">
            <v>70367.555999999997</v>
          </cell>
          <cell r="F11785">
            <v>11</v>
          </cell>
        </row>
        <row r="11786">
          <cell r="A11786">
            <v>2019</v>
          </cell>
          <cell r="B11786" t="str">
            <v>Actual</v>
          </cell>
          <cell r="C11786" t="str">
            <v>Nov</v>
          </cell>
          <cell r="D11786" t="str">
            <v>Kitchen</v>
          </cell>
          <cell r="E11786">
            <v>84202.02</v>
          </cell>
          <cell r="F11786">
            <v>11</v>
          </cell>
        </row>
        <row r="11787">
          <cell r="A11787">
            <v>2018</v>
          </cell>
          <cell r="B11787" t="str">
            <v>Budget</v>
          </cell>
          <cell r="C11787" t="str">
            <v>Nov</v>
          </cell>
          <cell r="D11787" t="str">
            <v>Chairs</v>
          </cell>
          <cell r="E11787">
            <v>19476.981999999996</v>
          </cell>
          <cell r="F11787">
            <v>11</v>
          </cell>
        </row>
        <row r="11788">
          <cell r="A11788">
            <v>2018</v>
          </cell>
          <cell r="B11788" t="str">
            <v>Actual</v>
          </cell>
          <cell r="C11788" t="str">
            <v>Nov</v>
          </cell>
          <cell r="D11788" t="str">
            <v>Chairs</v>
          </cell>
          <cell r="E11788">
            <v>139593.636</v>
          </cell>
          <cell r="F11788">
            <v>11</v>
          </cell>
        </row>
        <row r="11789">
          <cell r="A11789">
            <v>2019</v>
          </cell>
          <cell r="B11789" t="str">
            <v>Budget</v>
          </cell>
          <cell r="C11789" t="str">
            <v>Nov</v>
          </cell>
          <cell r="D11789" t="str">
            <v>Tables</v>
          </cell>
          <cell r="E11789">
            <v>33006.309000000001</v>
          </cell>
          <cell r="F11789">
            <v>11</v>
          </cell>
        </row>
        <row r="11790">
          <cell r="A11790">
            <v>2019</v>
          </cell>
          <cell r="B11790" t="str">
            <v>Actual</v>
          </cell>
          <cell r="C11790" t="str">
            <v>Nov</v>
          </cell>
          <cell r="D11790" t="str">
            <v>Kitchen</v>
          </cell>
          <cell r="E11790">
            <v>37463.292999999998</v>
          </cell>
          <cell r="F11790">
            <v>11</v>
          </cell>
        </row>
        <row r="11791">
          <cell r="A11791">
            <v>2018</v>
          </cell>
          <cell r="B11791" t="str">
            <v>Budget</v>
          </cell>
          <cell r="C11791" t="str">
            <v>Nov</v>
          </cell>
          <cell r="D11791" t="str">
            <v>Chairs</v>
          </cell>
          <cell r="E11791">
            <v>100095.583</v>
          </cell>
          <cell r="F11791">
            <v>11</v>
          </cell>
        </row>
        <row r="11792">
          <cell r="A11792">
            <v>2018</v>
          </cell>
          <cell r="B11792" t="str">
            <v>Actual</v>
          </cell>
          <cell r="C11792" t="str">
            <v>Nov</v>
          </cell>
          <cell r="D11792" t="str">
            <v>Chairs</v>
          </cell>
          <cell r="E11792">
            <v>361188.96099999995</v>
          </cell>
          <cell r="F11792">
            <v>11</v>
          </cell>
        </row>
        <row r="11793">
          <cell r="A11793">
            <v>2018</v>
          </cell>
          <cell r="B11793" t="str">
            <v>Budget</v>
          </cell>
          <cell r="C11793" t="str">
            <v>Nov</v>
          </cell>
          <cell r="D11793" t="str">
            <v>Chairs</v>
          </cell>
          <cell r="E11793">
            <v>28925.554</v>
          </cell>
          <cell r="F11793">
            <v>11</v>
          </cell>
        </row>
        <row r="11794">
          <cell r="A11794">
            <v>2019</v>
          </cell>
          <cell r="B11794" t="str">
            <v>Actual</v>
          </cell>
          <cell r="C11794" t="str">
            <v>Nov</v>
          </cell>
          <cell r="D11794" t="str">
            <v>Tables</v>
          </cell>
          <cell r="E11794">
            <v>20466.166000000001</v>
          </cell>
          <cell r="F11794">
            <v>11</v>
          </cell>
        </row>
        <row r="11795">
          <cell r="A11795">
            <v>2018</v>
          </cell>
          <cell r="B11795" t="str">
            <v>Budget</v>
          </cell>
          <cell r="C11795" t="str">
            <v>Nov</v>
          </cell>
          <cell r="D11795" t="str">
            <v>Kitchen</v>
          </cell>
          <cell r="E11795">
            <v>687.51199999999994</v>
          </cell>
          <cell r="F11795">
            <v>11</v>
          </cell>
        </row>
        <row r="11796">
          <cell r="A11796">
            <v>2018</v>
          </cell>
          <cell r="B11796" t="str">
            <v>Actual</v>
          </cell>
          <cell r="C11796" t="str">
            <v>Nov</v>
          </cell>
          <cell r="D11796" t="str">
            <v>Accessories</v>
          </cell>
          <cell r="E11796">
            <v>334333.96499999997</v>
          </cell>
          <cell r="F11796">
            <v>11</v>
          </cell>
        </row>
        <row r="11797">
          <cell r="A11797">
            <v>2018</v>
          </cell>
          <cell r="B11797" t="str">
            <v>Budget</v>
          </cell>
          <cell r="C11797" t="str">
            <v>Nov</v>
          </cell>
          <cell r="D11797" t="str">
            <v>Chairs</v>
          </cell>
          <cell r="E11797">
            <v>124941.94299999998</v>
          </cell>
          <cell r="F11797">
            <v>11</v>
          </cell>
        </row>
        <row r="11798">
          <cell r="A11798">
            <v>2018</v>
          </cell>
          <cell r="B11798" t="str">
            <v>Actual</v>
          </cell>
          <cell r="C11798" t="str">
            <v>Nov</v>
          </cell>
          <cell r="D11798" t="str">
            <v>Tables</v>
          </cell>
          <cell r="E11798">
            <v>67970.755999999994</v>
          </cell>
          <cell r="F11798">
            <v>11</v>
          </cell>
        </row>
        <row r="11799">
          <cell r="A11799">
            <v>2018</v>
          </cell>
          <cell r="B11799" t="str">
            <v>Budget</v>
          </cell>
          <cell r="C11799" t="str">
            <v>Nov</v>
          </cell>
          <cell r="D11799" t="str">
            <v>Kitchen</v>
          </cell>
          <cell r="E11799">
            <v>1623195.4689999998</v>
          </cell>
          <cell r="F11799">
            <v>11</v>
          </cell>
        </row>
        <row r="11800">
          <cell r="A11800">
            <v>2019</v>
          </cell>
          <cell r="B11800" t="str">
            <v>Actual</v>
          </cell>
          <cell r="C11800" t="str">
            <v>Nov</v>
          </cell>
          <cell r="D11800" t="str">
            <v>Accessories</v>
          </cell>
          <cell r="E11800">
            <v>97325.654999999984</v>
          </cell>
          <cell r="F11800">
            <v>11</v>
          </cell>
        </row>
        <row r="11801">
          <cell r="A11801">
            <v>2018</v>
          </cell>
          <cell r="B11801" t="str">
            <v>Budget</v>
          </cell>
          <cell r="C11801" t="str">
            <v>Nov</v>
          </cell>
          <cell r="D11801" t="str">
            <v>Chairs</v>
          </cell>
          <cell r="E11801">
            <v>41446.951000000001</v>
          </cell>
          <cell r="F11801">
            <v>11</v>
          </cell>
        </row>
        <row r="11802">
          <cell r="A11802">
            <v>2019</v>
          </cell>
          <cell r="B11802" t="str">
            <v>Actual</v>
          </cell>
          <cell r="C11802" t="str">
            <v>Nov</v>
          </cell>
          <cell r="D11802" t="str">
            <v>Tables</v>
          </cell>
          <cell r="E11802">
            <v>58535.589</v>
          </cell>
          <cell r="F11802">
            <v>11</v>
          </cell>
        </row>
        <row r="11803">
          <cell r="A11803">
            <v>2019</v>
          </cell>
          <cell r="B11803" t="str">
            <v>Budget</v>
          </cell>
          <cell r="C11803" t="str">
            <v>Nov</v>
          </cell>
          <cell r="D11803" t="str">
            <v>Kitchen</v>
          </cell>
          <cell r="E11803">
            <v>111536.77499999999</v>
          </cell>
          <cell r="F11803">
            <v>11</v>
          </cell>
        </row>
        <row r="11804">
          <cell r="A11804">
            <v>2018</v>
          </cell>
          <cell r="B11804" t="str">
            <v>Actual</v>
          </cell>
          <cell r="C11804" t="str">
            <v>Nov</v>
          </cell>
          <cell r="D11804" t="str">
            <v>Accessories</v>
          </cell>
          <cell r="E11804">
            <v>475200.31299999997</v>
          </cell>
          <cell r="F11804">
            <v>11</v>
          </cell>
        </row>
        <row r="11805">
          <cell r="A11805">
            <v>2019</v>
          </cell>
          <cell r="B11805" t="str">
            <v>Budget</v>
          </cell>
          <cell r="C11805" t="str">
            <v>Nov</v>
          </cell>
          <cell r="D11805" t="str">
            <v>Chairs</v>
          </cell>
          <cell r="E11805">
            <v>488816.14600000001</v>
          </cell>
          <cell r="F11805">
            <v>11</v>
          </cell>
        </row>
        <row r="11806">
          <cell r="A11806">
            <v>2018</v>
          </cell>
          <cell r="B11806" t="str">
            <v>Actual</v>
          </cell>
          <cell r="C11806" t="str">
            <v>Nov</v>
          </cell>
          <cell r="D11806" t="str">
            <v>Tables</v>
          </cell>
          <cell r="E11806">
            <v>9432.5979999999981</v>
          </cell>
          <cell r="F11806">
            <v>11</v>
          </cell>
        </row>
        <row r="11807">
          <cell r="A11807">
            <v>2019</v>
          </cell>
          <cell r="B11807" t="str">
            <v>Budget</v>
          </cell>
          <cell r="C11807" t="str">
            <v>Nov</v>
          </cell>
          <cell r="D11807" t="str">
            <v>Kitchen</v>
          </cell>
          <cell r="E11807">
            <v>691170.48</v>
          </cell>
          <cell r="F11807">
            <v>11</v>
          </cell>
        </row>
        <row r="11808">
          <cell r="A11808">
            <v>2018</v>
          </cell>
          <cell r="B11808" t="str">
            <v>Actual</v>
          </cell>
          <cell r="C11808" t="str">
            <v>Nov</v>
          </cell>
          <cell r="D11808" t="str">
            <v>Accessories</v>
          </cell>
          <cell r="E11808">
            <v>77000.168000000005</v>
          </cell>
          <cell r="F11808">
            <v>11</v>
          </cell>
        </row>
        <row r="11809">
          <cell r="A11809">
            <v>2019</v>
          </cell>
          <cell r="B11809" t="str">
            <v>Budget</v>
          </cell>
          <cell r="C11809" t="str">
            <v>Nov</v>
          </cell>
          <cell r="D11809" t="str">
            <v>Chairs</v>
          </cell>
          <cell r="E11809">
            <v>6850288.8999999994</v>
          </cell>
          <cell r="F11809">
            <v>11</v>
          </cell>
        </row>
        <row r="11810">
          <cell r="A11810">
            <v>2019</v>
          </cell>
          <cell r="B11810" t="str">
            <v>Actual</v>
          </cell>
          <cell r="C11810" t="str">
            <v>Nov</v>
          </cell>
          <cell r="D11810" t="str">
            <v>Chairs</v>
          </cell>
          <cell r="E11810">
            <v>456219.05</v>
          </cell>
          <cell r="F11810">
            <v>11</v>
          </cell>
        </row>
        <row r="11811">
          <cell r="A11811">
            <v>2019</v>
          </cell>
          <cell r="B11811" t="str">
            <v>Budget</v>
          </cell>
          <cell r="C11811" t="str">
            <v>Nov</v>
          </cell>
          <cell r="D11811" t="str">
            <v>Tables</v>
          </cell>
          <cell r="E11811">
            <v>762171.88599999994</v>
          </cell>
          <cell r="F11811">
            <v>11</v>
          </cell>
        </row>
        <row r="11812">
          <cell r="A11812">
            <v>2019</v>
          </cell>
          <cell r="B11812" t="str">
            <v>Actual</v>
          </cell>
          <cell r="C11812" t="str">
            <v>Nov</v>
          </cell>
          <cell r="D11812" t="str">
            <v>Kitchen</v>
          </cell>
          <cell r="E11812">
            <v>241102.61699999997</v>
          </cell>
          <cell r="F11812">
            <v>11</v>
          </cell>
        </row>
        <row r="11813">
          <cell r="A11813">
            <v>2019</v>
          </cell>
          <cell r="B11813" t="str">
            <v>Budget</v>
          </cell>
          <cell r="C11813" t="str">
            <v>Nov</v>
          </cell>
          <cell r="D11813" t="str">
            <v>Chairs</v>
          </cell>
          <cell r="E11813">
            <v>750100.75</v>
          </cell>
          <cell r="F11813">
            <v>11</v>
          </cell>
        </row>
        <row r="11814">
          <cell r="A11814">
            <v>2019</v>
          </cell>
          <cell r="B11814" t="str">
            <v>Actual</v>
          </cell>
          <cell r="C11814" t="str">
            <v>Nov</v>
          </cell>
          <cell r="D11814" t="str">
            <v>Tables</v>
          </cell>
          <cell r="E11814">
            <v>219288.43299999999</v>
          </cell>
          <cell r="F11814">
            <v>11</v>
          </cell>
        </row>
        <row r="11815">
          <cell r="A11815">
            <v>2018</v>
          </cell>
          <cell r="B11815" t="str">
            <v>Budget</v>
          </cell>
          <cell r="C11815" t="str">
            <v>Nov</v>
          </cell>
          <cell r="D11815" t="str">
            <v>Kitchen</v>
          </cell>
          <cell r="E11815">
            <v>119701.02899999999</v>
          </cell>
          <cell r="F11815">
            <v>11</v>
          </cell>
        </row>
        <row r="11816">
          <cell r="A11816">
            <v>2018</v>
          </cell>
          <cell r="B11816" t="str">
            <v>Actual</v>
          </cell>
          <cell r="C11816" t="str">
            <v>Nov</v>
          </cell>
          <cell r="D11816" t="str">
            <v>Chairs</v>
          </cell>
          <cell r="E11816">
            <v>635545.88299999991</v>
          </cell>
          <cell r="F11816">
            <v>11</v>
          </cell>
        </row>
        <row r="11817">
          <cell r="A11817">
            <v>2019</v>
          </cell>
          <cell r="B11817" t="str">
            <v>Budget</v>
          </cell>
          <cell r="C11817" t="str">
            <v>Nov</v>
          </cell>
          <cell r="D11817" t="str">
            <v>Tables</v>
          </cell>
          <cell r="E11817">
            <v>15488.234999999999</v>
          </cell>
          <cell r="F11817">
            <v>11</v>
          </cell>
        </row>
        <row r="11818">
          <cell r="A11818">
            <v>2018</v>
          </cell>
          <cell r="B11818" t="str">
            <v>Actual</v>
          </cell>
          <cell r="C11818" t="str">
            <v>Nov</v>
          </cell>
          <cell r="D11818" t="str">
            <v>Kitchen</v>
          </cell>
          <cell r="E11818">
            <v>227759.56699999998</v>
          </cell>
          <cell r="F11818">
            <v>11</v>
          </cell>
        </row>
        <row r="11819">
          <cell r="A11819">
            <v>2019</v>
          </cell>
          <cell r="B11819" t="str">
            <v>Budget</v>
          </cell>
          <cell r="C11819" t="str">
            <v>Nov</v>
          </cell>
          <cell r="D11819" t="str">
            <v>Chairs</v>
          </cell>
          <cell r="E11819">
            <v>920258.89199999999</v>
          </cell>
          <cell r="F11819">
            <v>11</v>
          </cell>
        </row>
        <row r="11820">
          <cell r="A11820">
            <v>2019</v>
          </cell>
          <cell r="B11820" t="str">
            <v>Actual</v>
          </cell>
          <cell r="C11820" t="str">
            <v>Nov</v>
          </cell>
          <cell r="D11820" t="str">
            <v>Chairs</v>
          </cell>
          <cell r="E11820">
            <v>319487.14</v>
          </cell>
          <cell r="F11820">
            <v>11</v>
          </cell>
        </row>
        <row r="11821">
          <cell r="A11821">
            <v>2018</v>
          </cell>
          <cell r="B11821" t="str">
            <v>Budget</v>
          </cell>
          <cell r="C11821" t="str">
            <v>Nov</v>
          </cell>
          <cell r="D11821" t="str">
            <v>Chairs</v>
          </cell>
          <cell r="E11821">
            <v>242842.22200000001</v>
          </cell>
          <cell r="F11821">
            <v>11</v>
          </cell>
        </row>
        <row r="11822">
          <cell r="A11822">
            <v>2018</v>
          </cell>
          <cell r="B11822" t="str">
            <v>Actual</v>
          </cell>
          <cell r="C11822" t="str">
            <v>Nov</v>
          </cell>
          <cell r="D11822" t="str">
            <v>Chairs</v>
          </cell>
          <cell r="E11822">
            <v>1335001.017</v>
          </cell>
          <cell r="F11822">
            <v>11</v>
          </cell>
        </row>
        <row r="11823">
          <cell r="A11823">
            <v>2018</v>
          </cell>
          <cell r="B11823" t="str">
            <v>Budget</v>
          </cell>
          <cell r="C11823" t="str">
            <v>Nov</v>
          </cell>
          <cell r="D11823" t="str">
            <v>Chairs</v>
          </cell>
          <cell r="E11823">
            <v>-19355.042000000001</v>
          </cell>
          <cell r="F11823">
            <v>11</v>
          </cell>
        </row>
        <row r="11824">
          <cell r="A11824">
            <v>2019</v>
          </cell>
          <cell r="B11824" t="str">
            <v>Actual</v>
          </cell>
          <cell r="C11824" t="str">
            <v>Nov</v>
          </cell>
          <cell r="D11824" t="str">
            <v>Chairs</v>
          </cell>
          <cell r="E11824">
            <v>-18240.851999999999</v>
          </cell>
          <cell r="F11824">
            <v>11</v>
          </cell>
        </row>
        <row r="11825">
          <cell r="A11825">
            <v>2019</v>
          </cell>
          <cell r="B11825" t="str">
            <v>Budget</v>
          </cell>
          <cell r="C11825" t="str">
            <v>Nov</v>
          </cell>
          <cell r="D11825" t="str">
            <v>Chairs</v>
          </cell>
          <cell r="E11825">
            <v>-11615.275</v>
          </cell>
          <cell r="F11825">
            <v>11</v>
          </cell>
        </row>
        <row r="11826">
          <cell r="A11826">
            <v>2019</v>
          </cell>
          <cell r="B11826" t="str">
            <v>Actual</v>
          </cell>
          <cell r="C11826" t="str">
            <v>Nov</v>
          </cell>
          <cell r="D11826" t="str">
            <v>Chairs</v>
          </cell>
          <cell r="E11826">
            <v>-26976.620999999999</v>
          </cell>
          <cell r="F11826">
            <v>11</v>
          </cell>
        </row>
        <row r="11827">
          <cell r="A11827">
            <v>2019</v>
          </cell>
          <cell r="B11827" t="str">
            <v>Budget</v>
          </cell>
          <cell r="C11827" t="str">
            <v>Nov</v>
          </cell>
          <cell r="D11827" t="str">
            <v>Chairs</v>
          </cell>
          <cell r="E11827">
            <v>2075260.4389999998</v>
          </cell>
          <cell r="F11827">
            <v>11</v>
          </cell>
        </row>
        <row r="11828">
          <cell r="A11828">
            <v>2019</v>
          </cell>
          <cell r="B11828" t="str">
            <v>Actual</v>
          </cell>
          <cell r="C11828" t="str">
            <v>Nov</v>
          </cell>
          <cell r="D11828" t="str">
            <v>Chairs</v>
          </cell>
          <cell r="E11828">
            <v>301641.31899999996</v>
          </cell>
          <cell r="F11828">
            <v>11</v>
          </cell>
        </row>
        <row r="11829">
          <cell r="A11829">
            <v>2019</v>
          </cell>
          <cell r="B11829" t="str">
            <v>Budget</v>
          </cell>
          <cell r="C11829" t="str">
            <v>Nov</v>
          </cell>
          <cell r="D11829" t="str">
            <v>Chairs</v>
          </cell>
          <cell r="E11829">
            <v>102286.20499999999</v>
          </cell>
          <cell r="F11829">
            <v>11</v>
          </cell>
        </row>
        <row r="11830">
          <cell r="A11830">
            <v>2019</v>
          </cell>
          <cell r="B11830" t="str">
            <v>Actual</v>
          </cell>
          <cell r="C11830" t="str">
            <v>Nov</v>
          </cell>
          <cell r="D11830" t="str">
            <v>Chairs</v>
          </cell>
          <cell r="E11830">
            <v>200827.63399999999</v>
          </cell>
          <cell r="F11830">
            <v>11</v>
          </cell>
        </row>
        <row r="11831">
          <cell r="A11831">
            <v>2018</v>
          </cell>
          <cell r="B11831" t="str">
            <v>Budget</v>
          </cell>
          <cell r="C11831" t="str">
            <v>Nov</v>
          </cell>
          <cell r="D11831" t="str">
            <v>Chairs</v>
          </cell>
          <cell r="E11831">
            <v>252529.557</v>
          </cell>
          <cell r="F11831">
            <v>11</v>
          </cell>
        </row>
        <row r="11832">
          <cell r="A11832">
            <v>2019</v>
          </cell>
          <cell r="B11832" t="str">
            <v>Actual</v>
          </cell>
          <cell r="C11832" t="str">
            <v>Nov</v>
          </cell>
          <cell r="D11832" t="str">
            <v>Chairs</v>
          </cell>
          <cell r="E11832">
            <v>630457.59</v>
          </cell>
          <cell r="F11832">
            <v>11</v>
          </cell>
        </row>
        <row r="11833">
          <cell r="A11833">
            <v>2019</v>
          </cell>
          <cell r="B11833" t="str">
            <v>Budget</v>
          </cell>
          <cell r="C11833" t="str">
            <v>Nov</v>
          </cell>
          <cell r="D11833" t="str">
            <v>Chairs</v>
          </cell>
          <cell r="E11833">
            <v>284541.45299999998</v>
          </cell>
          <cell r="F11833">
            <v>11</v>
          </cell>
        </row>
        <row r="11834">
          <cell r="A11834">
            <v>2019</v>
          </cell>
          <cell r="B11834" t="str">
            <v>Actual</v>
          </cell>
          <cell r="C11834" t="str">
            <v>Nov</v>
          </cell>
          <cell r="D11834" t="str">
            <v>Chairs</v>
          </cell>
          <cell r="E11834">
            <v>10957.583000000001</v>
          </cell>
          <cell r="F11834">
            <v>11</v>
          </cell>
        </row>
        <row r="11835">
          <cell r="A11835">
            <v>2019</v>
          </cell>
          <cell r="B11835" t="str">
            <v>Budget</v>
          </cell>
          <cell r="C11835" t="str">
            <v>Nov</v>
          </cell>
          <cell r="D11835" t="str">
            <v>Chairs</v>
          </cell>
          <cell r="E11835">
            <v>-58128.405999999995</v>
          </cell>
          <cell r="F11835">
            <v>11</v>
          </cell>
        </row>
        <row r="11836">
          <cell r="A11836">
            <v>2018</v>
          </cell>
          <cell r="B11836" t="str">
            <v>Actual</v>
          </cell>
          <cell r="C11836" t="str">
            <v>Nov</v>
          </cell>
          <cell r="D11836" t="str">
            <v>Chairs</v>
          </cell>
          <cell r="E11836">
            <v>125171.298</v>
          </cell>
          <cell r="F11836">
            <v>11</v>
          </cell>
        </row>
        <row r="11837">
          <cell r="A11837">
            <v>2018</v>
          </cell>
          <cell r="B11837" t="str">
            <v>Budget</v>
          </cell>
          <cell r="C11837" t="str">
            <v>Nov</v>
          </cell>
          <cell r="D11837" t="str">
            <v>Chairs</v>
          </cell>
          <cell r="E11837">
            <v>359088.85599999997</v>
          </cell>
          <cell r="F11837">
            <v>11</v>
          </cell>
        </row>
        <row r="11838">
          <cell r="A11838">
            <v>2019</v>
          </cell>
          <cell r="B11838" t="str">
            <v>Actual</v>
          </cell>
          <cell r="C11838" t="str">
            <v>Nov</v>
          </cell>
          <cell r="D11838" t="str">
            <v>Chairs</v>
          </cell>
          <cell r="E11838">
            <v>1599896.13</v>
          </cell>
          <cell r="F11838">
            <v>11</v>
          </cell>
        </row>
        <row r="11839">
          <cell r="A11839">
            <v>2019</v>
          </cell>
          <cell r="B11839" t="str">
            <v>Budget</v>
          </cell>
          <cell r="C11839" t="str">
            <v>Nov</v>
          </cell>
          <cell r="D11839" t="str">
            <v>Chairs</v>
          </cell>
          <cell r="E11839">
            <v>440708.38</v>
          </cell>
          <cell r="F11839">
            <v>11</v>
          </cell>
        </row>
        <row r="11840">
          <cell r="A11840">
            <v>2018</v>
          </cell>
          <cell r="B11840" t="str">
            <v>Actual</v>
          </cell>
          <cell r="C11840" t="str">
            <v>Nov</v>
          </cell>
          <cell r="D11840" t="str">
            <v>Chairs</v>
          </cell>
          <cell r="E11840">
            <v>435946.58799999993</v>
          </cell>
          <cell r="F11840">
            <v>11</v>
          </cell>
        </row>
        <row r="11841">
          <cell r="A11841">
            <v>2018</v>
          </cell>
          <cell r="B11841" t="str">
            <v>Budget</v>
          </cell>
          <cell r="C11841" t="str">
            <v>Nov</v>
          </cell>
          <cell r="D11841" t="str">
            <v>Chairs</v>
          </cell>
          <cell r="E11841">
            <v>5348699.7969999993</v>
          </cell>
          <cell r="F11841">
            <v>11</v>
          </cell>
        </row>
        <row r="11842">
          <cell r="A11842">
            <v>2018</v>
          </cell>
          <cell r="B11842" t="str">
            <v>Actual</v>
          </cell>
          <cell r="C11842" t="str">
            <v>Nov</v>
          </cell>
          <cell r="D11842" t="str">
            <v>Chairs</v>
          </cell>
          <cell r="E11842">
            <v>638484.64399999997</v>
          </cell>
          <cell r="F11842">
            <v>11</v>
          </cell>
        </row>
        <row r="11843">
          <cell r="A11843">
            <v>2018</v>
          </cell>
          <cell r="B11843" t="str">
            <v>Budget</v>
          </cell>
          <cell r="C11843" t="str">
            <v>Nov</v>
          </cell>
          <cell r="D11843" t="str">
            <v>Chairs</v>
          </cell>
          <cell r="E11843">
            <v>701474.62</v>
          </cell>
          <cell r="F11843">
            <v>11</v>
          </cell>
        </row>
        <row r="11844">
          <cell r="A11844">
            <v>2018</v>
          </cell>
          <cell r="B11844" t="str">
            <v>Actual</v>
          </cell>
          <cell r="C11844" t="str">
            <v>Nov</v>
          </cell>
          <cell r="D11844" t="str">
            <v>Chairs</v>
          </cell>
          <cell r="E11844">
            <v>632412.78799999994</v>
          </cell>
          <cell r="F11844">
            <v>11</v>
          </cell>
        </row>
        <row r="11845">
          <cell r="A11845">
            <v>2019</v>
          </cell>
          <cell r="B11845" t="str">
            <v>Budget</v>
          </cell>
          <cell r="C11845" t="str">
            <v>Nov</v>
          </cell>
          <cell r="D11845" t="str">
            <v>Tables</v>
          </cell>
          <cell r="E11845">
            <v>380157.701</v>
          </cell>
          <cell r="F11845">
            <v>11</v>
          </cell>
        </row>
        <row r="11846">
          <cell r="A11846">
            <v>2019</v>
          </cell>
          <cell r="B11846" t="str">
            <v>Actual</v>
          </cell>
          <cell r="C11846" t="str">
            <v>Nov</v>
          </cell>
          <cell r="D11846" t="str">
            <v>Kitchen</v>
          </cell>
          <cell r="E11846">
            <v>1213794.6169999999</v>
          </cell>
          <cell r="F11846">
            <v>11</v>
          </cell>
        </row>
        <row r="11847">
          <cell r="A11847">
            <v>2019</v>
          </cell>
          <cell r="B11847" t="str">
            <v>Budget</v>
          </cell>
          <cell r="C11847" t="str">
            <v>Nov</v>
          </cell>
          <cell r="D11847" t="str">
            <v>Chairs</v>
          </cell>
          <cell r="E11847">
            <v>2330490.645</v>
          </cell>
          <cell r="F11847">
            <v>11</v>
          </cell>
        </row>
        <row r="11848">
          <cell r="A11848">
            <v>2019</v>
          </cell>
          <cell r="B11848" t="str">
            <v>Actual</v>
          </cell>
          <cell r="C11848" t="str">
            <v>Nov</v>
          </cell>
          <cell r="D11848" t="str">
            <v>Chairs</v>
          </cell>
          <cell r="E11848">
            <v>1438531.4789999998</v>
          </cell>
          <cell r="F11848">
            <v>11</v>
          </cell>
        </row>
        <row r="11849">
          <cell r="A11849">
            <v>2019</v>
          </cell>
          <cell r="B11849" t="str">
            <v>Budget</v>
          </cell>
          <cell r="C11849" t="str">
            <v>Nov</v>
          </cell>
          <cell r="D11849" t="str">
            <v>Chairs</v>
          </cell>
          <cell r="E11849">
            <v>119767.92099999999</v>
          </cell>
          <cell r="F11849">
            <v>11</v>
          </cell>
        </row>
        <row r="11850">
          <cell r="A11850">
            <v>2018</v>
          </cell>
          <cell r="B11850" t="str">
            <v>Actual</v>
          </cell>
          <cell r="C11850" t="str">
            <v>Nov</v>
          </cell>
          <cell r="D11850" t="str">
            <v>Chairs</v>
          </cell>
          <cell r="E11850">
            <v>241601.96199999997</v>
          </cell>
          <cell r="F11850">
            <v>11</v>
          </cell>
        </row>
        <row r="11851">
          <cell r="A11851">
            <v>2019</v>
          </cell>
          <cell r="B11851" t="str">
            <v>Budget</v>
          </cell>
          <cell r="C11851" t="str">
            <v>Nov</v>
          </cell>
          <cell r="D11851" t="str">
            <v>Chairs</v>
          </cell>
          <cell r="E11851">
            <v>362096.32199999999</v>
          </cell>
          <cell r="F11851">
            <v>11</v>
          </cell>
        </row>
        <row r="11852">
          <cell r="A11852">
            <v>2018</v>
          </cell>
          <cell r="B11852" t="str">
            <v>Actual</v>
          </cell>
          <cell r="C11852" t="str">
            <v>Nov</v>
          </cell>
          <cell r="D11852" t="str">
            <v>Tables</v>
          </cell>
          <cell r="E11852">
            <v>361351.19999999995</v>
          </cell>
          <cell r="F11852">
            <v>11</v>
          </cell>
        </row>
        <row r="11853">
          <cell r="A11853">
            <v>2018</v>
          </cell>
          <cell r="B11853" t="str">
            <v>Budget</v>
          </cell>
          <cell r="C11853" t="str">
            <v>Nov</v>
          </cell>
          <cell r="D11853" t="str">
            <v>Kitchen</v>
          </cell>
          <cell r="E11853">
            <v>-173.27099999999999</v>
          </cell>
          <cell r="F11853">
            <v>11</v>
          </cell>
        </row>
        <row r="11854">
          <cell r="A11854">
            <v>2018</v>
          </cell>
          <cell r="B11854" t="str">
            <v>Actual</v>
          </cell>
          <cell r="C11854" t="str">
            <v>Nov</v>
          </cell>
          <cell r="D11854" t="str">
            <v>Chairs</v>
          </cell>
          <cell r="E11854">
            <v>138164.70499999999</v>
          </cell>
          <cell r="F11854">
            <v>11</v>
          </cell>
        </row>
        <row r="11855">
          <cell r="A11855">
            <v>2018</v>
          </cell>
          <cell r="B11855" t="str">
            <v>Budget</v>
          </cell>
          <cell r="C11855" t="str">
            <v>Nov</v>
          </cell>
          <cell r="D11855" t="str">
            <v>Chairs</v>
          </cell>
          <cell r="E11855">
            <v>205859.39499999996</v>
          </cell>
          <cell r="F11855">
            <v>11</v>
          </cell>
        </row>
        <row r="11856">
          <cell r="A11856">
            <v>2019</v>
          </cell>
          <cell r="B11856" t="str">
            <v>Actual</v>
          </cell>
          <cell r="C11856" t="str">
            <v>Nov</v>
          </cell>
          <cell r="D11856" t="str">
            <v>Chairs</v>
          </cell>
          <cell r="E11856">
            <v>127878.41499999999</v>
          </cell>
          <cell r="F11856">
            <v>11</v>
          </cell>
        </row>
        <row r="11857">
          <cell r="A11857">
            <v>2018</v>
          </cell>
          <cell r="B11857" t="str">
            <v>Budget</v>
          </cell>
          <cell r="C11857" t="str">
            <v>Nov</v>
          </cell>
          <cell r="D11857" t="str">
            <v>Tables</v>
          </cell>
          <cell r="E11857">
            <v>55340.928999999996</v>
          </cell>
          <cell r="F11857">
            <v>11</v>
          </cell>
        </row>
        <row r="11858">
          <cell r="A11858">
            <v>2018</v>
          </cell>
          <cell r="B11858" t="str">
            <v>Actual</v>
          </cell>
          <cell r="C11858" t="str">
            <v>Nov</v>
          </cell>
          <cell r="D11858" t="str">
            <v>Kitchen</v>
          </cell>
          <cell r="E11858">
            <v>27631.429</v>
          </cell>
          <cell r="F11858">
            <v>11</v>
          </cell>
        </row>
        <row r="11859">
          <cell r="A11859">
            <v>2018</v>
          </cell>
          <cell r="B11859" t="str">
            <v>Budget</v>
          </cell>
          <cell r="C11859" t="str">
            <v>Nov</v>
          </cell>
          <cell r="D11859" t="str">
            <v>Chairs</v>
          </cell>
          <cell r="E11859">
            <v>80644.914000000004</v>
          </cell>
          <cell r="F11859">
            <v>11</v>
          </cell>
        </row>
        <row r="11860">
          <cell r="A11860">
            <v>2018</v>
          </cell>
          <cell r="B11860" t="str">
            <v>Actual</v>
          </cell>
          <cell r="C11860" t="str">
            <v>Nov</v>
          </cell>
          <cell r="D11860" t="str">
            <v>Chairs</v>
          </cell>
          <cell r="E11860">
            <v>22716.056999999997</v>
          </cell>
          <cell r="F11860">
            <v>11</v>
          </cell>
        </row>
        <row r="11861">
          <cell r="A11861">
            <v>2018</v>
          </cell>
          <cell r="B11861" t="str">
            <v>Budget</v>
          </cell>
          <cell r="C11861" t="str">
            <v>Nov</v>
          </cell>
          <cell r="D11861" t="str">
            <v>Tables</v>
          </cell>
          <cell r="E11861">
            <v>24687.039999999997</v>
          </cell>
          <cell r="F11861">
            <v>11</v>
          </cell>
        </row>
        <row r="11862">
          <cell r="A11862">
            <v>2018</v>
          </cell>
          <cell r="B11862" t="str">
            <v>Actual</v>
          </cell>
          <cell r="C11862" t="str">
            <v>Nov</v>
          </cell>
          <cell r="D11862" t="str">
            <v>Kitchen</v>
          </cell>
          <cell r="E11862">
            <v>95849.032999999996</v>
          </cell>
          <cell r="F11862">
            <v>11</v>
          </cell>
        </row>
        <row r="11863">
          <cell r="A11863">
            <v>2018</v>
          </cell>
          <cell r="B11863" t="str">
            <v>Budget</v>
          </cell>
          <cell r="C11863" t="str">
            <v>Nov</v>
          </cell>
          <cell r="D11863" t="str">
            <v>Chairs</v>
          </cell>
          <cell r="E11863">
            <v>20581.106</v>
          </cell>
          <cell r="F11863">
            <v>11</v>
          </cell>
        </row>
        <row r="11864">
          <cell r="A11864">
            <v>2018</v>
          </cell>
          <cell r="B11864" t="str">
            <v>Actual</v>
          </cell>
          <cell r="C11864" t="str">
            <v>Nov</v>
          </cell>
          <cell r="D11864" t="str">
            <v>Chairs</v>
          </cell>
          <cell r="E11864">
            <v>-1842.0359999999998</v>
          </cell>
          <cell r="F11864">
            <v>11</v>
          </cell>
        </row>
        <row r="11865">
          <cell r="A11865">
            <v>2018</v>
          </cell>
          <cell r="B11865" t="str">
            <v>Budget</v>
          </cell>
          <cell r="C11865" t="str">
            <v>Nov</v>
          </cell>
          <cell r="D11865" t="str">
            <v>Chairs</v>
          </cell>
          <cell r="E11865">
            <v>98435.379000000001</v>
          </cell>
          <cell r="F11865">
            <v>11</v>
          </cell>
        </row>
        <row r="11866">
          <cell r="A11866">
            <v>2019</v>
          </cell>
          <cell r="B11866" t="str">
            <v>Actual</v>
          </cell>
          <cell r="C11866" t="str">
            <v>Nov</v>
          </cell>
          <cell r="D11866" t="str">
            <v>Tables</v>
          </cell>
          <cell r="E11866">
            <v>97715.071999999986</v>
          </cell>
          <cell r="F11866">
            <v>11</v>
          </cell>
        </row>
        <row r="11867">
          <cell r="A11867">
            <v>2018</v>
          </cell>
          <cell r="B11867" t="str">
            <v>Budget</v>
          </cell>
          <cell r="C11867" t="str">
            <v>Nov</v>
          </cell>
          <cell r="D11867" t="str">
            <v>Kitchen</v>
          </cell>
          <cell r="E11867">
            <v>51929.016999999993</v>
          </cell>
          <cell r="F11867">
            <v>11</v>
          </cell>
        </row>
        <row r="11868">
          <cell r="A11868">
            <v>2018</v>
          </cell>
          <cell r="B11868" t="str">
            <v>Actual</v>
          </cell>
          <cell r="C11868" t="str">
            <v>Nov</v>
          </cell>
          <cell r="D11868" t="str">
            <v>Accessories</v>
          </cell>
          <cell r="E11868">
            <v>143042.81599999999</v>
          </cell>
          <cell r="F11868">
            <v>11</v>
          </cell>
        </row>
        <row r="11869">
          <cell r="A11869">
            <v>2018</v>
          </cell>
          <cell r="B11869" t="str">
            <v>Budget</v>
          </cell>
          <cell r="C11869" t="str">
            <v>Nov</v>
          </cell>
          <cell r="D11869" t="str">
            <v>Chairs</v>
          </cell>
          <cell r="E11869">
            <v>-16072.825999999999</v>
          </cell>
          <cell r="F11869">
            <v>11</v>
          </cell>
        </row>
        <row r="11870">
          <cell r="A11870">
            <v>2018</v>
          </cell>
          <cell r="B11870" t="str">
            <v>Actual</v>
          </cell>
          <cell r="C11870" t="str">
            <v>Nov</v>
          </cell>
          <cell r="D11870" t="str">
            <v>Tables</v>
          </cell>
          <cell r="E11870">
            <v>-1706.0609999999999</v>
          </cell>
          <cell r="F11870">
            <v>11</v>
          </cell>
        </row>
        <row r="11871">
          <cell r="A11871">
            <v>2018</v>
          </cell>
          <cell r="B11871" t="str">
            <v>Budget</v>
          </cell>
          <cell r="C11871" t="str">
            <v>Nov</v>
          </cell>
          <cell r="D11871" t="str">
            <v>Kitchen</v>
          </cell>
          <cell r="E11871">
            <v>13054.698999999999</v>
          </cell>
          <cell r="F11871">
            <v>11</v>
          </cell>
        </row>
        <row r="11872">
          <cell r="A11872">
            <v>2018</v>
          </cell>
          <cell r="B11872" t="str">
            <v>Actual</v>
          </cell>
          <cell r="C11872" t="str">
            <v>Nov</v>
          </cell>
          <cell r="D11872" t="str">
            <v>Accessories</v>
          </cell>
          <cell r="E11872">
            <v>834097.76099999994</v>
          </cell>
          <cell r="F11872">
            <v>11</v>
          </cell>
        </row>
        <row r="11873">
          <cell r="A11873">
            <v>2019</v>
          </cell>
          <cell r="B11873" t="str">
            <v>Budget</v>
          </cell>
          <cell r="C11873" t="str">
            <v>Nov</v>
          </cell>
          <cell r="D11873" t="str">
            <v>Chairs</v>
          </cell>
          <cell r="E11873">
            <v>42568.875999999997</v>
          </cell>
          <cell r="F11873">
            <v>11</v>
          </cell>
        </row>
        <row r="11874">
          <cell r="A11874">
            <v>2018</v>
          </cell>
          <cell r="B11874" t="str">
            <v>Actual</v>
          </cell>
          <cell r="C11874" t="str">
            <v>Nov</v>
          </cell>
          <cell r="D11874" t="str">
            <v>Tables</v>
          </cell>
          <cell r="E11874">
            <v>81801.971999999994</v>
          </cell>
          <cell r="F11874">
            <v>11</v>
          </cell>
        </row>
        <row r="11875">
          <cell r="A11875">
            <v>2018</v>
          </cell>
          <cell r="B11875" t="str">
            <v>Budget</v>
          </cell>
          <cell r="C11875" t="str">
            <v>Nov</v>
          </cell>
          <cell r="D11875" t="str">
            <v>Kitchen</v>
          </cell>
          <cell r="E11875">
            <v>95883.403000000006</v>
          </cell>
          <cell r="F11875">
            <v>11</v>
          </cell>
        </row>
        <row r="11876">
          <cell r="A11876">
            <v>2019</v>
          </cell>
          <cell r="B11876" t="str">
            <v>Actual</v>
          </cell>
          <cell r="C11876" t="str">
            <v>Nov</v>
          </cell>
          <cell r="D11876" t="str">
            <v>Accessories</v>
          </cell>
          <cell r="E11876">
            <v>19791.232999999997</v>
          </cell>
          <cell r="F11876">
            <v>11</v>
          </cell>
        </row>
        <row r="11877">
          <cell r="A11877">
            <v>2018</v>
          </cell>
          <cell r="B11877" t="str">
            <v>Budget</v>
          </cell>
          <cell r="C11877" t="str">
            <v>Nov</v>
          </cell>
          <cell r="D11877" t="str">
            <v>Chairs</v>
          </cell>
          <cell r="E11877">
            <v>129215.674</v>
          </cell>
          <cell r="F11877">
            <v>11</v>
          </cell>
        </row>
        <row r="11878">
          <cell r="A11878">
            <v>2018</v>
          </cell>
          <cell r="B11878" t="str">
            <v>Actual</v>
          </cell>
          <cell r="C11878" t="str">
            <v>Nov</v>
          </cell>
          <cell r="D11878" t="str">
            <v>Tables</v>
          </cell>
          <cell r="E11878">
            <v>96388.291999999987</v>
          </cell>
          <cell r="F11878">
            <v>11</v>
          </cell>
        </row>
        <row r="11879">
          <cell r="A11879">
            <v>2019</v>
          </cell>
          <cell r="B11879" t="str">
            <v>Budget</v>
          </cell>
          <cell r="C11879" t="str">
            <v>Nov</v>
          </cell>
          <cell r="D11879" t="str">
            <v>Kitchen</v>
          </cell>
          <cell r="E11879">
            <v>181812.74299999999</v>
          </cell>
          <cell r="F11879">
            <v>11</v>
          </cell>
        </row>
        <row r="11880">
          <cell r="A11880">
            <v>2018</v>
          </cell>
          <cell r="B11880" t="str">
            <v>Actual</v>
          </cell>
          <cell r="C11880" t="str">
            <v>Nov</v>
          </cell>
          <cell r="D11880" t="str">
            <v>Accessories</v>
          </cell>
          <cell r="E11880">
            <v>391730.22</v>
          </cell>
          <cell r="F11880">
            <v>11</v>
          </cell>
        </row>
        <row r="11881">
          <cell r="A11881">
            <v>2018</v>
          </cell>
          <cell r="B11881" t="str">
            <v>Budget</v>
          </cell>
          <cell r="C11881" t="str">
            <v>Nov</v>
          </cell>
          <cell r="D11881" t="str">
            <v>Chairs</v>
          </cell>
          <cell r="E11881">
            <v>528969.098</v>
          </cell>
          <cell r="F11881">
            <v>11</v>
          </cell>
        </row>
        <row r="11882">
          <cell r="A11882">
            <v>2019</v>
          </cell>
          <cell r="B11882" t="str">
            <v>Actual</v>
          </cell>
          <cell r="C11882" t="str">
            <v>Nov</v>
          </cell>
          <cell r="D11882" t="str">
            <v>Chairs</v>
          </cell>
          <cell r="E11882">
            <v>413359.48499999999</v>
          </cell>
          <cell r="F11882">
            <v>11</v>
          </cell>
        </row>
        <row r="11883">
          <cell r="A11883">
            <v>2018</v>
          </cell>
          <cell r="B11883" t="str">
            <v>Budget</v>
          </cell>
          <cell r="C11883" t="str">
            <v>Nov</v>
          </cell>
          <cell r="D11883" t="str">
            <v>Tables</v>
          </cell>
          <cell r="E11883">
            <v>382458.38399999996</v>
          </cell>
          <cell r="F11883">
            <v>11</v>
          </cell>
        </row>
        <row r="11884">
          <cell r="A11884">
            <v>2019</v>
          </cell>
          <cell r="B11884" t="str">
            <v>Actual</v>
          </cell>
          <cell r="C11884" t="str">
            <v>Nov</v>
          </cell>
          <cell r="D11884" t="str">
            <v>Kitchen</v>
          </cell>
          <cell r="E11884">
            <v>376936.43399999995</v>
          </cell>
          <cell r="F11884">
            <v>11</v>
          </cell>
        </row>
        <row r="11885">
          <cell r="A11885">
            <v>2018</v>
          </cell>
          <cell r="B11885" t="str">
            <v>Budget</v>
          </cell>
          <cell r="C11885" t="str">
            <v>Nov</v>
          </cell>
          <cell r="D11885" t="str">
            <v>Chairs</v>
          </cell>
          <cell r="E11885">
            <v>282156.28699999995</v>
          </cell>
          <cell r="F11885">
            <v>11</v>
          </cell>
        </row>
        <row r="11886">
          <cell r="A11886">
            <v>2019</v>
          </cell>
          <cell r="B11886" t="str">
            <v>Actual</v>
          </cell>
          <cell r="C11886" t="str">
            <v>Nov</v>
          </cell>
          <cell r="D11886" t="str">
            <v>Tables</v>
          </cell>
          <cell r="E11886">
            <v>716522.28899999999</v>
          </cell>
          <cell r="F11886">
            <v>11</v>
          </cell>
        </row>
        <row r="11887">
          <cell r="A11887">
            <v>2018</v>
          </cell>
          <cell r="B11887" t="str">
            <v>Budget</v>
          </cell>
          <cell r="C11887" t="str">
            <v>Nov</v>
          </cell>
          <cell r="D11887" t="str">
            <v>Kitchen</v>
          </cell>
          <cell r="E11887">
            <v>712797.67999999993</v>
          </cell>
          <cell r="F11887">
            <v>11</v>
          </cell>
        </row>
        <row r="11888">
          <cell r="A11888">
            <v>2018</v>
          </cell>
          <cell r="B11888" t="str">
            <v>Actual</v>
          </cell>
          <cell r="C11888" t="str">
            <v>Nov</v>
          </cell>
          <cell r="D11888" t="str">
            <v>Chairs</v>
          </cell>
          <cell r="E11888">
            <v>179060.80499999999</v>
          </cell>
          <cell r="F11888">
            <v>11</v>
          </cell>
        </row>
        <row r="11889">
          <cell r="A11889">
            <v>2018</v>
          </cell>
          <cell r="B11889" t="str">
            <v>Budget</v>
          </cell>
          <cell r="C11889" t="str">
            <v>Nov</v>
          </cell>
          <cell r="D11889" t="str">
            <v>Tables</v>
          </cell>
          <cell r="E11889">
            <v>28733.319999999996</v>
          </cell>
          <cell r="F11889">
            <v>11</v>
          </cell>
        </row>
        <row r="11890">
          <cell r="A11890">
            <v>2018</v>
          </cell>
          <cell r="B11890" t="str">
            <v>Actual</v>
          </cell>
          <cell r="C11890" t="str">
            <v>Nov</v>
          </cell>
          <cell r="D11890" t="str">
            <v>Kitchen</v>
          </cell>
          <cell r="E11890">
            <v>2172640.7430000002</v>
          </cell>
          <cell r="F11890">
            <v>11</v>
          </cell>
        </row>
        <row r="11891">
          <cell r="A11891">
            <v>2018</v>
          </cell>
          <cell r="B11891" t="str">
            <v>Budget</v>
          </cell>
          <cell r="C11891" t="str">
            <v>Nov</v>
          </cell>
          <cell r="D11891" t="str">
            <v>Chairs</v>
          </cell>
          <cell r="E11891">
            <v>12152.98</v>
          </cell>
          <cell r="F11891">
            <v>11</v>
          </cell>
        </row>
        <row r="11892">
          <cell r="A11892">
            <v>2018</v>
          </cell>
          <cell r="B11892" t="str">
            <v>Actual</v>
          </cell>
          <cell r="C11892" t="str">
            <v>Nov</v>
          </cell>
          <cell r="D11892" t="str">
            <v>Chairs</v>
          </cell>
          <cell r="E11892">
            <v>18552.400999999998</v>
          </cell>
          <cell r="F11892">
            <v>11</v>
          </cell>
        </row>
        <row r="11893">
          <cell r="A11893">
            <v>2019</v>
          </cell>
          <cell r="B11893" t="str">
            <v>Budget</v>
          </cell>
          <cell r="C11893" t="str">
            <v>Nov</v>
          </cell>
          <cell r="D11893" t="str">
            <v>Chairs</v>
          </cell>
          <cell r="E11893">
            <v>25704958.320999999</v>
          </cell>
          <cell r="F11893">
            <v>11</v>
          </cell>
        </row>
        <row r="11894">
          <cell r="A11894">
            <v>2019</v>
          </cell>
          <cell r="B11894" t="str">
            <v>Actual</v>
          </cell>
          <cell r="C11894" t="str">
            <v>Nov</v>
          </cell>
          <cell r="D11894" t="str">
            <v>Chairs</v>
          </cell>
          <cell r="E11894">
            <v>15724.505999999999</v>
          </cell>
          <cell r="F11894">
            <v>11</v>
          </cell>
        </row>
        <row r="11895">
          <cell r="A11895">
            <v>2018</v>
          </cell>
          <cell r="B11895" t="str">
            <v>Budget</v>
          </cell>
          <cell r="C11895" t="str">
            <v>Nov</v>
          </cell>
          <cell r="D11895" t="str">
            <v>Chairs</v>
          </cell>
          <cell r="E11895">
            <v>14294.931</v>
          </cell>
          <cell r="F11895">
            <v>11</v>
          </cell>
        </row>
        <row r="11896">
          <cell r="A11896">
            <v>2018</v>
          </cell>
          <cell r="B11896" t="str">
            <v>Actual</v>
          </cell>
          <cell r="C11896" t="str">
            <v>Nov</v>
          </cell>
          <cell r="D11896" t="str">
            <v>Chairs</v>
          </cell>
          <cell r="E11896">
            <v>39659.682999999997</v>
          </cell>
          <cell r="F11896">
            <v>11</v>
          </cell>
        </row>
        <row r="11897">
          <cell r="A11897">
            <v>2019</v>
          </cell>
          <cell r="B11897" t="str">
            <v>Budget</v>
          </cell>
          <cell r="C11897" t="str">
            <v>Nov</v>
          </cell>
          <cell r="D11897" t="str">
            <v>Chairs</v>
          </cell>
          <cell r="E11897">
            <v>11645.045999999998</v>
          </cell>
          <cell r="F11897">
            <v>11</v>
          </cell>
        </row>
        <row r="11898">
          <cell r="A11898">
            <v>2018</v>
          </cell>
          <cell r="B11898" t="str">
            <v>Actual</v>
          </cell>
          <cell r="C11898" t="str">
            <v>Nov</v>
          </cell>
          <cell r="D11898" t="str">
            <v>Chairs</v>
          </cell>
          <cell r="E11898">
            <v>84741.23</v>
          </cell>
          <cell r="F11898">
            <v>11</v>
          </cell>
        </row>
        <row r="11899">
          <cell r="A11899">
            <v>2019</v>
          </cell>
          <cell r="B11899" t="str">
            <v>Budget</v>
          </cell>
          <cell r="C11899" t="str">
            <v>Nov</v>
          </cell>
          <cell r="D11899" t="str">
            <v>Chairs</v>
          </cell>
          <cell r="E11899">
            <v>24645.865999999998</v>
          </cell>
          <cell r="F11899">
            <v>11</v>
          </cell>
        </row>
        <row r="11900">
          <cell r="A11900">
            <v>2019</v>
          </cell>
          <cell r="B11900" t="str">
            <v>Actual</v>
          </cell>
          <cell r="C11900" t="str">
            <v>Nov</v>
          </cell>
          <cell r="D11900" t="str">
            <v>Chairs</v>
          </cell>
          <cell r="E11900">
            <v>146332.94899999999</v>
          </cell>
          <cell r="F11900">
            <v>11</v>
          </cell>
        </row>
        <row r="11901">
          <cell r="A11901">
            <v>2018</v>
          </cell>
          <cell r="B11901" t="str">
            <v>Budget</v>
          </cell>
          <cell r="C11901" t="str">
            <v>Nov</v>
          </cell>
          <cell r="D11901" t="str">
            <v>Chairs</v>
          </cell>
          <cell r="E11901">
            <v>125285.16699999999</v>
          </cell>
          <cell r="F11901">
            <v>11</v>
          </cell>
        </row>
        <row r="11902">
          <cell r="A11902">
            <v>2019</v>
          </cell>
          <cell r="B11902" t="str">
            <v>Actual</v>
          </cell>
          <cell r="C11902" t="str">
            <v>Nov</v>
          </cell>
          <cell r="D11902" t="str">
            <v>Chairs</v>
          </cell>
          <cell r="E11902">
            <v>296242.21199999994</v>
          </cell>
          <cell r="F11902">
            <v>11</v>
          </cell>
        </row>
        <row r="11903">
          <cell r="A11903">
            <v>2018</v>
          </cell>
          <cell r="B11903" t="str">
            <v>Budget</v>
          </cell>
          <cell r="C11903" t="str">
            <v>Nov</v>
          </cell>
          <cell r="D11903" t="str">
            <v>Chairs</v>
          </cell>
          <cell r="E11903">
            <v>78385.978999999992</v>
          </cell>
          <cell r="F11903">
            <v>11</v>
          </cell>
        </row>
        <row r="11904">
          <cell r="A11904">
            <v>2019</v>
          </cell>
          <cell r="B11904" t="str">
            <v>Actual</v>
          </cell>
          <cell r="C11904" t="str">
            <v>Nov</v>
          </cell>
          <cell r="D11904" t="str">
            <v>Chairs</v>
          </cell>
          <cell r="E11904">
            <v>184546.04699999999</v>
          </cell>
          <cell r="F11904">
            <v>11</v>
          </cell>
        </row>
        <row r="11905">
          <cell r="A11905">
            <v>2019</v>
          </cell>
          <cell r="B11905" t="str">
            <v>Budget</v>
          </cell>
          <cell r="C11905" t="str">
            <v>Nov</v>
          </cell>
          <cell r="D11905" t="str">
            <v>Chairs</v>
          </cell>
          <cell r="E11905">
            <v>208290.90099999998</v>
          </cell>
          <cell r="F11905">
            <v>11</v>
          </cell>
        </row>
        <row r="11906">
          <cell r="A11906">
            <v>2018</v>
          </cell>
          <cell r="B11906" t="str">
            <v>Actual</v>
          </cell>
          <cell r="C11906" t="str">
            <v>Nov</v>
          </cell>
          <cell r="D11906" t="str">
            <v>Chairs</v>
          </cell>
          <cell r="E11906">
            <v>25460.763999999996</v>
          </cell>
          <cell r="F11906">
            <v>11</v>
          </cell>
        </row>
        <row r="11907">
          <cell r="A11907">
            <v>2019</v>
          </cell>
          <cell r="B11907" t="str">
            <v>Budget</v>
          </cell>
          <cell r="C11907" t="str">
            <v>Nov</v>
          </cell>
          <cell r="D11907" t="str">
            <v>Chairs</v>
          </cell>
          <cell r="E11907">
            <v>2380.4829999999997</v>
          </cell>
          <cell r="F11907">
            <v>11</v>
          </cell>
        </row>
        <row r="11908">
          <cell r="A11908">
            <v>2019</v>
          </cell>
          <cell r="B11908" t="str">
            <v>Actual</v>
          </cell>
          <cell r="C11908" t="str">
            <v>Nov</v>
          </cell>
          <cell r="D11908" t="str">
            <v>Chairs</v>
          </cell>
          <cell r="E11908">
            <v>610815.74399999995</v>
          </cell>
          <cell r="F11908">
            <v>11</v>
          </cell>
        </row>
        <row r="11909">
          <cell r="A11909">
            <v>2018</v>
          </cell>
          <cell r="B11909" t="str">
            <v>Budget</v>
          </cell>
          <cell r="C11909" t="str">
            <v>Nov</v>
          </cell>
          <cell r="D11909" t="str">
            <v>Chairs</v>
          </cell>
          <cell r="E11909">
            <v>367891.88099999994</v>
          </cell>
          <cell r="F11909">
            <v>11</v>
          </cell>
        </row>
        <row r="11910">
          <cell r="A11910">
            <v>2018</v>
          </cell>
          <cell r="B11910" t="str">
            <v>Actual</v>
          </cell>
          <cell r="C11910" t="str">
            <v>Nov</v>
          </cell>
          <cell r="D11910" t="str">
            <v>Chairs</v>
          </cell>
          <cell r="E11910">
            <v>153052.641</v>
          </cell>
          <cell r="F11910">
            <v>11</v>
          </cell>
        </row>
        <row r="11911">
          <cell r="A11911">
            <v>2019</v>
          </cell>
          <cell r="B11911" t="str">
            <v>Budget</v>
          </cell>
          <cell r="C11911" t="str">
            <v>Nov</v>
          </cell>
          <cell r="D11911" t="str">
            <v>Chairs</v>
          </cell>
          <cell r="E11911">
            <v>15550.849999999999</v>
          </cell>
          <cell r="F11911">
            <v>11</v>
          </cell>
        </row>
        <row r="11912">
          <cell r="A11912">
            <v>2018</v>
          </cell>
          <cell r="B11912" t="str">
            <v>Actual</v>
          </cell>
          <cell r="C11912" t="str">
            <v>Nov</v>
          </cell>
          <cell r="D11912" t="str">
            <v>Chairs</v>
          </cell>
          <cell r="E11912">
            <v>495005.54599999997</v>
          </cell>
          <cell r="F11912">
            <v>11</v>
          </cell>
        </row>
        <row r="11913">
          <cell r="A11913">
            <v>2019</v>
          </cell>
          <cell r="B11913" t="str">
            <v>Budget</v>
          </cell>
          <cell r="C11913" t="str">
            <v>Nov</v>
          </cell>
          <cell r="D11913" t="str">
            <v>Chairs</v>
          </cell>
          <cell r="E11913">
            <v>434304.29699999996</v>
          </cell>
          <cell r="F11913">
            <v>11</v>
          </cell>
        </row>
        <row r="11914">
          <cell r="A11914">
            <v>2019</v>
          </cell>
          <cell r="B11914" t="str">
            <v>Actual</v>
          </cell>
          <cell r="C11914" t="str">
            <v>Nov</v>
          </cell>
          <cell r="D11914" t="str">
            <v>Chairs</v>
          </cell>
          <cell r="E11914">
            <v>463502.78799999994</v>
          </cell>
          <cell r="F11914">
            <v>11</v>
          </cell>
        </row>
        <row r="11915">
          <cell r="A11915">
            <v>2019</v>
          </cell>
          <cell r="B11915" t="str">
            <v>Budget</v>
          </cell>
          <cell r="C11915" t="str">
            <v>Nov</v>
          </cell>
          <cell r="D11915" t="str">
            <v>Chairs</v>
          </cell>
          <cell r="E11915">
            <v>12280.254000000001</v>
          </cell>
          <cell r="F11915">
            <v>11</v>
          </cell>
        </row>
        <row r="11916">
          <cell r="A11916">
            <v>2019</v>
          </cell>
          <cell r="B11916" t="str">
            <v>Actual</v>
          </cell>
          <cell r="C11916" t="str">
            <v>Nov</v>
          </cell>
          <cell r="D11916" t="str">
            <v>Chairs</v>
          </cell>
          <cell r="E11916">
            <v>2280341.6719999998</v>
          </cell>
          <cell r="F11916">
            <v>11</v>
          </cell>
        </row>
        <row r="11917">
          <cell r="A11917">
            <v>2018</v>
          </cell>
          <cell r="B11917" t="str">
            <v>Budget</v>
          </cell>
          <cell r="C11917" t="str">
            <v>Nov</v>
          </cell>
          <cell r="D11917" t="str">
            <v>Tables</v>
          </cell>
          <cell r="E11917">
            <v>6854115.835</v>
          </cell>
          <cell r="F11917">
            <v>11</v>
          </cell>
        </row>
        <row r="11918">
          <cell r="A11918">
            <v>2018</v>
          </cell>
          <cell r="B11918" t="str">
            <v>Actual</v>
          </cell>
          <cell r="C11918" t="str">
            <v>Nov</v>
          </cell>
          <cell r="D11918" t="str">
            <v>Kitchen</v>
          </cell>
          <cell r="E11918">
            <v>185106.08900000001</v>
          </cell>
          <cell r="F11918">
            <v>11</v>
          </cell>
        </row>
        <row r="11919">
          <cell r="A11919">
            <v>2018</v>
          </cell>
          <cell r="B11919" t="str">
            <v>Budget</v>
          </cell>
          <cell r="C11919" t="str">
            <v>Nov</v>
          </cell>
          <cell r="D11919" t="str">
            <v>Chairs</v>
          </cell>
          <cell r="E11919">
            <v>37210.053999999996</v>
          </cell>
          <cell r="F11919">
            <v>11</v>
          </cell>
        </row>
        <row r="11920">
          <cell r="A11920">
            <v>2019</v>
          </cell>
          <cell r="B11920" t="str">
            <v>Actual</v>
          </cell>
          <cell r="C11920" t="str">
            <v>Nov</v>
          </cell>
          <cell r="D11920" t="str">
            <v>Chairs</v>
          </cell>
          <cell r="E11920">
            <v>5031.8589999999995</v>
          </cell>
          <cell r="F11920">
            <v>11</v>
          </cell>
        </row>
        <row r="11921">
          <cell r="A11921">
            <v>2019</v>
          </cell>
          <cell r="B11921" t="str">
            <v>Budget</v>
          </cell>
          <cell r="C11921" t="str">
            <v>Nov</v>
          </cell>
          <cell r="D11921" t="str">
            <v>Chairs</v>
          </cell>
          <cell r="E11921">
            <v>760171.05499999993</v>
          </cell>
          <cell r="F11921">
            <v>11</v>
          </cell>
        </row>
        <row r="11922">
          <cell r="A11922">
            <v>2019</v>
          </cell>
          <cell r="B11922" t="str">
            <v>Actual</v>
          </cell>
          <cell r="C11922" t="str">
            <v>Nov</v>
          </cell>
          <cell r="D11922" t="str">
            <v>Chairs</v>
          </cell>
          <cell r="E11922">
            <v>1853250.5739999998</v>
          </cell>
          <cell r="F11922">
            <v>11</v>
          </cell>
        </row>
        <row r="11923">
          <cell r="A11923">
            <v>2019</v>
          </cell>
          <cell r="B11923" t="str">
            <v>Budget</v>
          </cell>
          <cell r="C11923" t="str">
            <v>Nov</v>
          </cell>
          <cell r="D11923" t="str">
            <v>Chairs</v>
          </cell>
          <cell r="E11923">
            <v>6239752.7920000004</v>
          </cell>
          <cell r="F11923">
            <v>11</v>
          </cell>
        </row>
        <row r="11924">
          <cell r="A11924">
            <v>2019</v>
          </cell>
          <cell r="B11924" t="str">
            <v>Actual</v>
          </cell>
          <cell r="C11924" t="str">
            <v>Nov</v>
          </cell>
          <cell r="D11924" t="str">
            <v>Tables</v>
          </cell>
          <cell r="E11924">
            <v>2293364.227</v>
          </cell>
          <cell r="F11924">
            <v>11</v>
          </cell>
        </row>
        <row r="11925">
          <cell r="A11925">
            <v>2018</v>
          </cell>
          <cell r="B11925" t="str">
            <v>Budget</v>
          </cell>
          <cell r="C11925" t="str">
            <v>Nov</v>
          </cell>
          <cell r="D11925" t="str">
            <v>Kitchen</v>
          </cell>
          <cell r="E11925">
            <v>1937750.3389999999</v>
          </cell>
          <cell r="F11925">
            <v>11</v>
          </cell>
        </row>
        <row r="11926">
          <cell r="A11926">
            <v>2019</v>
          </cell>
          <cell r="B11926" t="str">
            <v>Actual</v>
          </cell>
          <cell r="C11926" t="str">
            <v>Nov</v>
          </cell>
          <cell r="D11926" t="str">
            <v>Chairs</v>
          </cell>
          <cell r="E11926">
            <v>2554345.4929999998</v>
          </cell>
          <cell r="F11926">
            <v>11</v>
          </cell>
        </row>
        <row r="11927">
          <cell r="A11927">
            <v>2019</v>
          </cell>
          <cell r="B11927" t="str">
            <v>Budget</v>
          </cell>
          <cell r="C11927" t="str">
            <v>Nov</v>
          </cell>
          <cell r="D11927" t="str">
            <v>Chairs</v>
          </cell>
          <cell r="E11927">
            <v>112745.33199999999</v>
          </cell>
          <cell r="F11927">
            <v>11</v>
          </cell>
        </row>
        <row r="11928">
          <cell r="A11928">
            <v>2018</v>
          </cell>
          <cell r="B11928" t="str">
            <v>Actual</v>
          </cell>
          <cell r="C11928" t="str">
            <v>Nov</v>
          </cell>
          <cell r="D11928" t="str">
            <v>Chairs</v>
          </cell>
          <cell r="E11928">
            <v>676630.71</v>
          </cell>
          <cell r="F11928">
            <v>11</v>
          </cell>
        </row>
        <row r="11929">
          <cell r="A11929">
            <v>2019</v>
          </cell>
          <cell r="B11929" t="str">
            <v>Budget</v>
          </cell>
          <cell r="C11929" t="str">
            <v>Nov</v>
          </cell>
          <cell r="D11929" t="str">
            <v>Tables</v>
          </cell>
          <cell r="E11929">
            <v>3373598.977</v>
          </cell>
          <cell r="F11929">
            <v>11</v>
          </cell>
        </row>
        <row r="11930">
          <cell r="A11930">
            <v>2019</v>
          </cell>
          <cell r="B11930" t="str">
            <v>Actual</v>
          </cell>
          <cell r="C11930" t="str">
            <v>Nov</v>
          </cell>
          <cell r="D11930" t="str">
            <v>Kitchen</v>
          </cell>
          <cell r="E11930">
            <v>1282239.203</v>
          </cell>
          <cell r="F11930">
            <v>11</v>
          </cell>
        </row>
        <row r="11931">
          <cell r="A11931">
            <v>2018</v>
          </cell>
          <cell r="B11931" t="str">
            <v>Budget</v>
          </cell>
          <cell r="C11931" t="str">
            <v>Nov</v>
          </cell>
          <cell r="D11931" t="str">
            <v>Chairs</v>
          </cell>
          <cell r="E11931">
            <v>856807.65099999995</v>
          </cell>
          <cell r="F11931">
            <v>11</v>
          </cell>
        </row>
        <row r="11932">
          <cell r="A11932">
            <v>2018</v>
          </cell>
          <cell r="B11932" t="str">
            <v>Actual</v>
          </cell>
          <cell r="C11932" t="str">
            <v>Nov</v>
          </cell>
          <cell r="D11932" t="str">
            <v>Chairs</v>
          </cell>
          <cell r="E11932">
            <v>170100.679</v>
          </cell>
          <cell r="F11932">
            <v>11</v>
          </cell>
        </row>
        <row r="11933">
          <cell r="A11933">
            <v>2018</v>
          </cell>
          <cell r="B11933" t="str">
            <v>Budget</v>
          </cell>
          <cell r="C11933" t="str">
            <v>Nov</v>
          </cell>
          <cell r="D11933" t="str">
            <v>Tables</v>
          </cell>
          <cell r="E11933">
            <v>28382.563999999995</v>
          </cell>
          <cell r="F11933">
            <v>11</v>
          </cell>
        </row>
        <row r="11934">
          <cell r="A11934">
            <v>2019</v>
          </cell>
          <cell r="B11934" t="str">
            <v>Actual</v>
          </cell>
          <cell r="C11934" t="str">
            <v>Nov</v>
          </cell>
          <cell r="D11934" t="str">
            <v>Kitchen</v>
          </cell>
          <cell r="E11934">
            <v>844657.00900000008</v>
          </cell>
          <cell r="F11934">
            <v>11</v>
          </cell>
        </row>
        <row r="11935">
          <cell r="A11935">
            <v>2019</v>
          </cell>
          <cell r="B11935" t="str">
            <v>Budget</v>
          </cell>
          <cell r="C11935" t="str">
            <v>Nov</v>
          </cell>
          <cell r="D11935" t="str">
            <v>Chairs</v>
          </cell>
          <cell r="E11935">
            <v>2960890.8909999998</v>
          </cell>
          <cell r="F11935">
            <v>11</v>
          </cell>
        </row>
        <row r="11936">
          <cell r="A11936">
            <v>2018</v>
          </cell>
          <cell r="B11936" t="str">
            <v>Actual</v>
          </cell>
          <cell r="C11936" t="str">
            <v>Nov</v>
          </cell>
          <cell r="D11936" t="str">
            <v>Chairs</v>
          </cell>
          <cell r="E11936">
            <v>159051.011</v>
          </cell>
          <cell r="F11936">
            <v>11</v>
          </cell>
        </row>
        <row r="11937">
          <cell r="A11937">
            <v>2019</v>
          </cell>
          <cell r="B11937" t="str">
            <v>Budget</v>
          </cell>
          <cell r="C11937" t="str">
            <v>Nov</v>
          </cell>
          <cell r="D11937" t="str">
            <v>Chairs</v>
          </cell>
          <cell r="E11937">
            <v>624036.20299999998</v>
          </cell>
          <cell r="F11937">
            <v>11</v>
          </cell>
        </row>
        <row r="11938">
          <cell r="A11938">
            <v>2019</v>
          </cell>
          <cell r="B11938" t="str">
            <v>Actual</v>
          </cell>
          <cell r="C11938" t="str">
            <v>Nov</v>
          </cell>
          <cell r="D11938" t="str">
            <v>Tables</v>
          </cell>
          <cell r="E11938">
            <v>2390965.409</v>
          </cell>
          <cell r="F11938">
            <v>11</v>
          </cell>
        </row>
        <row r="11939">
          <cell r="A11939">
            <v>2018</v>
          </cell>
          <cell r="B11939" t="str">
            <v>Budget</v>
          </cell>
          <cell r="C11939" t="str">
            <v>Nov</v>
          </cell>
          <cell r="D11939" t="str">
            <v>Kitchen</v>
          </cell>
          <cell r="E11939">
            <v>838364.02299999993</v>
          </cell>
          <cell r="F11939">
            <v>11</v>
          </cell>
        </row>
        <row r="11940">
          <cell r="A11940">
            <v>2018</v>
          </cell>
          <cell r="B11940" t="str">
            <v>Actual</v>
          </cell>
          <cell r="C11940" t="str">
            <v>Nov</v>
          </cell>
          <cell r="D11940" t="str">
            <v>Accessories</v>
          </cell>
          <cell r="E11940">
            <v>3579101.1059999997</v>
          </cell>
          <cell r="F11940">
            <v>11</v>
          </cell>
        </row>
        <row r="11941">
          <cell r="A11941">
            <v>2018</v>
          </cell>
          <cell r="B11941" t="str">
            <v>Budget</v>
          </cell>
          <cell r="C11941" t="str">
            <v>Nov</v>
          </cell>
          <cell r="D11941" t="str">
            <v>Chairs</v>
          </cell>
          <cell r="E11941">
            <v>141798.10399999999</v>
          </cell>
          <cell r="F11941">
            <v>11</v>
          </cell>
        </row>
        <row r="11942">
          <cell r="A11942">
            <v>2019</v>
          </cell>
          <cell r="B11942" t="str">
            <v>Actual</v>
          </cell>
          <cell r="C11942" t="str">
            <v>Nov</v>
          </cell>
          <cell r="D11942" t="str">
            <v>Tables</v>
          </cell>
          <cell r="E11942">
            <v>-141311.70899999997</v>
          </cell>
          <cell r="F11942">
            <v>11</v>
          </cell>
        </row>
        <row r="11943">
          <cell r="A11943">
            <v>2019</v>
          </cell>
          <cell r="B11943" t="str">
            <v>Budget</v>
          </cell>
          <cell r="C11943" t="str">
            <v>Nov</v>
          </cell>
          <cell r="D11943" t="str">
            <v>Kitchen</v>
          </cell>
          <cell r="E11943">
            <v>-141332.71599999999</v>
          </cell>
          <cell r="F11943">
            <v>11</v>
          </cell>
        </row>
        <row r="11944">
          <cell r="A11944">
            <v>2019</v>
          </cell>
          <cell r="B11944" t="str">
            <v>Actual</v>
          </cell>
          <cell r="C11944" t="str">
            <v>Nov</v>
          </cell>
          <cell r="D11944" t="str">
            <v>Accessories</v>
          </cell>
          <cell r="E11944">
            <v>141372.511</v>
          </cell>
          <cell r="F11944">
            <v>11</v>
          </cell>
        </row>
        <row r="11945">
          <cell r="A11945">
            <v>2019</v>
          </cell>
          <cell r="B11945" t="str">
            <v>Budget</v>
          </cell>
          <cell r="C11945" t="str">
            <v>Nov</v>
          </cell>
          <cell r="D11945" t="str">
            <v>Chairs</v>
          </cell>
          <cell r="E11945">
            <v>74828.25</v>
          </cell>
          <cell r="F11945">
            <v>11</v>
          </cell>
        </row>
        <row r="11946">
          <cell r="A11946">
            <v>2019</v>
          </cell>
          <cell r="B11946" t="str">
            <v>Actual</v>
          </cell>
          <cell r="C11946" t="str">
            <v>Nov</v>
          </cell>
          <cell r="D11946" t="str">
            <v>Tables</v>
          </cell>
          <cell r="E11946">
            <v>64520.952999999994</v>
          </cell>
          <cell r="F11946">
            <v>11</v>
          </cell>
        </row>
        <row r="11947">
          <cell r="A11947">
            <v>2018</v>
          </cell>
          <cell r="B11947" t="str">
            <v>Budget</v>
          </cell>
          <cell r="C11947" t="str">
            <v>Nov</v>
          </cell>
          <cell r="D11947" t="str">
            <v>Kitchen</v>
          </cell>
          <cell r="E11947">
            <v>110051.39599999999</v>
          </cell>
          <cell r="F11947">
            <v>11</v>
          </cell>
        </row>
        <row r="11948">
          <cell r="A11948">
            <v>2018</v>
          </cell>
          <cell r="B11948" t="str">
            <v>Actual</v>
          </cell>
          <cell r="C11948" t="str">
            <v>Nov</v>
          </cell>
          <cell r="D11948" t="str">
            <v>Accessories</v>
          </cell>
          <cell r="E11948">
            <v>112451.24099999999</v>
          </cell>
          <cell r="F11948">
            <v>11</v>
          </cell>
        </row>
        <row r="11949">
          <cell r="A11949">
            <v>2018</v>
          </cell>
          <cell r="B11949" t="str">
            <v>Budget</v>
          </cell>
          <cell r="C11949" t="str">
            <v>Nov</v>
          </cell>
          <cell r="D11949" t="str">
            <v>Chairs</v>
          </cell>
          <cell r="E11949">
            <v>96128.444999999992</v>
          </cell>
          <cell r="F11949">
            <v>11</v>
          </cell>
        </row>
        <row r="11950">
          <cell r="A11950">
            <v>2018</v>
          </cell>
          <cell r="B11950" t="str">
            <v>Actual</v>
          </cell>
          <cell r="C11950" t="str">
            <v>Nov</v>
          </cell>
          <cell r="D11950" t="str">
            <v>Tables</v>
          </cell>
          <cell r="E11950">
            <v>27792.967999999997</v>
          </cell>
          <cell r="F11950">
            <v>11</v>
          </cell>
        </row>
        <row r="11951">
          <cell r="A11951">
            <v>2019</v>
          </cell>
          <cell r="B11951" t="str">
            <v>Budget</v>
          </cell>
          <cell r="C11951" t="str">
            <v>Nov</v>
          </cell>
          <cell r="D11951" t="str">
            <v>Kitchen</v>
          </cell>
          <cell r="E11951">
            <v>123030.18</v>
          </cell>
          <cell r="F11951">
            <v>11</v>
          </cell>
        </row>
        <row r="11952">
          <cell r="A11952">
            <v>2018</v>
          </cell>
          <cell r="B11952" t="str">
            <v>Actual</v>
          </cell>
          <cell r="C11952" t="str">
            <v>Nov</v>
          </cell>
          <cell r="D11952" t="str">
            <v>Accessories</v>
          </cell>
          <cell r="E11952">
            <v>26942.019999999997</v>
          </cell>
          <cell r="F11952">
            <v>11</v>
          </cell>
        </row>
        <row r="11953">
          <cell r="A11953">
            <v>2018</v>
          </cell>
          <cell r="B11953" t="str">
            <v>Budget</v>
          </cell>
          <cell r="C11953" t="str">
            <v>Nov</v>
          </cell>
          <cell r="D11953" t="str">
            <v>Chairs</v>
          </cell>
          <cell r="E11953">
            <v>36332.400999999998</v>
          </cell>
          <cell r="F11953">
            <v>11</v>
          </cell>
        </row>
        <row r="11954">
          <cell r="A11954">
            <v>2019</v>
          </cell>
          <cell r="B11954" t="str">
            <v>Actual</v>
          </cell>
          <cell r="C11954" t="str">
            <v>Nov</v>
          </cell>
          <cell r="D11954" t="str">
            <v>Chairs</v>
          </cell>
          <cell r="E11954">
            <v>603368.38799999992</v>
          </cell>
          <cell r="F11954">
            <v>11</v>
          </cell>
        </row>
        <row r="11955">
          <cell r="A11955">
            <v>2018</v>
          </cell>
          <cell r="B11955" t="str">
            <v>Budget</v>
          </cell>
          <cell r="C11955" t="str">
            <v>Nov</v>
          </cell>
          <cell r="D11955" t="str">
            <v>Tables</v>
          </cell>
          <cell r="E11955">
            <v>72313.450999999986</v>
          </cell>
          <cell r="F11955">
            <v>11</v>
          </cell>
        </row>
        <row r="11956">
          <cell r="A11956">
            <v>2018</v>
          </cell>
          <cell r="B11956" t="str">
            <v>Actual</v>
          </cell>
          <cell r="C11956" t="str">
            <v>Nov</v>
          </cell>
          <cell r="D11956" t="str">
            <v>Kitchen</v>
          </cell>
          <cell r="E11956">
            <v>7014080.6049999995</v>
          </cell>
          <cell r="F11956">
            <v>11</v>
          </cell>
        </row>
        <row r="11957">
          <cell r="A11957">
            <v>2019</v>
          </cell>
          <cell r="B11957" t="str">
            <v>Budget</v>
          </cell>
          <cell r="C11957" t="str">
            <v>Nov</v>
          </cell>
          <cell r="D11957" t="str">
            <v>Chairs</v>
          </cell>
          <cell r="E11957">
            <v>14631.259999999998</v>
          </cell>
          <cell r="F11957">
            <v>11</v>
          </cell>
        </row>
        <row r="11958">
          <cell r="A11958">
            <v>2018</v>
          </cell>
          <cell r="B11958" t="str">
            <v>Actual</v>
          </cell>
          <cell r="C11958" t="str">
            <v>Nov</v>
          </cell>
          <cell r="D11958" t="str">
            <v>Tables</v>
          </cell>
          <cell r="E11958">
            <v>80935.000999999989</v>
          </cell>
          <cell r="F11958">
            <v>11</v>
          </cell>
        </row>
        <row r="11959">
          <cell r="A11959">
            <v>2019</v>
          </cell>
          <cell r="B11959" t="str">
            <v>Budget</v>
          </cell>
          <cell r="C11959" t="str">
            <v>Nov</v>
          </cell>
          <cell r="D11959" t="str">
            <v>Kitchen</v>
          </cell>
          <cell r="E11959">
            <v>214488.59600000002</v>
          </cell>
          <cell r="F11959">
            <v>11</v>
          </cell>
        </row>
        <row r="11960">
          <cell r="A11960">
            <v>2019</v>
          </cell>
          <cell r="B11960" t="str">
            <v>Actual</v>
          </cell>
          <cell r="C11960" t="str">
            <v>Nov</v>
          </cell>
          <cell r="D11960" t="str">
            <v>Chairs</v>
          </cell>
          <cell r="E11960">
            <v>39633.215999999993</v>
          </cell>
          <cell r="F11960">
            <v>11</v>
          </cell>
        </row>
        <row r="11961">
          <cell r="A11961">
            <v>2019</v>
          </cell>
          <cell r="B11961" t="str">
            <v>Budget</v>
          </cell>
          <cell r="C11961" t="str">
            <v>Nov</v>
          </cell>
          <cell r="D11961" t="str">
            <v>Tables</v>
          </cell>
          <cell r="E11961">
            <v>32108.222999999998</v>
          </cell>
          <cell r="F11961">
            <v>11</v>
          </cell>
        </row>
        <row r="11962">
          <cell r="A11962">
            <v>2018</v>
          </cell>
          <cell r="B11962" t="str">
            <v>Actual</v>
          </cell>
          <cell r="C11962" t="str">
            <v>Nov</v>
          </cell>
          <cell r="D11962" t="str">
            <v>Kitchen</v>
          </cell>
          <cell r="E11962">
            <v>556818.97600000002</v>
          </cell>
          <cell r="F11962">
            <v>11</v>
          </cell>
        </row>
        <row r="11963">
          <cell r="A11963">
            <v>2019</v>
          </cell>
          <cell r="B11963" t="str">
            <v>Budget</v>
          </cell>
          <cell r="C11963" t="str">
            <v>Nov</v>
          </cell>
          <cell r="D11963" t="str">
            <v>Chairs</v>
          </cell>
          <cell r="E11963">
            <v>55531.762999999992</v>
          </cell>
          <cell r="F11963">
            <v>11</v>
          </cell>
        </row>
        <row r="11964">
          <cell r="A11964">
            <v>2018</v>
          </cell>
          <cell r="B11964" t="str">
            <v>Actual</v>
          </cell>
          <cell r="C11964" t="str">
            <v>Nov</v>
          </cell>
          <cell r="D11964" t="str">
            <v>Chairs</v>
          </cell>
          <cell r="E11964">
            <v>143585.60999999999</v>
          </cell>
          <cell r="F11964">
            <v>11</v>
          </cell>
        </row>
        <row r="11965">
          <cell r="A11965">
            <v>2019</v>
          </cell>
          <cell r="B11965" t="str">
            <v>Budget</v>
          </cell>
          <cell r="C11965" t="str">
            <v>Nov</v>
          </cell>
          <cell r="D11965" t="str">
            <v>Chairs</v>
          </cell>
          <cell r="E11965">
            <v>63333.689999999995</v>
          </cell>
          <cell r="F11965">
            <v>11</v>
          </cell>
        </row>
        <row r="11966">
          <cell r="A11966">
            <v>2018</v>
          </cell>
          <cell r="B11966" t="str">
            <v>Actual</v>
          </cell>
          <cell r="C11966" t="str">
            <v>Nov</v>
          </cell>
          <cell r="D11966" t="str">
            <v>Chairs</v>
          </cell>
          <cell r="E11966">
            <v>601735.61</v>
          </cell>
          <cell r="F11966">
            <v>11</v>
          </cell>
        </row>
        <row r="11967">
          <cell r="A11967">
            <v>2019</v>
          </cell>
          <cell r="B11967" t="str">
            <v>Budget</v>
          </cell>
          <cell r="C11967" t="str">
            <v>Nov</v>
          </cell>
          <cell r="D11967" t="str">
            <v>Chairs</v>
          </cell>
          <cell r="E11967">
            <v>334906.01899999997</v>
          </cell>
          <cell r="F11967">
            <v>11</v>
          </cell>
        </row>
        <row r="11968">
          <cell r="A11968">
            <v>2018</v>
          </cell>
          <cell r="B11968" t="str">
            <v>Actual</v>
          </cell>
          <cell r="C11968" t="str">
            <v>Nov</v>
          </cell>
          <cell r="D11968" t="str">
            <v>Chairs</v>
          </cell>
          <cell r="E11968">
            <v>239904.12599999999</v>
          </cell>
          <cell r="F11968">
            <v>11</v>
          </cell>
        </row>
        <row r="11969">
          <cell r="A11969">
            <v>2018</v>
          </cell>
          <cell r="B11969" t="str">
            <v>Budget</v>
          </cell>
          <cell r="C11969" t="str">
            <v>Nov</v>
          </cell>
          <cell r="D11969" t="str">
            <v>Chairs</v>
          </cell>
          <cell r="E11969">
            <v>226878.33000000002</v>
          </cell>
          <cell r="F11969">
            <v>11</v>
          </cell>
        </row>
        <row r="11970">
          <cell r="A11970">
            <v>2019</v>
          </cell>
          <cell r="B11970" t="str">
            <v>Actual</v>
          </cell>
          <cell r="C11970" t="str">
            <v>Nov</v>
          </cell>
          <cell r="D11970" t="str">
            <v>Chairs</v>
          </cell>
          <cell r="E11970">
            <v>19629.147999999997</v>
          </cell>
          <cell r="F11970">
            <v>11</v>
          </cell>
        </row>
        <row r="11971">
          <cell r="A11971">
            <v>2019</v>
          </cell>
          <cell r="B11971" t="str">
            <v>Budget</v>
          </cell>
          <cell r="C11971" t="str">
            <v>Nov</v>
          </cell>
          <cell r="D11971" t="str">
            <v>Chairs</v>
          </cell>
          <cell r="E11971">
            <v>19634.684999999998</v>
          </cell>
          <cell r="F11971">
            <v>11</v>
          </cell>
        </row>
        <row r="11972">
          <cell r="A11972">
            <v>2019</v>
          </cell>
          <cell r="B11972" t="str">
            <v>Actual</v>
          </cell>
          <cell r="C11972" t="str">
            <v>Nov</v>
          </cell>
          <cell r="D11972" t="str">
            <v>Chairs</v>
          </cell>
          <cell r="E11972">
            <v>151556.95799999998</v>
          </cell>
          <cell r="F11972">
            <v>11</v>
          </cell>
        </row>
        <row r="11973">
          <cell r="A11973">
            <v>2019</v>
          </cell>
          <cell r="B11973" t="str">
            <v>Budget</v>
          </cell>
          <cell r="C11973" t="str">
            <v>Nov</v>
          </cell>
          <cell r="D11973" t="str">
            <v>Chairs</v>
          </cell>
          <cell r="E11973">
            <v>1208420.2339999999</v>
          </cell>
          <cell r="F11973">
            <v>11</v>
          </cell>
        </row>
        <row r="11974">
          <cell r="A11974">
            <v>2018</v>
          </cell>
          <cell r="B11974" t="str">
            <v>Actual</v>
          </cell>
          <cell r="C11974" t="str">
            <v>Nov</v>
          </cell>
          <cell r="D11974" t="str">
            <v>Chairs</v>
          </cell>
          <cell r="E11974">
            <v>35839.209000000003</v>
          </cell>
          <cell r="F11974">
            <v>11</v>
          </cell>
        </row>
        <row r="11975">
          <cell r="A11975">
            <v>2019</v>
          </cell>
          <cell r="B11975" t="str">
            <v>Budget</v>
          </cell>
          <cell r="C11975" t="str">
            <v>Nov</v>
          </cell>
          <cell r="D11975" t="str">
            <v>Chairs</v>
          </cell>
          <cell r="E11975">
            <v>145035.99599999998</v>
          </cell>
          <cell r="F11975">
            <v>11</v>
          </cell>
        </row>
        <row r="11976">
          <cell r="A11976">
            <v>2019</v>
          </cell>
          <cell r="B11976" t="str">
            <v>Actual</v>
          </cell>
          <cell r="C11976" t="str">
            <v>Nov</v>
          </cell>
          <cell r="D11976" t="str">
            <v>Chairs</v>
          </cell>
          <cell r="E11976">
            <v>613559.21199999994</v>
          </cell>
          <cell r="F11976">
            <v>11</v>
          </cell>
        </row>
        <row r="11977">
          <cell r="A11977">
            <v>2019</v>
          </cell>
          <cell r="B11977" t="str">
            <v>Budget</v>
          </cell>
          <cell r="C11977" t="str">
            <v>Nov</v>
          </cell>
          <cell r="D11977" t="str">
            <v>Chairs</v>
          </cell>
          <cell r="E11977">
            <v>103054.65099999998</v>
          </cell>
          <cell r="F11977">
            <v>11</v>
          </cell>
        </row>
        <row r="11978">
          <cell r="A11978">
            <v>2018</v>
          </cell>
          <cell r="B11978" t="str">
            <v>Actual</v>
          </cell>
          <cell r="C11978" t="str">
            <v>Nov</v>
          </cell>
          <cell r="D11978" t="str">
            <v>Chairs</v>
          </cell>
          <cell r="E11978">
            <v>128089.75199999998</v>
          </cell>
          <cell r="F11978">
            <v>11</v>
          </cell>
        </row>
        <row r="11979">
          <cell r="A11979">
            <v>2018</v>
          </cell>
          <cell r="B11979" t="str">
            <v>Budget</v>
          </cell>
          <cell r="C11979" t="str">
            <v>Nov</v>
          </cell>
          <cell r="D11979" t="str">
            <v>Chairs</v>
          </cell>
          <cell r="E11979">
            <v>164976.791</v>
          </cell>
          <cell r="F11979">
            <v>11</v>
          </cell>
        </row>
        <row r="11980">
          <cell r="A11980">
            <v>2018</v>
          </cell>
          <cell r="B11980" t="str">
            <v>Actual</v>
          </cell>
          <cell r="C11980" t="str">
            <v>Nov</v>
          </cell>
          <cell r="D11980" t="str">
            <v>Chairs</v>
          </cell>
          <cell r="E11980">
            <v>159391.70099999997</v>
          </cell>
          <cell r="F11980">
            <v>11</v>
          </cell>
        </row>
        <row r="11981">
          <cell r="A11981">
            <v>2018</v>
          </cell>
          <cell r="B11981" t="str">
            <v>Budget</v>
          </cell>
          <cell r="C11981" t="str">
            <v>Nov</v>
          </cell>
          <cell r="D11981" t="str">
            <v>Chairs</v>
          </cell>
          <cell r="E11981">
            <v>19258.819999999996</v>
          </cell>
          <cell r="F11981">
            <v>11</v>
          </cell>
        </row>
        <row r="11982">
          <cell r="A11982">
            <v>2018</v>
          </cell>
          <cell r="B11982" t="str">
            <v>Actual</v>
          </cell>
          <cell r="C11982" t="str">
            <v>Nov</v>
          </cell>
          <cell r="D11982" t="str">
            <v>Chairs</v>
          </cell>
          <cell r="E11982">
            <v>55959.315999999999</v>
          </cell>
          <cell r="F11982">
            <v>11</v>
          </cell>
        </row>
        <row r="11983">
          <cell r="A11983">
            <v>2018</v>
          </cell>
          <cell r="B11983" t="str">
            <v>Budget</v>
          </cell>
          <cell r="C11983" t="str">
            <v>Nov</v>
          </cell>
          <cell r="D11983" t="str">
            <v>Chairs</v>
          </cell>
          <cell r="E11983">
            <v>64533.749000000003</v>
          </cell>
          <cell r="F11983">
            <v>11</v>
          </cell>
        </row>
        <row r="11984">
          <cell r="A11984">
            <v>2019</v>
          </cell>
          <cell r="B11984" t="str">
            <v>Actual</v>
          </cell>
          <cell r="C11984" t="str">
            <v>Nov</v>
          </cell>
          <cell r="D11984" t="str">
            <v>Chairs</v>
          </cell>
          <cell r="E11984">
            <v>50042.537999999993</v>
          </cell>
          <cell r="F11984">
            <v>11</v>
          </cell>
        </row>
        <row r="11985">
          <cell r="A11985">
            <v>2018</v>
          </cell>
          <cell r="B11985" t="str">
            <v>Budget</v>
          </cell>
          <cell r="C11985" t="str">
            <v>Nov</v>
          </cell>
          <cell r="D11985" t="str">
            <v>Chairs</v>
          </cell>
          <cell r="E11985">
            <v>28723.967999999997</v>
          </cell>
          <cell r="F11985">
            <v>11</v>
          </cell>
        </row>
        <row r="11986">
          <cell r="A11986">
            <v>2019</v>
          </cell>
          <cell r="B11986" t="str">
            <v>Actual</v>
          </cell>
          <cell r="C11986" t="str">
            <v>Nov</v>
          </cell>
          <cell r="D11986" t="str">
            <v>Chairs</v>
          </cell>
          <cell r="E11986">
            <v>196280.24499999997</v>
          </cell>
          <cell r="F11986">
            <v>11</v>
          </cell>
        </row>
        <row r="11987">
          <cell r="A11987">
            <v>2019</v>
          </cell>
          <cell r="B11987" t="str">
            <v>Budget</v>
          </cell>
          <cell r="C11987" t="str">
            <v>Nov</v>
          </cell>
          <cell r="D11987" t="str">
            <v>Chairs</v>
          </cell>
          <cell r="E11987">
            <v>195676.95699999999</v>
          </cell>
          <cell r="F11987">
            <v>11</v>
          </cell>
        </row>
        <row r="11988">
          <cell r="A11988">
            <v>2018</v>
          </cell>
          <cell r="B11988" t="str">
            <v>Actual</v>
          </cell>
          <cell r="C11988" t="str">
            <v>Nov</v>
          </cell>
          <cell r="D11988" t="str">
            <v>Chairs</v>
          </cell>
          <cell r="E11988">
            <v>4875.2269999999999</v>
          </cell>
          <cell r="F11988">
            <v>11</v>
          </cell>
        </row>
        <row r="11989">
          <cell r="A11989">
            <v>2019</v>
          </cell>
          <cell r="B11989" t="str">
            <v>Budget</v>
          </cell>
          <cell r="C11989" t="str">
            <v>Nov</v>
          </cell>
          <cell r="D11989" t="str">
            <v>Tables</v>
          </cell>
          <cell r="E11989">
            <v>35727.229999999996</v>
          </cell>
          <cell r="F11989">
            <v>11</v>
          </cell>
        </row>
        <row r="11990">
          <cell r="A11990">
            <v>2019</v>
          </cell>
          <cell r="B11990" t="str">
            <v>Actual</v>
          </cell>
          <cell r="C11990" t="str">
            <v>Nov</v>
          </cell>
          <cell r="D11990" t="str">
            <v>Kitchen</v>
          </cell>
          <cell r="E11990">
            <v>25670.742999999999</v>
          </cell>
          <cell r="F11990">
            <v>11</v>
          </cell>
        </row>
        <row r="11991">
          <cell r="A11991">
            <v>2019</v>
          </cell>
          <cell r="B11991" t="str">
            <v>Budget</v>
          </cell>
          <cell r="C11991" t="str">
            <v>Nov</v>
          </cell>
          <cell r="D11991" t="str">
            <v>Chairs</v>
          </cell>
          <cell r="E11991">
            <v>17283.895999999997</v>
          </cell>
          <cell r="F11991">
            <v>11</v>
          </cell>
        </row>
        <row r="11992">
          <cell r="A11992">
            <v>2019</v>
          </cell>
          <cell r="B11992" t="str">
            <v>Actual</v>
          </cell>
          <cell r="C11992" t="str">
            <v>Nov</v>
          </cell>
          <cell r="D11992" t="str">
            <v>Chairs</v>
          </cell>
          <cell r="E11992">
            <v>63524.712999999996</v>
          </cell>
          <cell r="F11992">
            <v>11</v>
          </cell>
        </row>
        <row r="11993">
          <cell r="A11993">
            <v>2018</v>
          </cell>
          <cell r="B11993" t="str">
            <v>Budget</v>
          </cell>
          <cell r="C11993" t="str">
            <v>Nov</v>
          </cell>
          <cell r="D11993" t="str">
            <v>Chairs</v>
          </cell>
          <cell r="E11993">
            <v>57616.656999999992</v>
          </cell>
          <cell r="F11993">
            <v>11</v>
          </cell>
        </row>
        <row r="11994">
          <cell r="A11994">
            <v>2018</v>
          </cell>
          <cell r="B11994" t="str">
            <v>Actual</v>
          </cell>
          <cell r="C11994" t="str">
            <v>Nov</v>
          </cell>
          <cell r="D11994" t="str">
            <v>Chairs</v>
          </cell>
          <cell r="E11994">
            <v>17678.331999999999</v>
          </cell>
          <cell r="F11994">
            <v>11</v>
          </cell>
        </row>
        <row r="11995">
          <cell r="A11995">
            <v>2019</v>
          </cell>
          <cell r="B11995" t="str">
            <v>Budget</v>
          </cell>
          <cell r="C11995" t="str">
            <v>Nov</v>
          </cell>
          <cell r="D11995" t="str">
            <v>Chairs</v>
          </cell>
          <cell r="E11995">
            <v>-24166.799999999999</v>
          </cell>
          <cell r="F11995">
            <v>11</v>
          </cell>
        </row>
        <row r="11996">
          <cell r="A11996">
            <v>2018</v>
          </cell>
          <cell r="B11996" t="str">
            <v>Actual</v>
          </cell>
          <cell r="C11996" t="str">
            <v>Nov</v>
          </cell>
          <cell r="D11996" t="str">
            <v>Tables</v>
          </cell>
          <cell r="E11996">
            <v>84439.578999999998</v>
          </cell>
          <cell r="F11996">
            <v>11</v>
          </cell>
        </row>
        <row r="11997">
          <cell r="A11997">
            <v>2018</v>
          </cell>
          <cell r="B11997" t="str">
            <v>Budget</v>
          </cell>
          <cell r="C11997" t="str">
            <v>Nov</v>
          </cell>
          <cell r="D11997" t="str">
            <v>Kitchen</v>
          </cell>
          <cell r="E11997">
            <v>39307.176999999996</v>
          </cell>
          <cell r="F11997">
            <v>11</v>
          </cell>
        </row>
        <row r="11998">
          <cell r="A11998">
            <v>2018</v>
          </cell>
          <cell r="B11998" t="str">
            <v>Actual</v>
          </cell>
          <cell r="C11998" t="str">
            <v>Nov</v>
          </cell>
          <cell r="D11998" t="str">
            <v>Chairs</v>
          </cell>
          <cell r="E11998">
            <v>49636.775999999991</v>
          </cell>
          <cell r="F11998">
            <v>11</v>
          </cell>
        </row>
        <row r="11999">
          <cell r="A11999">
            <v>2018</v>
          </cell>
          <cell r="B11999" t="str">
            <v>Budget</v>
          </cell>
          <cell r="C11999" t="str">
            <v>Nov</v>
          </cell>
          <cell r="D11999" t="str">
            <v>Chairs</v>
          </cell>
          <cell r="E11999">
            <v>75586.125999999989</v>
          </cell>
          <cell r="F11999">
            <v>11</v>
          </cell>
        </row>
        <row r="12000">
          <cell r="A12000">
            <v>2018</v>
          </cell>
          <cell r="B12000" t="str">
            <v>Actual</v>
          </cell>
          <cell r="C12000" t="str">
            <v>Nov</v>
          </cell>
          <cell r="D12000" t="str">
            <v>Chairs</v>
          </cell>
          <cell r="E12000">
            <v>32802.727999999996</v>
          </cell>
          <cell r="F12000">
            <v>11</v>
          </cell>
        </row>
        <row r="12001">
          <cell r="A12001">
            <v>2019</v>
          </cell>
          <cell r="B12001" t="str">
            <v>Budget</v>
          </cell>
          <cell r="C12001" t="str">
            <v>Nov</v>
          </cell>
          <cell r="D12001" t="str">
            <v>Tables</v>
          </cell>
          <cell r="E12001">
            <v>90634.04</v>
          </cell>
          <cell r="F12001">
            <v>11</v>
          </cell>
        </row>
        <row r="12002">
          <cell r="A12002">
            <v>2018</v>
          </cell>
          <cell r="B12002" t="str">
            <v>Actual</v>
          </cell>
          <cell r="C12002" t="str">
            <v>Nov</v>
          </cell>
          <cell r="D12002" t="str">
            <v>Kitchen</v>
          </cell>
          <cell r="E12002">
            <v>728343.28</v>
          </cell>
          <cell r="F12002">
            <v>11</v>
          </cell>
        </row>
        <row r="12003">
          <cell r="A12003">
            <v>2018</v>
          </cell>
          <cell r="B12003" t="str">
            <v>Budget</v>
          </cell>
          <cell r="C12003" t="str">
            <v>Nov</v>
          </cell>
          <cell r="D12003" t="str">
            <v>Chairs</v>
          </cell>
          <cell r="E12003">
            <v>149742.80299999999</v>
          </cell>
          <cell r="F12003">
            <v>11</v>
          </cell>
        </row>
        <row r="12004">
          <cell r="A12004">
            <v>2018</v>
          </cell>
          <cell r="B12004" t="str">
            <v>Actual</v>
          </cell>
          <cell r="C12004" t="str">
            <v>Nov</v>
          </cell>
          <cell r="D12004" t="str">
            <v>Chairs</v>
          </cell>
          <cell r="E12004">
            <v>165366.25</v>
          </cell>
          <cell r="F12004">
            <v>11</v>
          </cell>
        </row>
        <row r="12005">
          <cell r="A12005">
            <v>2018</v>
          </cell>
          <cell r="B12005" t="str">
            <v>Budget</v>
          </cell>
          <cell r="C12005" t="str">
            <v>Nov</v>
          </cell>
          <cell r="D12005" t="str">
            <v>Tables</v>
          </cell>
          <cell r="E12005">
            <v>333209.163</v>
          </cell>
          <cell r="F12005">
            <v>11</v>
          </cell>
        </row>
        <row r="12006">
          <cell r="A12006">
            <v>2019</v>
          </cell>
          <cell r="B12006" t="str">
            <v>Actual</v>
          </cell>
          <cell r="C12006" t="str">
            <v>Nov</v>
          </cell>
          <cell r="D12006" t="str">
            <v>Kitchen</v>
          </cell>
          <cell r="E12006">
            <v>150934.21699999998</v>
          </cell>
          <cell r="F12006">
            <v>11</v>
          </cell>
        </row>
        <row r="12007">
          <cell r="A12007">
            <v>2019</v>
          </cell>
          <cell r="B12007" t="str">
            <v>Budget</v>
          </cell>
          <cell r="C12007" t="str">
            <v>Nov</v>
          </cell>
          <cell r="D12007" t="str">
            <v>Chairs</v>
          </cell>
          <cell r="E12007">
            <v>340607.72899999993</v>
          </cell>
          <cell r="F12007">
            <v>11</v>
          </cell>
        </row>
        <row r="12008">
          <cell r="A12008">
            <v>2019</v>
          </cell>
          <cell r="B12008" t="str">
            <v>Actual</v>
          </cell>
          <cell r="C12008" t="str">
            <v>Nov</v>
          </cell>
          <cell r="D12008" t="str">
            <v>Chairs</v>
          </cell>
          <cell r="E12008">
            <v>414147.88799999998</v>
          </cell>
          <cell r="F12008">
            <v>11</v>
          </cell>
        </row>
        <row r="12009">
          <cell r="A12009">
            <v>2019</v>
          </cell>
          <cell r="B12009" t="str">
            <v>Budget</v>
          </cell>
          <cell r="C12009" t="str">
            <v>Nov</v>
          </cell>
          <cell r="D12009" t="str">
            <v>Chairs</v>
          </cell>
          <cell r="E12009">
            <v>36836.743999999999</v>
          </cell>
          <cell r="F12009">
            <v>11</v>
          </cell>
        </row>
        <row r="12010">
          <cell r="A12010">
            <v>2019</v>
          </cell>
          <cell r="B12010" t="str">
            <v>Actual</v>
          </cell>
          <cell r="C12010" t="str">
            <v>Nov</v>
          </cell>
          <cell r="D12010" t="str">
            <v>Tables</v>
          </cell>
          <cell r="E12010">
            <v>442065.81999999995</v>
          </cell>
          <cell r="F12010">
            <v>11</v>
          </cell>
        </row>
        <row r="12011">
          <cell r="A12011">
            <v>2018</v>
          </cell>
          <cell r="B12011" t="str">
            <v>Budget</v>
          </cell>
          <cell r="C12011" t="str">
            <v>Nov</v>
          </cell>
          <cell r="D12011" t="str">
            <v>Kitchen</v>
          </cell>
          <cell r="E12011">
            <v>53163.179999999993</v>
          </cell>
          <cell r="F12011">
            <v>11</v>
          </cell>
        </row>
        <row r="12012">
          <cell r="A12012">
            <v>2018</v>
          </cell>
          <cell r="B12012" t="str">
            <v>Actual</v>
          </cell>
          <cell r="C12012" t="str">
            <v>Nov</v>
          </cell>
          <cell r="D12012" t="str">
            <v>Accessories</v>
          </cell>
          <cell r="E12012">
            <v>103374.82399999999</v>
          </cell>
          <cell r="F12012">
            <v>11</v>
          </cell>
        </row>
        <row r="12013">
          <cell r="A12013">
            <v>2018</v>
          </cell>
          <cell r="B12013" t="str">
            <v>Budget</v>
          </cell>
          <cell r="C12013" t="str">
            <v>Nov</v>
          </cell>
          <cell r="D12013" t="str">
            <v>Chairs</v>
          </cell>
          <cell r="E12013">
            <v>143154.158</v>
          </cell>
          <cell r="F12013">
            <v>11</v>
          </cell>
        </row>
        <row r="12014">
          <cell r="A12014">
            <v>2018</v>
          </cell>
          <cell r="B12014" t="str">
            <v>Actual</v>
          </cell>
          <cell r="C12014" t="str">
            <v>Nov</v>
          </cell>
          <cell r="D12014" t="str">
            <v>Tables</v>
          </cell>
          <cell r="E12014">
            <v>46516.679999999993</v>
          </cell>
          <cell r="F12014">
            <v>11</v>
          </cell>
        </row>
        <row r="12015">
          <cell r="A12015">
            <v>2018</v>
          </cell>
          <cell r="B12015" t="str">
            <v>Budget</v>
          </cell>
          <cell r="C12015" t="str">
            <v>Nov</v>
          </cell>
          <cell r="D12015" t="str">
            <v>Kitchen</v>
          </cell>
          <cell r="E12015">
            <v>169204.476</v>
          </cell>
          <cell r="F12015">
            <v>11</v>
          </cell>
        </row>
        <row r="12016">
          <cell r="A12016">
            <v>2019</v>
          </cell>
          <cell r="B12016" t="str">
            <v>Actual</v>
          </cell>
          <cell r="C12016" t="str">
            <v>Nov</v>
          </cell>
          <cell r="D12016" t="str">
            <v>Accessories</v>
          </cell>
          <cell r="E12016">
            <v>207851.22399999999</v>
          </cell>
          <cell r="F12016">
            <v>11</v>
          </cell>
        </row>
        <row r="12017">
          <cell r="A12017">
            <v>2019</v>
          </cell>
          <cell r="B12017" t="str">
            <v>Budget</v>
          </cell>
          <cell r="C12017" t="str">
            <v>Nov</v>
          </cell>
          <cell r="D12017" t="str">
            <v>Chairs</v>
          </cell>
          <cell r="E12017">
            <v>-242668.51699999999</v>
          </cell>
          <cell r="F12017">
            <v>11</v>
          </cell>
        </row>
        <row r="12018">
          <cell r="A12018">
            <v>2019</v>
          </cell>
          <cell r="B12018" t="str">
            <v>Actual</v>
          </cell>
          <cell r="C12018" t="str">
            <v>Nov</v>
          </cell>
          <cell r="D12018" t="str">
            <v>Tables</v>
          </cell>
          <cell r="E12018">
            <v>999776.35799999989</v>
          </cell>
          <cell r="F12018">
            <v>11</v>
          </cell>
        </row>
        <row r="12019">
          <cell r="A12019">
            <v>2019</v>
          </cell>
          <cell r="B12019" t="str">
            <v>Budget</v>
          </cell>
          <cell r="C12019" t="str">
            <v>Nov</v>
          </cell>
          <cell r="D12019" t="str">
            <v>Kitchen</v>
          </cell>
          <cell r="E12019">
            <v>58855.712999999996</v>
          </cell>
          <cell r="F12019">
            <v>11</v>
          </cell>
        </row>
        <row r="12020">
          <cell r="A12020">
            <v>2019</v>
          </cell>
          <cell r="B12020" t="str">
            <v>Actual</v>
          </cell>
          <cell r="C12020" t="str">
            <v>Nov</v>
          </cell>
          <cell r="D12020" t="str">
            <v>Accessories</v>
          </cell>
          <cell r="E12020">
            <v>64312.724000000002</v>
          </cell>
          <cell r="F12020">
            <v>11</v>
          </cell>
        </row>
        <row r="12021">
          <cell r="A12021">
            <v>2018</v>
          </cell>
          <cell r="B12021" t="str">
            <v>Budget</v>
          </cell>
          <cell r="C12021" t="str">
            <v>Nov</v>
          </cell>
          <cell r="D12021" t="str">
            <v>Chairs</v>
          </cell>
          <cell r="E12021">
            <v>16408.252</v>
          </cell>
          <cell r="F12021">
            <v>11</v>
          </cell>
        </row>
        <row r="12022">
          <cell r="A12022">
            <v>2018</v>
          </cell>
          <cell r="B12022" t="str">
            <v>Actual</v>
          </cell>
          <cell r="C12022" t="str">
            <v>Nov</v>
          </cell>
          <cell r="D12022" t="str">
            <v>Tables</v>
          </cell>
          <cell r="E12022">
            <v>96168.925999999992</v>
          </cell>
          <cell r="F12022">
            <v>11</v>
          </cell>
        </row>
        <row r="12023">
          <cell r="A12023">
            <v>2018</v>
          </cell>
          <cell r="B12023" t="str">
            <v>Budget</v>
          </cell>
          <cell r="C12023" t="str">
            <v>Nov</v>
          </cell>
          <cell r="D12023" t="str">
            <v>Kitchen</v>
          </cell>
          <cell r="E12023">
            <v>75165.929999999993</v>
          </cell>
          <cell r="F12023">
            <v>11</v>
          </cell>
        </row>
        <row r="12024">
          <cell r="A12024">
            <v>2019</v>
          </cell>
          <cell r="B12024" t="str">
            <v>Actual</v>
          </cell>
          <cell r="C12024" t="str">
            <v>Nov</v>
          </cell>
          <cell r="D12024" t="str">
            <v>Accessories</v>
          </cell>
          <cell r="E12024">
            <v>15612.666999999999</v>
          </cell>
          <cell r="F12024">
            <v>11</v>
          </cell>
        </row>
        <row r="12025">
          <cell r="A12025">
            <v>2019</v>
          </cell>
          <cell r="B12025" t="str">
            <v>Budget</v>
          </cell>
          <cell r="C12025" t="str">
            <v>Nov</v>
          </cell>
          <cell r="D12025" t="str">
            <v>Chairs</v>
          </cell>
          <cell r="E12025">
            <v>52420.745999999999</v>
          </cell>
          <cell r="F12025">
            <v>11</v>
          </cell>
        </row>
        <row r="12026">
          <cell r="A12026">
            <v>2019</v>
          </cell>
          <cell r="B12026" t="str">
            <v>Actual</v>
          </cell>
          <cell r="C12026" t="str">
            <v>Nov</v>
          </cell>
          <cell r="D12026" t="str">
            <v>Chairs</v>
          </cell>
          <cell r="E12026">
            <v>55203.287999999993</v>
          </cell>
          <cell r="F12026">
            <v>11</v>
          </cell>
        </row>
        <row r="12027">
          <cell r="A12027">
            <v>2018</v>
          </cell>
          <cell r="B12027" t="str">
            <v>Budget</v>
          </cell>
          <cell r="C12027" t="str">
            <v>Nov</v>
          </cell>
          <cell r="D12027" t="str">
            <v>Tables</v>
          </cell>
          <cell r="E12027">
            <v>105211.96699999999</v>
          </cell>
          <cell r="F12027">
            <v>11</v>
          </cell>
        </row>
        <row r="12028">
          <cell r="A12028">
            <v>2019</v>
          </cell>
          <cell r="B12028" t="str">
            <v>Actual</v>
          </cell>
          <cell r="C12028" t="str">
            <v>Nov</v>
          </cell>
          <cell r="D12028" t="str">
            <v>Kitchen</v>
          </cell>
          <cell r="E12028">
            <v>45590.377</v>
          </cell>
          <cell r="F12028">
            <v>11</v>
          </cell>
        </row>
        <row r="12029">
          <cell r="A12029">
            <v>2018</v>
          </cell>
          <cell r="B12029" t="str">
            <v>Budget</v>
          </cell>
          <cell r="C12029" t="str">
            <v>Nov</v>
          </cell>
          <cell r="D12029" t="str">
            <v>Chairs</v>
          </cell>
          <cell r="E12029">
            <v>29116.828999999998</v>
          </cell>
          <cell r="F12029">
            <v>11</v>
          </cell>
        </row>
        <row r="12030">
          <cell r="A12030">
            <v>2018</v>
          </cell>
          <cell r="B12030" t="str">
            <v>Actual</v>
          </cell>
          <cell r="C12030" t="str">
            <v>Nov</v>
          </cell>
          <cell r="D12030" t="str">
            <v>Tables</v>
          </cell>
          <cell r="E12030">
            <v>9454.3679999999986</v>
          </cell>
          <cell r="F12030">
            <v>11</v>
          </cell>
        </row>
        <row r="12031">
          <cell r="A12031">
            <v>2019</v>
          </cell>
          <cell r="B12031" t="str">
            <v>Budget</v>
          </cell>
          <cell r="C12031" t="str">
            <v>Nov</v>
          </cell>
          <cell r="D12031" t="str">
            <v>Kitchen</v>
          </cell>
          <cell r="E12031">
            <v>11254.291999999999</v>
          </cell>
          <cell r="F12031">
            <v>11</v>
          </cell>
        </row>
        <row r="12032">
          <cell r="A12032">
            <v>2019</v>
          </cell>
          <cell r="B12032" t="str">
            <v>Actual</v>
          </cell>
          <cell r="C12032" t="str">
            <v>Nov</v>
          </cell>
          <cell r="D12032" t="str">
            <v>Chairs</v>
          </cell>
          <cell r="E12032">
            <v>86065.804999999993</v>
          </cell>
          <cell r="F12032">
            <v>11</v>
          </cell>
        </row>
        <row r="12033">
          <cell r="A12033">
            <v>2019</v>
          </cell>
          <cell r="B12033" t="str">
            <v>Budget</v>
          </cell>
          <cell r="C12033" t="str">
            <v>Nov</v>
          </cell>
          <cell r="D12033" t="str">
            <v>Tables</v>
          </cell>
          <cell r="E12033">
            <v>77659.847999999998</v>
          </cell>
          <cell r="F12033">
            <v>11</v>
          </cell>
        </row>
        <row r="12034">
          <cell r="A12034">
            <v>2019</v>
          </cell>
          <cell r="B12034" t="str">
            <v>Actual</v>
          </cell>
          <cell r="C12034" t="str">
            <v>Nov</v>
          </cell>
          <cell r="D12034" t="str">
            <v>Kitchen</v>
          </cell>
          <cell r="E12034">
            <v>3089260.2789999996</v>
          </cell>
          <cell r="F12034">
            <v>11</v>
          </cell>
        </row>
        <row r="12035">
          <cell r="A12035">
            <v>2019</v>
          </cell>
          <cell r="B12035" t="str">
            <v>Budget</v>
          </cell>
          <cell r="C12035" t="str">
            <v>Nov</v>
          </cell>
          <cell r="D12035" t="str">
            <v>Chairs</v>
          </cell>
          <cell r="E12035">
            <v>148362.704</v>
          </cell>
          <cell r="F12035">
            <v>11</v>
          </cell>
        </row>
        <row r="12036">
          <cell r="A12036">
            <v>2019</v>
          </cell>
          <cell r="B12036" t="str">
            <v>Actual</v>
          </cell>
          <cell r="C12036" t="str">
            <v>Nov</v>
          </cell>
          <cell r="D12036" t="str">
            <v>Chairs</v>
          </cell>
          <cell r="E12036">
            <v>114956.30999999998</v>
          </cell>
          <cell r="F12036">
            <v>11</v>
          </cell>
        </row>
        <row r="12037">
          <cell r="A12037">
            <v>2018</v>
          </cell>
          <cell r="B12037" t="str">
            <v>Budget</v>
          </cell>
          <cell r="C12037" t="str">
            <v>Nov</v>
          </cell>
          <cell r="D12037" t="str">
            <v>Chairs</v>
          </cell>
          <cell r="E12037">
            <v>89263.145999999993</v>
          </cell>
          <cell r="F12037">
            <v>11</v>
          </cell>
        </row>
        <row r="12038">
          <cell r="A12038">
            <v>2018</v>
          </cell>
          <cell r="B12038" t="str">
            <v>Actual</v>
          </cell>
          <cell r="C12038" t="str">
            <v>Nov</v>
          </cell>
          <cell r="D12038" t="str">
            <v>Chairs</v>
          </cell>
          <cell r="E12038">
            <v>675755.11499999987</v>
          </cell>
          <cell r="F12038">
            <v>11</v>
          </cell>
        </row>
        <row r="12039">
          <cell r="A12039">
            <v>2018</v>
          </cell>
          <cell r="B12039" t="str">
            <v>Budget</v>
          </cell>
          <cell r="C12039" t="str">
            <v>Nov</v>
          </cell>
          <cell r="D12039" t="str">
            <v>Chairs</v>
          </cell>
          <cell r="E12039">
            <v>5978.097999999999</v>
          </cell>
          <cell r="F12039">
            <v>11</v>
          </cell>
        </row>
        <row r="12040">
          <cell r="A12040">
            <v>2019</v>
          </cell>
          <cell r="B12040" t="str">
            <v>Actual</v>
          </cell>
          <cell r="C12040" t="str">
            <v>Nov</v>
          </cell>
          <cell r="D12040" t="str">
            <v>Chairs</v>
          </cell>
          <cell r="E12040">
            <v>596988.44799999997</v>
          </cell>
          <cell r="F12040">
            <v>11</v>
          </cell>
        </row>
        <row r="12041">
          <cell r="A12041">
            <v>2018</v>
          </cell>
          <cell r="B12041" t="str">
            <v>Budget</v>
          </cell>
          <cell r="C12041" t="str">
            <v>Nov</v>
          </cell>
          <cell r="D12041" t="str">
            <v>Chairs</v>
          </cell>
          <cell r="E12041">
            <v>1434334.6709999999</v>
          </cell>
          <cell r="F12041">
            <v>11</v>
          </cell>
        </row>
        <row r="12042">
          <cell r="A12042">
            <v>2018</v>
          </cell>
          <cell r="B12042" t="str">
            <v>Actual</v>
          </cell>
          <cell r="C12042" t="str">
            <v>Nov</v>
          </cell>
          <cell r="D12042" t="str">
            <v>Chairs</v>
          </cell>
          <cell r="E12042">
            <v>1248764.4539999999</v>
          </cell>
          <cell r="F12042">
            <v>11</v>
          </cell>
        </row>
        <row r="12043">
          <cell r="A12043">
            <v>2019</v>
          </cell>
          <cell r="B12043" t="str">
            <v>Budget</v>
          </cell>
          <cell r="C12043" t="str">
            <v>Nov</v>
          </cell>
          <cell r="D12043" t="str">
            <v>Chairs</v>
          </cell>
          <cell r="E12043">
            <v>426171.31900000002</v>
          </cell>
          <cell r="F12043">
            <v>11</v>
          </cell>
        </row>
        <row r="12044">
          <cell r="A12044">
            <v>2019</v>
          </cell>
          <cell r="B12044" t="str">
            <v>Actual</v>
          </cell>
          <cell r="C12044" t="str">
            <v>Nov</v>
          </cell>
          <cell r="D12044" t="str">
            <v>Chairs</v>
          </cell>
          <cell r="E12044">
            <v>1277069.493</v>
          </cell>
          <cell r="F12044">
            <v>11</v>
          </cell>
        </row>
        <row r="12045">
          <cell r="A12045">
            <v>2019</v>
          </cell>
          <cell r="B12045" t="str">
            <v>Budget</v>
          </cell>
          <cell r="C12045" t="str">
            <v>Nov</v>
          </cell>
          <cell r="D12045" t="str">
            <v>Chairs</v>
          </cell>
          <cell r="E12045">
            <v>-22412.095999999998</v>
          </cell>
          <cell r="F12045">
            <v>11</v>
          </cell>
        </row>
        <row r="12046">
          <cell r="A12046">
            <v>2019</v>
          </cell>
          <cell r="B12046" t="str">
            <v>Actual</v>
          </cell>
          <cell r="C12046" t="str">
            <v>Nov</v>
          </cell>
          <cell r="D12046" t="str">
            <v>Chairs</v>
          </cell>
          <cell r="E12046">
            <v>-56030.233</v>
          </cell>
          <cell r="F12046">
            <v>11</v>
          </cell>
        </row>
        <row r="12047">
          <cell r="A12047">
            <v>2019</v>
          </cell>
          <cell r="B12047" t="str">
            <v>Budget</v>
          </cell>
          <cell r="C12047" t="str">
            <v>Nov</v>
          </cell>
          <cell r="D12047" t="str">
            <v>Chairs</v>
          </cell>
          <cell r="E12047">
            <v>-56030.233</v>
          </cell>
          <cell r="F12047">
            <v>11</v>
          </cell>
        </row>
        <row r="12048">
          <cell r="A12048">
            <v>2019</v>
          </cell>
          <cell r="B12048" t="str">
            <v>Actual</v>
          </cell>
          <cell r="C12048" t="str">
            <v>Nov</v>
          </cell>
          <cell r="D12048" t="str">
            <v>Chairs</v>
          </cell>
          <cell r="E12048">
            <v>373054.78700000001</v>
          </cell>
          <cell r="F12048">
            <v>11</v>
          </cell>
        </row>
        <row r="12049">
          <cell r="A12049">
            <v>2019</v>
          </cell>
          <cell r="B12049" t="str">
            <v>Budget</v>
          </cell>
          <cell r="C12049" t="str">
            <v>Nov</v>
          </cell>
          <cell r="D12049" t="str">
            <v>Chairs</v>
          </cell>
          <cell r="E12049">
            <v>626011.51199999999</v>
          </cell>
          <cell r="F12049">
            <v>11</v>
          </cell>
        </row>
        <row r="12050">
          <cell r="A12050">
            <v>2019</v>
          </cell>
          <cell r="B12050" t="str">
            <v>Actual</v>
          </cell>
          <cell r="C12050" t="str">
            <v>Nov</v>
          </cell>
          <cell r="D12050" t="str">
            <v>Chairs</v>
          </cell>
          <cell r="E12050">
            <v>55326.222000000002</v>
          </cell>
          <cell r="F12050">
            <v>11</v>
          </cell>
        </row>
        <row r="12051">
          <cell r="A12051">
            <v>2019</v>
          </cell>
          <cell r="B12051" t="str">
            <v>Budget</v>
          </cell>
          <cell r="C12051" t="str">
            <v>Nov</v>
          </cell>
          <cell r="D12051" t="str">
            <v>Chairs</v>
          </cell>
          <cell r="E12051">
            <v>382831.73599999998</v>
          </cell>
          <cell r="F12051">
            <v>11</v>
          </cell>
        </row>
        <row r="12052">
          <cell r="A12052">
            <v>2019</v>
          </cell>
          <cell r="B12052" t="str">
            <v>Actual</v>
          </cell>
          <cell r="C12052" t="str">
            <v>Nov</v>
          </cell>
          <cell r="D12052" t="str">
            <v>Chairs</v>
          </cell>
          <cell r="E12052">
            <v>159307.26699999999</v>
          </cell>
          <cell r="F12052">
            <v>11</v>
          </cell>
        </row>
        <row r="12053">
          <cell r="A12053">
            <v>2019</v>
          </cell>
          <cell r="B12053" t="str">
            <v>Budget</v>
          </cell>
          <cell r="C12053" t="str">
            <v>Nov</v>
          </cell>
          <cell r="D12053" t="str">
            <v>Chairs</v>
          </cell>
          <cell r="E12053">
            <v>121314.53599999999</v>
          </cell>
          <cell r="F12053">
            <v>11</v>
          </cell>
        </row>
        <row r="12054">
          <cell r="A12054">
            <v>2019</v>
          </cell>
          <cell r="B12054" t="str">
            <v>Actual</v>
          </cell>
          <cell r="C12054" t="str">
            <v>Nov</v>
          </cell>
          <cell r="D12054" t="str">
            <v>Chairs</v>
          </cell>
          <cell r="E12054">
            <v>2727569.4389999998</v>
          </cell>
          <cell r="F12054">
            <v>11</v>
          </cell>
        </row>
        <row r="12055">
          <cell r="A12055">
            <v>2018</v>
          </cell>
          <cell r="B12055" t="str">
            <v>Budget</v>
          </cell>
          <cell r="C12055" t="str">
            <v>Nov</v>
          </cell>
          <cell r="D12055" t="str">
            <v>Chairs</v>
          </cell>
          <cell r="E12055">
            <v>946333.40899999999</v>
          </cell>
          <cell r="F12055">
            <v>11</v>
          </cell>
        </row>
        <row r="12056">
          <cell r="A12056">
            <v>2019</v>
          </cell>
          <cell r="B12056" t="str">
            <v>Actual</v>
          </cell>
          <cell r="C12056" t="str">
            <v>Nov</v>
          </cell>
          <cell r="D12056" t="str">
            <v>Chairs</v>
          </cell>
          <cell r="E12056">
            <v>912680.54500000004</v>
          </cell>
          <cell r="F12056">
            <v>11</v>
          </cell>
        </row>
        <row r="12057">
          <cell r="A12057">
            <v>2018</v>
          </cell>
          <cell r="B12057" t="str">
            <v>Budget</v>
          </cell>
          <cell r="C12057" t="str">
            <v>Nov</v>
          </cell>
          <cell r="D12057" t="str">
            <v>Chairs</v>
          </cell>
          <cell r="E12057">
            <v>425200.90899999999</v>
          </cell>
          <cell r="F12057">
            <v>11</v>
          </cell>
        </row>
        <row r="12058">
          <cell r="A12058">
            <v>2019</v>
          </cell>
          <cell r="B12058" t="str">
            <v>Actual</v>
          </cell>
          <cell r="C12058" t="str">
            <v>Nov</v>
          </cell>
          <cell r="D12058" t="str">
            <v>Chairs</v>
          </cell>
          <cell r="E12058">
            <v>222530.476</v>
          </cell>
          <cell r="F12058">
            <v>11</v>
          </cell>
        </row>
        <row r="12059">
          <cell r="A12059">
            <v>2018</v>
          </cell>
          <cell r="B12059" t="str">
            <v>Budget</v>
          </cell>
          <cell r="C12059" t="str">
            <v>Nov</v>
          </cell>
          <cell r="D12059" t="str">
            <v>Chairs</v>
          </cell>
          <cell r="E12059">
            <v>54960.339</v>
          </cell>
          <cell r="F12059">
            <v>11</v>
          </cell>
        </row>
        <row r="12060">
          <cell r="A12060">
            <v>2019</v>
          </cell>
          <cell r="B12060" t="str">
            <v>Actual</v>
          </cell>
          <cell r="C12060" t="str">
            <v>Nov</v>
          </cell>
          <cell r="D12060" t="str">
            <v>Chairs</v>
          </cell>
          <cell r="E12060">
            <v>245487.158</v>
          </cell>
          <cell r="F12060">
            <v>11</v>
          </cell>
        </row>
        <row r="12061">
          <cell r="A12061">
            <v>2018</v>
          </cell>
          <cell r="B12061" t="str">
            <v>Budget</v>
          </cell>
          <cell r="C12061" t="str">
            <v>Nov</v>
          </cell>
          <cell r="D12061" t="str">
            <v>Tables</v>
          </cell>
          <cell r="E12061">
            <v>1002640.184</v>
          </cell>
          <cell r="F12061">
            <v>11</v>
          </cell>
        </row>
        <row r="12062">
          <cell r="A12062">
            <v>2019</v>
          </cell>
          <cell r="B12062" t="str">
            <v>Actual</v>
          </cell>
          <cell r="C12062" t="str">
            <v>Nov</v>
          </cell>
          <cell r="D12062" t="str">
            <v>Kitchen</v>
          </cell>
          <cell r="E12062">
            <v>871081.67299999984</v>
          </cell>
          <cell r="F12062">
            <v>11</v>
          </cell>
        </row>
        <row r="12063">
          <cell r="A12063">
            <v>2019</v>
          </cell>
          <cell r="B12063" t="str">
            <v>Budget</v>
          </cell>
          <cell r="C12063" t="str">
            <v>Nov</v>
          </cell>
          <cell r="D12063" t="str">
            <v>Chairs</v>
          </cell>
          <cell r="E12063">
            <v>184128</v>
          </cell>
          <cell r="F12063">
            <v>11</v>
          </cell>
        </row>
        <row r="12064">
          <cell r="A12064">
            <v>2019</v>
          </cell>
          <cell r="B12064" t="str">
            <v>Actual</v>
          </cell>
          <cell r="C12064" t="str">
            <v>Nov</v>
          </cell>
          <cell r="D12064" t="str">
            <v>Chairs</v>
          </cell>
          <cell r="E12064">
            <v>553334.88</v>
          </cell>
          <cell r="F12064">
            <v>11</v>
          </cell>
        </row>
        <row r="12065">
          <cell r="A12065">
            <v>2018</v>
          </cell>
          <cell r="B12065" t="str">
            <v>Budget</v>
          </cell>
          <cell r="C12065" t="str">
            <v>Nov</v>
          </cell>
          <cell r="D12065" t="str">
            <v>Chairs</v>
          </cell>
          <cell r="E12065">
            <v>98942.641000000003</v>
          </cell>
          <cell r="F12065">
            <v>11</v>
          </cell>
        </row>
        <row r="12066">
          <cell r="A12066">
            <v>2019</v>
          </cell>
          <cell r="B12066" t="str">
            <v>Actual</v>
          </cell>
          <cell r="C12066" t="str">
            <v>Nov</v>
          </cell>
          <cell r="D12066" t="str">
            <v>Chairs</v>
          </cell>
          <cell r="E12066">
            <v>214874.79299999998</v>
          </cell>
          <cell r="F12066">
            <v>11</v>
          </cell>
        </row>
        <row r="12067">
          <cell r="A12067">
            <v>2018</v>
          </cell>
          <cell r="B12067" t="str">
            <v>Budget</v>
          </cell>
          <cell r="C12067" t="str">
            <v>Nov</v>
          </cell>
          <cell r="D12067" t="str">
            <v>Chairs</v>
          </cell>
          <cell r="E12067">
            <v>150855.32699999999</v>
          </cell>
          <cell r="F12067">
            <v>11</v>
          </cell>
        </row>
        <row r="12068">
          <cell r="A12068">
            <v>2019</v>
          </cell>
          <cell r="B12068" t="str">
            <v>Actual</v>
          </cell>
          <cell r="C12068" t="str">
            <v>Nov</v>
          </cell>
          <cell r="D12068" t="str">
            <v>Tables</v>
          </cell>
          <cell r="E12068">
            <v>741834.79999999993</v>
          </cell>
          <cell r="F12068">
            <v>11</v>
          </cell>
        </row>
        <row r="12069">
          <cell r="A12069">
            <v>2018</v>
          </cell>
          <cell r="B12069" t="str">
            <v>Budget</v>
          </cell>
          <cell r="C12069" t="str">
            <v>Nov</v>
          </cell>
          <cell r="D12069" t="str">
            <v>Kitchen</v>
          </cell>
          <cell r="E12069">
            <v>222056.12100000001</v>
          </cell>
          <cell r="F12069">
            <v>11</v>
          </cell>
        </row>
        <row r="12070">
          <cell r="A12070">
            <v>2018</v>
          </cell>
          <cell r="B12070" t="str">
            <v>Actual</v>
          </cell>
          <cell r="C12070" t="str">
            <v>Nov</v>
          </cell>
          <cell r="D12070" t="str">
            <v>Chairs</v>
          </cell>
          <cell r="E12070">
            <v>255911.32699999996</v>
          </cell>
          <cell r="F12070">
            <v>11</v>
          </cell>
        </row>
        <row r="12071">
          <cell r="A12071">
            <v>2019</v>
          </cell>
          <cell r="B12071" t="str">
            <v>Budget</v>
          </cell>
          <cell r="C12071" t="str">
            <v>Nov</v>
          </cell>
          <cell r="D12071" t="str">
            <v>Chairs</v>
          </cell>
          <cell r="E12071">
            <v>150728.96299999999</v>
          </cell>
          <cell r="F12071">
            <v>11</v>
          </cell>
        </row>
        <row r="12072">
          <cell r="A12072">
            <v>2019</v>
          </cell>
          <cell r="B12072" t="str">
            <v>Actual</v>
          </cell>
          <cell r="C12072" t="str">
            <v>Nov</v>
          </cell>
          <cell r="D12072" t="str">
            <v>Chairs</v>
          </cell>
          <cell r="E12072">
            <v>124313.315</v>
          </cell>
          <cell r="F12072">
            <v>11</v>
          </cell>
        </row>
        <row r="12073">
          <cell r="A12073">
            <v>2019</v>
          </cell>
          <cell r="B12073" t="str">
            <v>Budget</v>
          </cell>
          <cell r="C12073" t="str">
            <v>Nov</v>
          </cell>
          <cell r="D12073" t="str">
            <v>Tables</v>
          </cell>
          <cell r="E12073">
            <v>451509.66000000003</v>
          </cell>
          <cell r="F12073">
            <v>11</v>
          </cell>
        </row>
        <row r="12074">
          <cell r="A12074">
            <v>2019</v>
          </cell>
          <cell r="B12074" t="str">
            <v>Actual</v>
          </cell>
          <cell r="C12074" t="str">
            <v>Nov</v>
          </cell>
          <cell r="D12074" t="str">
            <v>Kitchen</v>
          </cell>
          <cell r="E12074">
            <v>320277.77599999995</v>
          </cell>
          <cell r="F12074">
            <v>11</v>
          </cell>
        </row>
        <row r="12075">
          <cell r="A12075">
            <v>2019</v>
          </cell>
          <cell r="B12075" t="str">
            <v>Budget</v>
          </cell>
          <cell r="C12075" t="str">
            <v>Nov</v>
          </cell>
          <cell r="D12075" t="str">
            <v>Chairs</v>
          </cell>
          <cell r="E12075">
            <v>64419.081999999995</v>
          </cell>
          <cell r="F12075">
            <v>11</v>
          </cell>
        </row>
        <row r="12076">
          <cell r="A12076">
            <v>2018</v>
          </cell>
          <cell r="B12076" t="str">
            <v>Actual</v>
          </cell>
          <cell r="C12076" t="str">
            <v>Nov</v>
          </cell>
          <cell r="D12076" t="str">
            <v>Chairs</v>
          </cell>
          <cell r="E12076">
            <v>40960.065999999999</v>
          </cell>
          <cell r="F12076">
            <v>11</v>
          </cell>
        </row>
        <row r="12077">
          <cell r="A12077">
            <v>2018</v>
          </cell>
          <cell r="B12077" t="str">
            <v>Budget</v>
          </cell>
          <cell r="C12077" t="str">
            <v>Nov</v>
          </cell>
          <cell r="D12077" t="str">
            <v>Tables</v>
          </cell>
          <cell r="E12077">
            <v>51283.525999999991</v>
          </cell>
          <cell r="F12077">
            <v>11</v>
          </cell>
        </row>
        <row r="12078">
          <cell r="A12078">
            <v>2019</v>
          </cell>
          <cell r="B12078" t="str">
            <v>Actual</v>
          </cell>
          <cell r="C12078" t="str">
            <v>Nov</v>
          </cell>
          <cell r="D12078" t="str">
            <v>Kitchen</v>
          </cell>
          <cell r="E12078">
            <v>75551.622999999992</v>
          </cell>
          <cell r="F12078">
            <v>11</v>
          </cell>
        </row>
        <row r="12079">
          <cell r="A12079">
            <v>2019</v>
          </cell>
          <cell r="B12079" t="str">
            <v>Budget</v>
          </cell>
          <cell r="C12079" t="str">
            <v>Nov</v>
          </cell>
          <cell r="D12079" t="str">
            <v>Chairs</v>
          </cell>
          <cell r="E12079">
            <v>89120.926999999996</v>
          </cell>
          <cell r="F12079">
            <v>11</v>
          </cell>
        </row>
        <row r="12080">
          <cell r="A12080">
            <v>2019</v>
          </cell>
          <cell r="B12080" t="str">
            <v>Actual</v>
          </cell>
          <cell r="C12080" t="str">
            <v>Nov</v>
          </cell>
          <cell r="D12080" t="str">
            <v>Chairs</v>
          </cell>
          <cell r="E12080">
            <v>51099.075999999994</v>
          </cell>
          <cell r="F12080">
            <v>11</v>
          </cell>
        </row>
        <row r="12081">
          <cell r="A12081">
            <v>2019</v>
          </cell>
          <cell r="B12081" t="str">
            <v>Budget</v>
          </cell>
          <cell r="C12081" t="str">
            <v>Nov</v>
          </cell>
          <cell r="D12081" t="str">
            <v>Chairs</v>
          </cell>
          <cell r="E12081">
            <v>266105.71399999998</v>
          </cell>
          <cell r="F12081">
            <v>11</v>
          </cell>
        </row>
        <row r="12082">
          <cell r="A12082">
            <v>2018</v>
          </cell>
          <cell r="B12082" t="str">
            <v>Actual</v>
          </cell>
          <cell r="C12082" t="str">
            <v>Nov</v>
          </cell>
          <cell r="D12082" t="str">
            <v>Tables</v>
          </cell>
          <cell r="E12082">
            <v>325754.97499999998</v>
          </cell>
          <cell r="F12082">
            <v>11</v>
          </cell>
        </row>
        <row r="12083">
          <cell r="A12083">
            <v>2019</v>
          </cell>
          <cell r="B12083" t="str">
            <v>Budget</v>
          </cell>
          <cell r="C12083" t="str">
            <v>Nov</v>
          </cell>
          <cell r="D12083" t="str">
            <v>Kitchen</v>
          </cell>
          <cell r="E12083">
            <v>42651.055999999997</v>
          </cell>
          <cell r="F12083">
            <v>11</v>
          </cell>
        </row>
        <row r="12084">
          <cell r="A12084">
            <v>2018</v>
          </cell>
          <cell r="B12084" t="str">
            <v>Actual</v>
          </cell>
          <cell r="C12084" t="str">
            <v>Nov</v>
          </cell>
          <cell r="D12084" t="str">
            <v>Accessories</v>
          </cell>
          <cell r="E12084">
            <v>313706.44899999996</v>
          </cell>
          <cell r="F12084">
            <v>11</v>
          </cell>
        </row>
        <row r="12085">
          <cell r="A12085">
            <v>2019</v>
          </cell>
          <cell r="B12085" t="str">
            <v>Budget</v>
          </cell>
          <cell r="C12085" t="str">
            <v>Nov</v>
          </cell>
          <cell r="D12085" t="str">
            <v>Chairs</v>
          </cell>
          <cell r="E12085">
            <v>105055.67099999999</v>
          </cell>
          <cell r="F12085">
            <v>11</v>
          </cell>
        </row>
        <row r="12086">
          <cell r="A12086">
            <v>2019</v>
          </cell>
          <cell r="B12086" t="str">
            <v>Actual</v>
          </cell>
          <cell r="C12086" t="str">
            <v>Nov</v>
          </cell>
          <cell r="D12086" t="str">
            <v>Tables</v>
          </cell>
          <cell r="E12086">
            <v>49984.941999999995</v>
          </cell>
          <cell r="F12086">
            <v>11</v>
          </cell>
        </row>
        <row r="12087">
          <cell r="A12087">
            <v>2018</v>
          </cell>
          <cell r="B12087" t="str">
            <v>Budget</v>
          </cell>
          <cell r="C12087" t="str">
            <v>Nov</v>
          </cell>
          <cell r="D12087" t="str">
            <v>Kitchen</v>
          </cell>
          <cell r="E12087">
            <v>637257.3899999999</v>
          </cell>
          <cell r="F12087">
            <v>11</v>
          </cell>
        </row>
        <row r="12088">
          <cell r="A12088">
            <v>2018</v>
          </cell>
          <cell r="B12088" t="str">
            <v>Actual</v>
          </cell>
          <cell r="C12088" t="str">
            <v>Nov</v>
          </cell>
          <cell r="D12088" t="str">
            <v>Accessories</v>
          </cell>
          <cell r="E12088">
            <v>805414.97400000005</v>
          </cell>
          <cell r="F12088">
            <v>11</v>
          </cell>
        </row>
        <row r="12089">
          <cell r="A12089">
            <v>2019</v>
          </cell>
          <cell r="B12089" t="str">
            <v>Budget</v>
          </cell>
          <cell r="C12089" t="str">
            <v>Nov</v>
          </cell>
          <cell r="D12089" t="str">
            <v>Chairs</v>
          </cell>
          <cell r="E12089">
            <v>286710.739</v>
          </cell>
          <cell r="F12089">
            <v>11</v>
          </cell>
        </row>
        <row r="12090">
          <cell r="A12090">
            <v>2019</v>
          </cell>
          <cell r="B12090" t="str">
            <v>Actual</v>
          </cell>
          <cell r="C12090" t="str">
            <v>Nov</v>
          </cell>
          <cell r="D12090" t="str">
            <v>Tables</v>
          </cell>
          <cell r="E12090">
            <v>378407.49799999996</v>
          </cell>
          <cell r="F12090">
            <v>11</v>
          </cell>
        </row>
        <row r="12091">
          <cell r="A12091">
            <v>2018</v>
          </cell>
          <cell r="B12091" t="str">
            <v>Budget</v>
          </cell>
          <cell r="C12091" t="str">
            <v>Nov</v>
          </cell>
          <cell r="D12091" t="str">
            <v>Kitchen</v>
          </cell>
          <cell r="E12091">
            <v>73882.885999999999</v>
          </cell>
          <cell r="F12091">
            <v>11</v>
          </cell>
        </row>
        <row r="12092">
          <cell r="A12092">
            <v>2018</v>
          </cell>
          <cell r="B12092" t="str">
            <v>Actual</v>
          </cell>
          <cell r="C12092" t="str">
            <v>Nov</v>
          </cell>
          <cell r="D12092" t="str">
            <v>Accessories</v>
          </cell>
          <cell r="E12092">
            <v>71583.567999999999</v>
          </cell>
          <cell r="F12092">
            <v>11</v>
          </cell>
        </row>
        <row r="12093">
          <cell r="A12093">
            <v>2019</v>
          </cell>
          <cell r="B12093" t="str">
            <v>Budget</v>
          </cell>
          <cell r="C12093" t="str">
            <v>Nov</v>
          </cell>
          <cell r="D12093" t="str">
            <v>Chairs</v>
          </cell>
          <cell r="E12093">
            <v>521348.46399999998</v>
          </cell>
          <cell r="F12093">
            <v>11</v>
          </cell>
        </row>
        <row r="12094">
          <cell r="A12094">
            <v>2018</v>
          </cell>
          <cell r="B12094" t="str">
            <v>Actual</v>
          </cell>
          <cell r="C12094" t="str">
            <v>Nov</v>
          </cell>
          <cell r="D12094" t="str">
            <v>Tables</v>
          </cell>
          <cell r="E12094">
            <v>301159.65600000002</v>
          </cell>
          <cell r="F12094">
            <v>11</v>
          </cell>
        </row>
        <row r="12095">
          <cell r="A12095">
            <v>2019</v>
          </cell>
          <cell r="B12095" t="str">
            <v>Budget</v>
          </cell>
          <cell r="C12095" t="str">
            <v>Nov</v>
          </cell>
          <cell r="D12095" t="str">
            <v>Kitchen</v>
          </cell>
          <cell r="E12095">
            <v>292049.59700000001</v>
          </cell>
          <cell r="F12095">
            <v>11</v>
          </cell>
        </row>
        <row r="12096">
          <cell r="A12096">
            <v>2019</v>
          </cell>
          <cell r="B12096" t="str">
            <v>Actual</v>
          </cell>
          <cell r="C12096" t="str">
            <v>Nov</v>
          </cell>
          <cell r="D12096" t="str">
            <v>Accessories</v>
          </cell>
          <cell r="E12096">
            <v>3208441.3689999999</v>
          </cell>
          <cell r="F12096">
            <v>11</v>
          </cell>
        </row>
        <row r="12097">
          <cell r="A12097">
            <v>2019</v>
          </cell>
          <cell r="B12097" t="str">
            <v>Budget</v>
          </cell>
          <cell r="C12097" t="str">
            <v>Nov</v>
          </cell>
          <cell r="D12097" t="str">
            <v>Chairs</v>
          </cell>
          <cell r="E12097">
            <v>641597.83099999989</v>
          </cell>
          <cell r="F12097">
            <v>11</v>
          </cell>
        </row>
        <row r="12098">
          <cell r="A12098">
            <v>2018</v>
          </cell>
          <cell r="B12098" t="str">
            <v>Actual</v>
          </cell>
          <cell r="C12098" t="str">
            <v>Nov</v>
          </cell>
          <cell r="D12098" t="str">
            <v>Chairs</v>
          </cell>
          <cell r="E12098">
            <v>263033.25299999997</v>
          </cell>
          <cell r="F12098">
            <v>11</v>
          </cell>
        </row>
        <row r="12099">
          <cell r="A12099">
            <v>2018</v>
          </cell>
          <cell r="B12099" t="str">
            <v>Budget</v>
          </cell>
          <cell r="C12099" t="str">
            <v>Nov</v>
          </cell>
          <cell r="D12099" t="str">
            <v>Tables</v>
          </cell>
          <cell r="E12099">
            <v>66316.922000000006</v>
          </cell>
          <cell r="F12099">
            <v>11</v>
          </cell>
        </row>
        <row r="12100">
          <cell r="A12100">
            <v>2019</v>
          </cell>
          <cell r="B12100" t="str">
            <v>Actual</v>
          </cell>
          <cell r="C12100" t="str">
            <v>Nov</v>
          </cell>
          <cell r="D12100" t="str">
            <v>Kitchen</v>
          </cell>
          <cell r="E12100">
            <v>858155.62</v>
          </cell>
          <cell r="F12100">
            <v>11</v>
          </cell>
        </row>
        <row r="12101">
          <cell r="A12101">
            <v>2018</v>
          </cell>
          <cell r="B12101" t="str">
            <v>Budget</v>
          </cell>
          <cell r="C12101" t="str">
            <v>Nov</v>
          </cell>
          <cell r="D12101" t="str">
            <v>Chairs</v>
          </cell>
          <cell r="E12101">
            <v>146510.34299999999</v>
          </cell>
          <cell r="F12101">
            <v>11</v>
          </cell>
        </row>
        <row r="12102">
          <cell r="A12102">
            <v>2019</v>
          </cell>
          <cell r="B12102" t="str">
            <v>Actual</v>
          </cell>
          <cell r="C12102" t="str">
            <v>Nov</v>
          </cell>
          <cell r="D12102" t="str">
            <v>Tables</v>
          </cell>
          <cell r="E12102">
            <v>241609.40299999996</v>
          </cell>
          <cell r="F12102">
            <v>11</v>
          </cell>
        </row>
        <row r="12103">
          <cell r="A12103">
            <v>2019</v>
          </cell>
          <cell r="B12103" t="str">
            <v>Budget</v>
          </cell>
          <cell r="C12103" t="str">
            <v>Nov</v>
          </cell>
          <cell r="D12103" t="str">
            <v>Kitchen</v>
          </cell>
          <cell r="E12103">
            <v>328458.66199999995</v>
          </cell>
          <cell r="F12103">
            <v>11</v>
          </cell>
        </row>
        <row r="12104">
          <cell r="A12104">
            <v>2018</v>
          </cell>
          <cell r="B12104" t="str">
            <v>Actual</v>
          </cell>
          <cell r="C12104" t="str">
            <v>Nov</v>
          </cell>
          <cell r="D12104" t="str">
            <v>Chairs</v>
          </cell>
          <cell r="E12104">
            <v>207507.74799999999</v>
          </cell>
          <cell r="F12104">
            <v>11</v>
          </cell>
        </row>
        <row r="12105">
          <cell r="A12105">
            <v>2019</v>
          </cell>
          <cell r="B12105" t="str">
            <v>Budget</v>
          </cell>
          <cell r="C12105" t="str">
            <v>Nov</v>
          </cell>
          <cell r="D12105" t="str">
            <v>Tables</v>
          </cell>
          <cell r="E12105">
            <v>180417.13199999998</v>
          </cell>
          <cell r="F12105">
            <v>11</v>
          </cell>
        </row>
        <row r="12106">
          <cell r="A12106">
            <v>2019</v>
          </cell>
          <cell r="B12106" t="str">
            <v>Actual</v>
          </cell>
          <cell r="C12106" t="str">
            <v>Nov</v>
          </cell>
          <cell r="D12106" t="str">
            <v>Kitchen</v>
          </cell>
          <cell r="E12106">
            <v>229988.49999999997</v>
          </cell>
          <cell r="F12106">
            <v>11</v>
          </cell>
        </row>
        <row r="12107">
          <cell r="A12107">
            <v>2019</v>
          </cell>
          <cell r="B12107" t="str">
            <v>Budget</v>
          </cell>
          <cell r="C12107" t="str">
            <v>Nov</v>
          </cell>
          <cell r="D12107" t="str">
            <v>Chairs</v>
          </cell>
          <cell r="E12107">
            <v>35526.981</v>
          </cell>
          <cell r="F12107">
            <v>11</v>
          </cell>
        </row>
        <row r="12108">
          <cell r="A12108">
            <v>2018</v>
          </cell>
          <cell r="B12108" t="str">
            <v>Actual</v>
          </cell>
          <cell r="C12108" t="str">
            <v>Nov</v>
          </cell>
          <cell r="D12108" t="str">
            <v>Chairs</v>
          </cell>
          <cell r="E12108">
            <v>774824.652</v>
          </cell>
          <cell r="F12108">
            <v>11</v>
          </cell>
        </row>
        <row r="12109">
          <cell r="A12109">
            <v>2019</v>
          </cell>
          <cell r="B12109" t="str">
            <v>Budget</v>
          </cell>
          <cell r="C12109" t="str">
            <v>Nov</v>
          </cell>
          <cell r="D12109" t="str">
            <v>Chairs</v>
          </cell>
          <cell r="E12109">
            <v>6874912.7999999998</v>
          </cell>
          <cell r="F12109">
            <v>11</v>
          </cell>
        </row>
        <row r="12110">
          <cell r="A12110">
            <v>2018</v>
          </cell>
          <cell r="B12110" t="str">
            <v>Actual</v>
          </cell>
          <cell r="C12110" t="str">
            <v>Nov</v>
          </cell>
          <cell r="D12110" t="str">
            <v>Chairs</v>
          </cell>
          <cell r="E12110">
            <v>220627.09199999998</v>
          </cell>
          <cell r="F12110">
            <v>11</v>
          </cell>
        </row>
        <row r="12111">
          <cell r="A12111">
            <v>2019</v>
          </cell>
          <cell r="B12111" t="str">
            <v>Budget</v>
          </cell>
          <cell r="C12111" t="str">
            <v>Nov</v>
          </cell>
          <cell r="D12111" t="str">
            <v>Chairs</v>
          </cell>
          <cell r="E12111">
            <v>114264.24800000001</v>
          </cell>
          <cell r="F12111">
            <v>11</v>
          </cell>
        </row>
        <row r="12112">
          <cell r="A12112">
            <v>2019</v>
          </cell>
          <cell r="B12112" t="str">
            <v>Actual</v>
          </cell>
          <cell r="C12112" t="str">
            <v>Nov</v>
          </cell>
          <cell r="D12112" t="str">
            <v>Chairs</v>
          </cell>
          <cell r="E12112">
            <v>61749.799999999996</v>
          </cell>
          <cell r="F12112">
            <v>11</v>
          </cell>
        </row>
        <row r="12113">
          <cell r="A12113">
            <v>2019</v>
          </cell>
          <cell r="B12113" t="str">
            <v>Budget</v>
          </cell>
          <cell r="C12113" t="str">
            <v>Nov</v>
          </cell>
          <cell r="D12113" t="str">
            <v>Chairs</v>
          </cell>
          <cell r="E12113">
            <v>370793.65399999998</v>
          </cell>
          <cell r="F12113">
            <v>11</v>
          </cell>
        </row>
        <row r="12114">
          <cell r="A12114">
            <v>2019</v>
          </cell>
          <cell r="B12114" t="str">
            <v>Actual</v>
          </cell>
          <cell r="C12114" t="str">
            <v>Nov</v>
          </cell>
          <cell r="D12114" t="str">
            <v>Chairs</v>
          </cell>
          <cell r="E12114">
            <v>280216.60800000001</v>
          </cell>
          <cell r="F12114">
            <v>11</v>
          </cell>
        </row>
        <row r="12115">
          <cell r="A12115">
            <v>2018</v>
          </cell>
          <cell r="B12115" t="str">
            <v>Budget</v>
          </cell>
          <cell r="C12115" t="str">
            <v>Nov</v>
          </cell>
          <cell r="D12115" t="str">
            <v>Chairs</v>
          </cell>
          <cell r="E12115">
            <v>491147.59399999998</v>
          </cell>
          <cell r="F12115">
            <v>11</v>
          </cell>
        </row>
        <row r="12116">
          <cell r="A12116">
            <v>2018</v>
          </cell>
          <cell r="B12116" t="str">
            <v>Actual</v>
          </cell>
          <cell r="C12116" t="str">
            <v>Nov</v>
          </cell>
          <cell r="D12116" t="str">
            <v>Chairs</v>
          </cell>
          <cell r="E12116">
            <v>284474.20399999997</v>
          </cell>
          <cell r="F12116">
            <v>11</v>
          </cell>
        </row>
        <row r="12117">
          <cell r="A12117">
            <v>2018</v>
          </cell>
          <cell r="B12117" t="str">
            <v>Budget</v>
          </cell>
          <cell r="C12117" t="str">
            <v>Nov</v>
          </cell>
          <cell r="D12117" t="str">
            <v>Chairs</v>
          </cell>
          <cell r="E12117">
            <v>6754191.6329999994</v>
          </cell>
          <cell r="F12117">
            <v>11</v>
          </cell>
        </row>
        <row r="12118">
          <cell r="A12118">
            <v>2018</v>
          </cell>
          <cell r="B12118" t="str">
            <v>Actual</v>
          </cell>
          <cell r="C12118" t="str">
            <v>Nov</v>
          </cell>
          <cell r="D12118" t="str">
            <v>Chairs</v>
          </cell>
          <cell r="E12118">
            <v>878849.84600000002</v>
          </cell>
          <cell r="F12118">
            <v>11</v>
          </cell>
        </row>
        <row r="12119">
          <cell r="A12119">
            <v>2019</v>
          </cell>
          <cell r="B12119" t="str">
            <v>Budget</v>
          </cell>
          <cell r="C12119" t="str">
            <v>Nov</v>
          </cell>
          <cell r="D12119" t="str">
            <v>Chairs</v>
          </cell>
          <cell r="E12119">
            <v>937556.20699999994</v>
          </cell>
          <cell r="F12119">
            <v>11</v>
          </cell>
        </row>
        <row r="12120">
          <cell r="A12120">
            <v>2019</v>
          </cell>
          <cell r="B12120" t="str">
            <v>Actual</v>
          </cell>
          <cell r="C12120" t="str">
            <v>Nov</v>
          </cell>
          <cell r="D12120" t="str">
            <v>Chairs</v>
          </cell>
          <cell r="E12120">
            <v>613251.63899999997</v>
          </cell>
          <cell r="F12120">
            <v>11</v>
          </cell>
        </row>
        <row r="12121">
          <cell r="A12121">
            <v>2019</v>
          </cell>
          <cell r="B12121" t="str">
            <v>Budget</v>
          </cell>
          <cell r="C12121" t="str">
            <v>Nov</v>
          </cell>
          <cell r="D12121" t="str">
            <v>Chairs</v>
          </cell>
          <cell r="E12121">
            <v>4386165.6229999997</v>
          </cell>
          <cell r="F12121">
            <v>11</v>
          </cell>
        </row>
        <row r="12122">
          <cell r="A12122">
            <v>2019</v>
          </cell>
          <cell r="B12122" t="str">
            <v>Actual</v>
          </cell>
          <cell r="C12122" t="str">
            <v>Nov</v>
          </cell>
          <cell r="D12122" t="str">
            <v>Chairs</v>
          </cell>
          <cell r="E12122">
            <v>296306.038</v>
          </cell>
          <cell r="F12122">
            <v>11</v>
          </cell>
        </row>
        <row r="12123">
          <cell r="A12123">
            <v>2019</v>
          </cell>
          <cell r="B12123" t="str">
            <v>Budget</v>
          </cell>
          <cell r="C12123" t="str">
            <v>Nov</v>
          </cell>
          <cell r="D12123" t="str">
            <v>Chairs</v>
          </cell>
          <cell r="E12123">
            <v>1667296.9319999998</v>
          </cell>
          <cell r="F12123">
            <v>11</v>
          </cell>
        </row>
        <row r="12124">
          <cell r="A12124">
            <v>2018</v>
          </cell>
          <cell r="B12124" t="str">
            <v>Actual</v>
          </cell>
          <cell r="C12124" t="str">
            <v>Nov</v>
          </cell>
          <cell r="D12124" t="str">
            <v>Chairs</v>
          </cell>
          <cell r="E12124">
            <v>466563.76199999999</v>
          </cell>
          <cell r="F12124">
            <v>11</v>
          </cell>
        </row>
        <row r="12125">
          <cell r="A12125">
            <v>2019</v>
          </cell>
          <cell r="B12125" t="str">
            <v>Budget</v>
          </cell>
          <cell r="C12125" t="str">
            <v>Nov</v>
          </cell>
          <cell r="D12125" t="str">
            <v>Chairs</v>
          </cell>
          <cell r="E12125">
            <v>4654368.159</v>
          </cell>
          <cell r="F12125">
            <v>11</v>
          </cell>
        </row>
        <row r="12126">
          <cell r="A12126">
            <v>2018</v>
          </cell>
          <cell r="B12126" t="str">
            <v>Actual</v>
          </cell>
          <cell r="C12126" t="str">
            <v>Nov</v>
          </cell>
          <cell r="D12126" t="str">
            <v>Chairs</v>
          </cell>
          <cell r="E12126">
            <v>330001.78399999999</v>
          </cell>
          <cell r="F12126">
            <v>11</v>
          </cell>
        </row>
        <row r="12127">
          <cell r="A12127">
            <v>2019</v>
          </cell>
          <cell r="B12127" t="str">
            <v>Budget</v>
          </cell>
          <cell r="C12127" t="str">
            <v>Nov</v>
          </cell>
          <cell r="D12127" t="str">
            <v>Chairs</v>
          </cell>
          <cell r="E12127">
            <v>111162.849</v>
          </cell>
          <cell r="F12127">
            <v>11</v>
          </cell>
        </row>
        <row r="12128">
          <cell r="A12128">
            <v>2018</v>
          </cell>
          <cell r="B12128" t="str">
            <v>Actual</v>
          </cell>
          <cell r="C12128" t="str">
            <v>Nov</v>
          </cell>
          <cell r="D12128" t="str">
            <v>Chairs</v>
          </cell>
          <cell r="E12128">
            <v>14393017.870000001</v>
          </cell>
          <cell r="F12128">
            <v>11</v>
          </cell>
        </row>
        <row r="12129">
          <cell r="A12129">
            <v>2019</v>
          </cell>
          <cell r="B12129" t="str">
            <v>Budget</v>
          </cell>
          <cell r="C12129" t="str">
            <v>Nov</v>
          </cell>
          <cell r="D12129" t="str">
            <v>Chairs</v>
          </cell>
          <cell r="E12129">
            <v>1837713.3599999996</v>
          </cell>
          <cell r="F12129">
            <v>11</v>
          </cell>
        </row>
        <row r="12130">
          <cell r="A12130">
            <v>2019</v>
          </cell>
          <cell r="B12130" t="str">
            <v>Actual</v>
          </cell>
          <cell r="C12130" t="str">
            <v>Nov</v>
          </cell>
          <cell r="D12130" t="str">
            <v>Chairs</v>
          </cell>
          <cell r="E12130">
            <v>884230.28399999999</v>
          </cell>
          <cell r="F12130">
            <v>11</v>
          </cell>
        </row>
        <row r="12131">
          <cell r="A12131">
            <v>2018</v>
          </cell>
          <cell r="B12131" t="str">
            <v>Budget</v>
          </cell>
          <cell r="C12131" t="str">
            <v>Nov</v>
          </cell>
          <cell r="D12131" t="str">
            <v>Chairs</v>
          </cell>
          <cell r="E12131">
            <v>868832.25799999991</v>
          </cell>
          <cell r="F12131">
            <v>11</v>
          </cell>
        </row>
        <row r="12132">
          <cell r="A12132">
            <v>2019</v>
          </cell>
          <cell r="B12132" t="str">
            <v>Actual</v>
          </cell>
          <cell r="C12132" t="str">
            <v>Nov</v>
          </cell>
          <cell r="D12132" t="str">
            <v>Chairs</v>
          </cell>
          <cell r="E12132">
            <v>831959.23999999987</v>
          </cell>
          <cell r="F12132">
            <v>11</v>
          </cell>
        </row>
        <row r="12133">
          <cell r="A12133">
            <v>2019</v>
          </cell>
          <cell r="B12133" t="str">
            <v>Budget</v>
          </cell>
          <cell r="C12133" t="str">
            <v>Nov</v>
          </cell>
          <cell r="D12133" t="str">
            <v>Tables</v>
          </cell>
          <cell r="E12133">
            <v>2380960.253</v>
          </cell>
          <cell r="F12133">
            <v>11</v>
          </cell>
        </row>
        <row r="12134">
          <cell r="A12134">
            <v>2019</v>
          </cell>
          <cell r="B12134" t="str">
            <v>Actual</v>
          </cell>
          <cell r="C12134" t="str">
            <v>Nov</v>
          </cell>
          <cell r="D12134" t="str">
            <v>Kitchen</v>
          </cell>
          <cell r="E12134">
            <v>323658.84600000002</v>
          </cell>
          <cell r="F12134">
            <v>11</v>
          </cell>
        </row>
        <row r="12135">
          <cell r="A12135">
            <v>2018</v>
          </cell>
          <cell r="B12135" t="str">
            <v>Budget</v>
          </cell>
          <cell r="C12135" t="str">
            <v>Nov</v>
          </cell>
          <cell r="D12135" t="str">
            <v>Chairs</v>
          </cell>
          <cell r="E12135">
            <v>2472355.13</v>
          </cell>
          <cell r="F12135">
            <v>11</v>
          </cell>
        </row>
        <row r="12136">
          <cell r="A12136">
            <v>2018</v>
          </cell>
          <cell r="B12136" t="str">
            <v>Actual</v>
          </cell>
          <cell r="C12136" t="str">
            <v>Nov</v>
          </cell>
          <cell r="D12136" t="str">
            <v>Chairs</v>
          </cell>
          <cell r="E12136">
            <v>1778527.0790000001</v>
          </cell>
          <cell r="F12136">
            <v>11</v>
          </cell>
        </row>
        <row r="12137">
          <cell r="A12137">
            <v>2018</v>
          </cell>
          <cell r="B12137" t="str">
            <v>Budget</v>
          </cell>
          <cell r="C12137" t="str">
            <v>Nov</v>
          </cell>
          <cell r="D12137" t="str">
            <v>Chairs</v>
          </cell>
          <cell r="E12137">
            <v>255884.72699999998</v>
          </cell>
          <cell r="F12137">
            <v>11</v>
          </cell>
        </row>
        <row r="12138">
          <cell r="A12138">
            <v>2018</v>
          </cell>
          <cell r="B12138" t="str">
            <v>Actual</v>
          </cell>
          <cell r="C12138" t="str">
            <v>Nov</v>
          </cell>
          <cell r="D12138" t="str">
            <v>Chairs</v>
          </cell>
          <cell r="E12138">
            <v>383716.984</v>
          </cell>
          <cell r="F12138">
            <v>11</v>
          </cell>
        </row>
        <row r="12139">
          <cell r="A12139">
            <v>2019</v>
          </cell>
          <cell r="B12139" t="str">
            <v>Budget</v>
          </cell>
          <cell r="C12139" t="str">
            <v>Nov</v>
          </cell>
          <cell r="D12139" t="str">
            <v>Chairs</v>
          </cell>
          <cell r="E12139">
            <v>961100.37799999991</v>
          </cell>
          <cell r="F12139">
            <v>11</v>
          </cell>
        </row>
        <row r="12140">
          <cell r="A12140">
            <v>2018</v>
          </cell>
          <cell r="B12140" t="str">
            <v>Actual</v>
          </cell>
          <cell r="C12140" t="str">
            <v>Nov</v>
          </cell>
          <cell r="D12140" t="str">
            <v>Tables</v>
          </cell>
          <cell r="E12140">
            <v>53962.649999999994</v>
          </cell>
          <cell r="F12140">
            <v>11</v>
          </cell>
        </row>
        <row r="12141">
          <cell r="A12141">
            <v>2019</v>
          </cell>
          <cell r="B12141" t="str">
            <v>Budget</v>
          </cell>
          <cell r="C12141" t="str">
            <v>Nov</v>
          </cell>
          <cell r="D12141" t="str">
            <v>Kitchen</v>
          </cell>
          <cell r="E12141">
            <v>271980.625</v>
          </cell>
          <cell r="F12141">
            <v>11</v>
          </cell>
        </row>
        <row r="12142">
          <cell r="A12142">
            <v>2018</v>
          </cell>
          <cell r="B12142" t="str">
            <v>Actual</v>
          </cell>
          <cell r="C12142" t="str">
            <v>Nov</v>
          </cell>
          <cell r="D12142" t="str">
            <v>Chairs</v>
          </cell>
          <cell r="E12142">
            <v>1975586.6549999998</v>
          </cell>
          <cell r="F12142">
            <v>11</v>
          </cell>
        </row>
        <row r="12143">
          <cell r="A12143">
            <v>2018</v>
          </cell>
          <cell r="B12143" t="str">
            <v>Budget</v>
          </cell>
          <cell r="C12143" t="str">
            <v>Nov</v>
          </cell>
          <cell r="D12143" t="str">
            <v>Chairs</v>
          </cell>
          <cell r="E12143">
            <v>235357.00299999997</v>
          </cell>
          <cell r="F12143">
            <v>11</v>
          </cell>
        </row>
        <row r="12144">
          <cell r="A12144">
            <v>2019</v>
          </cell>
          <cell r="B12144" t="str">
            <v>Actual</v>
          </cell>
          <cell r="C12144" t="str">
            <v>Nov</v>
          </cell>
          <cell r="D12144" t="str">
            <v>Chairs</v>
          </cell>
          <cell r="E12144">
            <v>1006515.44</v>
          </cell>
          <cell r="F12144">
            <v>11</v>
          </cell>
        </row>
        <row r="12145">
          <cell r="A12145">
            <v>2019</v>
          </cell>
          <cell r="B12145" t="str">
            <v>Budget</v>
          </cell>
          <cell r="C12145" t="str">
            <v>Nov</v>
          </cell>
          <cell r="D12145" t="str">
            <v>Tables</v>
          </cell>
          <cell r="E12145">
            <v>4455.8779999999997</v>
          </cell>
          <cell r="F12145">
            <v>11</v>
          </cell>
        </row>
        <row r="12146">
          <cell r="A12146">
            <v>2018</v>
          </cell>
          <cell r="B12146" t="str">
            <v>Actual</v>
          </cell>
          <cell r="C12146" t="str">
            <v>Nov</v>
          </cell>
          <cell r="D12146" t="str">
            <v>Kitchen</v>
          </cell>
          <cell r="E12146">
            <v>13783392.294</v>
          </cell>
          <cell r="F12146">
            <v>11</v>
          </cell>
        </row>
        <row r="12147">
          <cell r="A12147">
            <v>2019</v>
          </cell>
          <cell r="B12147" t="str">
            <v>Budget</v>
          </cell>
          <cell r="C12147" t="str">
            <v>Nov</v>
          </cell>
          <cell r="D12147" t="str">
            <v>Chairs</v>
          </cell>
          <cell r="E12147">
            <v>2915761.3589999997</v>
          </cell>
          <cell r="F12147">
            <v>11</v>
          </cell>
        </row>
        <row r="12148">
          <cell r="A12148">
            <v>2018</v>
          </cell>
          <cell r="B12148" t="str">
            <v>Actual</v>
          </cell>
          <cell r="C12148" t="str">
            <v>Nov</v>
          </cell>
          <cell r="D12148" t="str">
            <v>Chairs</v>
          </cell>
          <cell r="E12148">
            <v>4829237.1259999992</v>
          </cell>
          <cell r="F12148">
            <v>11</v>
          </cell>
        </row>
        <row r="12149">
          <cell r="A12149">
            <v>2019</v>
          </cell>
          <cell r="B12149" t="str">
            <v>Budget</v>
          </cell>
          <cell r="C12149" t="str">
            <v>Nov</v>
          </cell>
          <cell r="D12149" t="str">
            <v>Tables</v>
          </cell>
          <cell r="E12149">
            <v>298904.18599999999</v>
          </cell>
          <cell r="F12149">
            <v>11</v>
          </cell>
        </row>
        <row r="12150">
          <cell r="A12150">
            <v>2018</v>
          </cell>
          <cell r="B12150" t="str">
            <v>Actual</v>
          </cell>
          <cell r="C12150" t="str">
            <v>Nov</v>
          </cell>
          <cell r="D12150" t="str">
            <v>Kitchen</v>
          </cell>
          <cell r="E12150">
            <v>1446967.9069999999</v>
          </cell>
          <cell r="F12150">
            <v>11</v>
          </cell>
        </row>
        <row r="12151">
          <cell r="A12151">
            <v>2019</v>
          </cell>
          <cell r="B12151" t="str">
            <v>Budget</v>
          </cell>
          <cell r="C12151" t="str">
            <v>Nov</v>
          </cell>
          <cell r="D12151" t="str">
            <v>Chairs</v>
          </cell>
          <cell r="E12151">
            <v>2639886.1089999997</v>
          </cell>
          <cell r="F12151">
            <v>11</v>
          </cell>
        </row>
        <row r="12152">
          <cell r="A12152">
            <v>2019</v>
          </cell>
          <cell r="B12152" t="str">
            <v>Actual</v>
          </cell>
          <cell r="C12152" t="str">
            <v>Nov</v>
          </cell>
          <cell r="D12152" t="str">
            <v>Chairs</v>
          </cell>
          <cell r="E12152">
            <v>109383.58199999999</v>
          </cell>
          <cell r="F12152">
            <v>11</v>
          </cell>
        </row>
        <row r="12153">
          <cell r="A12153">
            <v>2019</v>
          </cell>
          <cell r="B12153" t="str">
            <v>Budget</v>
          </cell>
          <cell r="C12153" t="str">
            <v>Nov</v>
          </cell>
          <cell r="D12153" t="str">
            <v>Chairs</v>
          </cell>
          <cell r="E12153">
            <v>9528274.629999999</v>
          </cell>
          <cell r="F12153">
            <v>11</v>
          </cell>
        </row>
        <row r="12154">
          <cell r="A12154">
            <v>2019</v>
          </cell>
          <cell r="B12154" t="str">
            <v>Actual</v>
          </cell>
          <cell r="C12154" t="str">
            <v>Nov</v>
          </cell>
          <cell r="D12154" t="str">
            <v>Tables</v>
          </cell>
          <cell r="E12154">
            <v>292470.39499999996</v>
          </cell>
          <cell r="F12154">
            <v>11</v>
          </cell>
        </row>
        <row r="12155">
          <cell r="A12155">
            <v>2018</v>
          </cell>
          <cell r="B12155" t="str">
            <v>Budget</v>
          </cell>
          <cell r="C12155" t="str">
            <v>Nov</v>
          </cell>
          <cell r="D12155" t="str">
            <v>Kitchen</v>
          </cell>
          <cell r="E12155">
            <v>4274077.43</v>
          </cell>
          <cell r="F12155">
            <v>11</v>
          </cell>
        </row>
        <row r="12156">
          <cell r="A12156">
            <v>2019</v>
          </cell>
          <cell r="B12156" t="str">
            <v>Actual</v>
          </cell>
          <cell r="C12156" t="str">
            <v>Nov</v>
          </cell>
          <cell r="D12156" t="str">
            <v>Accessories</v>
          </cell>
          <cell r="E12156">
            <v>1069222.7069999999</v>
          </cell>
          <cell r="F12156">
            <v>11</v>
          </cell>
        </row>
        <row r="12157">
          <cell r="A12157">
            <v>2019</v>
          </cell>
          <cell r="B12157" t="str">
            <v>Budget</v>
          </cell>
          <cell r="C12157" t="str">
            <v>Nov</v>
          </cell>
          <cell r="D12157" t="str">
            <v>Chairs</v>
          </cell>
          <cell r="E12157">
            <v>2204601.0489999996</v>
          </cell>
          <cell r="F12157">
            <v>11</v>
          </cell>
        </row>
        <row r="12158">
          <cell r="A12158">
            <v>2018</v>
          </cell>
          <cell r="B12158" t="str">
            <v>Actual</v>
          </cell>
          <cell r="C12158" t="str">
            <v>Nov</v>
          </cell>
          <cell r="D12158" t="str">
            <v>Tables</v>
          </cell>
          <cell r="E12158">
            <v>161607.18</v>
          </cell>
          <cell r="F12158">
            <v>11</v>
          </cell>
        </row>
        <row r="12159">
          <cell r="A12159">
            <v>2018</v>
          </cell>
          <cell r="B12159" t="str">
            <v>Budget</v>
          </cell>
          <cell r="C12159" t="str">
            <v>Nov</v>
          </cell>
          <cell r="D12159" t="str">
            <v>Kitchen</v>
          </cell>
          <cell r="E12159">
            <v>979418.62199999986</v>
          </cell>
          <cell r="F12159">
            <v>11</v>
          </cell>
        </row>
        <row r="12160">
          <cell r="A12160">
            <v>2018</v>
          </cell>
          <cell r="B12160" t="str">
            <v>Actual</v>
          </cell>
          <cell r="C12160" t="str">
            <v>Nov</v>
          </cell>
          <cell r="D12160" t="str">
            <v>Accessories</v>
          </cell>
          <cell r="E12160">
            <v>79268.133000000002</v>
          </cell>
          <cell r="F12160">
            <v>11</v>
          </cell>
        </row>
        <row r="12161">
          <cell r="A12161">
            <v>2019</v>
          </cell>
          <cell r="B12161" t="str">
            <v>Budget</v>
          </cell>
          <cell r="C12161" t="str">
            <v>Nov</v>
          </cell>
          <cell r="D12161" t="str">
            <v>Chairs</v>
          </cell>
          <cell r="E12161">
            <v>222533.12899999996</v>
          </cell>
          <cell r="F12161">
            <v>11</v>
          </cell>
        </row>
        <row r="12162">
          <cell r="A12162">
            <v>2018</v>
          </cell>
          <cell r="B12162" t="str">
            <v>Actual</v>
          </cell>
          <cell r="C12162" t="str">
            <v>Nov</v>
          </cell>
          <cell r="D12162" t="str">
            <v>Tables</v>
          </cell>
          <cell r="E12162">
            <v>522231.94799999997</v>
          </cell>
          <cell r="F12162">
            <v>11</v>
          </cell>
        </row>
        <row r="12163">
          <cell r="A12163">
            <v>2019</v>
          </cell>
          <cell r="B12163" t="str">
            <v>Budget</v>
          </cell>
          <cell r="C12163" t="str">
            <v>Nov</v>
          </cell>
          <cell r="D12163" t="str">
            <v>Kitchen</v>
          </cell>
          <cell r="E12163">
            <v>697387.15899999999</v>
          </cell>
          <cell r="F12163">
            <v>11</v>
          </cell>
        </row>
        <row r="12164">
          <cell r="A12164">
            <v>2018</v>
          </cell>
          <cell r="B12164" t="str">
            <v>Actual</v>
          </cell>
          <cell r="C12164" t="str">
            <v>Nov</v>
          </cell>
          <cell r="D12164" t="str">
            <v>Accessories</v>
          </cell>
          <cell r="E12164">
            <v>157579.86299999998</v>
          </cell>
          <cell r="F12164">
            <v>11</v>
          </cell>
        </row>
        <row r="12165">
          <cell r="A12165">
            <v>2019</v>
          </cell>
          <cell r="B12165" t="str">
            <v>Budget</v>
          </cell>
          <cell r="C12165" t="str">
            <v>Nov</v>
          </cell>
          <cell r="D12165" t="str">
            <v>Chairs</v>
          </cell>
          <cell r="E12165">
            <v>61999.517999999996</v>
          </cell>
          <cell r="F12165">
            <v>11</v>
          </cell>
        </row>
        <row r="12166">
          <cell r="A12166">
            <v>2018</v>
          </cell>
          <cell r="B12166" t="str">
            <v>Actual</v>
          </cell>
          <cell r="C12166" t="str">
            <v>Nov</v>
          </cell>
          <cell r="D12166" t="str">
            <v>Tables</v>
          </cell>
          <cell r="E12166">
            <v>319357.43</v>
          </cell>
          <cell r="F12166">
            <v>11</v>
          </cell>
        </row>
        <row r="12167">
          <cell r="A12167">
            <v>2019</v>
          </cell>
          <cell r="B12167" t="str">
            <v>Budget</v>
          </cell>
          <cell r="C12167" t="str">
            <v>Nov</v>
          </cell>
          <cell r="D12167" t="str">
            <v>Kitchen</v>
          </cell>
          <cell r="E12167">
            <v>311644.48699999996</v>
          </cell>
          <cell r="F12167">
            <v>11</v>
          </cell>
        </row>
        <row r="12168">
          <cell r="A12168">
            <v>2018</v>
          </cell>
          <cell r="B12168" t="str">
            <v>Actual</v>
          </cell>
          <cell r="C12168" t="str">
            <v>Nov</v>
          </cell>
          <cell r="D12168" t="str">
            <v>Accessories</v>
          </cell>
          <cell r="E12168">
            <v>287728.42699999997</v>
          </cell>
          <cell r="F12168">
            <v>11</v>
          </cell>
        </row>
        <row r="12169">
          <cell r="A12169">
            <v>2019</v>
          </cell>
          <cell r="B12169" t="str">
            <v>Budget</v>
          </cell>
          <cell r="C12169" t="str">
            <v>Nov</v>
          </cell>
          <cell r="D12169" t="str">
            <v>Chairs</v>
          </cell>
          <cell r="E12169">
            <v>240685.18599999996</v>
          </cell>
          <cell r="F12169">
            <v>11</v>
          </cell>
        </row>
        <row r="12170">
          <cell r="A12170">
            <v>2019</v>
          </cell>
          <cell r="B12170" t="str">
            <v>Actual</v>
          </cell>
          <cell r="C12170" t="str">
            <v>Nov</v>
          </cell>
          <cell r="D12170" t="str">
            <v>Chairs</v>
          </cell>
          <cell r="E12170">
            <v>64090.747000000003</v>
          </cell>
          <cell r="F12170">
            <v>11</v>
          </cell>
        </row>
        <row r="12171">
          <cell r="A12171">
            <v>2018</v>
          </cell>
          <cell r="B12171" t="str">
            <v>Budget</v>
          </cell>
          <cell r="C12171" t="str">
            <v>Nov</v>
          </cell>
          <cell r="D12171" t="str">
            <v>Tables</v>
          </cell>
          <cell r="E12171">
            <v>279307.58799999999</v>
          </cell>
          <cell r="F12171">
            <v>11</v>
          </cell>
        </row>
        <row r="12172">
          <cell r="A12172">
            <v>2018</v>
          </cell>
          <cell r="B12172" t="str">
            <v>Actual</v>
          </cell>
          <cell r="C12172" t="str">
            <v>Nov</v>
          </cell>
          <cell r="D12172" t="str">
            <v>Kitchen</v>
          </cell>
          <cell r="E12172">
            <v>44692.822999999997</v>
          </cell>
          <cell r="F12172">
            <v>11</v>
          </cell>
        </row>
        <row r="12173">
          <cell r="A12173">
            <v>2018</v>
          </cell>
          <cell r="B12173" t="str">
            <v>Budget</v>
          </cell>
          <cell r="C12173" t="str">
            <v>Nov</v>
          </cell>
          <cell r="D12173" t="str">
            <v>Chairs</v>
          </cell>
          <cell r="E12173">
            <v>68168.232999999993</v>
          </cell>
          <cell r="F12173">
            <v>11</v>
          </cell>
        </row>
        <row r="12174">
          <cell r="A12174">
            <v>2018</v>
          </cell>
          <cell r="B12174" t="str">
            <v>Actual</v>
          </cell>
          <cell r="C12174" t="str">
            <v>Nov</v>
          </cell>
          <cell r="D12174" t="str">
            <v>Tables</v>
          </cell>
          <cell r="E12174">
            <v>150700.71100000001</v>
          </cell>
          <cell r="F12174">
            <v>11</v>
          </cell>
        </row>
        <row r="12175">
          <cell r="A12175">
            <v>2019</v>
          </cell>
          <cell r="B12175" t="str">
            <v>Budget</v>
          </cell>
          <cell r="C12175" t="str">
            <v>Nov</v>
          </cell>
          <cell r="D12175" t="str">
            <v>Kitchen</v>
          </cell>
          <cell r="E12175">
            <v>1067205.7899999998</v>
          </cell>
          <cell r="F12175">
            <v>11</v>
          </cell>
        </row>
        <row r="12176">
          <cell r="A12176">
            <v>2018</v>
          </cell>
          <cell r="B12176" t="str">
            <v>Actual</v>
          </cell>
          <cell r="C12176" t="str">
            <v>Nov</v>
          </cell>
          <cell r="D12176" t="str">
            <v>Chairs</v>
          </cell>
          <cell r="E12176">
            <v>556857.64399999997</v>
          </cell>
          <cell r="F12176">
            <v>11</v>
          </cell>
        </row>
        <row r="12177">
          <cell r="A12177">
            <v>2018</v>
          </cell>
          <cell r="B12177" t="str">
            <v>Budget</v>
          </cell>
          <cell r="C12177" t="str">
            <v>Nov</v>
          </cell>
          <cell r="D12177" t="str">
            <v>Tables</v>
          </cell>
          <cell r="E12177">
            <v>1282545.1939999999</v>
          </cell>
          <cell r="F12177">
            <v>11</v>
          </cell>
        </row>
        <row r="12178">
          <cell r="A12178">
            <v>2018</v>
          </cell>
          <cell r="B12178" t="str">
            <v>Actual</v>
          </cell>
          <cell r="C12178" t="str">
            <v>Nov</v>
          </cell>
          <cell r="D12178" t="str">
            <v>Kitchen</v>
          </cell>
          <cell r="E12178">
            <v>400037.96</v>
          </cell>
          <cell r="F12178">
            <v>11</v>
          </cell>
        </row>
        <row r="12179">
          <cell r="A12179">
            <v>2019</v>
          </cell>
          <cell r="B12179" t="str">
            <v>Budget</v>
          </cell>
          <cell r="C12179" t="str">
            <v>Nov</v>
          </cell>
          <cell r="D12179" t="str">
            <v>Chairs</v>
          </cell>
          <cell r="E12179">
            <v>61203.008999999991</v>
          </cell>
          <cell r="F12179">
            <v>11</v>
          </cell>
        </row>
        <row r="12180">
          <cell r="A12180">
            <v>2018</v>
          </cell>
          <cell r="B12180" t="str">
            <v>Actual</v>
          </cell>
          <cell r="C12180" t="str">
            <v>Nov</v>
          </cell>
          <cell r="D12180" t="str">
            <v>Chairs</v>
          </cell>
          <cell r="E12180">
            <v>97118.034999999989</v>
          </cell>
          <cell r="F12180">
            <v>11</v>
          </cell>
        </row>
        <row r="12181">
          <cell r="A12181">
            <v>2019</v>
          </cell>
          <cell r="B12181" t="str">
            <v>Budget</v>
          </cell>
          <cell r="C12181" t="str">
            <v>Nov</v>
          </cell>
          <cell r="D12181" t="str">
            <v>Chairs</v>
          </cell>
          <cell r="E12181">
            <v>168944.916</v>
          </cell>
          <cell r="F12181">
            <v>11</v>
          </cell>
        </row>
        <row r="12182">
          <cell r="A12182">
            <v>2018</v>
          </cell>
          <cell r="B12182" t="str">
            <v>Actual</v>
          </cell>
          <cell r="C12182" t="str">
            <v>Nov</v>
          </cell>
          <cell r="D12182" t="str">
            <v>Chairs</v>
          </cell>
          <cell r="E12182">
            <v>145677.05599999998</v>
          </cell>
          <cell r="F12182">
            <v>11</v>
          </cell>
        </row>
        <row r="12183">
          <cell r="A12183">
            <v>2018</v>
          </cell>
          <cell r="B12183" t="str">
            <v>Budget</v>
          </cell>
          <cell r="C12183" t="str">
            <v>Nov</v>
          </cell>
          <cell r="D12183" t="str">
            <v>Chairs</v>
          </cell>
          <cell r="E12183">
            <v>122409.18899999998</v>
          </cell>
          <cell r="F12183">
            <v>11</v>
          </cell>
        </row>
        <row r="12184">
          <cell r="A12184">
            <v>2019</v>
          </cell>
          <cell r="B12184" t="str">
            <v>Actual</v>
          </cell>
          <cell r="C12184" t="str">
            <v>Nov</v>
          </cell>
          <cell r="D12184" t="str">
            <v>Chairs</v>
          </cell>
          <cell r="E12184">
            <v>91055.614999999991</v>
          </cell>
          <cell r="F12184">
            <v>11</v>
          </cell>
        </row>
        <row r="12185">
          <cell r="A12185">
            <v>2019</v>
          </cell>
          <cell r="B12185" t="str">
            <v>Budget</v>
          </cell>
          <cell r="C12185" t="str">
            <v>Nov</v>
          </cell>
          <cell r="D12185" t="str">
            <v>Chairs</v>
          </cell>
          <cell r="E12185">
            <v>78047.668999999994</v>
          </cell>
          <cell r="F12185">
            <v>11</v>
          </cell>
        </row>
        <row r="12186">
          <cell r="A12186">
            <v>2018</v>
          </cell>
          <cell r="B12186" t="str">
            <v>Actual</v>
          </cell>
          <cell r="C12186" t="str">
            <v>Nov</v>
          </cell>
          <cell r="D12186" t="str">
            <v>Chairs</v>
          </cell>
          <cell r="E12186">
            <v>400807.98099999997</v>
          </cell>
          <cell r="F12186">
            <v>11</v>
          </cell>
        </row>
        <row r="12187">
          <cell r="A12187">
            <v>2018</v>
          </cell>
          <cell r="B12187" t="str">
            <v>Budget</v>
          </cell>
          <cell r="C12187" t="str">
            <v>Nov</v>
          </cell>
          <cell r="D12187" t="str">
            <v>Chairs</v>
          </cell>
          <cell r="E12187">
            <v>792483.74099999992</v>
          </cell>
          <cell r="F12187">
            <v>11</v>
          </cell>
        </row>
        <row r="12188">
          <cell r="A12188">
            <v>2018</v>
          </cell>
          <cell r="B12188" t="str">
            <v>Actual</v>
          </cell>
          <cell r="C12188" t="str">
            <v>Nov</v>
          </cell>
          <cell r="D12188" t="str">
            <v>Chairs</v>
          </cell>
          <cell r="E12188">
            <v>508337.80199999997</v>
          </cell>
          <cell r="F12188">
            <v>11</v>
          </cell>
        </row>
        <row r="12189">
          <cell r="A12189">
            <v>2019</v>
          </cell>
          <cell r="B12189" t="str">
            <v>Budget</v>
          </cell>
          <cell r="C12189" t="str">
            <v>Nov</v>
          </cell>
          <cell r="D12189" t="str">
            <v>Chairs</v>
          </cell>
          <cell r="E12189">
            <v>26801.403999999999</v>
          </cell>
          <cell r="F12189">
            <v>11</v>
          </cell>
        </row>
        <row r="12190">
          <cell r="A12190">
            <v>2019</v>
          </cell>
          <cell r="B12190" t="str">
            <v>Actual</v>
          </cell>
          <cell r="C12190" t="str">
            <v>Nov</v>
          </cell>
          <cell r="D12190" t="str">
            <v>Chairs</v>
          </cell>
          <cell r="E12190">
            <v>562995.14599999995</v>
          </cell>
          <cell r="F12190">
            <v>11</v>
          </cell>
        </row>
        <row r="12191">
          <cell r="A12191">
            <v>2018</v>
          </cell>
          <cell r="B12191" t="str">
            <v>Budget</v>
          </cell>
          <cell r="C12191" t="str">
            <v>Nov</v>
          </cell>
          <cell r="D12191" t="str">
            <v>Chairs</v>
          </cell>
          <cell r="E12191">
            <v>19816.446999999996</v>
          </cell>
          <cell r="F12191">
            <v>11</v>
          </cell>
        </row>
        <row r="12192">
          <cell r="A12192">
            <v>2018</v>
          </cell>
          <cell r="B12192" t="str">
            <v>Actual</v>
          </cell>
          <cell r="C12192" t="str">
            <v>Nov</v>
          </cell>
          <cell r="D12192" t="str">
            <v>Chairs</v>
          </cell>
          <cell r="E12192">
            <v>415893.96099999995</v>
          </cell>
          <cell r="F12192">
            <v>11</v>
          </cell>
        </row>
        <row r="12193">
          <cell r="A12193">
            <v>2018</v>
          </cell>
          <cell r="B12193" t="str">
            <v>Budget</v>
          </cell>
          <cell r="C12193" t="str">
            <v>Nov</v>
          </cell>
          <cell r="D12193" t="str">
            <v>Chairs</v>
          </cell>
          <cell r="E12193">
            <v>96159.994000000006</v>
          </cell>
          <cell r="F12193">
            <v>11</v>
          </cell>
        </row>
        <row r="12194">
          <cell r="A12194">
            <v>2019</v>
          </cell>
          <cell r="B12194" t="str">
            <v>Actual</v>
          </cell>
          <cell r="C12194" t="str">
            <v>Nov</v>
          </cell>
          <cell r="D12194" t="str">
            <v>Chairs</v>
          </cell>
          <cell r="E12194">
            <v>5008.2689999999993</v>
          </cell>
          <cell r="F12194">
            <v>11</v>
          </cell>
        </row>
        <row r="12195">
          <cell r="A12195">
            <v>2019</v>
          </cell>
          <cell r="B12195" t="str">
            <v>Budget</v>
          </cell>
          <cell r="C12195" t="str">
            <v>Nov</v>
          </cell>
          <cell r="D12195" t="str">
            <v>Chairs</v>
          </cell>
          <cell r="E12195">
            <v>33650.014999999999</v>
          </cell>
          <cell r="F12195">
            <v>11</v>
          </cell>
        </row>
        <row r="12196">
          <cell r="A12196">
            <v>2018</v>
          </cell>
          <cell r="B12196" t="str">
            <v>Actual</v>
          </cell>
          <cell r="C12196" t="str">
            <v>Nov</v>
          </cell>
          <cell r="D12196" t="str">
            <v>Chairs</v>
          </cell>
          <cell r="E12196">
            <v>58775.653999999995</v>
          </cell>
          <cell r="F12196">
            <v>11</v>
          </cell>
        </row>
        <row r="12197">
          <cell r="A12197">
            <v>2019</v>
          </cell>
          <cell r="B12197" t="str">
            <v>Budget</v>
          </cell>
          <cell r="C12197" t="str">
            <v>Nov</v>
          </cell>
          <cell r="D12197" t="str">
            <v>Chairs</v>
          </cell>
          <cell r="E12197">
            <v>116219.936</v>
          </cell>
          <cell r="F12197">
            <v>11</v>
          </cell>
        </row>
        <row r="12198">
          <cell r="A12198">
            <v>2018</v>
          </cell>
          <cell r="B12198" t="str">
            <v>Actual</v>
          </cell>
          <cell r="C12198" t="str">
            <v>Nov</v>
          </cell>
          <cell r="D12198" t="str">
            <v>Chairs</v>
          </cell>
          <cell r="E12198">
            <v>255030.48199999999</v>
          </cell>
          <cell r="F12198">
            <v>11</v>
          </cell>
        </row>
        <row r="12199">
          <cell r="A12199">
            <v>2019</v>
          </cell>
          <cell r="B12199" t="str">
            <v>Budget</v>
          </cell>
          <cell r="C12199" t="str">
            <v>Nov</v>
          </cell>
          <cell r="D12199" t="str">
            <v>Chairs</v>
          </cell>
          <cell r="E12199">
            <v>97392.483999999997</v>
          </cell>
          <cell r="F12199">
            <v>11</v>
          </cell>
        </row>
        <row r="12200">
          <cell r="A12200">
            <v>2019</v>
          </cell>
          <cell r="B12200" t="str">
            <v>Actual</v>
          </cell>
          <cell r="C12200" t="str">
            <v>Nov</v>
          </cell>
          <cell r="D12200" t="str">
            <v>Chairs</v>
          </cell>
          <cell r="E12200">
            <v>211498.46199999997</v>
          </cell>
          <cell r="F12200">
            <v>11</v>
          </cell>
        </row>
        <row r="12201">
          <cell r="A12201">
            <v>2019</v>
          </cell>
          <cell r="B12201" t="str">
            <v>Budget</v>
          </cell>
          <cell r="C12201" t="str">
            <v>Nov</v>
          </cell>
          <cell r="D12201" t="str">
            <v>Chairs</v>
          </cell>
          <cell r="E12201">
            <v>101131.09299999999</v>
          </cell>
          <cell r="F12201">
            <v>11</v>
          </cell>
        </row>
        <row r="12202">
          <cell r="A12202">
            <v>2018</v>
          </cell>
          <cell r="B12202" t="str">
            <v>Actual</v>
          </cell>
          <cell r="C12202" t="str">
            <v>Nov</v>
          </cell>
          <cell r="D12202" t="str">
            <v>Chairs</v>
          </cell>
          <cell r="E12202">
            <v>26892.851999999999</v>
          </cell>
          <cell r="F12202">
            <v>11</v>
          </cell>
        </row>
        <row r="12203">
          <cell r="A12203">
            <v>2019</v>
          </cell>
          <cell r="B12203" t="str">
            <v>Budget</v>
          </cell>
          <cell r="C12203" t="str">
            <v>Nov</v>
          </cell>
          <cell r="D12203" t="str">
            <v>Chairs</v>
          </cell>
          <cell r="E12203">
            <v>354568.75999999995</v>
          </cell>
          <cell r="F12203">
            <v>11</v>
          </cell>
        </row>
        <row r="12204">
          <cell r="A12204">
            <v>2018</v>
          </cell>
          <cell r="B12204" t="str">
            <v>Actual</v>
          </cell>
          <cell r="C12204" t="str">
            <v>Nov</v>
          </cell>
          <cell r="D12204" t="str">
            <v>Chairs</v>
          </cell>
          <cell r="E12204">
            <v>-5513.2979999999998</v>
          </cell>
          <cell r="F12204">
            <v>11</v>
          </cell>
        </row>
        <row r="12205">
          <cell r="A12205">
            <v>2018</v>
          </cell>
          <cell r="B12205" t="str">
            <v>Budget</v>
          </cell>
          <cell r="C12205" t="str">
            <v>Nov</v>
          </cell>
          <cell r="D12205" t="str">
            <v>Tables</v>
          </cell>
          <cell r="E12205">
            <v>-7197.7499999999991</v>
          </cell>
          <cell r="F12205">
            <v>11</v>
          </cell>
        </row>
        <row r="12206">
          <cell r="A12206">
            <v>2019</v>
          </cell>
          <cell r="B12206" t="str">
            <v>Actual</v>
          </cell>
          <cell r="C12206" t="str">
            <v>Nov</v>
          </cell>
          <cell r="D12206" t="str">
            <v>Kitchen</v>
          </cell>
          <cell r="E12206">
            <v>44991.904999999999</v>
          </cell>
          <cell r="F12206">
            <v>11</v>
          </cell>
        </row>
        <row r="12207">
          <cell r="A12207">
            <v>2019</v>
          </cell>
          <cell r="B12207" t="str">
            <v>Budget</v>
          </cell>
          <cell r="C12207" t="str">
            <v>Nov</v>
          </cell>
          <cell r="D12207" t="str">
            <v>Chairs</v>
          </cell>
          <cell r="E12207">
            <v>262456.67</v>
          </cell>
          <cell r="F12207">
            <v>11</v>
          </cell>
        </row>
        <row r="12208">
          <cell r="A12208">
            <v>2018</v>
          </cell>
          <cell r="B12208" t="str">
            <v>Actual</v>
          </cell>
          <cell r="C12208" t="str">
            <v>Nov</v>
          </cell>
          <cell r="D12208" t="str">
            <v>Chairs</v>
          </cell>
          <cell r="E12208">
            <v>689819.73899999994</v>
          </cell>
          <cell r="F12208">
            <v>11</v>
          </cell>
        </row>
        <row r="12209">
          <cell r="A12209">
            <v>2018</v>
          </cell>
          <cell r="B12209" t="str">
            <v>Budget</v>
          </cell>
          <cell r="C12209" t="str">
            <v>Nov</v>
          </cell>
          <cell r="D12209" t="str">
            <v>Chairs</v>
          </cell>
          <cell r="E12209">
            <v>26320.916999999998</v>
          </cell>
          <cell r="F12209">
            <v>11</v>
          </cell>
        </row>
        <row r="12210">
          <cell r="A12210">
            <v>2018</v>
          </cell>
          <cell r="B12210" t="str">
            <v>Actual</v>
          </cell>
          <cell r="C12210" t="str">
            <v>Nov</v>
          </cell>
          <cell r="D12210" t="str">
            <v>Chairs</v>
          </cell>
          <cell r="E12210">
            <v>2059065.47</v>
          </cell>
          <cell r="F12210">
            <v>11</v>
          </cell>
        </row>
        <row r="12211">
          <cell r="A12211">
            <v>2019</v>
          </cell>
          <cell r="B12211" t="str">
            <v>Budget</v>
          </cell>
          <cell r="C12211" t="str">
            <v>Nov</v>
          </cell>
          <cell r="D12211" t="str">
            <v>Chairs</v>
          </cell>
          <cell r="E12211">
            <v>1120549.71</v>
          </cell>
          <cell r="F12211">
            <v>11</v>
          </cell>
        </row>
        <row r="12212">
          <cell r="A12212">
            <v>2018</v>
          </cell>
          <cell r="B12212" t="str">
            <v>Actual</v>
          </cell>
          <cell r="C12212" t="str">
            <v>Nov</v>
          </cell>
          <cell r="D12212" t="str">
            <v>Tables</v>
          </cell>
          <cell r="E12212">
            <v>467219.74599999998</v>
          </cell>
          <cell r="F12212">
            <v>11</v>
          </cell>
        </row>
        <row r="12213">
          <cell r="A12213">
            <v>2018</v>
          </cell>
          <cell r="B12213" t="str">
            <v>Budget</v>
          </cell>
          <cell r="C12213" t="str">
            <v>Nov</v>
          </cell>
          <cell r="D12213" t="str">
            <v>Kitchen</v>
          </cell>
          <cell r="E12213">
            <v>86649.653999999995</v>
          </cell>
          <cell r="F12213">
            <v>11</v>
          </cell>
        </row>
        <row r="12214">
          <cell r="A12214">
            <v>2018</v>
          </cell>
          <cell r="B12214" t="str">
            <v>Actual</v>
          </cell>
          <cell r="C12214" t="str">
            <v>Nov</v>
          </cell>
          <cell r="D12214" t="str">
            <v>Chairs</v>
          </cell>
          <cell r="E12214">
            <v>13830.550999999999</v>
          </cell>
          <cell r="F12214">
            <v>11</v>
          </cell>
        </row>
        <row r="12215">
          <cell r="A12215">
            <v>2018</v>
          </cell>
          <cell r="B12215" t="str">
            <v>Budget</v>
          </cell>
          <cell r="C12215" t="str">
            <v>Nov</v>
          </cell>
          <cell r="D12215" t="str">
            <v>Chairs</v>
          </cell>
          <cell r="E12215">
            <v>208947.11599999998</v>
          </cell>
          <cell r="F12215">
            <v>11</v>
          </cell>
        </row>
        <row r="12216">
          <cell r="A12216">
            <v>2018</v>
          </cell>
          <cell r="B12216" t="str">
            <v>Actual</v>
          </cell>
          <cell r="C12216" t="str">
            <v>Nov</v>
          </cell>
          <cell r="D12216" t="str">
            <v>Chairs</v>
          </cell>
          <cell r="E12216">
            <v>291588.04499999998</v>
          </cell>
          <cell r="F12216">
            <v>11</v>
          </cell>
        </row>
        <row r="12217">
          <cell r="A12217">
            <v>2019</v>
          </cell>
          <cell r="B12217" t="str">
            <v>Budget</v>
          </cell>
          <cell r="C12217" t="str">
            <v>Nov</v>
          </cell>
          <cell r="D12217" t="str">
            <v>Tables</v>
          </cell>
          <cell r="E12217">
            <v>51409.777999999991</v>
          </cell>
          <cell r="F12217">
            <v>11</v>
          </cell>
        </row>
        <row r="12218">
          <cell r="A12218">
            <v>2019</v>
          </cell>
          <cell r="B12218" t="str">
            <v>Actual</v>
          </cell>
          <cell r="C12218" t="str">
            <v>Nov</v>
          </cell>
          <cell r="D12218" t="str">
            <v>Kitchen</v>
          </cell>
          <cell r="E12218">
            <v>1158545.6399999999</v>
          </cell>
          <cell r="F12218">
            <v>11</v>
          </cell>
        </row>
        <row r="12219">
          <cell r="A12219">
            <v>2018</v>
          </cell>
          <cell r="B12219" t="str">
            <v>Budget</v>
          </cell>
          <cell r="C12219" t="str">
            <v>Nov</v>
          </cell>
          <cell r="D12219" t="str">
            <v>Chairs</v>
          </cell>
          <cell r="E12219">
            <v>30188.948999999997</v>
          </cell>
          <cell r="F12219">
            <v>11</v>
          </cell>
        </row>
        <row r="12220">
          <cell r="A12220">
            <v>2018</v>
          </cell>
          <cell r="B12220" t="str">
            <v>Actual</v>
          </cell>
          <cell r="C12220" t="str">
            <v>Nov</v>
          </cell>
          <cell r="D12220" t="str">
            <v>Chairs</v>
          </cell>
          <cell r="E12220">
            <v>617562.63799999992</v>
          </cell>
          <cell r="F12220">
            <v>11</v>
          </cell>
        </row>
        <row r="12221">
          <cell r="A12221">
            <v>2018</v>
          </cell>
          <cell r="B12221" t="str">
            <v>Budget</v>
          </cell>
          <cell r="C12221" t="str">
            <v>Nov</v>
          </cell>
          <cell r="D12221" t="str">
            <v>Tables</v>
          </cell>
          <cell r="E12221">
            <v>482380.598</v>
          </cell>
          <cell r="F12221">
            <v>11</v>
          </cell>
        </row>
        <row r="12222">
          <cell r="A12222">
            <v>2019</v>
          </cell>
          <cell r="B12222" t="str">
            <v>Actual</v>
          </cell>
          <cell r="C12222" t="str">
            <v>Nov</v>
          </cell>
          <cell r="D12222" t="str">
            <v>Kitchen</v>
          </cell>
          <cell r="E12222">
            <v>184685.75999999998</v>
          </cell>
          <cell r="F12222">
            <v>11</v>
          </cell>
        </row>
        <row r="12223">
          <cell r="A12223">
            <v>2018</v>
          </cell>
          <cell r="B12223" t="str">
            <v>Budget</v>
          </cell>
          <cell r="C12223" t="str">
            <v>Nov</v>
          </cell>
          <cell r="D12223" t="str">
            <v>Chairs</v>
          </cell>
          <cell r="E12223">
            <v>0</v>
          </cell>
          <cell r="F12223">
            <v>11</v>
          </cell>
        </row>
        <row r="12224">
          <cell r="A12224">
            <v>2018</v>
          </cell>
          <cell r="B12224" t="str">
            <v>Actual</v>
          </cell>
          <cell r="C12224" t="str">
            <v>Nov</v>
          </cell>
          <cell r="D12224" t="str">
            <v>Chairs</v>
          </cell>
          <cell r="E12224">
            <v>88311.23</v>
          </cell>
          <cell r="F12224">
            <v>11</v>
          </cell>
        </row>
        <row r="12225">
          <cell r="A12225">
            <v>2019</v>
          </cell>
          <cell r="B12225" t="str">
            <v>Budget</v>
          </cell>
          <cell r="C12225" t="str">
            <v>Nov</v>
          </cell>
          <cell r="D12225" t="str">
            <v>Chairs</v>
          </cell>
          <cell r="E12225">
            <v>13791.568000000001</v>
          </cell>
          <cell r="F12225">
            <v>11</v>
          </cell>
        </row>
        <row r="12226">
          <cell r="A12226">
            <v>2018</v>
          </cell>
          <cell r="B12226" t="str">
            <v>Actual</v>
          </cell>
          <cell r="C12226" t="str">
            <v>Nov</v>
          </cell>
          <cell r="D12226" t="str">
            <v>Tables</v>
          </cell>
          <cell r="E12226">
            <v>41673.233</v>
          </cell>
          <cell r="F12226">
            <v>11</v>
          </cell>
        </row>
        <row r="12227">
          <cell r="A12227">
            <v>2019</v>
          </cell>
          <cell r="B12227" t="str">
            <v>Budget</v>
          </cell>
          <cell r="C12227" t="str">
            <v>Nov</v>
          </cell>
          <cell r="D12227" t="str">
            <v>Kitchen</v>
          </cell>
          <cell r="E12227">
            <v>56367.772999999994</v>
          </cell>
          <cell r="F12227">
            <v>11</v>
          </cell>
        </row>
        <row r="12228">
          <cell r="A12228">
            <v>2019</v>
          </cell>
          <cell r="B12228" t="str">
            <v>Actual</v>
          </cell>
          <cell r="C12228" t="str">
            <v>Nov</v>
          </cell>
          <cell r="D12228" t="str">
            <v>Accessories</v>
          </cell>
          <cell r="E12228">
            <v>14354.857999999998</v>
          </cell>
          <cell r="F12228">
            <v>11</v>
          </cell>
        </row>
        <row r="12229">
          <cell r="A12229">
            <v>2018</v>
          </cell>
          <cell r="B12229" t="str">
            <v>Budget</v>
          </cell>
          <cell r="C12229" t="str">
            <v>Nov</v>
          </cell>
          <cell r="D12229" t="str">
            <v>Chairs</v>
          </cell>
          <cell r="E12229">
            <v>66122.574000000008</v>
          </cell>
          <cell r="F12229">
            <v>11</v>
          </cell>
        </row>
        <row r="12230">
          <cell r="A12230">
            <v>2019</v>
          </cell>
          <cell r="B12230" t="str">
            <v>Actual</v>
          </cell>
          <cell r="C12230" t="str">
            <v>Nov</v>
          </cell>
          <cell r="D12230" t="str">
            <v>Tables</v>
          </cell>
          <cell r="E12230">
            <v>20622.657999999999</v>
          </cell>
          <cell r="F12230">
            <v>11</v>
          </cell>
        </row>
        <row r="12231">
          <cell r="A12231">
            <v>2018</v>
          </cell>
          <cell r="B12231" t="str">
            <v>Budget</v>
          </cell>
          <cell r="C12231" t="str">
            <v>Nov</v>
          </cell>
          <cell r="D12231" t="str">
            <v>Kitchen</v>
          </cell>
          <cell r="E12231">
            <v>17868.969999999998</v>
          </cell>
          <cell r="F12231">
            <v>11</v>
          </cell>
        </row>
        <row r="12232">
          <cell r="A12232">
            <v>2019</v>
          </cell>
          <cell r="B12232" t="str">
            <v>Actual</v>
          </cell>
          <cell r="C12232" t="str">
            <v>Nov</v>
          </cell>
          <cell r="D12232" t="str">
            <v>Accessories</v>
          </cell>
          <cell r="E12232">
            <v>470952.41899999999</v>
          </cell>
          <cell r="F12232">
            <v>11</v>
          </cell>
        </row>
        <row r="12233">
          <cell r="A12233">
            <v>2019</v>
          </cell>
          <cell r="B12233" t="str">
            <v>Budget</v>
          </cell>
          <cell r="C12233" t="str">
            <v>Nov</v>
          </cell>
          <cell r="D12233" t="str">
            <v>Chairs</v>
          </cell>
          <cell r="E12233">
            <v>2843.491</v>
          </cell>
          <cell r="F12233">
            <v>11</v>
          </cell>
        </row>
        <row r="12234">
          <cell r="A12234">
            <v>2019</v>
          </cell>
          <cell r="B12234" t="str">
            <v>Actual</v>
          </cell>
          <cell r="C12234" t="str">
            <v>Nov</v>
          </cell>
          <cell r="D12234" t="str">
            <v>Tables</v>
          </cell>
          <cell r="E12234">
            <v>2584.848</v>
          </cell>
          <cell r="F12234">
            <v>11</v>
          </cell>
        </row>
        <row r="12235">
          <cell r="A12235">
            <v>2018</v>
          </cell>
          <cell r="B12235" t="str">
            <v>Budget</v>
          </cell>
          <cell r="C12235" t="str">
            <v>Nov</v>
          </cell>
          <cell r="D12235" t="str">
            <v>Kitchen</v>
          </cell>
          <cell r="E12235">
            <v>162665.51699999999</v>
          </cell>
          <cell r="F12235">
            <v>11</v>
          </cell>
        </row>
        <row r="12236">
          <cell r="A12236">
            <v>2019</v>
          </cell>
          <cell r="B12236" t="str">
            <v>Actual</v>
          </cell>
          <cell r="C12236" t="str">
            <v>Nov</v>
          </cell>
          <cell r="D12236" t="str">
            <v>Accessories</v>
          </cell>
          <cell r="E12236">
            <v>340384.70899999997</v>
          </cell>
          <cell r="F12236">
            <v>11</v>
          </cell>
        </row>
        <row r="12237">
          <cell r="A12237">
            <v>2019</v>
          </cell>
          <cell r="B12237" t="str">
            <v>Budget</v>
          </cell>
          <cell r="C12237" t="str">
            <v>Nov</v>
          </cell>
          <cell r="D12237" t="str">
            <v>Chairs</v>
          </cell>
          <cell r="E12237">
            <v>80851.553999999989</v>
          </cell>
          <cell r="F12237">
            <v>11</v>
          </cell>
        </row>
        <row r="12238">
          <cell r="A12238">
            <v>2018</v>
          </cell>
          <cell r="B12238" t="str">
            <v>Actual</v>
          </cell>
          <cell r="C12238" t="str">
            <v>Nov</v>
          </cell>
          <cell r="D12238" t="str">
            <v>Tables</v>
          </cell>
          <cell r="E12238">
            <v>147534.43599999999</v>
          </cell>
          <cell r="F12238">
            <v>11</v>
          </cell>
        </row>
        <row r="12239">
          <cell r="A12239">
            <v>2019</v>
          </cell>
          <cell r="B12239" t="str">
            <v>Budget</v>
          </cell>
          <cell r="C12239" t="str">
            <v>Nov</v>
          </cell>
          <cell r="D12239" t="str">
            <v>Kitchen</v>
          </cell>
          <cell r="E12239">
            <v>42706.873999999996</v>
          </cell>
          <cell r="F12239">
            <v>11</v>
          </cell>
        </row>
        <row r="12240">
          <cell r="A12240">
            <v>2018</v>
          </cell>
          <cell r="B12240" t="str">
            <v>Actual</v>
          </cell>
          <cell r="C12240" t="str">
            <v>Nov</v>
          </cell>
          <cell r="D12240" t="str">
            <v>Accessories</v>
          </cell>
          <cell r="E12240">
            <v>63238.601999999999</v>
          </cell>
          <cell r="F12240">
            <v>11</v>
          </cell>
        </row>
        <row r="12241">
          <cell r="A12241">
            <v>2018</v>
          </cell>
          <cell r="B12241" t="str">
            <v>Budget</v>
          </cell>
          <cell r="C12241" t="str">
            <v>Nov</v>
          </cell>
          <cell r="D12241" t="str">
            <v>Chairs</v>
          </cell>
          <cell r="E12241">
            <v>14254.492</v>
          </cell>
          <cell r="F12241">
            <v>11</v>
          </cell>
        </row>
        <row r="12242">
          <cell r="A12242">
            <v>2019</v>
          </cell>
          <cell r="B12242" t="str">
            <v>Actual</v>
          </cell>
          <cell r="C12242" t="str">
            <v>Nov</v>
          </cell>
          <cell r="D12242" t="str">
            <v>Chairs</v>
          </cell>
          <cell r="E12242">
            <v>100838.42300000001</v>
          </cell>
          <cell r="F12242">
            <v>11</v>
          </cell>
        </row>
        <row r="12243">
          <cell r="A12243">
            <v>2019</v>
          </cell>
          <cell r="B12243" t="str">
            <v>Budget</v>
          </cell>
          <cell r="C12243" t="str">
            <v>Nov</v>
          </cell>
          <cell r="D12243" t="str">
            <v>Tables</v>
          </cell>
          <cell r="E12243">
            <v>3409621.4599999995</v>
          </cell>
          <cell r="F12243">
            <v>11</v>
          </cell>
        </row>
        <row r="12244">
          <cell r="A12244">
            <v>2019</v>
          </cell>
          <cell r="B12244" t="str">
            <v>Actual</v>
          </cell>
          <cell r="C12244" t="str">
            <v>Nov</v>
          </cell>
          <cell r="D12244" t="str">
            <v>Kitchen</v>
          </cell>
          <cell r="E12244">
            <v>105581.644</v>
          </cell>
          <cell r="F12244">
            <v>11</v>
          </cell>
        </row>
        <row r="12245">
          <cell r="A12245">
            <v>2019</v>
          </cell>
          <cell r="B12245" t="str">
            <v>Budget</v>
          </cell>
          <cell r="C12245" t="str">
            <v>Nov</v>
          </cell>
          <cell r="D12245" t="str">
            <v>Chairs</v>
          </cell>
          <cell r="E12245">
            <v>42820.420999999995</v>
          </cell>
          <cell r="F12245">
            <v>11</v>
          </cell>
        </row>
        <row r="12246">
          <cell r="A12246">
            <v>2018</v>
          </cell>
          <cell r="B12246" t="str">
            <v>Actual</v>
          </cell>
          <cell r="C12246" t="str">
            <v>Nov</v>
          </cell>
          <cell r="D12246" t="str">
            <v>Tables</v>
          </cell>
          <cell r="E12246">
            <v>59797.758999999991</v>
          </cell>
          <cell r="F12246">
            <v>11</v>
          </cell>
        </row>
        <row r="12247">
          <cell r="A12247">
            <v>2019</v>
          </cell>
          <cell r="B12247" t="str">
            <v>Budget</v>
          </cell>
          <cell r="C12247" t="str">
            <v>Nov</v>
          </cell>
          <cell r="D12247" t="str">
            <v>Kitchen</v>
          </cell>
          <cell r="E12247">
            <v>84230.20199999999</v>
          </cell>
          <cell r="F12247">
            <v>11</v>
          </cell>
        </row>
        <row r="12248">
          <cell r="A12248">
            <v>2018</v>
          </cell>
          <cell r="B12248" t="str">
            <v>Actual</v>
          </cell>
          <cell r="C12248" t="str">
            <v>Nov</v>
          </cell>
          <cell r="D12248" t="str">
            <v>Chairs</v>
          </cell>
          <cell r="E12248">
            <v>116956.87499999999</v>
          </cell>
          <cell r="F12248">
            <v>11</v>
          </cell>
        </row>
        <row r="12249">
          <cell r="A12249">
            <v>2018</v>
          </cell>
          <cell r="B12249" t="str">
            <v>Budget</v>
          </cell>
          <cell r="C12249" t="str">
            <v>Nov</v>
          </cell>
          <cell r="D12249" t="str">
            <v>Tables</v>
          </cell>
          <cell r="E12249">
            <v>18289.473999999998</v>
          </cell>
          <cell r="F12249">
            <v>11</v>
          </cell>
        </row>
        <row r="12250">
          <cell r="A12250">
            <v>2019</v>
          </cell>
          <cell r="B12250" t="str">
            <v>Actual</v>
          </cell>
          <cell r="C12250" t="str">
            <v>Nov</v>
          </cell>
          <cell r="D12250" t="str">
            <v>Kitchen</v>
          </cell>
          <cell r="E12250">
            <v>6582.6039999999994</v>
          </cell>
          <cell r="F12250">
            <v>11</v>
          </cell>
        </row>
        <row r="12251">
          <cell r="A12251">
            <v>2019</v>
          </cell>
          <cell r="B12251" t="str">
            <v>Budget</v>
          </cell>
          <cell r="C12251" t="str">
            <v>Nov</v>
          </cell>
          <cell r="D12251" t="str">
            <v>Chairs</v>
          </cell>
          <cell r="E12251">
            <v>10128.726999999999</v>
          </cell>
          <cell r="F12251">
            <v>11</v>
          </cell>
        </row>
        <row r="12252">
          <cell r="A12252">
            <v>2019</v>
          </cell>
          <cell r="B12252" t="str">
            <v>Actual</v>
          </cell>
          <cell r="C12252" t="str">
            <v>Nov</v>
          </cell>
          <cell r="D12252" t="str">
            <v>Chairs</v>
          </cell>
          <cell r="E12252">
            <v>88902.547999999995</v>
          </cell>
          <cell r="F12252">
            <v>11</v>
          </cell>
        </row>
        <row r="12253">
          <cell r="A12253">
            <v>2019</v>
          </cell>
          <cell r="B12253" t="str">
            <v>Budget</v>
          </cell>
          <cell r="C12253" t="str">
            <v>Nov</v>
          </cell>
          <cell r="D12253" t="str">
            <v>Chairs</v>
          </cell>
          <cell r="E12253">
            <v>5086.2349999999997</v>
          </cell>
          <cell r="F12253">
            <v>11</v>
          </cell>
        </row>
        <row r="12254">
          <cell r="A12254">
            <v>2018</v>
          </cell>
          <cell r="B12254" t="str">
            <v>Actual</v>
          </cell>
          <cell r="C12254" t="str">
            <v>Nov</v>
          </cell>
          <cell r="D12254" t="str">
            <v>Chairs</v>
          </cell>
          <cell r="E12254">
            <v>133608.66399999999</v>
          </cell>
          <cell r="F12254">
            <v>11</v>
          </cell>
        </row>
        <row r="12255">
          <cell r="A12255">
            <v>2019</v>
          </cell>
          <cell r="B12255" t="str">
            <v>Budget</v>
          </cell>
          <cell r="C12255" t="str">
            <v>Nov</v>
          </cell>
          <cell r="D12255" t="str">
            <v>Chairs</v>
          </cell>
          <cell r="E12255">
            <v>3726.4709999999995</v>
          </cell>
          <cell r="F12255">
            <v>11</v>
          </cell>
        </row>
        <row r="12256">
          <cell r="A12256">
            <v>2019</v>
          </cell>
          <cell r="B12256" t="str">
            <v>Actual</v>
          </cell>
          <cell r="C12256" t="str">
            <v>Nov</v>
          </cell>
          <cell r="D12256" t="str">
            <v>Chairs</v>
          </cell>
          <cell r="E12256">
            <v>24161.766999999996</v>
          </cell>
          <cell r="F12256">
            <v>11</v>
          </cell>
        </row>
        <row r="12257">
          <cell r="A12257">
            <v>2019</v>
          </cell>
          <cell r="B12257" t="str">
            <v>Budget</v>
          </cell>
          <cell r="C12257" t="str">
            <v>Nov</v>
          </cell>
          <cell r="D12257" t="str">
            <v>Chairs</v>
          </cell>
          <cell r="E12257">
            <v>866418.72100000002</v>
          </cell>
          <cell r="F12257">
            <v>11</v>
          </cell>
        </row>
        <row r="12258">
          <cell r="A12258">
            <v>2018</v>
          </cell>
          <cell r="B12258" t="str">
            <v>Actual</v>
          </cell>
          <cell r="C12258" t="str">
            <v>Nov</v>
          </cell>
          <cell r="D12258" t="str">
            <v>Chairs</v>
          </cell>
          <cell r="E12258">
            <v>11271.946</v>
          </cell>
          <cell r="F12258">
            <v>11</v>
          </cell>
        </row>
        <row r="12259">
          <cell r="A12259">
            <v>2019</v>
          </cell>
          <cell r="B12259" t="str">
            <v>Budget</v>
          </cell>
          <cell r="C12259" t="str">
            <v>Nov</v>
          </cell>
          <cell r="D12259" t="str">
            <v>Chairs</v>
          </cell>
          <cell r="E12259">
            <v>883060.64699999988</v>
          </cell>
          <cell r="F12259">
            <v>11</v>
          </cell>
        </row>
        <row r="12260">
          <cell r="A12260">
            <v>2019</v>
          </cell>
          <cell r="B12260" t="str">
            <v>Actual</v>
          </cell>
          <cell r="C12260" t="str">
            <v>Nov</v>
          </cell>
          <cell r="D12260" t="str">
            <v>Chairs</v>
          </cell>
          <cell r="E12260">
            <v>1004231.0599999999</v>
          </cell>
          <cell r="F12260">
            <v>11</v>
          </cell>
        </row>
        <row r="12261">
          <cell r="A12261">
            <v>2018</v>
          </cell>
          <cell r="B12261" t="str">
            <v>Budget</v>
          </cell>
          <cell r="C12261" t="str">
            <v>Nov</v>
          </cell>
          <cell r="D12261" t="str">
            <v>Chairs</v>
          </cell>
          <cell r="E12261">
            <v>1234107.952</v>
          </cell>
          <cell r="F12261">
            <v>11</v>
          </cell>
        </row>
        <row r="12262">
          <cell r="A12262">
            <v>2019</v>
          </cell>
          <cell r="B12262" t="str">
            <v>Actual</v>
          </cell>
          <cell r="C12262" t="str">
            <v>Nov</v>
          </cell>
          <cell r="D12262" t="str">
            <v>Chairs</v>
          </cell>
          <cell r="E12262">
            <v>1817634.8609999998</v>
          </cell>
          <cell r="F12262">
            <v>11</v>
          </cell>
        </row>
        <row r="12263">
          <cell r="A12263">
            <v>2019</v>
          </cell>
          <cell r="B12263" t="str">
            <v>Budget</v>
          </cell>
          <cell r="C12263" t="str">
            <v>Nov</v>
          </cell>
          <cell r="D12263" t="str">
            <v>Chairs</v>
          </cell>
          <cell r="E12263">
            <v>382485.07499999995</v>
          </cell>
          <cell r="F12263">
            <v>11</v>
          </cell>
        </row>
        <row r="12264">
          <cell r="A12264">
            <v>2019</v>
          </cell>
          <cell r="B12264" t="str">
            <v>Actual</v>
          </cell>
          <cell r="C12264" t="str">
            <v>Nov</v>
          </cell>
          <cell r="D12264" t="str">
            <v>Chairs</v>
          </cell>
          <cell r="E12264">
            <v>333130.29399999999</v>
          </cell>
          <cell r="F12264">
            <v>11</v>
          </cell>
        </row>
        <row r="12265">
          <cell r="A12265">
            <v>2019</v>
          </cell>
          <cell r="B12265" t="str">
            <v>Budget</v>
          </cell>
          <cell r="C12265" t="str">
            <v>Nov</v>
          </cell>
          <cell r="D12265" t="str">
            <v>Chairs</v>
          </cell>
          <cell r="E12265">
            <v>454298.36900000001</v>
          </cell>
          <cell r="F12265">
            <v>11</v>
          </cell>
        </row>
        <row r="12266">
          <cell r="A12266">
            <v>2019</v>
          </cell>
          <cell r="B12266" t="str">
            <v>Actual</v>
          </cell>
          <cell r="C12266" t="str">
            <v>Nov</v>
          </cell>
          <cell r="D12266" t="str">
            <v>Chairs</v>
          </cell>
          <cell r="E12266">
            <v>1545483.9189999998</v>
          </cell>
          <cell r="F12266">
            <v>11</v>
          </cell>
        </row>
        <row r="12267">
          <cell r="A12267">
            <v>2019</v>
          </cell>
          <cell r="B12267" t="str">
            <v>Budget</v>
          </cell>
          <cell r="C12267" t="str">
            <v>Nov</v>
          </cell>
          <cell r="D12267" t="str">
            <v>Chairs</v>
          </cell>
          <cell r="E12267">
            <v>191243.18499999997</v>
          </cell>
          <cell r="F12267">
            <v>11</v>
          </cell>
        </row>
        <row r="12268">
          <cell r="A12268">
            <v>2018</v>
          </cell>
          <cell r="B12268" t="str">
            <v>Actual</v>
          </cell>
          <cell r="C12268" t="str">
            <v>Nov</v>
          </cell>
          <cell r="D12268" t="str">
            <v>Chairs</v>
          </cell>
          <cell r="E12268">
            <v>599627.49699999997</v>
          </cell>
          <cell r="F12268">
            <v>11</v>
          </cell>
        </row>
        <row r="12269">
          <cell r="A12269">
            <v>2018</v>
          </cell>
          <cell r="B12269" t="str">
            <v>Budget</v>
          </cell>
          <cell r="C12269" t="str">
            <v>Nov</v>
          </cell>
          <cell r="D12269" t="str">
            <v>Chairs</v>
          </cell>
          <cell r="E12269">
            <v>1060303.034</v>
          </cell>
          <cell r="F12269">
            <v>11</v>
          </cell>
        </row>
        <row r="12270">
          <cell r="A12270">
            <v>2018</v>
          </cell>
          <cell r="B12270" t="str">
            <v>Actual</v>
          </cell>
          <cell r="C12270" t="str">
            <v>Nov</v>
          </cell>
          <cell r="D12270" t="str">
            <v>Chairs</v>
          </cell>
          <cell r="E12270">
            <v>1543632.0619999999</v>
          </cell>
          <cell r="F12270">
            <v>11</v>
          </cell>
        </row>
        <row r="12271">
          <cell r="A12271">
            <v>2018</v>
          </cell>
          <cell r="B12271" t="str">
            <v>Budget</v>
          </cell>
          <cell r="C12271" t="str">
            <v>Nov</v>
          </cell>
          <cell r="D12271" t="str">
            <v>Chairs</v>
          </cell>
          <cell r="E12271">
            <v>154746.48699999999</v>
          </cell>
          <cell r="F12271">
            <v>11</v>
          </cell>
        </row>
        <row r="12272">
          <cell r="A12272">
            <v>2019</v>
          </cell>
          <cell r="B12272" t="str">
            <v>Actual</v>
          </cell>
          <cell r="C12272" t="str">
            <v>Nov</v>
          </cell>
          <cell r="D12272" t="str">
            <v>Chairs</v>
          </cell>
          <cell r="E12272">
            <v>266457.21199999994</v>
          </cell>
          <cell r="F12272">
            <v>11</v>
          </cell>
        </row>
        <row r="12273">
          <cell r="A12273">
            <v>2019</v>
          </cell>
          <cell r="B12273" t="str">
            <v>Budget</v>
          </cell>
          <cell r="C12273" t="str">
            <v>Nov</v>
          </cell>
          <cell r="D12273" t="str">
            <v>Chairs</v>
          </cell>
          <cell r="E12273">
            <v>72505.362999999998</v>
          </cell>
          <cell r="F12273">
            <v>11</v>
          </cell>
        </row>
        <row r="12274">
          <cell r="A12274">
            <v>2019</v>
          </cell>
          <cell r="B12274" t="str">
            <v>Actual</v>
          </cell>
          <cell r="C12274" t="str">
            <v>Nov</v>
          </cell>
          <cell r="D12274" t="str">
            <v>Chairs</v>
          </cell>
          <cell r="E12274">
            <v>36006.032999999996</v>
          </cell>
          <cell r="F12274">
            <v>11</v>
          </cell>
        </row>
        <row r="12275">
          <cell r="A12275">
            <v>2018</v>
          </cell>
          <cell r="B12275" t="str">
            <v>Budget</v>
          </cell>
          <cell r="C12275" t="str">
            <v>Nov</v>
          </cell>
          <cell r="D12275" t="str">
            <v>Chairs</v>
          </cell>
          <cell r="E12275">
            <v>197708.13999999998</v>
          </cell>
          <cell r="F12275">
            <v>11</v>
          </cell>
        </row>
        <row r="12276">
          <cell r="A12276">
            <v>2019</v>
          </cell>
          <cell r="B12276" t="str">
            <v>Actual</v>
          </cell>
          <cell r="C12276" t="str">
            <v>Nov</v>
          </cell>
          <cell r="D12276" t="str">
            <v>Chairs</v>
          </cell>
          <cell r="E12276">
            <v>113678.061</v>
          </cell>
          <cell r="F12276">
            <v>11</v>
          </cell>
        </row>
        <row r="12277">
          <cell r="A12277">
            <v>2018</v>
          </cell>
          <cell r="B12277" t="str">
            <v>Budget</v>
          </cell>
          <cell r="C12277" t="str">
            <v>Nov</v>
          </cell>
          <cell r="D12277" t="str">
            <v>Tables</v>
          </cell>
          <cell r="E12277">
            <v>1453942.3429999999</v>
          </cell>
          <cell r="F12277">
            <v>11</v>
          </cell>
        </row>
        <row r="12278">
          <cell r="A12278">
            <v>2019</v>
          </cell>
          <cell r="B12278" t="str">
            <v>Actual</v>
          </cell>
          <cell r="C12278" t="str">
            <v>Nov</v>
          </cell>
          <cell r="D12278" t="str">
            <v>Kitchen</v>
          </cell>
          <cell r="E12278">
            <v>151454.24699999997</v>
          </cell>
          <cell r="F12278">
            <v>11</v>
          </cell>
        </row>
        <row r="12279">
          <cell r="A12279">
            <v>2019</v>
          </cell>
          <cell r="B12279" t="str">
            <v>Budget</v>
          </cell>
          <cell r="C12279" t="str">
            <v>Nov</v>
          </cell>
          <cell r="D12279" t="str">
            <v>Chairs</v>
          </cell>
          <cell r="E12279">
            <v>240941.51199999996</v>
          </cell>
          <cell r="F12279">
            <v>11</v>
          </cell>
        </row>
        <row r="12280">
          <cell r="A12280">
            <v>2018</v>
          </cell>
          <cell r="B12280" t="str">
            <v>Actual</v>
          </cell>
          <cell r="C12280" t="str">
            <v>Nov</v>
          </cell>
          <cell r="D12280" t="str">
            <v>Chairs</v>
          </cell>
          <cell r="E12280">
            <v>527595.43900000001</v>
          </cell>
          <cell r="F12280">
            <v>11</v>
          </cell>
        </row>
        <row r="12281">
          <cell r="A12281">
            <v>2018</v>
          </cell>
          <cell r="B12281" t="str">
            <v>Budget</v>
          </cell>
          <cell r="C12281" t="str">
            <v>Nov</v>
          </cell>
          <cell r="D12281" t="str">
            <v>Chairs</v>
          </cell>
          <cell r="E12281">
            <v>249468.89799999999</v>
          </cell>
          <cell r="F12281">
            <v>11</v>
          </cell>
        </row>
        <row r="12282">
          <cell r="A12282">
            <v>2018</v>
          </cell>
          <cell r="B12282" t="str">
            <v>Actual</v>
          </cell>
          <cell r="C12282" t="str">
            <v>Nov</v>
          </cell>
          <cell r="D12282" t="str">
            <v>Chairs</v>
          </cell>
          <cell r="E12282">
            <v>-19481.818999999996</v>
          </cell>
          <cell r="F12282">
            <v>11</v>
          </cell>
        </row>
        <row r="12283">
          <cell r="A12283">
            <v>2018</v>
          </cell>
          <cell r="B12283" t="str">
            <v>Budget</v>
          </cell>
          <cell r="C12283" t="str">
            <v>Nov</v>
          </cell>
          <cell r="D12283" t="str">
            <v>Chairs</v>
          </cell>
          <cell r="E12283">
            <v>28130.647999999997</v>
          </cell>
          <cell r="F12283">
            <v>11</v>
          </cell>
        </row>
        <row r="12284">
          <cell r="A12284">
            <v>2019</v>
          </cell>
          <cell r="B12284" t="str">
            <v>Actual</v>
          </cell>
          <cell r="C12284" t="str">
            <v>Nov</v>
          </cell>
          <cell r="D12284" t="str">
            <v>Tables</v>
          </cell>
          <cell r="E12284">
            <v>68180.314999999988</v>
          </cell>
          <cell r="F12284">
            <v>11</v>
          </cell>
        </row>
        <row r="12285">
          <cell r="A12285">
            <v>2018</v>
          </cell>
          <cell r="B12285" t="str">
            <v>Budget</v>
          </cell>
          <cell r="C12285" t="str">
            <v>Nov</v>
          </cell>
          <cell r="D12285" t="str">
            <v>Kitchen</v>
          </cell>
          <cell r="E12285">
            <v>5083.6170000000002</v>
          </cell>
          <cell r="F12285">
            <v>11</v>
          </cell>
        </row>
        <row r="12286">
          <cell r="A12286">
            <v>2019</v>
          </cell>
          <cell r="B12286" t="str">
            <v>Actual</v>
          </cell>
          <cell r="C12286" t="str">
            <v>Nov</v>
          </cell>
          <cell r="D12286" t="str">
            <v>Chairs</v>
          </cell>
          <cell r="E12286">
            <v>71928.002999999997</v>
          </cell>
          <cell r="F12286">
            <v>11</v>
          </cell>
        </row>
        <row r="12287">
          <cell r="A12287">
            <v>2019</v>
          </cell>
          <cell r="B12287" t="str">
            <v>Budget</v>
          </cell>
          <cell r="C12287" t="str">
            <v>Nov</v>
          </cell>
          <cell r="D12287" t="str">
            <v>Chairs</v>
          </cell>
          <cell r="E12287">
            <v>106425.95599999999</v>
          </cell>
          <cell r="F12287">
            <v>11</v>
          </cell>
        </row>
        <row r="12288">
          <cell r="A12288">
            <v>2018</v>
          </cell>
          <cell r="B12288" t="str">
            <v>Actual</v>
          </cell>
          <cell r="C12288" t="str">
            <v>Nov</v>
          </cell>
          <cell r="D12288" t="str">
            <v>Chairs</v>
          </cell>
          <cell r="E12288">
            <v>4927.125</v>
          </cell>
          <cell r="F12288">
            <v>11</v>
          </cell>
        </row>
        <row r="12289">
          <cell r="A12289">
            <v>2019</v>
          </cell>
          <cell r="B12289" t="str">
            <v>Budget</v>
          </cell>
          <cell r="C12289" t="str">
            <v>Nov</v>
          </cell>
          <cell r="D12289" t="str">
            <v>Tables</v>
          </cell>
          <cell r="E12289">
            <v>14712.886999999999</v>
          </cell>
          <cell r="F12289">
            <v>11</v>
          </cell>
        </row>
        <row r="12290">
          <cell r="A12290">
            <v>2018</v>
          </cell>
          <cell r="B12290" t="str">
            <v>Actual</v>
          </cell>
          <cell r="C12290" t="str">
            <v>Nov</v>
          </cell>
          <cell r="D12290" t="str">
            <v>Kitchen</v>
          </cell>
          <cell r="E12290">
            <v>43845.213999999993</v>
          </cell>
          <cell r="F12290">
            <v>11</v>
          </cell>
        </row>
        <row r="12291">
          <cell r="A12291">
            <v>2019</v>
          </cell>
          <cell r="B12291" t="str">
            <v>Budget</v>
          </cell>
          <cell r="C12291" t="str">
            <v>Nov</v>
          </cell>
          <cell r="D12291" t="str">
            <v>Chairs</v>
          </cell>
          <cell r="E12291">
            <v>20470.365999999998</v>
          </cell>
          <cell r="F12291">
            <v>11</v>
          </cell>
        </row>
        <row r="12292">
          <cell r="A12292">
            <v>2019</v>
          </cell>
          <cell r="B12292" t="str">
            <v>Actual</v>
          </cell>
          <cell r="C12292" t="str">
            <v>Nov</v>
          </cell>
          <cell r="D12292" t="str">
            <v>Chairs</v>
          </cell>
          <cell r="E12292">
            <v>8979.39</v>
          </cell>
          <cell r="F12292">
            <v>11</v>
          </cell>
        </row>
        <row r="12293">
          <cell r="A12293">
            <v>2019</v>
          </cell>
          <cell r="B12293" t="str">
            <v>Budget</v>
          </cell>
          <cell r="C12293" t="str">
            <v>Nov</v>
          </cell>
          <cell r="D12293" t="str">
            <v>Tables</v>
          </cell>
          <cell r="E12293">
            <v>36603.867999999995</v>
          </cell>
          <cell r="F12293">
            <v>11</v>
          </cell>
        </row>
        <row r="12294">
          <cell r="A12294">
            <v>2019</v>
          </cell>
          <cell r="B12294" t="str">
            <v>Actual</v>
          </cell>
          <cell r="C12294" t="str">
            <v>Nov</v>
          </cell>
          <cell r="D12294" t="str">
            <v>Kitchen</v>
          </cell>
          <cell r="E12294">
            <v>127195.537</v>
          </cell>
          <cell r="F12294">
            <v>11</v>
          </cell>
        </row>
        <row r="12295">
          <cell r="A12295">
            <v>2019</v>
          </cell>
          <cell r="B12295" t="str">
            <v>Budget</v>
          </cell>
          <cell r="C12295" t="str">
            <v>Nov</v>
          </cell>
          <cell r="D12295" t="str">
            <v>Chairs</v>
          </cell>
          <cell r="E12295">
            <v>163127.71299999999</v>
          </cell>
          <cell r="F12295">
            <v>11</v>
          </cell>
        </row>
        <row r="12296">
          <cell r="A12296">
            <v>2019</v>
          </cell>
          <cell r="B12296" t="str">
            <v>Actual</v>
          </cell>
          <cell r="C12296" t="str">
            <v>Nov</v>
          </cell>
          <cell r="D12296" t="str">
            <v>Chairs</v>
          </cell>
          <cell r="E12296">
            <v>333195.09999999998</v>
          </cell>
          <cell r="F12296">
            <v>11</v>
          </cell>
        </row>
        <row r="12297">
          <cell r="A12297">
            <v>2019</v>
          </cell>
          <cell r="B12297" t="str">
            <v>Budget</v>
          </cell>
          <cell r="C12297" t="str">
            <v>Nov</v>
          </cell>
          <cell r="D12297" t="str">
            <v>Tables</v>
          </cell>
          <cell r="E12297">
            <v>26633.494999999999</v>
          </cell>
          <cell r="F12297">
            <v>11</v>
          </cell>
        </row>
        <row r="12298">
          <cell r="A12298">
            <v>2018</v>
          </cell>
          <cell r="B12298" t="str">
            <v>Actual</v>
          </cell>
          <cell r="C12298" t="str">
            <v>Nov</v>
          </cell>
          <cell r="D12298" t="str">
            <v>Kitchen</v>
          </cell>
          <cell r="E12298">
            <v>65083.976999999999</v>
          </cell>
          <cell r="F12298">
            <v>11</v>
          </cell>
        </row>
        <row r="12299">
          <cell r="A12299">
            <v>2019</v>
          </cell>
          <cell r="B12299" t="str">
            <v>Budget</v>
          </cell>
          <cell r="C12299" t="str">
            <v>Nov</v>
          </cell>
          <cell r="D12299" t="str">
            <v>Accessories</v>
          </cell>
          <cell r="E12299">
            <v>64864.499000000003</v>
          </cell>
          <cell r="F12299">
            <v>11</v>
          </cell>
        </row>
        <row r="12300">
          <cell r="A12300">
            <v>2019</v>
          </cell>
          <cell r="B12300" t="str">
            <v>Actual</v>
          </cell>
          <cell r="C12300" t="str">
            <v>Nov</v>
          </cell>
          <cell r="D12300" t="str">
            <v>Chairs</v>
          </cell>
          <cell r="E12300">
            <v>2232905.5209999997</v>
          </cell>
          <cell r="F12300">
            <v>11</v>
          </cell>
        </row>
        <row r="12301">
          <cell r="A12301">
            <v>2019</v>
          </cell>
          <cell r="B12301" t="str">
            <v>Budget</v>
          </cell>
          <cell r="C12301" t="str">
            <v>Nov</v>
          </cell>
          <cell r="D12301" t="str">
            <v>Tables</v>
          </cell>
          <cell r="E12301">
            <v>156414.49599999998</v>
          </cell>
          <cell r="F12301">
            <v>11</v>
          </cell>
        </row>
        <row r="12302">
          <cell r="A12302">
            <v>2018</v>
          </cell>
          <cell r="B12302" t="str">
            <v>Actual</v>
          </cell>
          <cell r="C12302" t="str">
            <v>Nov</v>
          </cell>
          <cell r="D12302" t="str">
            <v>Kitchen</v>
          </cell>
          <cell r="E12302">
            <v>110437.94299999998</v>
          </cell>
          <cell r="F12302">
            <v>11</v>
          </cell>
        </row>
        <row r="12303">
          <cell r="A12303">
            <v>2019</v>
          </cell>
          <cell r="B12303" t="str">
            <v>Budget</v>
          </cell>
          <cell r="C12303" t="str">
            <v>Nov</v>
          </cell>
          <cell r="D12303" t="str">
            <v>Accessories</v>
          </cell>
          <cell r="E12303">
            <v>11891.333999999999</v>
          </cell>
          <cell r="F12303">
            <v>11</v>
          </cell>
        </row>
        <row r="12304">
          <cell r="A12304">
            <v>2019</v>
          </cell>
          <cell r="B12304" t="str">
            <v>Actual</v>
          </cell>
          <cell r="C12304" t="str">
            <v>Nov</v>
          </cell>
          <cell r="D12304" t="str">
            <v>Chairs</v>
          </cell>
          <cell r="E12304">
            <v>88164.684999999998</v>
          </cell>
          <cell r="F12304">
            <v>11</v>
          </cell>
        </row>
        <row r="12305">
          <cell r="A12305">
            <v>2018</v>
          </cell>
          <cell r="B12305" t="str">
            <v>Budget</v>
          </cell>
          <cell r="C12305" t="str">
            <v>Nov</v>
          </cell>
          <cell r="D12305" t="str">
            <v>Tables</v>
          </cell>
          <cell r="E12305">
            <v>121358.97199999998</v>
          </cell>
          <cell r="F12305">
            <v>11</v>
          </cell>
        </row>
        <row r="12306">
          <cell r="A12306">
            <v>2019</v>
          </cell>
          <cell r="B12306" t="str">
            <v>Actual</v>
          </cell>
          <cell r="C12306" t="str">
            <v>Nov</v>
          </cell>
          <cell r="D12306" t="str">
            <v>Kitchen</v>
          </cell>
          <cell r="E12306">
            <v>140604.10699999999</v>
          </cell>
          <cell r="F12306">
            <v>11</v>
          </cell>
        </row>
        <row r="12307">
          <cell r="A12307">
            <v>2019</v>
          </cell>
          <cell r="B12307" t="str">
            <v>Budget</v>
          </cell>
          <cell r="C12307" t="str">
            <v>Nov</v>
          </cell>
          <cell r="D12307" t="str">
            <v>Accessories</v>
          </cell>
          <cell r="E12307">
            <v>38114.082999999999</v>
          </cell>
          <cell r="F12307">
            <v>11</v>
          </cell>
        </row>
        <row r="12308">
          <cell r="A12308">
            <v>2019</v>
          </cell>
          <cell r="B12308" t="str">
            <v>Actual</v>
          </cell>
          <cell r="C12308" t="str">
            <v>Nov</v>
          </cell>
          <cell r="D12308" t="str">
            <v>Chairs</v>
          </cell>
          <cell r="E12308">
            <v>239450.56799999997</v>
          </cell>
          <cell r="F12308">
            <v>11</v>
          </cell>
        </row>
        <row r="12309">
          <cell r="A12309">
            <v>2019</v>
          </cell>
          <cell r="B12309" t="str">
            <v>Budget</v>
          </cell>
          <cell r="C12309" t="str">
            <v>Nov</v>
          </cell>
          <cell r="D12309" t="str">
            <v>Tables</v>
          </cell>
          <cell r="E12309">
            <v>164087.28699999998</v>
          </cell>
          <cell r="F12309">
            <v>11</v>
          </cell>
        </row>
        <row r="12310">
          <cell r="A12310">
            <v>2018</v>
          </cell>
          <cell r="B12310" t="str">
            <v>Actual</v>
          </cell>
          <cell r="C12310" t="str">
            <v>Nov</v>
          </cell>
          <cell r="D12310" t="str">
            <v>Kitchen</v>
          </cell>
          <cell r="E12310">
            <v>29625.106</v>
          </cell>
          <cell r="F12310">
            <v>11</v>
          </cell>
        </row>
        <row r="12311">
          <cell r="A12311">
            <v>2018</v>
          </cell>
          <cell r="B12311" t="str">
            <v>Budget</v>
          </cell>
          <cell r="C12311" t="str">
            <v>Nov</v>
          </cell>
          <cell r="D12311" t="str">
            <v>Accessories</v>
          </cell>
          <cell r="E12311">
            <v>262947.88099999999</v>
          </cell>
          <cell r="F12311">
            <v>11</v>
          </cell>
        </row>
        <row r="12312">
          <cell r="A12312">
            <v>2019</v>
          </cell>
          <cell r="B12312" t="str">
            <v>Actual</v>
          </cell>
          <cell r="C12312" t="str">
            <v>Nov</v>
          </cell>
          <cell r="D12312" t="str">
            <v>Chairs</v>
          </cell>
          <cell r="E12312">
            <v>422786.06999999995</v>
          </cell>
          <cell r="F12312">
            <v>11</v>
          </cell>
        </row>
        <row r="12313">
          <cell r="A12313">
            <v>2019</v>
          </cell>
          <cell r="B12313" t="str">
            <v>Budget</v>
          </cell>
          <cell r="C12313" t="str">
            <v>Nov</v>
          </cell>
          <cell r="D12313" t="str">
            <v>Tables</v>
          </cell>
          <cell r="E12313">
            <v>109621.708</v>
          </cell>
          <cell r="F12313">
            <v>11</v>
          </cell>
        </row>
        <row r="12314">
          <cell r="A12314">
            <v>2018</v>
          </cell>
          <cell r="B12314" t="str">
            <v>Actual</v>
          </cell>
          <cell r="C12314" t="str">
            <v>Nov</v>
          </cell>
          <cell r="D12314" t="str">
            <v>Kitchen</v>
          </cell>
          <cell r="E12314">
            <v>1463.413</v>
          </cell>
          <cell r="F12314">
            <v>11</v>
          </cell>
        </row>
        <row r="12315">
          <cell r="A12315">
            <v>2019</v>
          </cell>
          <cell r="B12315" t="str">
            <v>Budget</v>
          </cell>
          <cell r="C12315" t="str">
            <v>Nov</v>
          </cell>
          <cell r="D12315" t="str">
            <v>Accessories</v>
          </cell>
          <cell r="E12315">
            <v>11268.410999999998</v>
          </cell>
          <cell r="F12315">
            <v>11</v>
          </cell>
        </row>
        <row r="12316">
          <cell r="A12316">
            <v>2019</v>
          </cell>
          <cell r="B12316" t="str">
            <v>Actual</v>
          </cell>
          <cell r="C12316" t="str">
            <v>Nov</v>
          </cell>
          <cell r="D12316" t="str">
            <v>Chairs</v>
          </cell>
          <cell r="E12316">
            <v>74256.482999999993</v>
          </cell>
          <cell r="F12316">
            <v>11</v>
          </cell>
        </row>
        <row r="12317">
          <cell r="A12317">
            <v>2019</v>
          </cell>
          <cell r="B12317" t="str">
            <v>Budget</v>
          </cell>
          <cell r="C12317" t="str">
            <v>Nov</v>
          </cell>
          <cell r="D12317" t="str">
            <v>Chairs</v>
          </cell>
          <cell r="E12317">
            <v>271405.65899999999</v>
          </cell>
          <cell r="F12317">
            <v>11</v>
          </cell>
        </row>
        <row r="12318">
          <cell r="A12318">
            <v>2018</v>
          </cell>
          <cell r="B12318" t="str">
            <v>Actual</v>
          </cell>
          <cell r="C12318" t="str">
            <v>Nov</v>
          </cell>
          <cell r="D12318" t="str">
            <v>Tables</v>
          </cell>
          <cell r="E12318">
            <v>-21654.913</v>
          </cell>
          <cell r="F12318">
            <v>11</v>
          </cell>
        </row>
        <row r="12319">
          <cell r="A12319">
            <v>2019</v>
          </cell>
          <cell r="B12319" t="str">
            <v>Budget</v>
          </cell>
          <cell r="C12319" t="str">
            <v>Nov</v>
          </cell>
          <cell r="D12319" t="str">
            <v>Kitchen</v>
          </cell>
          <cell r="E12319">
            <v>1083340.1950000001</v>
          </cell>
          <cell r="F12319">
            <v>11</v>
          </cell>
        </row>
        <row r="12320">
          <cell r="A12320">
            <v>2019</v>
          </cell>
          <cell r="B12320" t="str">
            <v>Actual</v>
          </cell>
          <cell r="C12320" t="str">
            <v>Nov</v>
          </cell>
          <cell r="D12320" t="str">
            <v>Chairs</v>
          </cell>
          <cell r="E12320">
            <v>5197098.7179999994</v>
          </cell>
          <cell r="F12320">
            <v>11</v>
          </cell>
        </row>
        <row r="12321">
          <cell r="A12321">
            <v>2019</v>
          </cell>
          <cell r="B12321" t="str">
            <v>Budget</v>
          </cell>
          <cell r="C12321" t="str">
            <v>Nov</v>
          </cell>
          <cell r="D12321" t="str">
            <v>Tables</v>
          </cell>
          <cell r="E12321">
            <v>2933630.4409999996</v>
          </cell>
          <cell r="F12321">
            <v>11</v>
          </cell>
        </row>
        <row r="12322">
          <cell r="A12322">
            <v>2018</v>
          </cell>
          <cell r="B12322" t="str">
            <v>Actual</v>
          </cell>
          <cell r="C12322" t="str">
            <v>Nov</v>
          </cell>
          <cell r="D12322" t="str">
            <v>Kitchen</v>
          </cell>
          <cell r="E12322">
            <v>357565.45299999998</v>
          </cell>
          <cell r="F12322">
            <v>11</v>
          </cell>
        </row>
        <row r="12323">
          <cell r="A12323">
            <v>2018</v>
          </cell>
          <cell r="B12323" t="str">
            <v>Budget</v>
          </cell>
          <cell r="C12323" t="str">
            <v>Nov</v>
          </cell>
          <cell r="D12323" t="str">
            <v>Chairs</v>
          </cell>
          <cell r="E12323">
            <v>272520.11499999999</v>
          </cell>
          <cell r="F12323">
            <v>11</v>
          </cell>
        </row>
        <row r="12324">
          <cell r="A12324">
            <v>2019</v>
          </cell>
          <cell r="B12324" t="str">
            <v>Actual</v>
          </cell>
          <cell r="C12324" t="str">
            <v>Nov</v>
          </cell>
          <cell r="D12324" t="str">
            <v>Tables</v>
          </cell>
          <cell r="E12324">
            <v>3560755.702</v>
          </cell>
          <cell r="F12324">
            <v>11</v>
          </cell>
        </row>
        <row r="12325">
          <cell r="A12325">
            <v>2018</v>
          </cell>
          <cell r="B12325" t="str">
            <v>Budget</v>
          </cell>
          <cell r="C12325" t="str">
            <v>Nov</v>
          </cell>
          <cell r="D12325" t="str">
            <v>Kitchen</v>
          </cell>
          <cell r="E12325">
            <v>385449.05</v>
          </cell>
          <cell r="F12325">
            <v>11</v>
          </cell>
        </row>
        <row r="12326">
          <cell r="A12326">
            <v>2018</v>
          </cell>
          <cell r="B12326" t="str">
            <v>Actual</v>
          </cell>
          <cell r="C12326" t="str">
            <v>Nov</v>
          </cell>
          <cell r="D12326" t="str">
            <v>Chairs</v>
          </cell>
          <cell r="E12326">
            <v>779080.81299999997</v>
          </cell>
          <cell r="F12326">
            <v>11</v>
          </cell>
        </row>
        <row r="12327">
          <cell r="A12327">
            <v>2019</v>
          </cell>
          <cell r="B12327" t="str">
            <v>Budget</v>
          </cell>
          <cell r="C12327" t="str">
            <v>Nov</v>
          </cell>
          <cell r="D12327" t="str">
            <v>Chairs</v>
          </cell>
          <cell r="E12327">
            <v>6595573.1939999992</v>
          </cell>
          <cell r="F12327">
            <v>11</v>
          </cell>
        </row>
        <row r="12328">
          <cell r="A12328">
            <v>2019</v>
          </cell>
          <cell r="B12328" t="str">
            <v>Actual</v>
          </cell>
          <cell r="C12328" t="str">
            <v>Nov</v>
          </cell>
          <cell r="D12328" t="str">
            <v>Chairs</v>
          </cell>
          <cell r="E12328">
            <v>5767469.0709999995</v>
          </cell>
          <cell r="F12328">
            <v>11</v>
          </cell>
        </row>
        <row r="12329">
          <cell r="A12329">
            <v>2019</v>
          </cell>
          <cell r="B12329" t="str">
            <v>Budget</v>
          </cell>
          <cell r="C12329" t="str">
            <v>Nov</v>
          </cell>
          <cell r="D12329" t="str">
            <v>Chairs</v>
          </cell>
          <cell r="E12329">
            <v>5433560.608</v>
          </cell>
          <cell r="F12329">
            <v>11</v>
          </cell>
        </row>
        <row r="12330">
          <cell r="A12330">
            <v>2018</v>
          </cell>
          <cell r="B12330" t="str">
            <v>Actual</v>
          </cell>
          <cell r="C12330" t="str">
            <v>Nov</v>
          </cell>
          <cell r="D12330" t="str">
            <v>Chairs</v>
          </cell>
          <cell r="E12330">
            <v>7819.0909999999985</v>
          </cell>
          <cell r="F12330">
            <v>11</v>
          </cell>
        </row>
        <row r="12331">
          <cell r="A12331">
            <v>2019</v>
          </cell>
          <cell r="B12331" t="str">
            <v>Budget</v>
          </cell>
          <cell r="C12331" t="str">
            <v>Nov</v>
          </cell>
          <cell r="D12331" t="str">
            <v>Chairs</v>
          </cell>
          <cell r="E12331">
            <v>52523.002</v>
          </cell>
          <cell r="F12331">
            <v>11</v>
          </cell>
        </row>
        <row r="12332">
          <cell r="A12332">
            <v>2018</v>
          </cell>
          <cell r="B12332" t="str">
            <v>Actual</v>
          </cell>
          <cell r="C12332" t="str">
            <v>Nov</v>
          </cell>
          <cell r="D12332" t="str">
            <v>Chairs</v>
          </cell>
          <cell r="E12332">
            <v>723833.99199999997</v>
          </cell>
          <cell r="F12332">
            <v>11</v>
          </cell>
        </row>
        <row r="12333">
          <cell r="A12333">
            <v>2019</v>
          </cell>
          <cell r="B12333" t="str">
            <v>Budget</v>
          </cell>
          <cell r="C12333" t="str">
            <v>Nov</v>
          </cell>
          <cell r="D12333" t="str">
            <v>Chairs</v>
          </cell>
          <cell r="E12333">
            <v>159463.61900000001</v>
          </cell>
          <cell r="F12333">
            <v>11</v>
          </cell>
        </row>
        <row r="12334">
          <cell r="A12334">
            <v>2018</v>
          </cell>
          <cell r="B12334" t="str">
            <v>Actual</v>
          </cell>
          <cell r="C12334" t="str">
            <v>Nov</v>
          </cell>
          <cell r="D12334" t="str">
            <v>Chairs</v>
          </cell>
          <cell r="E12334">
            <v>126677.52999999998</v>
          </cell>
          <cell r="F12334">
            <v>11</v>
          </cell>
        </row>
        <row r="12335">
          <cell r="A12335">
            <v>2019</v>
          </cell>
          <cell r="B12335" t="str">
            <v>Budget</v>
          </cell>
          <cell r="C12335" t="str">
            <v>Nov</v>
          </cell>
          <cell r="D12335" t="str">
            <v>Chairs</v>
          </cell>
          <cell r="E12335">
            <v>82846.322999999989</v>
          </cell>
          <cell r="F12335">
            <v>11</v>
          </cell>
        </row>
        <row r="12336">
          <cell r="A12336">
            <v>2018</v>
          </cell>
          <cell r="B12336" t="str">
            <v>Actual</v>
          </cell>
          <cell r="C12336" t="str">
            <v>Nov</v>
          </cell>
          <cell r="D12336" t="str">
            <v>Chairs</v>
          </cell>
          <cell r="E12336">
            <v>44957.492999999995</v>
          </cell>
          <cell r="F12336">
            <v>11</v>
          </cell>
        </row>
        <row r="12337">
          <cell r="A12337">
            <v>2018</v>
          </cell>
          <cell r="B12337" t="str">
            <v>Budget</v>
          </cell>
          <cell r="C12337" t="str">
            <v>Nov</v>
          </cell>
          <cell r="D12337" t="str">
            <v>Chairs</v>
          </cell>
          <cell r="E12337">
            <v>27746.333999999999</v>
          </cell>
          <cell r="F12337">
            <v>11</v>
          </cell>
        </row>
        <row r="12338">
          <cell r="A12338">
            <v>2019</v>
          </cell>
          <cell r="B12338" t="str">
            <v>Actual</v>
          </cell>
          <cell r="C12338" t="str">
            <v>Nov</v>
          </cell>
          <cell r="D12338" t="str">
            <v>Chairs</v>
          </cell>
          <cell r="E12338">
            <v>28319.837</v>
          </cell>
          <cell r="F12338">
            <v>11</v>
          </cell>
        </row>
        <row r="12339">
          <cell r="A12339">
            <v>2018</v>
          </cell>
          <cell r="B12339" t="str">
            <v>Budget</v>
          </cell>
          <cell r="C12339" t="str">
            <v>Nov</v>
          </cell>
          <cell r="D12339" t="str">
            <v>Chairs</v>
          </cell>
          <cell r="E12339">
            <v>67388.243999999992</v>
          </cell>
          <cell r="F12339">
            <v>11</v>
          </cell>
        </row>
        <row r="12340">
          <cell r="A12340">
            <v>2019</v>
          </cell>
          <cell r="B12340" t="str">
            <v>Actual</v>
          </cell>
          <cell r="C12340" t="str">
            <v>Nov</v>
          </cell>
          <cell r="D12340" t="str">
            <v>Chairs</v>
          </cell>
          <cell r="E12340">
            <v>33567.400999999998</v>
          </cell>
          <cell r="F12340">
            <v>11</v>
          </cell>
        </row>
        <row r="12341">
          <cell r="A12341">
            <v>2019</v>
          </cell>
          <cell r="B12341" t="str">
            <v>Budget</v>
          </cell>
          <cell r="C12341" t="str">
            <v>Nov</v>
          </cell>
          <cell r="D12341" t="str">
            <v>Chairs</v>
          </cell>
          <cell r="E12341">
            <v>214919.94299999997</v>
          </cell>
          <cell r="F12341">
            <v>11</v>
          </cell>
        </row>
        <row r="12342">
          <cell r="A12342">
            <v>2019</v>
          </cell>
          <cell r="B12342" t="str">
            <v>Actual</v>
          </cell>
          <cell r="C12342" t="str">
            <v>Nov</v>
          </cell>
          <cell r="D12342" t="str">
            <v>Chairs</v>
          </cell>
          <cell r="E12342">
            <v>1246103.621</v>
          </cell>
          <cell r="F12342">
            <v>11</v>
          </cell>
        </row>
        <row r="12343">
          <cell r="A12343">
            <v>2019</v>
          </cell>
          <cell r="B12343" t="str">
            <v>Budget</v>
          </cell>
          <cell r="C12343" t="str">
            <v>Nov</v>
          </cell>
          <cell r="D12343" t="str">
            <v>Chairs</v>
          </cell>
          <cell r="E12343">
            <v>39186.013999999996</v>
          </cell>
          <cell r="F12343">
            <v>11</v>
          </cell>
        </row>
        <row r="12344">
          <cell r="A12344">
            <v>2019</v>
          </cell>
          <cell r="B12344" t="str">
            <v>Actual</v>
          </cell>
          <cell r="C12344" t="str">
            <v>Nov</v>
          </cell>
          <cell r="D12344" t="str">
            <v>Chairs</v>
          </cell>
          <cell r="E12344">
            <v>32395.852999999999</v>
          </cell>
          <cell r="F12344">
            <v>11</v>
          </cell>
        </row>
        <row r="12345">
          <cell r="A12345">
            <v>2018</v>
          </cell>
          <cell r="B12345" t="str">
            <v>Budget</v>
          </cell>
          <cell r="C12345" t="str">
            <v>Nov</v>
          </cell>
          <cell r="D12345" t="str">
            <v>Chairs</v>
          </cell>
          <cell r="E12345">
            <v>53724.72</v>
          </cell>
          <cell r="F12345">
            <v>11</v>
          </cell>
        </row>
        <row r="12346">
          <cell r="A12346">
            <v>2019</v>
          </cell>
          <cell r="B12346" t="str">
            <v>Actual</v>
          </cell>
          <cell r="C12346" t="str">
            <v>Nov</v>
          </cell>
          <cell r="D12346" t="str">
            <v>Chairs</v>
          </cell>
          <cell r="E12346">
            <v>65679.935999999987</v>
          </cell>
          <cell r="F12346">
            <v>11</v>
          </cell>
        </row>
        <row r="12347">
          <cell r="A12347">
            <v>2019</v>
          </cell>
          <cell r="B12347" t="str">
            <v>Budget</v>
          </cell>
          <cell r="C12347" t="str">
            <v>Nov</v>
          </cell>
          <cell r="D12347" t="str">
            <v>Chairs</v>
          </cell>
          <cell r="E12347">
            <v>56756.125999999989</v>
          </cell>
          <cell r="F12347">
            <v>11</v>
          </cell>
        </row>
        <row r="12348">
          <cell r="A12348">
            <v>2019</v>
          </cell>
          <cell r="B12348" t="str">
            <v>Actual</v>
          </cell>
          <cell r="C12348" t="str">
            <v>Nov</v>
          </cell>
          <cell r="D12348" t="str">
            <v>Chairs</v>
          </cell>
          <cell r="E12348">
            <v>91768.263999999981</v>
          </cell>
          <cell r="F12348">
            <v>11</v>
          </cell>
        </row>
        <row r="12349">
          <cell r="A12349">
            <v>2019</v>
          </cell>
          <cell r="B12349" t="str">
            <v>Budget</v>
          </cell>
          <cell r="C12349" t="str">
            <v>Nov</v>
          </cell>
          <cell r="D12349" t="str">
            <v>Chairs</v>
          </cell>
          <cell r="E12349">
            <v>56931.811999999998</v>
          </cell>
          <cell r="F12349">
            <v>11</v>
          </cell>
        </row>
        <row r="12350">
          <cell r="A12350">
            <v>2018</v>
          </cell>
          <cell r="B12350" t="str">
            <v>Actual</v>
          </cell>
          <cell r="C12350" t="str">
            <v>Nov</v>
          </cell>
          <cell r="D12350" t="str">
            <v>Chairs</v>
          </cell>
          <cell r="E12350">
            <v>92193.611999999994</v>
          </cell>
          <cell r="F12350">
            <v>11</v>
          </cell>
        </row>
        <row r="12351">
          <cell r="A12351">
            <v>2019</v>
          </cell>
          <cell r="B12351" t="str">
            <v>Budget</v>
          </cell>
          <cell r="C12351" t="str">
            <v>Nov</v>
          </cell>
          <cell r="D12351" t="str">
            <v>Chairs</v>
          </cell>
          <cell r="E12351">
            <v>49154.797999999995</v>
          </cell>
          <cell r="F12351">
            <v>11</v>
          </cell>
        </row>
        <row r="12352">
          <cell r="A12352">
            <v>2019</v>
          </cell>
          <cell r="B12352" t="str">
            <v>Actual</v>
          </cell>
          <cell r="C12352" t="str">
            <v>Nov</v>
          </cell>
          <cell r="D12352" t="str">
            <v>Tables</v>
          </cell>
          <cell r="E12352">
            <v>329295.91099999996</v>
          </cell>
          <cell r="F12352">
            <v>11</v>
          </cell>
        </row>
        <row r="12353">
          <cell r="A12353">
            <v>2019</v>
          </cell>
          <cell r="B12353" t="str">
            <v>Budget</v>
          </cell>
          <cell r="C12353" t="str">
            <v>Nov</v>
          </cell>
          <cell r="D12353" t="str">
            <v>Kitchen</v>
          </cell>
          <cell r="E12353">
            <v>528280.65500000003</v>
          </cell>
          <cell r="F12353">
            <v>11</v>
          </cell>
        </row>
        <row r="12354">
          <cell r="A12354">
            <v>2019</v>
          </cell>
          <cell r="B12354" t="str">
            <v>Actual</v>
          </cell>
          <cell r="C12354" t="str">
            <v>Nov</v>
          </cell>
          <cell r="D12354" t="str">
            <v>Chairs</v>
          </cell>
          <cell r="E12354">
            <v>2089661.098</v>
          </cell>
          <cell r="F12354">
            <v>11</v>
          </cell>
        </row>
        <row r="12355">
          <cell r="A12355">
            <v>2019</v>
          </cell>
          <cell r="B12355" t="str">
            <v>Budget</v>
          </cell>
          <cell r="C12355" t="str">
            <v>Nov</v>
          </cell>
          <cell r="D12355" t="str">
            <v>Chairs</v>
          </cell>
          <cell r="E12355">
            <v>245571.37499999997</v>
          </cell>
          <cell r="F12355">
            <v>11</v>
          </cell>
        </row>
        <row r="12356">
          <cell r="A12356">
            <v>2019</v>
          </cell>
          <cell r="B12356" t="str">
            <v>Actual</v>
          </cell>
          <cell r="C12356" t="str">
            <v>Nov</v>
          </cell>
          <cell r="D12356" t="str">
            <v>Chairs</v>
          </cell>
          <cell r="E12356">
            <v>149083.48699999999</v>
          </cell>
          <cell r="F12356">
            <v>11</v>
          </cell>
        </row>
        <row r="12357">
          <cell r="A12357">
            <v>2019</v>
          </cell>
          <cell r="B12357" t="str">
            <v>Budget</v>
          </cell>
          <cell r="C12357" t="str">
            <v>Nov</v>
          </cell>
          <cell r="D12357" t="str">
            <v>Chairs</v>
          </cell>
          <cell r="E12357">
            <v>43171.981999999996</v>
          </cell>
          <cell r="F12357">
            <v>11</v>
          </cell>
        </row>
        <row r="12358">
          <cell r="A12358">
            <v>2018</v>
          </cell>
          <cell r="B12358" t="str">
            <v>Actual</v>
          </cell>
          <cell r="C12358" t="str">
            <v>Nov</v>
          </cell>
          <cell r="D12358" t="str">
            <v>Chairs</v>
          </cell>
          <cell r="E12358">
            <v>1394920.618</v>
          </cell>
          <cell r="F12358">
            <v>11</v>
          </cell>
        </row>
        <row r="12359">
          <cell r="A12359">
            <v>2019</v>
          </cell>
          <cell r="B12359" t="str">
            <v>Budget</v>
          </cell>
          <cell r="C12359" t="str">
            <v>Nov</v>
          </cell>
          <cell r="D12359" t="str">
            <v>Tables</v>
          </cell>
          <cell r="E12359">
            <v>612875.91399999999</v>
          </cell>
          <cell r="F12359">
            <v>11</v>
          </cell>
        </row>
        <row r="12360">
          <cell r="A12360">
            <v>2019</v>
          </cell>
          <cell r="B12360" t="str">
            <v>Actual</v>
          </cell>
          <cell r="C12360" t="str">
            <v>Nov</v>
          </cell>
          <cell r="D12360" t="str">
            <v>Kitchen</v>
          </cell>
          <cell r="E12360">
            <v>178850.182</v>
          </cell>
          <cell r="F12360">
            <v>11</v>
          </cell>
        </row>
        <row r="12361">
          <cell r="A12361">
            <v>2018</v>
          </cell>
          <cell r="B12361" t="str">
            <v>Budget</v>
          </cell>
          <cell r="C12361" t="str">
            <v>Nov</v>
          </cell>
          <cell r="D12361" t="str">
            <v>Chairs</v>
          </cell>
          <cell r="E12361">
            <v>19064.814999999999</v>
          </cell>
          <cell r="F12361">
            <v>11</v>
          </cell>
        </row>
        <row r="12362">
          <cell r="A12362">
            <v>2018</v>
          </cell>
          <cell r="B12362" t="str">
            <v>Actual</v>
          </cell>
          <cell r="C12362" t="str">
            <v>Nov</v>
          </cell>
          <cell r="D12362" t="str">
            <v>Chairs</v>
          </cell>
          <cell r="E12362">
            <v>2494663.6889999998</v>
          </cell>
          <cell r="F12362">
            <v>11</v>
          </cell>
        </row>
        <row r="12363">
          <cell r="A12363">
            <v>2018</v>
          </cell>
          <cell r="B12363" t="str">
            <v>Budget</v>
          </cell>
          <cell r="C12363" t="str">
            <v>Nov</v>
          </cell>
          <cell r="D12363" t="str">
            <v>Chairs</v>
          </cell>
          <cell r="E12363">
            <v>415772.09099999996</v>
          </cell>
          <cell r="F12363">
            <v>11</v>
          </cell>
        </row>
        <row r="12364">
          <cell r="A12364">
            <v>2018</v>
          </cell>
          <cell r="B12364" t="str">
            <v>Actual</v>
          </cell>
          <cell r="C12364" t="str">
            <v>Nov</v>
          </cell>
          <cell r="D12364" t="str">
            <v>Tables</v>
          </cell>
          <cell r="E12364">
            <v>26208.287</v>
          </cell>
          <cell r="F12364">
            <v>11</v>
          </cell>
        </row>
        <row r="12365">
          <cell r="A12365">
            <v>2019</v>
          </cell>
          <cell r="B12365" t="str">
            <v>Budget</v>
          </cell>
          <cell r="C12365" t="str">
            <v>Nov</v>
          </cell>
          <cell r="D12365" t="str">
            <v>Kitchen</v>
          </cell>
          <cell r="E12365">
            <v>370162.1</v>
          </cell>
          <cell r="F12365">
            <v>11</v>
          </cell>
        </row>
        <row r="12366">
          <cell r="A12366">
            <v>2019</v>
          </cell>
          <cell r="B12366" t="str">
            <v>Actual</v>
          </cell>
          <cell r="C12366" t="str">
            <v>Nov</v>
          </cell>
          <cell r="D12366" t="str">
            <v>Chairs</v>
          </cell>
          <cell r="E12366">
            <v>607655.51</v>
          </cell>
          <cell r="F12366">
            <v>11</v>
          </cell>
        </row>
        <row r="12367">
          <cell r="A12367">
            <v>2019</v>
          </cell>
          <cell r="B12367" t="str">
            <v>Budget</v>
          </cell>
          <cell r="C12367" t="str">
            <v>Nov</v>
          </cell>
          <cell r="D12367" t="str">
            <v>Chairs</v>
          </cell>
          <cell r="E12367">
            <v>266474.54399999999</v>
          </cell>
          <cell r="F12367">
            <v>11</v>
          </cell>
        </row>
        <row r="12368">
          <cell r="A12368">
            <v>2019</v>
          </cell>
          <cell r="B12368" t="str">
            <v>Actual</v>
          </cell>
          <cell r="C12368" t="str">
            <v>Nov</v>
          </cell>
          <cell r="D12368" t="str">
            <v>Tables</v>
          </cell>
          <cell r="E12368">
            <v>171290.81200000001</v>
          </cell>
          <cell r="F12368">
            <v>11</v>
          </cell>
        </row>
        <row r="12369">
          <cell r="A12369">
            <v>2019</v>
          </cell>
          <cell r="B12369" t="str">
            <v>Budget</v>
          </cell>
          <cell r="C12369" t="str">
            <v>Nov</v>
          </cell>
          <cell r="D12369" t="str">
            <v>Kitchen</v>
          </cell>
          <cell r="E12369">
            <v>123339.62199999999</v>
          </cell>
          <cell r="F12369">
            <v>11</v>
          </cell>
        </row>
        <row r="12370">
          <cell r="A12370">
            <v>2019</v>
          </cell>
          <cell r="B12370" t="str">
            <v>Actual</v>
          </cell>
          <cell r="C12370" t="str">
            <v>Nov</v>
          </cell>
          <cell r="D12370" t="str">
            <v>Chairs</v>
          </cell>
          <cell r="E12370">
            <v>10099.725999999999</v>
          </cell>
          <cell r="F12370">
            <v>11</v>
          </cell>
        </row>
        <row r="12371">
          <cell r="A12371">
            <v>2018</v>
          </cell>
          <cell r="B12371" t="str">
            <v>Budget</v>
          </cell>
          <cell r="C12371" t="str">
            <v>Nov</v>
          </cell>
          <cell r="D12371" t="str">
            <v>Chairs</v>
          </cell>
          <cell r="E12371">
            <v>10099.725999999999</v>
          </cell>
          <cell r="F12371">
            <v>11</v>
          </cell>
        </row>
        <row r="12372">
          <cell r="A12372">
            <v>2018</v>
          </cell>
          <cell r="B12372" t="str">
            <v>Actual</v>
          </cell>
          <cell r="C12372" t="str">
            <v>Nov</v>
          </cell>
          <cell r="D12372" t="str">
            <v>Tables</v>
          </cell>
          <cell r="E12372">
            <v>-4462.079999999999</v>
          </cell>
          <cell r="F12372">
            <v>11</v>
          </cell>
        </row>
        <row r="12373">
          <cell r="A12373">
            <v>2018</v>
          </cell>
          <cell r="B12373" t="str">
            <v>Budget</v>
          </cell>
          <cell r="C12373" t="str">
            <v>Nov</v>
          </cell>
          <cell r="D12373" t="str">
            <v>Chairs</v>
          </cell>
          <cell r="E12373">
            <v>68804.50499999999</v>
          </cell>
          <cell r="F12373">
            <v>11</v>
          </cell>
        </row>
        <row r="12374">
          <cell r="A12374">
            <v>2018</v>
          </cell>
          <cell r="B12374" t="str">
            <v>Actual</v>
          </cell>
          <cell r="C12374" t="str">
            <v>Nov</v>
          </cell>
          <cell r="D12374" t="str">
            <v>Tables</v>
          </cell>
          <cell r="E12374">
            <v>43859.557000000001</v>
          </cell>
          <cell r="F12374">
            <v>11</v>
          </cell>
        </row>
        <row r="12375">
          <cell r="A12375">
            <v>2018</v>
          </cell>
          <cell r="B12375" t="str">
            <v>Budget</v>
          </cell>
          <cell r="C12375" t="str">
            <v>Nov</v>
          </cell>
          <cell r="D12375" t="str">
            <v>Kitchen</v>
          </cell>
          <cell r="E12375">
            <v>40697986.923999995</v>
          </cell>
          <cell r="F12375">
            <v>11</v>
          </cell>
        </row>
        <row r="12376">
          <cell r="A12376">
            <v>2019</v>
          </cell>
          <cell r="B12376" t="str">
            <v>Actual</v>
          </cell>
          <cell r="C12376" t="str">
            <v>Nov</v>
          </cell>
          <cell r="D12376" t="str">
            <v>Accessories</v>
          </cell>
          <cell r="E12376">
            <v>5766.32</v>
          </cell>
          <cell r="F12376">
            <v>11</v>
          </cell>
        </row>
        <row r="12377">
          <cell r="A12377">
            <v>2018</v>
          </cell>
          <cell r="B12377" t="str">
            <v>Budget</v>
          </cell>
          <cell r="C12377" t="str">
            <v>Nov</v>
          </cell>
          <cell r="D12377" t="str">
            <v>Chairs</v>
          </cell>
          <cell r="E12377">
            <v>13140.819999999998</v>
          </cell>
          <cell r="F12377">
            <v>11</v>
          </cell>
        </row>
        <row r="12378">
          <cell r="A12378">
            <v>2018</v>
          </cell>
          <cell r="B12378" t="str">
            <v>Actual</v>
          </cell>
          <cell r="C12378" t="str">
            <v>Nov</v>
          </cell>
          <cell r="D12378" t="str">
            <v>Tables</v>
          </cell>
          <cell r="E12378">
            <v>141190.55999999997</v>
          </cell>
          <cell r="F12378">
            <v>11</v>
          </cell>
        </row>
        <row r="12379">
          <cell r="A12379">
            <v>2018</v>
          </cell>
          <cell r="B12379" t="str">
            <v>Budget</v>
          </cell>
          <cell r="C12379" t="str">
            <v>Nov</v>
          </cell>
          <cell r="D12379" t="str">
            <v>Kitchen</v>
          </cell>
          <cell r="E12379">
            <v>121462.88699999999</v>
          </cell>
          <cell r="F12379">
            <v>11</v>
          </cell>
        </row>
        <row r="12380">
          <cell r="A12380">
            <v>2019</v>
          </cell>
          <cell r="B12380" t="str">
            <v>Actual</v>
          </cell>
          <cell r="C12380" t="str">
            <v>Nov</v>
          </cell>
          <cell r="D12380" t="str">
            <v>Accessories</v>
          </cell>
          <cell r="E12380">
            <v>74469.100999999995</v>
          </cell>
          <cell r="F12380">
            <v>11</v>
          </cell>
        </row>
        <row r="12381">
          <cell r="A12381">
            <v>2019</v>
          </cell>
          <cell r="B12381" t="str">
            <v>Budget</v>
          </cell>
          <cell r="C12381" t="str">
            <v>Nov</v>
          </cell>
          <cell r="D12381" t="str">
            <v>Chairs</v>
          </cell>
          <cell r="E12381">
            <v>368.10199999999998</v>
          </cell>
          <cell r="F12381">
            <v>11</v>
          </cell>
        </row>
        <row r="12382">
          <cell r="A12382">
            <v>2019</v>
          </cell>
          <cell r="B12382" t="str">
            <v>Actual</v>
          </cell>
          <cell r="C12382" t="str">
            <v>Nov</v>
          </cell>
          <cell r="D12382" t="str">
            <v>Tables</v>
          </cell>
          <cell r="E12382">
            <v>9984697.5409999993</v>
          </cell>
          <cell r="F12382">
            <v>11</v>
          </cell>
        </row>
        <row r="12383">
          <cell r="A12383">
            <v>2019</v>
          </cell>
          <cell r="B12383" t="str">
            <v>Budget</v>
          </cell>
          <cell r="C12383" t="str">
            <v>Nov</v>
          </cell>
          <cell r="D12383" t="str">
            <v>Kitchen</v>
          </cell>
          <cell r="E12383">
            <v>45879.224999999999</v>
          </cell>
          <cell r="F12383">
            <v>11</v>
          </cell>
        </row>
        <row r="12384">
          <cell r="A12384">
            <v>2019</v>
          </cell>
          <cell r="B12384" t="str">
            <v>Actual</v>
          </cell>
          <cell r="C12384" t="str">
            <v>Nov</v>
          </cell>
          <cell r="D12384" t="str">
            <v>Accessories</v>
          </cell>
          <cell r="E12384">
            <v>74462.962</v>
          </cell>
          <cell r="F12384">
            <v>11</v>
          </cell>
        </row>
        <row r="12385">
          <cell r="A12385">
            <v>2018</v>
          </cell>
          <cell r="B12385" t="str">
            <v>Budget</v>
          </cell>
          <cell r="C12385" t="str">
            <v>Nov</v>
          </cell>
          <cell r="D12385" t="str">
            <v>Chairs</v>
          </cell>
          <cell r="E12385">
            <v>4045.7129999999997</v>
          </cell>
          <cell r="F12385">
            <v>11</v>
          </cell>
        </row>
        <row r="12386">
          <cell r="A12386">
            <v>2019</v>
          </cell>
          <cell r="B12386" t="str">
            <v>Actual</v>
          </cell>
          <cell r="C12386" t="str">
            <v>Nov</v>
          </cell>
          <cell r="D12386" t="str">
            <v>Tables</v>
          </cell>
          <cell r="E12386">
            <v>2528.4769999999999</v>
          </cell>
          <cell r="F12386">
            <v>11</v>
          </cell>
        </row>
        <row r="12387">
          <cell r="A12387">
            <v>2018</v>
          </cell>
          <cell r="B12387" t="str">
            <v>Budget</v>
          </cell>
          <cell r="C12387" t="str">
            <v>Nov</v>
          </cell>
          <cell r="D12387" t="str">
            <v>Kitchen</v>
          </cell>
          <cell r="E12387">
            <v>47352.563999999998</v>
          </cell>
          <cell r="F12387">
            <v>11</v>
          </cell>
        </row>
        <row r="12388">
          <cell r="A12388">
            <v>2018</v>
          </cell>
          <cell r="B12388" t="str">
            <v>Actual</v>
          </cell>
          <cell r="C12388" t="str">
            <v>Nov</v>
          </cell>
          <cell r="D12388" t="str">
            <v>Accessories</v>
          </cell>
          <cell r="E12388">
            <v>26458.733</v>
          </cell>
          <cell r="F12388">
            <v>11</v>
          </cell>
        </row>
        <row r="12389">
          <cell r="A12389">
            <v>2019</v>
          </cell>
          <cell r="B12389" t="str">
            <v>Budget</v>
          </cell>
          <cell r="C12389" t="str">
            <v>Nov</v>
          </cell>
          <cell r="D12389" t="str">
            <v>Chairs</v>
          </cell>
          <cell r="E12389">
            <v>-38165.364999999998</v>
          </cell>
          <cell r="F12389">
            <v>11</v>
          </cell>
        </row>
        <row r="12390">
          <cell r="A12390">
            <v>2018</v>
          </cell>
          <cell r="B12390" t="str">
            <v>Actual</v>
          </cell>
          <cell r="C12390" t="str">
            <v>Nov</v>
          </cell>
          <cell r="D12390" t="str">
            <v>Chairs</v>
          </cell>
          <cell r="E12390">
            <v>43721635.579999998</v>
          </cell>
          <cell r="F12390">
            <v>11</v>
          </cell>
        </row>
        <row r="12391">
          <cell r="A12391">
            <v>2018</v>
          </cell>
          <cell r="B12391" t="str">
            <v>Budget</v>
          </cell>
          <cell r="C12391" t="str">
            <v>Nov</v>
          </cell>
          <cell r="D12391" t="str">
            <v>Tables</v>
          </cell>
          <cell r="E12391">
            <v>161605.38799999998</v>
          </cell>
          <cell r="F12391">
            <v>11</v>
          </cell>
        </row>
        <row r="12392">
          <cell r="A12392">
            <v>2018</v>
          </cell>
          <cell r="B12392" t="str">
            <v>Actual</v>
          </cell>
          <cell r="C12392" t="str">
            <v>Nov</v>
          </cell>
          <cell r="D12392" t="str">
            <v>Kitchen</v>
          </cell>
          <cell r="E12392">
            <v>6268.857</v>
          </cell>
          <cell r="F12392">
            <v>11</v>
          </cell>
        </row>
        <row r="12393">
          <cell r="A12393">
            <v>2018</v>
          </cell>
          <cell r="B12393" t="str">
            <v>Budget</v>
          </cell>
          <cell r="C12393" t="str">
            <v>Nov</v>
          </cell>
          <cell r="D12393" t="str">
            <v>Chairs</v>
          </cell>
          <cell r="E12393">
            <v>8911.3780000000006</v>
          </cell>
          <cell r="F12393">
            <v>11</v>
          </cell>
        </row>
        <row r="12394">
          <cell r="A12394">
            <v>2018</v>
          </cell>
          <cell r="B12394" t="str">
            <v>Actual</v>
          </cell>
          <cell r="C12394" t="str">
            <v>Nov</v>
          </cell>
          <cell r="D12394" t="str">
            <v>Tables</v>
          </cell>
          <cell r="E12394">
            <v>7665.1259999999993</v>
          </cell>
          <cell r="F12394">
            <v>11</v>
          </cell>
        </row>
        <row r="12395">
          <cell r="A12395">
            <v>2018</v>
          </cell>
          <cell r="B12395" t="str">
            <v>Budget</v>
          </cell>
          <cell r="C12395" t="str">
            <v>Nov</v>
          </cell>
          <cell r="D12395" t="str">
            <v>Kitchen</v>
          </cell>
          <cell r="E12395">
            <v>2588.9919999999997</v>
          </cell>
          <cell r="F12395">
            <v>11</v>
          </cell>
        </row>
        <row r="12396">
          <cell r="A12396">
            <v>2018</v>
          </cell>
          <cell r="B12396" t="str">
            <v>Actual</v>
          </cell>
          <cell r="C12396" t="str">
            <v>Nov</v>
          </cell>
          <cell r="D12396" t="str">
            <v>Chairs</v>
          </cell>
          <cell r="E12396">
            <v>18129.145999999997</v>
          </cell>
          <cell r="F12396">
            <v>11</v>
          </cell>
        </row>
        <row r="12397">
          <cell r="A12397">
            <v>2019</v>
          </cell>
          <cell r="B12397" t="str">
            <v>Budget</v>
          </cell>
          <cell r="C12397" t="str">
            <v>Nov</v>
          </cell>
          <cell r="D12397" t="str">
            <v>Tables</v>
          </cell>
          <cell r="E12397">
            <v>63982.86299999999</v>
          </cell>
          <cell r="F12397">
            <v>11</v>
          </cell>
        </row>
        <row r="12398">
          <cell r="A12398">
            <v>2019</v>
          </cell>
          <cell r="B12398" t="str">
            <v>Actual</v>
          </cell>
          <cell r="C12398" t="str">
            <v>Nov</v>
          </cell>
          <cell r="D12398" t="str">
            <v>Kitchen</v>
          </cell>
          <cell r="E12398">
            <v>38332.314999999995</v>
          </cell>
          <cell r="F12398">
            <v>11</v>
          </cell>
        </row>
        <row r="12399">
          <cell r="A12399">
            <v>2018</v>
          </cell>
          <cell r="B12399" t="str">
            <v>Budget</v>
          </cell>
          <cell r="C12399" t="str">
            <v>Nov</v>
          </cell>
          <cell r="D12399" t="str">
            <v>Chairs</v>
          </cell>
          <cell r="E12399">
            <v>54386.562999999995</v>
          </cell>
          <cell r="F12399">
            <v>11</v>
          </cell>
        </row>
        <row r="12400">
          <cell r="A12400">
            <v>2019</v>
          </cell>
          <cell r="B12400" t="str">
            <v>Actual</v>
          </cell>
          <cell r="C12400" t="str">
            <v>Nov</v>
          </cell>
          <cell r="D12400" t="str">
            <v>Chairs</v>
          </cell>
          <cell r="E12400">
            <v>11735.052</v>
          </cell>
          <cell r="F12400">
            <v>11</v>
          </cell>
        </row>
        <row r="12401">
          <cell r="A12401">
            <v>2018</v>
          </cell>
          <cell r="B12401" t="str">
            <v>Budget</v>
          </cell>
          <cell r="C12401" t="str">
            <v>Nov</v>
          </cell>
          <cell r="D12401" t="str">
            <v>Chairs</v>
          </cell>
          <cell r="E12401">
            <v>795.76699999999994</v>
          </cell>
          <cell r="F12401">
            <v>11</v>
          </cell>
        </row>
        <row r="12402">
          <cell r="A12402">
            <v>2018</v>
          </cell>
          <cell r="B12402" t="str">
            <v>Actual</v>
          </cell>
          <cell r="C12402" t="str">
            <v>Nov</v>
          </cell>
          <cell r="D12402" t="str">
            <v>Chairs</v>
          </cell>
          <cell r="E12402">
            <v>44983.756999999998</v>
          </cell>
          <cell r="F12402">
            <v>11</v>
          </cell>
        </row>
        <row r="12403">
          <cell r="A12403">
            <v>2019</v>
          </cell>
          <cell r="B12403" t="str">
            <v>Budget</v>
          </cell>
          <cell r="C12403" t="str">
            <v>Nov</v>
          </cell>
          <cell r="D12403" t="str">
            <v>Chairs</v>
          </cell>
          <cell r="E12403">
            <v>136579.76500000001</v>
          </cell>
          <cell r="F12403">
            <v>11</v>
          </cell>
        </row>
        <row r="12404">
          <cell r="A12404">
            <v>2018</v>
          </cell>
          <cell r="B12404" t="str">
            <v>Actual</v>
          </cell>
          <cell r="C12404" t="str">
            <v>Nov</v>
          </cell>
          <cell r="D12404" t="str">
            <v>Chairs</v>
          </cell>
          <cell r="E12404">
            <v>23246252.630999997</v>
          </cell>
          <cell r="F12404">
            <v>11</v>
          </cell>
        </row>
        <row r="12405">
          <cell r="A12405">
            <v>2018</v>
          </cell>
          <cell r="B12405" t="str">
            <v>Budget</v>
          </cell>
          <cell r="C12405" t="str">
            <v>Nov</v>
          </cell>
          <cell r="D12405" t="str">
            <v>Chairs</v>
          </cell>
          <cell r="E12405">
            <v>24810.456999999999</v>
          </cell>
          <cell r="F12405">
            <v>11</v>
          </cell>
        </row>
        <row r="12406">
          <cell r="A12406">
            <v>2018</v>
          </cell>
          <cell r="B12406" t="str">
            <v>Actual</v>
          </cell>
          <cell r="C12406" t="str">
            <v>Nov</v>
          </cell>
          <cell r="D12406" t="str">
            <v>Chairs</v>
          </cell>
          <cell r="E12406">
            <v>602526.73599999992</v>
          </cell>
          <cell r="F12406">
            <v>11</v>
          </cell>
        </row>
        <row r="12407">
          <cell r="A12407">
            <v>2019</v>
          </cell>
          <cell r="B12407" t="str">
            <v>Budget</v>
          </cell>
          <cell r="C12407" t="str">
            <v>Nov</v>
          </cell>
          <cell r="D12407" t="str">
            <v>Chairs</v>
          </cell>
          <cell r="E12407">
            <v>82883.569999999992</v>
          </cell>
          <cell r="F12407">
            <v>11</v>
          </cell>
        </row>
        <row r="12408">
          <cell r="A12408">
            <v>2019</v>
          </cell>
          <cell r="B12408" t="str">
            <v>Actual</v>
          </cell>
          <cell r="C12408" t="str">
            <v>Nov</v>
          </cell>
          <cell r="D12408" t="str">
            <v>Chairs</v>
          </cell>
          <cell r="E12408">
            <v>279426.95899999997</v>
          </cell>
          <cell r="F12408">
            <v>11</v>
          </cell>
        </row>
        <row r="12409">
          <cell r="A12409">
            <v>2018</v>
          </cell>
          <cell r="B12409" t="str">
            <v>Budget</v>
          </cell>
          <cell r="C12409" t="str">
            <v>Nov</v>
          </cell>
          <cell r="D12409" t="str">
            <v>Chairs</v>
          </cell>
          <cell r="E12409">
            <v>457090.79499999998</v>
          </cell>
          <cell r="F12409">
            <v>11</v>
          </cell>
        </row>
        <row r="12410">
          <cell r="A12410">
            <v>2019</v>
          </cell>
          <cell r="B12410" t="str">
            <v>Actual</v>
          </cell>
          <cell r="C12410" t="str">
            <v>Nov</v>
          </cell>
          <cell r="D12410" t="str">
            <v>Chairs</v>
          </cell>
          <cell r="E12410">
            <v>87900.266999999993</v>
          </cell>
          <cell r="F12410">
            <v>11</v>
          </cell>
        </row>
        <row r="12411">
          <cell r="A12411">
            <v>2018</v>
          </cell>
          <cell r="B12411" t="str">
            <v>Budget</v>
          </cell>
          <cell r="C12411" t="str">
            <v>Nov</v>
          </cell>
          <cell r="D12411" t="str">
            <v>Chairs</v>
          </cell>
          <cell r="E12411">
            <v>823291.74899999995</v>
          </cell>
          <cell r="F12411">
            <v>11</v>
          </cell>
        </row>
        <row r="12412">
          <cell r="A12412">
            <v>2018</v>
          </cell>
          <cell r="B12412" t="str">
            <v>Actual</v>
          </cell>
          <cell r="C12412" t="str">
            <v>Nov</v>
          </cell>
          <cell r="D12412" t="str">
            <v>Chairs</v>
          </cell>
          <cell r="E12412">
            <v>11912.228999999999</v>
          </cell>
          <cell r="F12412">
            <v>11</v>
          </cell>
        </row>
        <row r="12413">
          <cell r="A12413">
            <v>2018</v>
          </cell>
          <cell r="B12413" t="str">
            <v>Budget</v>
          </cell>
          <cell r="C12413" t="str">
            <v>Nov</v>
          </cell>
          <cell r="D12413" t="str">
            <v>Chairs</v>
          </cell>
          <cell r="E12413">
            <v>1129861.3130000001</v>
          </cell>
          <cell r="F12413">
            <v>11</v>
          </cell>
        </row>
        <row r="12414">
          <cell r="A12414">
            <v>2018</v>
          </cell>
          <cell r="B12414" t="str">
            <v>Actual</v>
          </cell>
          <cell r="C12414" t="str">
            <v>Nov</v>
          </cell>
          <cell r="D12414" t="str">
            <v>Chairs</v>
          </cell>
          <cell r="E12414">
            <v>59081.385999999991</v>
          </cell>
          <cell r="F12414">
            <v>11</v>
          </cell>
        </row>
        <row r="12415">
          <cell r="A12415">
            <v>2018</v>
          </cell>
          <cell r="B12415" t="str">
            <v>Budget</v>
          </cell>
          <cell r="C12415" t="str">
            <v>Nov</v>
          </cell>
          <cell r="D12415" t="str">
            <v>Chairs</v>
          </cell>
          <cell r="E12415">
            <v>371772.86299999995</v>
          </cell>
          <cell r="F12415">
            <v>11</v>
          </cell>
        </row>
        <row r="12416">
          <cell r="A12416">
            <v>2019</v>
          </cell>
          <cell r="B12416" t="str">
            <v>Actual</v>
          </cell>
          <cell r="C12416" t="str">
            <v>Nov</v>
          </cell>
          <cell r="D12416" t="str">
            <v>Chairs</v>
          </cell>
          <cell r="E12416">
            <v>470242.22699999996</v>
          </cell>
          <cell r="F12416">
            <v>11</v>
          </cell>
        </row>
        <row r="12417">
          <cell r="A12417">
            <v>2019</v>
          </cell>
          <cell r="B12417" t="str">
            <v>Budget</v>
          </cell>
          <cell r="C12417" t="str">
            <v>Nov</v>
          </cell>
          <cell r="D12417" t="str">
            <v>Chairs</v>
          </cell>
          <cell r="E12417">
            <v>81424.041999999987</v>
          </cell>
          <cell r="F12417">
            <v>11</v>
          </cell>
        </row>
        <row r="12418">
          <cell r="A12418">
            <v>2018</v>
          </cell>
          <cell r="B12418" t="str">
            <v>Actual</v>
          </cell>
          <cell r="C12418" t="str">
            <v>Nov</v>
          </cell>
          <cell r="D12418" t="str">
            <v>Chairs</v>
          </cell>
          <cell r="E12418">
            <v>73666.963999999993</v>
          </cell>
          <cell r="F12418">
            <v>11</v>
          </cell>
        </row>
        <row r="12419">
          <cell r="A12419">
            <v>2018</v>
          </cell>
          <cell r="B12419" t="str">
            <v>Budget</v>
          </cell>
          <cell r="C12419" t="str">
            <v>Nov</v>
          </cell>
          <cell r="D12419" t="str">
            <v>Chairs</v>
          </cell>
          <cell r="E12419">
            <v>23963.463999999996</v>
          </cell>
          <cell r="F12419">
            <v>11</v>
          </cell>
        </row>
        <row r="12420">
          <cell r="A12420">
            <v>2019</v>
          </cell>
          <cell r="B12420" t="str">
            <v>Actual</v>
          </cell>
          <cell r="C12420" t="str">
            <v>Nov</v>
          </cell>
          <cell r="D12420" t="str">
            <v>Chairs</v>
          </cell>
          <cell r="E12420">
            <v>147503.29299999998</v>
          </cell>
          <cell r="F12420">
            <v>11</v>
          </cell>
        </row>
        <row r="12421">
          <cell r="A12421">
            <v>2018</v>
          </cell>
          <cell r="B12421" t="str">
            <v>Budget</v>
          </cell>
          <cell r="C12421" t="str">
            <v>Nov</v>
          </cell>
          <cell r="D12421" t="str">
            <v>Chairs</v>
          </cell>
          <cell r="E12421">
            <v>34811.336000000003</v>
          </cell>
          <cell r="F12421">
            <v>11</v>
          </cell>
        </row>
        <row r="12422">
          <cell r="A12422">
            <v>2018</v>
          </cell>
          <cell r="B12422" t="str">
            <v>Actual</v>
          </cell>
          <cell r="C12422" t="str">
            <v>Nov</v>
          </cell>
          <cell r="D12422" t="str">
            <v>Chairs</v>
          </cell>
          <cell r="E12422">
            <v>-102368.315</v>
          </cell>
          <cell r="F12422">
            <v>11</v>
          </cell>
        </row>
        <row r="12423">
          <cell r="A12423">
            <v>2018</v>
          </cell>
          <cell r="B12423" t="str">
            <v>Budget</v>
          </cell>
          <cell r="C12423" t="str">
            <v>Nov</v>
          </cell>
          <cell r="D12423" t="str">
            <v>Chairs</v>
          </cell>
          <cell r="E12423">
            <v>649397.75599999994</v>
          </cell>
          <cell r="F12423">
            <v>11</v>
          </cell>
        </row>
        <row r="12424">
          <cell r="A12424">
            <v>2019</v>
          </cell>
          <cell r="B12424" t="str">
            <v>Actual</v>
          </cell>
          <cell r="C12424" t="str">
            <v>Nov</v>
          </cell>
          <cell r="D12424" t="str">
            <v>Chairs</v>
          </cell>
          <cell r="E12424">
            <v>-85739.34599999999</v>
          </cell>
          <cell r="F12424">
            <v>11</v>
          </cell>
        </row>
        <row r="12425">
          <cell r="A12425">
            <v>2019</v>
          </cell>
          <cell r="B12425" t="str">
            <v>Budget</v>
          </cell>
          <cell r="C12425" t="str">
            <v>Nov</v>
          </cell>
          <cell r="D12425" t="str">
            <v>Tables</v>
          </cell>
          <cell r="E12425">
            <v>21973.566999999999</v>
          </cell>
          <cell r="F12425">
            <v>11</v>
          </cell>
        </row>
        <row r="12426">
          <cell r="A12426">
            <v>2018</v>
          </cell>
          <cell r="B12426" t="str">
            <v>Actual</v>
          </cell>
          <cell r="C12426" t="str">
            <v>Nov</v>
          </cell>
          <cell r="D12426" t="str">
            <v>Kitchen</v>
          </cell>
          <cell r="E12426">
            <v>522392.98999999993</v>
          </cell>
          <cell r="F12426">
            <v>11</v>
          </cell>
        </row>
        <row r="12427">
          <cell r="A12427">
            <v>2019</v>
          </cell>
          <cell r="B12427" t="str">
            <v>Budget</v>
          </cell>
          <cell r="C12427" t="str">
            <v>Nov</v>
          </cell>
          <cell r="D12427" t="str">
            <v>Chairs</v>
          </cell>
          <cell r="E12427">
            <v>34484.828000000001</v>
          </cell>
          <cell r="F12427">
            <v>11</v>
          </cell>
        </row>
        <row r="12428">
          <cell r="A12428">
            <v>2018</v>
          </cell>
          <cell r="B12428" t="str">
            <v>Actual</v>
          </cell>
          <cell r="C12428" t="str">
            <v>Nov</v>
          </cell>
          <cell r="D12428" t="str">
            <v>Chairs</v>
          </cell>
          <cell r="E12428">
            <v>33720.623999999996</v>
          </cell>
          <cell r="F12428">
            <v>11</v>
          </cell>
        </row>
        <row r="12429">
          <cell r="A12429">
            <v>2018</v>
          </cell>
          <cell r="B12429" t="str">
            <v>Budget</v>
          </cell>
          <cell r="C12429" t="str">
            <v>Nov</v>
          </cell>
          <cell r="D12429" t="str">
            <v>Chairs</v>
          </cell>
          <cell r="E12429">
            <v>150311.73499999999</v>
          </cell>
          <cell r="F12429">
            <v>11</v>
          </cell>
        </row>
        <row r="12430">
          <cell r="A12430">
            <v>2018</v>
          </cell>
          <cell r="B12430" t="str">
            <v>Actual</v>
          </cell>
          <cell r="C12430" t="str">
            <v>Nov</v>
          </cell>
          <cell r="D12430" t="str">
            <v>Chairs</v>
          </cell>
          <cell r="E12430">
            <v>65460.625999999989</v>
          </cell>
          <cell r="F12430">
            <v>11</v>
          </cell>
        </row>
        <row r="12431">
          <cell r="A12431">
            <v>2019</v>
          </cell>
          <cell r="B12431" t="str">
            <v>Budget</v>
          </cell>
          <cell r="C12431" t="str">
            <v>Nov</v>
          </cell>
          <cell r="D12431" t="str">
            <v>Chairs</v>
          </cell>
          <cell r="E12431">
            <v>90359.912999999986</v>
          </cell>
          <cell r="F12431">
            <v>11</v>
          </cell>
        </row>
        <row r="12432">
          <cell r="A12432">
            <v>2019</v>
          </cell>
          <cell r="B12432" t="str">
            <v>Actual</v>
          </cell>
          <cell r="C12432" t="str">
            <v>Nov</v>
          </cell>
          <cell r="D12432" t="str">
            <v>Tables</v>
          </cell>
          <cell r="E12432">
            <v>1510489.9669999999</v>
          </cell>
          <cell r="F12432">
            <v>11</v>
          </cell>
        </row>
        <row r="12433">
          <cell r="A12433">
            <v>2019</v>
          </cell>
          <cell r="B12433" t="str">
            <v>Budget</v>
          </cell>
          <cell r="C12433" t="str">
            <v>Nov</v>
          </cell>
          <cell r="D12433" t="str">
            <v>Kitchen</v>
          </cell>
          <cell r="E12433">
            <v>351863.55399999995</v>
          </cell>
          <cell r="F12433">
            <v>11</v>
          </cell>
        </row>
        <row r="12434">
          <cell r="A12434">
            <v>2018</v>
          </cell>
          <cell r="B12434" t="str">
            <v>Actual</v>
          </cell>
          <cell r="C12434" t="str">
            <v>Nov</v>
          </cell>
          <cell r="D12434" t="str">
            <v>Chairs</v>
          </cell>
          <cell r="E12434">
            <v>71600.59199999999</v>
          </cell>
          <cell r="F12434">
            <v>11</v>
          </cell>
        </row>
        <row r="12435">
          <cell r="A12435">
            <v>2018</v>
          </cell>
          <cell r="B12435" t="str">
            <v>Budget</v>
          </cell>
          <cell r="C12435" t="str">
            <v>Nov</v>
          </cell>
          <cell r="D12435" t="str">
            <v>Chairs</v>
          </cell>
          <cell r="E12435">
            <v>211416.79299999998</v>
          </cell>
          <cell r="F12435">
            <v>11</v>
          </cell>
        </row>
        <row r="12436">
          <cell r="A12436">
            <v>2019</v>
          </cell>
          <cell r="B12436" t="str">
            <v>Actual</v>
          </cell>
          <cell r="C12436" t="str">
            <v>Nov</v>
          </cell>
          <cell r="D12436" t="str">
            <v>Chairs</v>
          </cell>
          <cell r="E12436">
            <v>144259.65399999998</v>
          </cell>
          <cell r="F12436">
            <v>11</v>
          </cell>
        </row>
        <row r="12437">
          <cell r="A12437">
            <v>2019</v>
          </cell>
          <cell r="B12437" t="str">
            <v>Budget</v>
          </cell>
          <cell r="C12437" t="str">
            <v>Nov</v>
          </cell>
          <cell r="D12437" t="str">
            <v>Tables</v>
          </cell>
          <cell r="E12437">
            <v>161508.03200000001</v>
          </cell>
          <cell r="F12437">
            <v>11</v>
          </cell>
        </row>
        <row r="12438">
          <cell r="A12438">
            <v>2019</v>
          </cell>
          <cell r="B12438" t="str">
            <v>Actual</v>
          </cell>
          <cell r="C12438" t="str">
            <v>Nov</v>
          </cell>
          <cell r="D12438" t="str">
            <v>Kitchen</v>
          </cell>
          <cell r="E12438">
            <v>121031.624</v>
          </cell>
          <cell r="F12438">
            <v>11</v>
          </cell>
        </row>
        <row r="12439">
          <cell r="A12439">
            <v>2019</v>
          </cell>
          <cell r="B12439" t="str">
            <v>Budget</v>
          </cell>
          <cell r="C12439" t="str">
            <v>Nov</v>
          </cell>
          <cell r="D12439" t="str">
            <v>Chairs</v>
          </cell>
          <cell r="E12439">
            <v>108999.88399999999</v>
          </cell>
          <cell r="F12439">
            <v>11</v>
          </cell>
        </row>
        <row r="12440">
          <cell r="A12440">
            <v>2019</v>
          </cell>
          <cell r="B12440" t="str">
            <v>Actual</v>
          </cell>
          <cell r="C12440" t="str">
            <v>Nov</v>
          </cell>
          <cell r="D12440" t="str">
            <v>Chairs</v>
          </cell>
          <cell r="E12440">
            <v>58090.472999999998</v>
          </cell>
          <cell r="F12440">
            <v>11</v>
          </cell>
        </row>
        <row r="12441">
          <cell r="A12441">
            <v>2019</v>
          </cell>
          <cell r="B12441" t="str">
            <v>Budget</v>
          </cell>
          <cell r="C12441" t="str">
            <v>Nov</v>
          </cell>
          <cell r="D12441" t="str">
            <v>Tables</v>
          </cell>
          <cell r="E12441">
            <v>42328.271999999997</v>
          </cell>
          <cell r="F12441">
            <v>11</v>
          </cell>
        </row>
        <row r="12442">
          <cell r="A12442">
            <v>2019</v>
          </cell>
          <cell r="B12442" t="str">
            <v>Actual</v>
          </cell>
          <cell r="C12442" t="str">
            <v>Nov</v>
          </cell>
          <cell r="D12442" t="str">
            <v>Kitchen</v>
          </cell>
          <cell r="E12442">
            <v>54380.654999999992</v>
          </cell>
          <cell r="F12442">
            <v>11</v>
          </cell>
        </row>
        <row r="12443">
          <cell r="A12443">
            <v>2019</v>
          </cell>
          <cell r="B12443" t="str">
            <v>Budget</v>
          </cell>
          <cell r="C12443" t="str">
            <v>Nov</v>
          </cell>
          <cell r="D12443" t="str">
            <v>Chairs</v>
          </cell>
          <cell r="E12443">
            <v>131768.77699999997</v>
          </cell>
          <cell r="F12443">
            <v>11</v>
          </cell>
        </row>
        <row r="12444">
          <cell r="A12444">
            <v>2018</v>
          </cell>
          <cell r="B12444" t="str">
            <v>Actual</v>
          </cell>
          <cell r="C12444" t="str">
            <v>Nov</v>
          </cell>
          <cell r="D12444" t="str">
            <v>Chairs</v>
          </cell>
          <cell r="E12444">
            <v>3154378.36</v>
          </cell>
          <cell r="F12444">
            <v>11</v>
          </cell>
        </row>
        <row r="12445">
          <cell r="A12445">
            <v>2018</v>
          </cell>
          <cell r="B12445" t="str">
            <v>Budget</v>
          </cell>
          <cell r="C12445" t="str">
            <v>Nov</v>
          </cell>
          <cell r="D12445" t="str">
            <v>Chairs</v>
          </cell>
          <cell r="E12445">
            <v>66060.602999999988</v>
          </cell>
          <cell r="F12445">
            <v>11</v>
          </cell>
        </row>
        <row r="12446">
          <cell r="A12446">
            <v>2019</v>
          </cell>
          <cell r="B12446" t="str">
            <v>Actual</v>
          </cell>
          <cell r="C12446" t="str">
            <v>Nov</v>
          </cell>
          <cell r="D12446" t="str">
            <v>Tables</v>
          </cell>
          <cell r="E12446">
            <v>180207.68499999997</v>
          </cell>
          <cell r="F12446">
            <v>11</v>
          </cell>
        </row>
        <row r="12447">
          <cell r="A12447">
            <v>2018</v>
          </cell>
          <cell r="B12447" t="str">
            <v>Budget</v>
          </cell>
          <cell r="C12447" t="str">
            <v>Nov</v>
          </cell>
          <cell r="D12447" t="str">
            <v>Kitchen</v>
          </cell>
          <cell r="E12447">
            <v>1439813.6969999999</v>
          </cell>
          <cell r="F12447">
            <v>11</v>
          </cell>
        </row>
        <row r="12448">
          <cell r="A12448">
            <v>2019</v>
          </cell>
          <cell r="B12448" t="str">
            <v>Actual</v>
          </cell>
          <cell r="C12448" t="str">
            <v>Nov</v>
          </cell>
          <cell r="D12448" t="str">
            <v>Accessories</v>
          </cell>
          <cell r="E12448">
            <v>1618861.4189999998</v>
          </cell>
          <cell r="F12448">
            <v>11</v>
          </cell>
        </row>
        <row r="12449">
          <cell r="A12449">
            <v>2019</v>
          </cell>
          <cell r="B12449" t="str">
            <v>Budget</v>
          </cell>
          <cell r="C12449" t="str">
            <v>Nov</v>
          </cell>
          <cell r="D12449" t="str">
            <v>Chairs</v>
          </cell>
          <cell r="E12449">
            <v>648651.75899999996</v>
          </cell>
          <cell r="F12449">
            <v>11</v>
          </cell>
        </row>
        <row r="12450">
          <cell r="A12450">
            <v>2018</v>
          </cell>
          <cell r="B12450" t="str">
            <v>Actual</v>
          </cell>
          <cell r="C12450" t="str">
            <v>Nov</v>
          </cell>
          <cell r="D12450" t="str">
            <v>Tables</v>
          </cell>
          <cell r="E12450">
            <v>28310.233</v>
          </cell>
          <cell r="F12450">
            <v>11</v>
          </cell>
        </row>
        <row r="12451">
          <cell r="A12451">
            <v>2019</v>
          </cell>
          <cell r="B12451" t="str">
            <v>Budget</v>
          </cell>
          <cell r="C12451" t="str">
            <v>Nov</v>
          </cell>
          <cell r="D12451" t="str">
            <v>Kitchen</v>
          </cell>
          <cell r="E12451">
            <v>-485679.40399999992</v>
          </cell>
          <cell r="F12451">
            <v>11</v>
          </cell>
        </row>
        <row r="12452">
          <cell r="A12452">
            <v>2018</v>
          </cell>
          <cell r="B12452" t="str">
            <v>Actual</v>
          </cell>
          <cell r="C12452" t="str">
            <v>Nov</v>
          </cell>
          <cell r="D12452" t="str">
            <v>Accessories</v>
          </cell>
          <cell r="E12452">
            <v>-268246.38399999996</v>
          </cell>
          <cell r="F12452">
            <v>11</v>
          </cell>
        </row>
        <row r="12453">
          <cell r="A12453">
            <v>2018</v>
          </cell>
          <cell r="B12453" t="str">
            <v>Budget</v>
          </cell>
          <cell r="C12453" t="str">
            <v>Nov</v>
          </cell>
          <cell r="D12453" t="str">
            <v>Chairs</v>
          </cell>
          <cell r="E12453">
            <v>5608254.8830000004</v>
          </cell>
          <cell r="F12453">
            <v>11</v>
          </cell>
        </row>
        <row r="12454">
          <cell r="A12454">
            <v>2019</v>
          </cell>
          <cell r="B12454" t="str">
            <v>Actual</v>
          </cell>
          <cell r="C12454" t="str">
            <v>Nov</v>
          </cell>
          <cell r="D12454" t="str">
            <v>Tables</v>
          </cell>
          <cell r="E12454">
            <v>11867107.608999999</v>
          </cell>
          <cell r="F12454">
            <v>11</v>
          </cell>
        </row>
        <row r="12455">
          <cell r="A12455">
            <v>2019</v>
          </cell>
          <cell r="B12455" t="str">
            <v>Budget</v>
          </cell>
          <cell r="C12455" t="str">
            <v>Nov</v>
          </cell>
          <cell r="D12455" t="str">
            <v>Kitchen</v>
          </cell>
          <cell r="E12455">
            <v>2185204.9099999997</v>
          </cell>
          <cell r="F12455">
            <v>11</v>
          </cell>
        </row>
        <row r="12456">
          <cell r="A12456">
            <v>2019</v>
          </cell>
          <cell r="B12456" t="str">
            <v>Actual</v>
          </cell>
          <cell r="C12456" t="str">
            <v>Nov</v>
          </cell>
          <cell r="D12456" t="str">
            <v>Accessories</v>
          </cell>
          <cell r="E12456">
            <v>1208953.8369999998</v>
          </cell>
          <cell r="F12456">
            <v>11</v>
          </cell>
        </row>
        <row r="12457">
          <cell r="A12457">
            <v>2019</v>
          </cell>
          <cell r="B12457" t="str">
            <v>Budget</v>
          </cell>
          <cell r="C12457" t="str">
            <v>Nov</v>
          </cell>
          <cell r="D12457" t="str">
            <v>Chairs</v>
          </cell>
          <cell r="E12457">
            <v>-35793.197999999997</v>
          </cell>
          <cell r="F12457">
            <v>11</v>
          </cell>
        </row>
        <row r="12458">
          <cell r="A12458">
            <v>2018</v>
          </cell>
          <cell r="B12458" t="str">
            <v>Actual</v>
          </cell>
          <cell r="C12458" t="str">
            <v>Nov</v>
          </cell>
          <cell r="D12458" t="str">
            <v>Tables</v>
          </cell>
          <cell r="E12458">
            <v>24729826.050999999</v>
          </cell>
          <cell r="F12458">
            <v>11</v>
          </cell>
        </row>
        <row r="12459">
          <cell r="A12459">
            <v>2018</v>
          </cell>
          <cell r="B12459" t="str">
            <v>Budget</v>
          </cell>
          <cell r="C12459" t="str">
            <v>Nov</v>
          </cell>
          <cell r="D12459" t="str">
            <v>Kitchen</v>
          </cell>
          <cell r="E12459">
            <v>6254077.6689999998</v>
          </cell>
          <cell r="F12459">
            <v>11</v>
          </cell>
        </row>
        <row r="12460">
          <cell r="A12460">
            <v>2018</v>
          </cell>
          <cell r="B12460" t="str">
            <v>Actual</v>
          </cell>
          <cell r="C12460" t="str">
            <v>Nov</v>
          </cell>
          <cell r="D12460" t="str">
            <v>Accessories</v>
          </cell>
          <cell r="E12460">
            <v>13352853.954999998</v>
          </cell>
          <cell r="F12460">
            <v>11</v>
          </cell>
        </row>
        <row r="12461">
          <cell r="A12461">
            <v>2018</v>
          </cell>
          <cell r="B12461" t="str">
            <v>Budget</v>
          </cell>
          <cell r="C12461" t="str">
            <v>Nov</v>
          </cell>
          <cell r="D12461" t="str">
            <v>Chairs</v>
          </cell>
          <cell r="E12461">
            <v>2766267.4269999997</v>
          </cell>
          <cell r="F12461">
            <v>11</v>
          </cell>
        </row>
        <row r="12462">
          <cell r="A12462">
            <v>2018</v>
          </cell>
          <cell r="B12462" t="str">
            <v>Actual</v>
          </cell>
          <cell r="C12462" t="str">
            <v>Nov</v>
          </cell>
          <cell r="D12462" t="str">
            <v>Chairs</v>
          </cell>
          <cell r="E12462">
            <v>16194279.555999998</v>
          </cell>
          <cell r="F12462">
            <v>11</v>
          </cell>
        </row>
        <row r="12463">
          <cell r="A12463">
            <v>2019</v>
          </cell>
          <cell r="B12463" t="str">
            <v>Budget</v>
          </cell>
          <cell r="C12463" t="str">
            <v>Nov</v>
          </cell>
          <cell r="D12463" t="str">
            <v>Tables</v>
          </cell>
          <cell r="E12463">
            <v>73089.512999999992</v>
          </cell>
          <cell r="F12463">
            <v>11</v>
          </cell>
        </row>
        <row r="12464">
          <cell r="A12464">
            <v>2019</v>
          </cell>
          <cell r="B12464" t="str">
            <v>Actual</v>
          </cell>
          <cell r="C12464" t="str">
            <v>Nov</v>
          </cell>
          <cell r="D12464" t="str">
            <v>Kitchen</v>
          </cell>
          <cell r="E12464">
            <v>23465238.355999999</v>
          </cell>
          <cell r="F12464">
            <v>11</v>
          </cell>
        </row>
        <row r="12465">
          <cell r="A12465">
            <v>2019</v>
          </cell>
          <cell r="B12465" t="str">
            <v>Budget</v>
          </cell>
          <cell r="C12465" t="str">
            <v>Nov</v>
          </cell>
          <cell r="D12465" t="str">
            <v>Chairs</v>
          </cell>
          <cell r="E12465">
            <v>14586784.995999999</v>
          </cell>
          <cell r="F12465">
            <v>11</v>
          </cell>
        </row>
        <row r="12466">
          <cell r="A12466">
            <v>2019</v>
          </cell>
          <cell r="B12466" t="str">
            <v>Actual</v>
          </cell>
          <cell r="C12466" t="str">
            <v>Nov</v>
          </cell>
          <cell r="D12466" t="str">
            <v>Tables</v>
          </cell>
          <cell r="E12466">
            <v>38963445.359999992</v>
          </cell>
          <cell r="F12466">
            <v>11</v>
          </cell>
        </row>
        <row r="12467">
          <cell r="A12467">
            <v>2018</v>
          </cell>
          <cell r="B12467" t="str">
            <v>Budget</v>
          </cell>
          <cell r="C12467" t="str">
            <v>Nov</v>
          </cell>
          <cell r="D12467" t="str">
            <v>Kitchen</v>
          </cell>
          <cell r="E12467">
            <v>1519377.118</v>
          </cell>
          <cell r="F12467">
            <v>11</v>
          </cell>
        </row>
        <row r="12468">
          <cell r="A12468">
            <v>2018</v>
          </cell>
          <cell r="B12468" t="str">
            <v>Actual</v>
          </cell>
          <cell r="C12468" t="str">
            <v>Nov</v>
          </cell>
          <cell r="D12468" t="str">
            <v>Chairs</v>
          </cell>
          <cell r="E12468">
            <v>858661.22299999988</v>
          </cell>
          <cell r="F12468">
            <v>11</v>
          </cell>
        </row>
        <row r="12469">
          <cell r="A12469">
            <v>2019</v>
          </cell>
          <cell r="B12469" t="str">
            <v>Budget</v>
          </cell>
          <cell r="C12469" t="str">
            <v>Nov</v>
          </cell>
          <cell r="D12469" t="str">
            <v>Tables</v>
          </cell>
          <cell r="E12469">
            <v>2349904.179</v>
          </cell>
          <cell r="F12469">
            <v>11</v>
          </cell>
        </row>
        <row r="12470">
          <cell r="A12470">
            <v>2018</v>
          </cell>
          <cell r="B12470" t="str">
            <v>Actual</v>
          </cell>
          <cell r="C12470" t="str">
            <v>Nov</v>
          </cell>
          <cell r="D12470" t="str">
            <v>Kitchen</v>
          </cell>
          <cell r="E12470">
            <v>19942570.144000001</v>
          </cell>
          <cell r="F12470">
            <v>11</v>
          </cell>
        </row>
        <row r="12471">
          <cell r="A12471">
            <v>2019</v>
          </cell>
          <cell r="B12471" t="str">
            <v>Budget</v>
          </cell>
          <cell r="C12471" t="str">
            <v>Nov</v>
          </cell>
          <cell r="D12471" t="str">
            <v>Chairs</v>
          </cell>
          <cell r="E12471">
            <v>124731.033</v>
          </cell>
          <cell r="F12471">
            <v>11</v>
          </cell>
        </row>
        <row r="12472">
          <cell r="A12472">
            <v>2019</v>
          </cell>
          <cell r="B12472" t="str">
            <v>Actual</v>
          </cell>
          <cell r="C12472" t="str">
            <v>Nov</v>
          </cell>
          <cell r="D12472" t="str">
            <v>Chairs</v>
          </cell>
          <cell r="E12472">
            <v>391492.24099999998</v>
          </cell>
          <cell r="F12472">
            <v>11</v>
          </cell>
        </row>
        <row r="12473">
          <cell r="A12473">
            <v>2018</v>
          </cell>
          <cell r="B12473" t="str">
            <v>Budget</v>
          </cell>
          <cell r="C12473" t="str">
            <v>Nov</v>
          </cell>
          <cell r="D12473" t="str">
            <v>Chairs</v>
          </cell>
          <cell r="E12473">
            <v>94488.820999999996</v>
          </cell>
          <cell r="F12473">
            <v>11</v>
          </cell>
        </row>
        <row r="12474">
          <cell r="A12474">
            <v>2018</v>
          </cell>
          <cell r="B12474" t="str">
            <v>Actual</v>
          </cell>
          <cell r="C12474" t="str">
            <v>Nov</v>
          </cell>
          <cell r="D12474" t="str">
            <v>Chairs</v>
          </cell>
          <cell r="E12474">
            <v>42912.197999999997</v>
          </cell>
          <cell r="F12474">
            <v>11</v>
          </cell>
        </row>
        <row r="12475">
          <cell r="A12475">
            <v>2019</v>
          </cell>
          <cell r="B12475" t="str">
            <v>Budget</v>
          </cell>
          <cell r="C12475" t="str">
            <v>Nov</v>
          </cell>
          <cell r="D12475" t="str">
            <v>Chairs</v>
          </cell>
          <cell r="E12475">
            <v>139158.02599999998</v>
          </cell>
          <cell r="F12475">
            <v>11</v>
          </cell>
        </row>
        <row r="12476">
          <cell r="A12476">
            <v>2019</v>
          </cell>
          <cell r="B12476" t="str">
            <v>Actual</v>
          </cell>
          <cell r="C12476" t="str">
            <v>Nov</v>
          </cell>
          <cell r="D12476" t="str">
            <v>Chairs</v>
          </cell>
          <cell r="E12476">
            <v>848137.25499999989</v>
          </cell>
          <cell r="F12476">
            <v>11</v>
          </cell>
        </row>
        <row r="12477">
          <cell r="A12477">
            <v>2018</v>
          </cell>
          <cell r="B12477" t="str">
            <v>Budget</v>
          </cell>
          <cell r="C12477" t="str">
            <v>Nov</v>
          </cell>
          <cell r="D12477" t="str">
            <v>Chairs</v>
          </cell>
          <cell r="E12477">
            <v>149420.46699999998</v>
          </cell>
          <cell r="F12477">
            <v>11</v>
          </cell>
        </row>
        <row r="12478">
          <cell r="A12478">
            <v>2018</v>
          </cell>
          <cell r="B12478" t="str">
            <v>Actual</v>
          </cell>
          <cell r="C12478" t="str">
            <v>Nov</v>
          </cell>
          <cell r="D12478" t="str">
            <v>Chairs</v>
          </cell>
          <cell r="E12478">
            <v>484287.35599999991</v>
          </cell>
          <cell r="F12478">
            <v>11</v>
          </cell>
        </row>
        <row r="12479">
          <cell r="A12479">
            <v>2018</v>
          </cell>
          <cell r="B12479" t="str">
            <v>Budget</v>
          </cell>
          <cell r="C12479" t="str">
            <v>Nov</v>
          </cell>
          <cell r="D12479" t="str">
            <v>Chairs</v>
          </cell>
          <cell r="E12479">
            <v>3793594.693</v>
          </cell>
          <cell r="F12479">
            <v>11</v>
          </cell>
        </row>
        <row r="12480">
          <cell r="A12480">
            <v>2018</v>
          </cell>
          <cell r="B12480" t="str">
            <v>Actual</v>
          </cell>
          <cell r="C12480" t="str">
            <v>Nov</v>
          </cell>
          <cell r="D12480" t="str">
            <v>Chairs</v>
          </cell>
          <cell r="E12480">
            <v>1718958.3389999999</v>
          </cell>
          <cell r="F12480">
            <v>11</v>
          </cell>
        </row>
        <row r="12481">
          <cell r="A12481">
            <v>2019</v>
          </cell>
          <cell r="B12481" t="str">
            <v>Budget</v>
          </cell>
          <cell r="C12481" t="str">
            <v>Nov</v>
          </cell>
          <cell r="D12481" t="str">
            <v>Chairs</v>
          </cell>
          <cell r="E12481">
            <v>6622173.46</v>
          </cell>
          <cell r="F12481">
            <v>11</v>
          </cell>
        </row>
        <row r="12482">
          <cell r="A12482">
            <v>2019</v>
          </cell>
          <cell r="B12482" t="str">
            <v>Actual</v>
          </cell>
          <cell r="C12482" t="str">
            <v>Nov</v>
          </cell>
          <cell r="D12482" t="str">
            <v>Chairs</v>
          </cell>
          <cell r="E12482">
            <v>3634335.6699999995</v>
          </cell>
          <cell r="F12482">
            <v>11</v>
          </cell>
        </row>
        <row r="12483">
          <cell r="A12483">
            <v>2018</v>
          </cell>
          <cell r="B12483" t="str">
            <v>Budget</v>
          </cell>
          <cell r="C12483" t="str">
            <v>Nov</v>
          </cell>
          <cell r="D12483" t="str">
            <v>Chairs</v>
          </cell>
          <cell r="E12483">
            <v>368621.56799999997</v>
          </cell>
          <cell r="F12483">
            <v>11</v>
          </cell>
        </row>
        <row r="12484">
          <cell r="A12484">
            <v>2019</v>
          </cell>
          <cell r="B12484" t="str">
            <v>Actual</v>
          </cell>
          <cell r="C12484" t="str">
            <v>Nov</v>
          </cell>
          <cell r="D12484" t="str">
            <v>Chairs</v>
          </cell>
          <cell r="E12484">
            <v>194138.448</v>
          </cell>
          <cell r="F12484">
            <v>11</v>
          </cell>
        </row>
        <row r="12485">
          <cell r="A12485">
            <v>2019</v>
          </cell>
          <cell r="B12485" t="str">
            <v>Budget</v>
          </cell>
          <cell r="C12485" t="str">
            <v>Nov</v>
          </cell>
          <cell r="D12485" t="str">
            <v>Chairs</v>
          </cell>
          <cell r="E12485">
            <v>27878243.224999998</v>
          </cell>
          <cell r="F12485">
            <v>11</v>
          </cell>
        </row>
        <row r="12486">
          <cell r="A12486">
            <v>2018</v>
          </cell>
          <cell r="B12486" t="str">
            <v>Actual</v>
          </cell>
          <cell r="C12486" t="str">
            <v>Nov</v>
          </cell>
          <cell r="D12486" t="str">
            <v>Chairs</v>
          </cell>
          <cell r="E12486">
            <v>3054519.111</v>
          </cell>
          <cell r="F12486">
            <v>11</v>
          </cell>
        </row>
        <row r="12487">
          <cell r="A12487">
            <v>2018</v>
          </cell>
          <cell r="B12487" t="str">
            <v>Budget</v>
          </cell>
          <cell r="C12487" t="str">
            <v>Nov</v>
          </cell>
          <cell r="D12487" t="str">
            <v>Chairs</v>
          </cell>
          <cell r="E12487">
            <v>32846153.969999999</v>
          </cell>
          <cell r="F12487">
            <v>11</v>
          </cell>
        </row>
        <row r="12488">
          <cell r="A12488">
            <v>2019</v>
          </cell>
          <cell r="B12488" t="str">
            <v>Actual</v>
          </cell>
          <cell r="C12488" t="str">
            <v>Nov</v>
          </cell>
          <cell r="D12488" t="str">
            <v>Chairs</v>
          </cell>
          <cell r="E12488">
            <v>5420339.4069999997</v>
          </cell>
          <cell r="F12488">
            <v>11</v>
          </cell>
        </row>
        <row r="12489">
          <cell r="A12489">
            <v>2018</v>
          </cell>
          <cell r="B12489" t="str">
            <v>Budget</v>
          </cell>
          <cell r="C12489" t="str">
            <v>Nov</v>
          </cell>
          <cell r="D12489" t="str">
            <v>Chairs</v>
          </cell>
          <cell r="E12489">
            <v>27101410.895999998</v>
          </cell>
          <cell r="F12489">
            <v>11</v>
          </cell>
        </row>
        <row r="12490">
          <cell r="A12490">
            <v>2019</v>
          </cell>
          <cell r="B12490" t="str">
            <v>Actual</v>
          </cell>
          <cell r="C12490" t="str">
            <v>Nov</v>
          </cell>
          <cell r="D12490" t="str">
            <v>Chairs</v>
          </cell>
          <cell r="E12490">
            <v>15784356.119000001</v>
          </cell>
          <cell r="F12490">
            <v>11</v>
          </cell>
        </row>
        <row r="12491">
          <cell r="A12491">
            <v>2018</v>
          </cell>
          <cell r="B12491" t="str">
            <v>Budget</v>
          </cell>
          <cell r="C12491" t="str">
            <v>Nov</v>
          </cell>
          <cell r="D12491" t="str">
            <v>Chairs</v>
          </cell>
          <cell r="E12491">
            <v>27186370.063999999</v>
          </cell>
          <cell r="F12491">
            <v>11</v>
          </cell>
        </row>
        <row r="12492">
          <cell r="A12492">
            <v>2018</v>
          </cell>
          <cell r="B12492" t="str">
            <v>Actual</v>
          </cell>
          <cell r="C12492" t="str">
            <v>Nov</v>
          </cell>
          <cell r="D12492" t="str">
            <v>Chairs</v>
          </cell>
          <cell r="E12492">
            <v>602909.09</v>
          </cell>
          <cell r="F12492">
            <v>11</v>
          </cell>
        </row>
        <row r="12493">
          <cell r="A12493">
            <v>2018</v>
          </cell>
          <cell r="B12493" t="str">
            <v>Budget</v>
          </cell>
          <cell r="C12493" t="str">
            <v>Dec</v>
          </cell>
          <cell r="D12493" t="str">
            <v>Chairs</v>
          </cell>
          <cell r="E12493">
            <v>1901422.5789999999</v>
          </cell>
          <cell r="F12493">
            <v>12</v>
          </cell>
        </row>
        <row r="12494">
          <cell r="A12494">
            <v>2019</v>
          </cell>
          <cell r="B12494" t="str">
            <v>Actual</v>
          </cell>
          <cell r="C12494" t="str">
            <v>Dec</v>
          </cell>
          <cell r="D12494" t="str">
            <v>Chairs</v>
          </cell>
          <cell r="E12494">
            <v>242395.90899999999</v>
          </cell>
          <cell r="F12494">
            <v>12</v>
          </cell>
        </row>
        <row r="12495">
          <cell r="A12495">
            <v>2018</v>
          </cell>
          <cell r="B12495" t="str">
            <v>Budget</v>
          </cell>
          <cell r="C12495" t="str">
            <v>Dec</v>
          </cell>
          <cell r="D12495" t="str">
            <v>Chairs</v>
          </cell>
          <cell r="E12495">
            <v>571062.87699999998</v>
          </cell>
          <cell r="F12495">
            <v>12</v>
          </cell>
        </row>
        <row r="12496">
          <cell r="A12496">
            <v>2018</v>
          </cell>
          <cell r="B12496" t="str">
            <v>Actual</v>
          </cell>
          <cell r="C12496" t="str">
            <v>Dec</v>
          </cell>
          <cell r="D12496" t="str">
            <v>Chairs</v>
          </cell>
          <cell r="E12496">
            <v>13983.193000000001</v>
          </cell>
          <cell r="F12496">
            <v>12</v>
          </cell>
        </row>
        <row r="12497">
          <cell r="A12497">
            <v>2018</v>
          </cell>
          <cell r="B12497" t="str">
            <v>Budget</v>
          </cell>
          <cell r="C12497" t="str">
            <v>Dec</v>
          </cell>
          <cell r="D12497" t="str">
            <v>Tables</v>
          </cell>
          <cell r="E12497">
            <v>-690.55</v>
          </cell>
          <cell r="F12497">
            <v>12</v>
          </cell>
        </row>
        <row r="12498">
          <cell r="A12498">
            <v>2019</v>
          </cell>
          <cell r="B12498" t="str">
            <v>Actual</v>
          </cell>
          <cell r="C12498" t="str">
            <v>Dec</v>
          </cell>
          <cell r="D12498" t="str">
            <v>Kitchen</v>
          </cell>
          <cell r="E12498">
            <v>17640.875</v>
          </cell>
          <cell r="F12498">
            <v>12</v>
          </cell>
        </row>
        <row r="12499">
          <cell r="A12499">
            <v>2019</v>
          </cell>
          <cell r="B12499" t="str">
            <v>Budget</v>
          </cell>
          <cell r="C12499" t="str">
            <v>Dec</v>
          </cell>
          <cell r="D12499" t="str">
            <v>Chairs</v>
          </cell>
          <cell r="E12499">
            <v>-5821.7039999999988</v>
          </cell>
          <cell r="F12499">
            <v>12</v>
          </cell>
        </row>
        <row r="12500">
          <cell r="A12500">
            <v>2019</v>
          </cell>
          <cell r="B12500" t="str">
            <v>Actual</v>
          </cell>
          <cell r="C12500" t="str">
            <v>Dec</v>
          </cell>
          <cell r="D12500" t="str">
            <v>Chairs</v>
          </cell>
          <cell r="E12500">
            <v>29570.757999999998</v>
          </cell>
          <cell r="F12500">
            <v>12</v>
          </cell>
        </row>
        <row r="12501">
          <cell r="A12501">
            <v>2018</v>
          </cell>
          <cell r="B12501" t="str">
            <v>Budget</v>
          </cell>
          <cell r="C12501" t="str">
            <v>Dec</v>
          </cell>
          <cell r="D12501" t="str">
            <v>Chairs</v>
          </cell>
          <cell r="E12501">
            <v>160623.82</v>
          </cell>
          <cell r="F12501">
            <v>12</v>
          </cell>
        </row>
        <row r="12502">
          <cell r="A12502">
            <v>2018</v>
          </cell>
          <cell r="B12502" t="str">
            <v>Actual</v>
          </cell>
          <cell r="C12502" t="str">
            <v>Dec</v>
          </cell>
          <cell r="D12502" t="str">
            <v>Chairs</v>
          </cell>
          <cell r="E12502">
            <v>161114.09999999998</v>
          </cell>
          <cell r="F12502">
            <v>12</v>
          </cell>
        </row>
        <row r="12503">
          <cell r="A12503">
            <v>2019</v>
          </cell>
          <cell r="B12503" t="str">
            <v>Budget</v>
          </cell>
          <cell r="C12503" t="str">
            <v>Dec</v>
          </cell>
          <cell r="D12503" t="str">
            <v>Chairs</v>
          </cell>
          <cell r="E12503">
            <v>161421.12</v>
          </cell>
          <cell r="F12503">
            <v>12</v>
          </cell>
        </row>
        <row r="12504">
          <cell r="A12504">
            <v>2019</v>
          </cell>
          <cell r="B12504" t="str">
            <v>Actual</v>
          </cell>
          <cell r="C12504" t="str">
            <v>Dec</v>
          </cell>
          <cell r="D12504" t="str">
            <v>Tables</v>
          </cell>
          <cell r="E12504">
            <v>158995.73199999999</v>
          </cell>
          <cell r="F12504">
            <v>12</v>
          </cell>
        </row>
        <row r="12505">
          <cell r="A12505">
            <v>2018</v>
          </cell>
          <cell r="B12505" t="str">
            <v>Budget</v>
          </cell>
          <cell r="C12505" t="str">
            <v>Dec</v>
          </cell>
          <cell r="D12505" t="str">
            <v>Kitchen</v>
          </cell>
          <cell r="E12505">
            <v>22520.693999999996</v>
          </cell>
          <cell r="F12505">
            <v>12</v>
          </cell>
        </row>
        <row r="12506">
          <cell r="A12506">
            <v>2019</v>
          </cell>
          <cell r="B12506" t="str">
            <v>Actual</v>
          </cell>
          <cell r="C12506" t="str">
            <v>Dec</v>
          </cell>
          <cell r="D12506" t="str">
            <v>Chairs</v>
          </cell>
          <cell r="E12506">
            <v>42138.635000000002</v>
          </cell>
          <cell r="F12506">
            <v>12</v>
          </cell>
        </row>
        <row r="12507">
          <cell r="A12507">
            <v>2018</v>
          </cell>
          <cell r="B12507" t="str">
            <v>Budget</v>
          </cell>
          <cell r="C12507" t="str">
            <v>Dec</v>
          </cell>
          <cell r="D12507" t="str">
            <v>Chairs</v>
          </cell>
          <cell r="E12507">
            <v>5151.5029999999997</v>
          </cell>
          <cell r="F12507">
            <v>12</v>
          </cell>
        </row>
        <row r="12508">
          <cell r="A12508">
            <v>2019</v>
          </cell>
          <cell r="B12508" t="str">
            <v>Actual</v>
          </cell>
          <cell r="C12508" t="str">
            <v>Dec</v>
          </cell>
          <cell r="D12508" t="str">
            <v>Chairs</v>
          </cell>
          <cell r="E12508">
            <v>65343.921999999999</v>
          </cell>
          <cell r="F12508">
            <v>12</v>
          </cell>
        </row>
        <row r="12509">
          <cell r="A12509">
            <v>2019</v>
          </cell>
          <cell r="B12509" t="str">
            <v>Budget</v>
          </cell>
          <cell r="C12509" t="str">
            <v>Dec</v>
          </cell>
          <cell r="D12509" t="str">
            <v>Tables</v>
          </cell>
          <cell r="E12509">
            <v>34246.695</v>
          </cell>
          <cell r="F12509">
            <v>12</v>
          </cell>
        </row>
        <row r="12510">
          <cell r="A12510">
            <v>2019</v>
          </cell>
          <cell r="B12510" t="str">
            <v>Actual</v>
          </cell>
          <cell r="C12510" t="str">
            <v>Dec</v>
          </cell>
          <cell r="D12510" t="str">
            <v>Kitchen</v>
          </cell>
          <cell r="E12510">
            <v>21121.456999999999</v>
          </cell>
          <cell r="F12510">
            <v>12</v>
          </cell>
        </row>
        <row r="12511">
          <cell r="A12511">
            <v>2019</v>
          </cell>
          <cell r="B12511" t="str">
            <v>Budget</v>
          </cell>
          <cell r="C12511" t="str">
            <v>Dec</v>
          </cell>
          <cell r="D12511" t="str">
            <v>Chairs</v>
          </cell>
          <cell r="E12511">
            <v>117330.52099999999</v>
          </cell>
          <cell r="F12511">
            <v>12</v>
          </cell>
        </row>
        <row r="12512">
          <cell r="A12512">
            <v>2018</v>
          </cell>
          <cell r="B12512" t="str">
            <v>Actual</v>
          </cell>
          <cell r="C12512" t="str">
            <v>Dec</v>
          </cell>
          <cell r="D12512" t="str">
            <v>Chairs</v>
          </cell>
          <cell r="E12512">
            <v>6092.17</v>
          </cell>
          <cell r="F12512">
            <v>12</v>
          </cell>
        </row>
        <row r="12513">
          <cell r="A12513">
            <v>2019</v>
          </cell>
          <cell r="B12513" t="str">
            <v>Budget</v>
          </cell>
          <cell r="C12513" t="str">
            <v>Dec</v>
          </cell>
          <cell r="D12513" t="str">
            <v>Tables</v>
          </cell>
          <cell r="E12513">
            <v>20117.418999999998</v>
          </cell>
          <cell r="F12513">
            <v>12</v>
          </cell>
        </row>
        <row r="12514">
          <cell r="A12514">
            <v>2019</v>
          </cell>
          <cell r="B12514" t="str">
            <v>Actual</v>
          </cell>
          <cell r="C12514" t="str">
            <v>Dec</v>
          </cell>
          <cell r="D12514" t="str">
            <v>Kitchen</v>
          </cell>
          <cell r="E12514">
            <v>24359.909</v>
          </cell>
          <cell r="F12514">
            <v>12</v>
          </cell>
        </row>
        <row r="12515">
          <cell r="A12515">
            <v>2019</v>
          </cell>
          <cell r="B12515" t="str">
            <v>Budget</v>
          </cell>
          <cell r="C12515" t="str">
            <v>Dec</v>
          </cell>
          <cell r="D12515" t="str">
            <v>Chairs</v>
          </cell>
          <cell r="E12515">
            <v>39551.106</v>
          </cell>
          <cell r="F12515">
            <v>12</v>
          </cell>
        </row>
        <row r="12516">
          <cell r="A12516">
            <v>2019</v>
          </cell>
          <cell r="B12516" t="str">
            <v>Actual</v>
          </cell>
          <cell r="C12516" t="str">
            <v>Dec</v>
          </cell>
          <cell r="D12516" t="str">
            <v>Chairs</v>
          </cell>
          <cell r="E12516">
            <v>74269.887999999992</v>
          </cell>
          <cell r="F12516">
            <v>12</v>
          </cell>
        </row>
        <row r="12517">
          <cell r="A12517">
            <v>2018</v>
          </cell>
          <cell r="B12517" t="str">
            <v>Budget</v>
          </cell>
          <cell r="C12517" t="str">
            <v>Dec</v>
          </cell>
          <cell r="D12517" t="str">
            <v>Chairs</v>
          </cell>
          <cell r="E12517">
            <v>49484.294999999998</v>
          </cell>
          <cell r="F12517">
            <v>12</v>
          </cell>
        </row>
        <row r="12518">
          <cell r="A12518">
            <v>2019</v>
          </cell>
          <cell r="B12518" t="str">
            <v>Actual</v>
          </cell>
          <cell r="C12518" t="str">
            <v>Dec</v>
          </cell>
          <cell r="D12518" t="str">
            <v>Tables</v>
          </cell>
          <cell r="E12518">
            <v>52559.212999999996</v>
          </cell>
          <cell r="F12518">
            <v>12</v>
          </cell>
        </row>
        <row r="12519">
          <cell r="A12519">
            <v>2019</v>
          </cell>
          <cell r="B12519" t="str">
            <v>Budget</v>
          </cell>
          <cell r="C12519" t="str">
            <v>Dec</v>
          </cell>
          <cell r="D12519" t="str">
            <v>Kitchen</v>
          </cell>
          <cell r="E12519">
            <v>104286.95899999999</v>
          </cell>
          <cell r="F12519">
            <v>12</v>
          </cell>
        </row>
        <row r="12520">
          <cell r="A12520">
            <v>2018</v>
          </cell>
          <cell r="B12520" t="str">
            <v>Actual</v>
          </cell>
          <cell r="C12520" t="str">
            <v>Dec</v>
          </cell>
          <cell r="D12520" t="str">
            <v>Accessories</v>
          </cell>
          <cell r="E12520">
            <v>64714.061999999998</v>
          </cell>
          <cell r="F12520">
            <v>12</v>
          </cell>
        </row>
        <row r="12521">
          <cell r="A12521">
            <v>2018</v>
          </cell>
          <cell r="B12521" t="str">
            <v>Budget</v>
          </cell>
          <cell r="C12521" t="str">
            <v>Dec</v>
          </cell>
          <cell r="D12521" t="str">
            <v>Chairs</v>
          </cell>
          <cell r="E12521">
            <v>149622.97699999998</v>
          </cell>
          <cell r="F12521">
            <v>12</v>
          </cell>
        </row>
        <row r="12522">
          <cell r="A12522">
            <v>2018</v>
          </cell>
          <cell r="B12522" t="str">
            <v>Actual</v>
          </cell>
          <cell r="C12522" t="str">
            <v>Dec</v>
          </cell>
          <cell r="D12522" t="str">
            <v>Tables</v>
          </cell>
          <cell r="E12522">
            <v>100145.92699999998</v>
          </cell>
          <cell r="F12522">
            <v>12</v>
          </cell>
        </row>
        <row r="12523">
          <cell r="A12523">
            <v>2018</v>
          </cell>
          <cell r="B12523" t="str">
            <v>Budget</v>
          </cell>
          <cell r="C12523" t="str">
            <v>Dec</v>
          </cell>
          <cell r="D12523" t="str">
            <v>Kitchen</v>
          </cell>
          <cell r="E12523">
            <v>3759.5809999999997</v>
          </cell>
          <cell r="F12523">
            <v>12</v>
          </cell>
        </row>
        <row r="12524">
          <cell r="A12524">
            <v>2018</v>
          </cell>
          <cell r="B12524" t="str">
            <v>Actual</v>
          </cell>
          <cell r="C12524" t="str">
            <v>Dec</v>
          </cell>
          <cell r="D12524" t="str">
            <v>Accessories</v>
          </cell>
          <cell r="E12524">
            <v>5095.8179999999993</v>
          </cell>
          <cell r="F12524">
            <v>12</v>
          </cell>
        </row>
        <row r="12525">
          <cell r="A12525">
            <v>2019</v>
          </cell>
          <cell r="B12525" t="str">
            <v>Budget</v>
          </cell>
          <cell r="C12525" t="str">
            <v>Dec</v>
          </cell>
          <cell r="D12525" t="str">
            <v>Chairs</v>
          </cell>
          <cell r="E12525">
            <v>40482.616999999998</v>
          </cell>
          <cell r="F12525">
            <v>12</v>
          </cell>
        </row>
        <row r="12526">
          <cell r="A12526">
            <v>2018</v>
          </cell>
          <cell r="B12526" t="str">
            <v>Actual</v>
          </cell>
          <cell r="C12526" t="str">
            <v>Dec</v>
          </cell>
          <cell r="D12526" t="str">
            <v>Tables</v>
          </cell>
          <cell r="E12526">
            <v>115495.97499999999</v>
          </cell>
          <cell r="F12526">
            <v>12</v>
          </cell>
        </row>
        <row r="12527">
          <cell r="A12527">
            <v>2019</v>
          </cell>
          <cell r="B12527" t="str">
            <v>Budget</v>
          </cell>
          <cell r="C12527" t="str">
            <v>Dec</v>
          </cell>
          <cell r="D12527" t="str">
            <v>Kitchen</v>
          </cell>
          <cell r="E12527">
            <v>2368105.04</v>
          </cell>
          <cell r="F12527">
            <v>12</v>
          </cell>
        </row>
        <row r="12528">
          <cell r="A12528">
            <v>2018</v>
          </cell>
          <cell r="B12528" t="str">
            <v>Actual</v>
          </cell>
          <cell r="C12528" t="str">
            <v>Dec</v>
          </cell>
          <cell r="D12528" t="str">
            <v>Accessories</v>
          </cell>
          <cell r="E12528">
            <v>195300.12599999999</v>
          </cell>
          <cell r="F12528">
            <v>12</v>
          </cell>
        </row>
        <row r="12529">
          <cell r="A12529">
            <v>2018</v>
          </cell>
          <cell r="B12529" t="str">
            <v>Budget</v>
          </cell>
          <cell r="C12529" t="str">
            <v>Dec</v>
          </cell>
          <cell r="D12529" t="str">
            <v>Chairs</v>
          </cell>
          <cell r="E12529">
            <v>404331.49400000001</v>
          </cell>
          <cell r="F12529">
            <v>12</v>
          </cell>
        </row>
        <row r="12530">
          <cell r="A12530">
            <v>2019</v>
          </cell>
          <cell r="B12530" t="str">
            <v>Actual</v>
          </cell>
          <cell r="C12530" t="str">
            <v>Dec</v>
          </cell>
          <cell r="D12530" t="str">
            <v>Tables</v>
          </cell>
          <cell r="E12530">
            <v>254505.66399999999</v>
          </cell>
          <cell r="F12530">
            <v>12</v>
          </cell>
        </row>
        <row r="12531">
          <cell r="A12531">
            <v>2019</v>
          </cell>
          <cell r="B12531" t="str">
            <v>Budget</v>
          </cell>
          <cell r="C12531" t="str">
            <v>Dec</v>
          </cell>
          <cell r="D12531" t="str">
            <v>Kitchen</v>
          </cell>
          <cell r="E12531">
            <v>232781.26899999997</v>
          </cell>
          <cell r="F12531">
            <v>12</v>
          </cell>
        </row>
        <row r="12532">
          <cell r="A12532">
            <v>2019</v>
          </cell>
          <cell r="B12532" t="str">
            <v>Actual</v>
          </cell>
          <cell r="C12532" t="str">
            <v>Dec</v>
          </cell>
          <cell r="D12532" t="str">
            <v>Accessories</v>
          </cell>
          <cell r="E12532">
            <v>100229.55599999998</v>
          </cell>
          <cell r="F12532">
            <v>12</v>
          </cell>
        </row>
        <row r="12533">
          <cell r="A12533">
            <v>2019</v>
          </cell>
          <cell r="B12533" t="str">
            <v>Budget</v>
          </cell>
          <cell r="C12533" t="str">
            <v>Dec</v>
          </cell>
          <cell r="D12533" t="str">
            <v>Chairs</v>
          </cell>
          <cell r="E12533">
            <v>1349345.9069999999</v>
          </cell>
          <cell r="F12533">
            <v>12</v>
          </cell>
        </row>
        <row r="12534">
          <cell r="A12534">
            <v>2018</v>
          </cell>
          <cell r="B12534" t="str">
            <v>Actual</v>
          </cell>
          <cell r="C12534" t="str">
            <v>Dec</v>
          </cell>
          <cell r="D12534" t="str">
            <v>Chairs</v>
          </cell>
          <cell r="E12534">
            <v>7970.7669999999989</v>
          </cell>
          <cell r="F12534">
            <v>12</v>
          </cell>
        </row>
        <row r="12535">
          <cell r="A12535">
            <v>2019</v>
          </cell>
          <cell r="B12535" t="str">
            <v>Budget</v>
          </cell>
          <cell r="C12535" t="str">
            <v>Dec</v>
          </cell>
          <cell r="D12535" t="str">
            <v>Tables</v>
          </cell>
          <cell r="E12535">
            <v>454423.641</v>
          </cell>
          <cell r="F12535">
            <v>12</v>
          </cell>
        </row>
        <row r="12536">
          <cell r="A12536">
            <v>2018</v>
          </cell>
          <cell r="B12536" t="str">
            <v>Actual</v>
          </cell>
          <cell r="C12536" t="str">
            <v>Dec</v>
          </cell>
          <cell r="D12536" t="str">
            <v>Kitchen</v>
          </cell>
          <cell r="E12536">
            <v>14210.825999999999</v>
          </cell>
          <cell r="F12536">
            <v>12</v>
          </cell>
        </row>
        <row r="12537">
          <cell r="A12537">
            <v>2018</v>
          </cell>
          <cell r="B12537" t="str">
            <v>Budget</v>
          </cell>
          <cell r="C12537" t="str">
            <v>Dec</v>
          </cell>
          <cell r="D12537" t="str">
            <v>Chairs</v>
          </cell>
          <cell r="E12537">
            <v>503101.50099999999</v>
          </cell>
          <cell r="F12537">
            <v>12</v>
          </cell>
        </row>
        <row r="12538">
          <cell r="A12538">
            <v>2018</v>
          </cell>
          <cell r="B12538" t="str">
            <v>Actual</v>
          </cell>
          <cell r="C12538" t="str">
            <v>Dec</v>
          </cell>
          <cell r="D12538" t="str">
            <v>Tables</v>
          </cell>
          <cell r="E12538">
            <v>860711.53699999989</v>
          </cell>
          <cell r="F12538">
            <v>12</v>
          </cell>
        </row>
        <row r="12539">
          <cell r="A12539">
            <v>2019</v>
          </cell>
          <cell r="B12539" t="str">
            <v>Budget</v>
          </cell>
          <cell r="C12539" t="str">
            <v>Dec</v>
          </cell>
          <cell r="D12539" t="str">
            <v>Kitchen</v>
          </cell>
          <cell r="E12539">
            <v>1050294.1679999998</v>
          </cell>
          <cell r="F12539">
            <v>12</v>
          </cell>
        </row>
        <row r="12540">
          <cell r="A12540">
            <v>2018</v>
          </cell>
          <cell r="B12540" t="str">
            <v>Actual</v>
          </cell>
          <cell r="C12540" t="str">
            <v>Dec</v>
          </cell>
          <cell r="D12540" t="str">
            <v>Chairs</v>
          </cell>
          <cell r="E12540">
            <v>584638.03999999992</v>
          </cell>
          <cell r="F12540">
            <v>12</v>
          </cell>
        </row>
        <row r="12541">
          <cell r="A12541">
            <v>2018</v>
          </cell>
          <cell r="B12541" t="str">
            <v>Budget</v>
          </cell>
          <cell r="C12541" t="str">
            <v>Dec</v>
          </cell>
          <cell r="D12541" t="str">
            <v>Tables</v>
          </cell>
          <cell r="E12541">
            <v>275697.14899999998</v>
          </cell>
          <cell r="F12541">
            <v>12</v>
          </cell>
        </row>
        <row r="12542">
          <cell r="A12542">
            <v>2018</v>
          </cell>
          <cell r="B12542" t="str">
            <v>Actual</v>
          </cell>
          <cell r="C12542" t="str">
            <v>Dec</v>
          </cell>
          <cell r="D12542" t="str">
            <v>Kitchen</v>
          </cell>
          <cell r="E12542">
            <v>-53766.551999999996</v>
          </cell>
          <cell r="F12542">
            <v>12</v>
          </cell>
        </row>
        <row r="12543">
          <cell r="A12543">
            <v>2018</v>
          </cell>
          <cell r="B12543" t="str">
            <v>Budget</v>
          </cell>
          <cell r="C12543" t="str">
            <v>Dec</v>
          </cell>
          <cell r="D12543" t="str">
            <v>Chairs</v>
          </cell>
          <cell r="E12543">
            <v>93827.320999999996</v>
          </cell>
          <cell r="F12543">
            <v>12</v>
          </cell>
        </row>
        <row r="12544">
          <cell r="A12544">
            <v>2019</v>
          </cell>
          <cell r="B12544" t="str">
            <v>Actual</v>
          </cell>
          <cell r="C12544" t="str">
            <v>Dec</v>
          </cell>
          <cell r="D12544" t="str">
            <v>Chairs</v>
          </cell>
          <cell r="E12544">
            <v>1103064.8929999999</v>
          </cell>
          <cell r="F12544">
            <v>12</v>
          </cell>
        </row>
        <row r="12545">
          <cell r="A12545">
            <v>2018</v>
          </cell>
          <cell r="B12545" t="str">
            <v>Budget</v>
          </cell>
          <cell r="C12545" t="str">
            <v>Dec</v>
          </cell>
          <cell r="D12545" t="str">
            <v>Chairs</v>
          </cell>
          <cell r="E12545">
            <v>-91406.510999999999</v>
          </cell>
          <cell r="F12545">
            <v>12</v>
          </cell>
        </row>
        <row r="12546">
          <cell r="A12546">
            <v>2018</v>
          </cell>
          <cell r="B12546" t="str">
            <v>Actual</v>
          </cell>
          <cell r="C12546" t="str">
            <v>Dec</v>
          </cell>
          <cell r="D12546" t="str">
            <v>Chairs</v>
          </cell>
          <cell r="E12546">
            <v>186371.766</v>
          </cell>
          <cell r="F12546">
            <v>12</v>
          </cell>
        </row>
        <row r="12547">
          <cell r="A12547">
            <v>2019</v>
          </cell>
          <cell r="B12547" t="str">
            <v>Budget</v>
          </cell>
          <cell r="C12547" t="str">
            <v>Dec</v>
          </cell>
          <cell r="D12547" t="str">
            <v>Chairs</v>
          </cell>
          <cell r="E12547">
            <v>120645.30799999999</v>
          </cell>
          <cell r="F12547">
            <v>12</v>
          </cell>
        </row>
        <row r="12548">
          <cell r="A12548">
            <v>2019</v>
          </cell>
          <cell r="B12548" t="str">
            <v>Actual</v>
          </cell>
          <cell r="C12548" t="str">
            <v>Dec</v>
          </cell>
          <cell r="D12548" t="str">
            <v>Chairs</v>
          </cell>
          <cell r="E12548">
            <v>1331.393</v>
          </cell>
          <cell r="F12548">
            <v>12</v>
          </cell>
        </row>
        <row r="12549">
          <cell r="A12549">
            <v>2019</v>
          </cell>
          <cell r="B12549" t="str">
            <v>Budget</v>
          </cell>
          <cell r="C12549" t="str">
            <v>Dec</v>
          </cell>
          <cell r="D12549" t="str">
            <v>Chairs</v>
          </cell>
          <cell r="E12549">
            <v>154067.32599999997</v>
          </cell>
          <cell r="F12549">
            <v>12</v>
          </cell>
        </row>
        <row r="12550">
          <cell r="A12550">
            <v>2018</v>
          </cell>
          <cell r="B12550" t="str">
            <v>Actual</v>
          </cell>
          <cell r="C12550" t="str">
            <v>Dec</v>
          </cell>
          <cell r="D12550" t="str">
            <v>Chairs</v>
          </cell>
          <cell r="E12550">
            <v>12511.618</v>
          </cell>
          <cell r="F12550">
            <v>12</v>
          </cell>
        </row>
        <row r="12551">
          <cell r="A12551">
            <v>2019</v>
          </cell>
          <cell r="B12551" t="str">
            <v>Budget</v>
          </cell>
          <cell r="C12551" t="str">
            <v>Dec</v>
          </cell>
          <cell r="D12551" t="str">
            <v>Chairs</v>
          </cell>
          <cell r="E12551">
            <v>158687.71100000001</v>
          </cell>
          <cell r="F12551">
            <v>12</v>
          </cell>
        </row>
        <row r="12552">
          <cell r="A12552">
            <v>2019</v>
          </cell>
          <cell r="B12552" t="str">
            <v>Actual</v>
          </cell>
          <cell r="C12552" t="str">
            <v>Dec</v>
          </cell>
          <cell r="D12552" t="str">
            <v>Chairs</v>
          </cell>
          <cell r="E12552">
            <v>46955.054999999993</v>
          </cell>
          <cell r="F12552">
            <v>12</v>
          </cell>
        </row>
        <row r="12553">
          <cell r="A12553">
            <v>2019</v>
          </cell>
          <cell r="B12553" t="str">
            <v>Budget</v>
          </cell>
          <cell r="C12553" t="str">
            <v>Dec</v>
          </cell>
          <cell r="D12553" t="str">
            <v>Chairs</v>
          </cell>
          <cell r="E12553">
            <v>43602.957999999999</v>
          </cell>
          <cell r="F12553">
            <v>12</v>
          </cell>
        </row>
        <row r="12554">
          <cell r="A12554">
            <v>2018</v>
          </cell>
          <cell r="B12554" t="str">
            <v>Actual</v>
          </cell>
          <cell r="C12554" t="str">
            <v>Dec</v>
          </cell>
          <cell r="D12554" t="str">
            <v>Chairs</v>
          </cell>
          <cell r="E12554">
            <v>68612.081999999995</v>
          </cell>
          <cell r="F12554">
            <v>12</v>
          </cell>
        </row>
        <row r="12555">
          <cell r="A12555">
            <v>2018</v>
          </cell>
          <cell r="B12555" t="str">
            <v>Budget</v>
          </cell>
          <cell r="C12555" t="str">
            <v>Dec</v>
          </cell>
          <cell r="D12555" t="str">
            <v>Chairs</v>
          </cell>
          <cell r="E12555">
            <v>171772.02699999997</v>
          </cell>
          <cell r="F12555">
            <v>12</v>
          </cell>
        </row>
        <row r="12556">
          <cell r="A12556">
            <v>2019</v>
          </cell>
          <cell r="B12556" t="str">
            <v>Actual</v>
          </cell>
          <cell r="C12556" t="str">
            <v>Dec</v>
          </cell>
          <cell r="D12556" t="str">
            <v>Chairs</v>
          </cell>
          <cell r="E12556">
            <v>57196.313999999998</v>
          </cell>
          <cell r="F12556">
            <v>12</v>
          </cell>
        </row>
        <row r="12557">
          <cell r="A12557">
            <v>2018</v>
          </cell>
          <cell r="B12557" t="str">
            <v>Budget</v>
          </cell>
          <cell r="C12557" t="str">
            <v>Dec</v>
          </cell>
          <cell r="D12557" t="str">
            <v>Chairs</v>
          </cell>
          <cell r="E12557">
            <v>18291.623</v>
          </cell>
          <cell r="F12557">
            <v>12</v>
          </cell>
        </row>
        <row r="12558">
          <cell r="A12558">
            <v>2018</v>
          </cell>
          <cell r="B12558" t="str">
            <v>Actual</v>
          </cell>
          <cell r="C12558" t="str">
            <v>Dec</v>
          </cell>
          <cell r="D12558" t="str">
            <v>Chairs</v>
          </cell>
          <cell r="E12558">
            <v>7735.2309999999998</v>
          </cell>
          <cell r="F12558">
            <v>12</v>
          </cell>
        </row>
        <row r="12559">
          <cell r="A12559">
            <v>2018</v>
          </cell>
          <cell r="B12559" t="str">
            <v>Budget</v>
          </cell>
          <cell r="C12559" t="str">
            <v>Dec</v>
          </cell>
          <cell r="D12559" t="str">
            <v>Chairs</v>
          </cell>
          <cell r="E12559">
            <v>25684.763999999996</v>
          </cell>
          <cell r="F12559">
            <v>12</v>
          </cell>
        </row>
        <row r="12560">
          <cell r="A12560">
            <v>2019</v>
          </cell>
          <cell r="B12560" t="str">
            <v>Actual</v>
          </cell>
          <cell r="C12560" t="str">
            <v>Dec</v>
          </cell>
          <cell r="D12560" t="str">
            <v>Chairs</v>
          </cell>
          <cell r="E12560">
            <v>126801.12899999999</v>
          </cell>
          <cell r="F12560">
            <v>12</v>
          </cell>
        </row>
        <row r="12561">
          <cell r="A12561">
            <v>2019</v>
          </cell>
          <cell r="B12561" t="str">
            <v>Budget</v>
          </cell>
          <cell r="C12561" t="str">
            <v>Dec</v>
          </cell>
          <cell r="D12561" t="str">
            <v>Chairs</v>
          </cell>
          <cell r="E12561">
            <v>220061.94</v>
          </cell>
          <cell r="F12561">
            <v>12</v>
          </cell>
        </row>
        <row r="12562">
          <cell r="A12562">
            <v>2019</v>
          </cell>
          <cell r="B12562" t="str">
            <v>Actual</v>
          </cell>
          <cell r="C12562" t="str">
            <v>Dec</v>
          </cell>
          <cell r="D12562" t="str">
            <v>Chairs</v>
          </cell>
          <cell r="E12562">
            <v>144511.899</v>
          </cell>
          <cell r="F12562">
            <v>12</v>
          </cell>
        </row>
        <row r="12563">
          <cell r="A12563">
            <v>2019</v>
          </cell>
          <cell r="B12563" t="str">
            <v>Budget</v>
          </cell>
          <cell r="C12563" t="str">
            <v>Dec</v>
          </cell>
          <cell r="D12563" t="str">
            <v>Chairs</v>
          </cell>
          <cell r="E12563">
            <v>192121.67799999999</v>
          </cell>
          <cell r="F12563">
            <v>12</v>
          </cell>
        </row>
        <row r="12564">
          <cell r="A12564">
            <v>2018</v>
          </cell>
          <cell r="B12564" t="str">
            <v>Actual</v>
          </cell>
          <cell r="C12564" t="str">
            <v>Dec</v>
          </cell>
          <cell r="D12564" t="str">
            <v>Chairs</v>
          </cell>
          <cell r="E12564">
            <v>128868.32699999998</v>
          </cell>
          <cell r="F12564">
            <v>12</v>
          </cell>
        </row>
        <row r="12565">
          <cell r="A12565">
            <v>2019</v>
          </cell>
          <cell r="B12565" t="str">
            <v>Budget</v>
          </cell>
          <cell r="C12565" t="str">
            <v>Dec</v>
          </cell>
          <cell r="D12565" t="str">
            <v>Chairs</v>
          </cell>
          <cell r="E12565">
            <v>77763.370999999999</v>
          </cell>
          <cell r="F12565">
            <v>12</v>
          </cell>
        </row>
        <row r="12566">
          <cell r="A12566">
            <v>2018</v>
          </cell>
          <cell r="B12566" t="str">
            <v>Actual</v>
          </cell>
          <cell r="C12566" t="str">
            <v>Dec</v>
          </cell>
          <cell r="D12566" t="str">
            <v>Chairs</v>
          </cell>
          <cell r="E12566">
            <v>153474.33499999999</v>
          </cell>
          <cell r="F12566">
            <v>12</v>
          </cell>
        </row>
        <row r="12567">
          <cell r="A12567">
            <v>2019</v>
          </cell>
          <cell r="B12567" t="str">
            <v>Budget</v>
          </cell>
          <cell r="C12567" t="str">
            <v>Dec</v>
          </cell>
          <cell r="D12567" t="str">
            <v>Chairs</v>
          </cell>
          <cell r="E12567">
            <v>5925777.9139999989</v>
          </cell>
          <cell r="F12567">
            <v>12</v>
          </cell>
        </row>
        <row r="12568">
          <cell r="A12568">
            <v>2018</v>
          </cell>
          <cell r="B12568" t="str">
            <v>Actual</v>
          </cell>
          <cell r="C12568" t="str">
            <v>Dec</v>
          </cell>
          <cell r="D12568" t="str">
            <v>Chairs</v>
          </cell>
          <cell r="E12568">
            <v>32979.092999999993</v>
          </cell>
          <cell r="F12568">
            <v>12</v>
          </cell>
        </row>
        <row r="12569">
          <cell r="A12569">
            <v>2019</v>
          </cell>
          <cell r="B12569" t="str">
            <v>Budget</v>
          </cell>
          <cell r="C12569" t="str">
            <v>Dec</v>
          </cell>
          <cell r="D12569" t="str">
            <v>Tables</v>
          </cell>
          <cell r="E12569">
            <v>33883.541999999994</v>
          </cell>
          <cell r="F12569">
            <v>12</v>
          </cell>
        </row>
        <row r="12570">
          <cell r="A12570">
            <v>2018</v>
          </cell>
          <cell r="B12570" t="str">
            <v>Actual</v>
          </cell>
          <cell r="C12570" t="str">
            <v>Dec</v>
          </cell>
          <cell r="D12570" t="str">
            <v>Kitchen</v>
          </cell>
          <cell r="E12570">
            <v>198836.74299999999</v>
          </cell>
          <cell r="F12570">
            <v>12</v>
          </cell>
        </row>
        <row r="12571">
          <cell r="A12571">
            <v>2019</v>
          </cell>
          <cell r="B12571" t="str">
            <v>Budget</v>
          </cell>
          <cell r="C12571" t="str">
            <v>Dec</v>
          </cell>
          <cell r="D12571" t="str">
            <v>Chairs</v>
          </cell>
          <cell r="E12571">
            <v>66566.5</v>
          </cell>
          <cell r="F12571">
            <v>12</v>
          </cell>
        </row>
        <row r="12572">
          <cell r="A12572">
            <v>2018</v>
          </cell>
          <cell r="B12572" t="str">
            <v>Actual</v>
          </cell>
          <cell r="C12572" t="str">
            <v>Dec</v>
          </cell>
          <cell r="D12572" t="str">
            <v>Chairs</v>
          </cell>
          <cell r="E12572">
            <v>47478.508000000002</v>
          </cell>
          <cell r="F12572">
            <v>12</v>
          </cell>
        </row>
        <row r="12573">
          <cell r="A12573">
            <v>2018</v>
          </cell>
          <cell r="B12573" t="str">
            <v>Budget</v>
          </cell>
          <cell r="C12573" t="str">
            <v>Dec</v>
          </cell>
          <cell r="D12573" t="str">
            <v>Chairs</v>
          </cell>
          <cell r="E12573">
            <v>4179.1399999999994</v>
          </cell>
          <cell r="F12573">
            <v>12</v>
          </cell>
        </row>
        <row r="12574">
          <cell r="A12574">
            <v>2019</v>
          </cell>
          <cell r="B12574" t="str">
            <v>Actual</v>
          </cell>
          <cell r="C12574" t="str">
            <v>Dec</v>
          </cell>
          <cell r="D12574" t="str">
            <v>Chairs</v>
          </cell>
          <cell r="E12574">
            <v>2296.0909999999999</v>
          </cell>
          <cell r="F12574">
            <v>12</v>
          </cell>
        </row>
        <row r="12575">
          <cell r="A12575">
            <v>2018</v>
          </cell>
          <cell r="B12575" t="str">
            <v>Budget</v>
          </cell>
          <cell r="C12575" t="str">
            <v>Dec</v>
          </cell>
          <cell r="D12575" t="str">
            <v>Chairs</v>
          </cell>
          <cell r="E12575">
            <v>368147.21299999993</v>
          </cell>
          <cell r="F12575">
            <v>12</v>
          </cell>
        </row>
        <row r="12576">
          <cell r="A12576">
            <v>2018</v>
          </cell>
          <cell r="B12576" t="str">
            <v>Actual</v>
          </cell>
          <cell r="C12576" t="str">
            <v>Dec</v>
          </cell>
          <cell r="D12576" t="str">
            <v>Tables</v>
          </cell>
          <cell r="E12576">
            <v>559570.79499999993</v>
          </cell>
          <cell r="F12576">
            <v>12</v>
          </cell>
        </row>
        <row r="12577">
          <cell r="A12577">
            <v>2018</v>
          </cell>
          <cell r="B12577" t="str">
            <v>Budget</v>
          </cell>
          <cell r="C12577" t="str">
            <v>Dec</v>
          </cell>
          <cell r="D12577" t="str">
            <v>Kitchen</v>
          </cell>
          <cell r="E12577">
            <v>2593755.8989999997</v>
          </cell>
          <cell r="F12577">
            <v>12</v>
          </cell>
        </row>
        <row r="12578">
          <cell r="A12578">
            <v>2018</v>
          </cell>
          <cell r="B12578" t="str">
            <v>Actual</v>
          </cell>
          <cell r="C12578" t="str">
            <v>Dec</v>
          </cell>
          <cell r="D12578" t="str">
            <v>Chairs</v>
          </cell>
          <cell r="E12578">
            <v>61712.580999999998</v>
          </cell>
          <cell r="F12578">
            <v>12</v>
          </cell>
        </row>
        <row r="12579">
          <cell r="A12579">
            <v>2019</v>
          </cell>
          <cell r="B12579" t="str">
            <v>Budget</v>
          </cell>
          <cell r="C12579" t="str">
            <v>Dec</v>
          </cell>
          <cell r="D12579" t="str">
            <v>Chairs</v>
          </cell>
          <cell r="E12579">
            <v>89259.512999999992</v>
          </cell>
          <cell r="F12579">
            <v>12</v>
          </cell>
        </row>
        <row r="12580">
          <cell r="A12580">
            <v>2019</v>
          </cell>
          <cell r="B12580" t="str">
            <v>Actual</v>
          </cell>
          <cell r="C12580" t="str">
            <v>Dec</v>
          </cell>
          <cell r="D12580" t="str">
            <v>Chairs</v>
          </cell>
          <cell r="E12580">
            <v>118066.81599999999</v>
          </cell>
          <cell r="F12580">
            <v>12</v>
          </cell>
        </row>
        <row r="12581">
          <cell r="A12581">
            <v>2018</v>
          </cell>
          <cell r="B12581" t="str">
            <v>Budget</v>
          </cell>
          <cell r="C12581" t="str">
            <v>Dec</v>
          </cell>
          <cell r="D12581" t="str">
            <v>Tables</v>
          </cell>
          <cell r="E12581">
            <v>-602126.52499999991</v>
          </cell>
          <cell r="F12581">
            <v>12</v>
          </cell>
        </row>
        <row r="12582">
          <cell r="A12582">
            <v>2019</v>
          </cell>
          <cell r="B12582" t="str">
            <v>Actual</v>
          </cell>
          <cell r="C12582" t="str">
            <v>Dec</v>
          </cell>
          <cell r="D12582" t="str">
            <v>Kitchen</v>
          </cell>
          <cell r="E12582">
            <v>-633817.40099999995</v>
          </cell>
          <cell r="F12582">
            <v>12</v>
          </cell>
        </row>
        <row r="12583">
          <cell r="A12583">
            <v>2018</v>
          </cell>
          <cell r="B12583" t="str">
            <v>Budget</v>
          </cell>
          <cell r="C12583" t="str">
            <v>Dec</v>
          </cell>
          <cell r="D12583" t="str">
            <v>Chairs</v>
          </cell>
          <cell r="E12583">
            <v>215141.24099999998</v>
          </cell>
          <cell r="F12583">
            <v>12</v>
          </cell>
        </row>
        <row r="12584">
          <cell r="A12584">
            <v>2019</v>
          </cell>
          <cell r="B12584" t="str">
            <v>Actual</v>
          </cell>
          <cell r="C12584" t="str">
            <v>Dec</v>
          </cell>
          <cell r="D12584" t="str">
            <v>Chairs</v>
          </cell>
          <cell r="E12584">
            <v>346858.55399999995</v>
          </cell>
          <cell r="F12584">
            <v>12</v>
          </cell>
        </row>
        <row r="12585">
          <cell r="A12585">
            <v>2018</v>
          </cell>
          <cell r="B12585" t="str">
            <v>Budget</v>
          </cell>
          <cell r="C12585" t="str">
            <v>Dec</v>
          </cell>
          <cell r="D12585" t="str">
            <v>Tables</v>
          </cell>
          <cell r="E12585">
            <v>1760963.2040000001</v>
          </cell>
          <cell r="F12585">
            <v>12</v>
          </cell>
        </row>
        <row r="12586">
          <cell r="A12586">
            <v>2018</v>
          </cell>
          <cell r="B12586" t="str">
            <v>Actual</v>
          </cell>
          <cell r="C12586" t="str">
            <v>Dec</v>
          </cell>
          <cell r="D12586" t="str">
            <v>Kitchen</v>
          </cell>
          <cell r="E12586">
            <v>590438.81400000001</v>
          </cell>
          <cell r="F12586">
            <v>12</v>
          </cell>
        </row>
        <row r="12587">
          <cell r="A12587">
            <v>2018</v>
          </cell>
          <cell r="B12587" t="str">
            <v>Budget</v>
          </cell>
          <cell r="C12587" t="str">
            <v>Dec</v>
          </cell>
          <cell r="D12587" t="str">
            <v>Chairs</v>
          </cell>
          <cell r="E12587">
            <v>94412.324999999997</v>
          </cell>
          <cell r="F12587">
            <v>12</v>
          </cell>
        </row>
        <row r="12588">
          <cell r="A12588">
            <v>2019</v>
          </cell>
          <cell r="B12588" t="str">
            <v>Actual</v>
          </cell>
          <cell r="C12588" t="str">
            <v>Dec</v>
          </cell>
          <cell r="D12588" t="str">
            <v>Chairs</v>
          </cell>
          <cell r="E12588">
            <v>778109.84299999999</v>
          </cell>
          <cell r="F12588">
            <v>12</v>
          </cell>
        </row>
        <row r="12589">
          <cell r="A12589">
            <v>2018</v>
          </cell>
          <cell r="B12589" t="str">
            <v>Budget</v>
          </cell>
          <cell r="C12589" t="str">
            <v>Dec</v>
          </cell>
          <cell r="D12589" t="str">
            <v>Chairs</v>
          </cell>
          <cell r="E12589">
            <v>-1294.3489999999999</v>
          </cell>
          <cell r="F12589">
            <v>12</v>
          </cell>
        </row>
        <row r="12590">
          <cell r="A12590">
            <v>2019</v>
          </cell>
          <cell r="B12590" t="str">
            <v>Actual</v>
          </cell>
          <cell r="C12590" t="str">
            <v>Dec</v>
          </cell>
          <cell r="D12590" t="str">
            <v>Tables</v>
          </cell>
          <cell r="E12590">
            <v>-85551.031999999992</v>
          </cell>
          <cell r="F12590">
            <v>12</v>
          </cell>
        </row>
        <row r="12591">
          <cell r="A12591">
            <v>2019</v>
          </cell>
          <cell r="B12591" t="str">
            <v>Budget</v>
          </cell>
          <cell r="C12591" t="str">
            <v>Dec</v>
          </cell>
          <cell r="D12591" t="str">
            <v>Kitchen</v>
          </cell>
          <cell r="E12591">
            <v>1022038.7239999999</v>
          </cell>
          <cell r="F12591">
            <v>12</v>
          </cell>
        </row>
        <row r="12592">
          <cell r="A12592">
            <v>2018</v>
          </cell>
          <cell r="B12592" t="str">
            <v>Actual</v>
          </cell>
          <cell r="C12592" t="str">
            <v>Dec</v>
          </cell>
          <cell r="D12592" t="str">
            <v>Accessories</v>
          </cell>
          <cell r="E12592">
            <v>36586.353999999999</v>
          </cell>
          <cell r="F12592">
            <v>12</v>
          </cell>
        </row>
        <row r="12593">
          <cell r="A12593">
            <v>2018</v>
          </cell>
          <cell r="B12593" t="str">
            <v>Budget</v>
          </cell>
          <cell r="C12593" t="str">
            <v>Dec</v>
          </cell>
          <cell r="D12593" t="str">
            <v>Chairs</v>
          </cell>
          <cell r="E12593">
            <v>14232.056999999999</v>
          </cell>
          <cell r="F12593">
            <v>12</v>
          </cell>
        </row>
        <row r="12594">
          <cell r="A12594">
            <v>2018</v>
          </cell>
          <cell r="B12594" t="str">
            <v>Actual</v>
          </cell>
          <cell r="C12594" t="str">
            <v>Dec</v>
          </cell>
          <cell r="D12594" t="str">
            <v>Tables</v>
          </cell>
          <cell r="E12594">
            <v>437813.79599999997</v>
          </cell>
          <cell r="F12594">
            <v>12</v>
          </cell>
        </row>
        <row r="12595">
          <cell r="A12595">
            <v>2019</v>
          </cell>
          <cell r="B12595" t="str">
            <v>Budget</v>
          </cell>
          <cell r="C12595" t="str">
            <v>Dec</v>
          </cell>
          <cell r="D12595" t="str">
            <v>Kitchen</v>
          </cell>
          <cell r="E12595">
            <v>-3222.9749999999999</v>
          </cell>
          <cell r="F12595">
            <v>12</v>
          </cell>
        </row>
        <row r="12596">
          <cell r="A12596">
            <v>2018</v>
          </cell>
          <cell r="B12596" t="str">
            <v>Actual</v>
          </cell>
          <cell r="C12596" t="str">
            <v>Dec</v>
          </cell>
          <cell r="D12596" t="str">
            <v>Accessories</v>
          </cell>
          <cell r="E12596">
            <v>-66433.591</v>
          </cell>
          <cell r="F12596">
            <v>12</v>
          </cell>
        </row>
        <row r="12597">
          <cell r="A12597">
            <v>2019</v>
          </cell>
          <cell r="B12597" t="str">
            <v>Budget</v>
          </cell>
          <cell r="C12597" t="str">
            <v>Dec</v>
          </cell>
          <cell r="D12597" t="str">
            <v>Chairs</v>
          </cell>
          <cell r="E12597">
            <v>-123986.317</v>
          </cell>
          <cell r="F12597">
            <v>12</v>
          </cell>
        </row>
        <row r="12598">
          <cell r="A12598">
            <v>2019</v>
          </cell>
          <cell r="B12598" t="str">
            <v>Actual</v>
          </cell>
          <cell r="C12598" t="str">
            <v>Dec</v>
          </cell>
          <cell r="D12598" t="str">
            <v>Tables</v>
          </cell>
          <cell r="E12598">
            <v>383889.576</v>
          </cell>
          <cell r="F12598">
            <v>12</v>
          </cell>
        </row>
        <row r="12599">
          <cell r="A12599">
            <v>2019</v>
          </cell>
          <cell r="B12599" t="str">
            <v>Budget</v>
          </cell>
          <cell r="C12599" t="str">
            <v>Dec</v>
          </cell>
          <cell r="D12599" t="str">
            <v>Kitchen</v>
          </cell>
          <cell r="E12599">
            <v>46664.1</v>
          </cell>
          <cell r="F12599">
            <v>12</v>
          </cell>
        </row>
        <row r="12600">
          <cell r="A12600">
            <v>2019</v>
          </cell>
          <cell r="B12600" t="str">
            <v>Actual</v>
          </cell>
          <cell r="C12600" t="str">
            <v>Dec</v>
          </cell>
          <cell r="D12600" t="str">
            <v>Accessories</v>
          </cell>
          <cell r="E12600">
            <v>31519.319999999996</v>
          </cell>
          <cell r="F12600">
            <v>12</v>
          </cell>
        </row>
        <row r="12601">
          <cell r="A12601">
            <v>2019</v>
          </cell>
          <cell r="B12601" t="str">
            <v>Budget</v>
          </cell>
          <cell r="C12601" t="str">
            <v>Dec</v>
          </cell>
          <cell r="D12601" t="str">
            <v>Chairs</v>
          </cell>
          <cell r="E12601">
            <v>380765.77699999994</v>
          </cell>
          <cell r="F12601">
            <v>12</v>
          </cell>
        </row>
        <row r="12602">
          <cell r="A12602">
            <v>2019</v>
          </cell>
          <cell r="B12602" t="str">
            <v>Actual</v>
          </cell>
          <cell r="C12602" t="str">
            <v>Dec</v>
          </cell>
          <cell r="D12602" t="str">
            <v>Tables</v>
          </cell>
          <cell r="E12602">
            <v>1165429.888</v>
          </cell>
          <cell r="F12602">
            <v>12</v>
          </cell>
        </row>
        <row r="12603">
          <cell r="A12603">
            <v>2019</v>
          </cell>
          <cell r="B12603" t="str">
            <v>Budget</v>
          </cell>
          <cell r="C12603" t="str">
            <v>Dec</v>
          </cell>
          <cell r="D12603" t="str">
            <v>Kitchen</v>
          </cell>
          <cell r="E12603">
            <v>-10098.528999999999</v>
          </cell>
          <cell r="F12603">
            <v>12</v>
          </cell>
        </row>
        <row r="12604">
          <cell r="A12604">
            <v>2018</v>
          </cell>
          <cell r="B12604" t="str">
            <v>Actual</v>
          </cell>
          <cell r="C12604" t="str">
            <v>Dec</v>
          </cell>
          <cell r="D12604" t="str">
            <v>Accessories</v>
          </cell>
          <cell r="E12604">
            <v>134876.266</v>
          </cell>
          <cell r="F12604">
            <v>12</v>
          </cell>
        </row>
        <row r="12605">
          <cell r="A12605">
            <v>2019</v>
          </cell>
          <cell r="B12605" t="str">
            <v>Budget</v>
          </cell>
          <cell r="C12605" t="str">
            <v>Dec</v>
          </cell>
          <cell r="D12605" t="str">
            <v>Chairs</v>
          </cell>
          <cell r="E12605">
            <v>361138.897</v>
          </cell>
          <cell r="F12605">
            <v>12</v>
          </cell>
        </row>
        <row r="12606">
          <cell r="A12606">
            <v>2019</v>
          </cell>
          <cell r="B12606" t="str">
            <v>Actual</v>
          </cell>
          <cell r="C12606" t="str">
            <v>Dec</v>
          </cell>
          <cell r="D12606" t="str">
            <v>Chairs</v>
          </cell>
          <cell r="E12606">
            <v>345301.82399999996</v>
          </cell>
          <cell r="F12606">
            <v>12</v>
          </cell>
        </row>
        <row r="12607">
          <cell r="A12607">
            <v>2019</v>
          </cell>
          <cell r="B12607" t="str">
            <v>Budget</v>
          </cell>
          <cell r="C12607" t="str">
            <v>Dec</v>
          </cell>
          <cell r="D12607" t="str">
            <v>Tables</v>
          </cell>
          <cell r="E12607">
            <v>147300.35599999997</v>
          </cell>
          <cell r="F12607">
            <v>12</v>
          </cell>
        </row>
        <row r="12608">
          <cell r="A12608">
            <v>2018</v>
          </cell>
          <cell r="B12608" t="str">
            <v>Actual</v>
          </cell>
          <cell r="C12608" t="str">
            <v>Dec</v>
          </cell>
          <cell r="D12608" t="str">
            <v>Kitchen</v>
          </cell>
          <cell r="E12608">
            <v>81997.649999999994</v>
          </cell>
          <cell r="F12608">
            <v>12</v>
          </cell>
        </row>
        <row r="12609">
          <cell r="A12609">
            <v>2018</v>
          </cell>
          <cell r="B12609" t="str">
            <v>Budget</v>
          </cell>
          <cell r="C12609" t="str">
            <v>Dec</v>
          </cell>
          <cell r="D12609" t="str">
            <v>Chairs</v>
          </cell>
          <cell r="E12609">
            <v>339143.11899999995</v>
          </cell>
          <cell r="F12609">
            <v>12</v>
          </cell>
        </row>
        <row r="12610">
          <cell r="A12610">
            <v>2019</v>
          </cell>
          <cell r="B12610" t="str">
            <v>Actual</v>
          </cell>
          <cell r="C12610" t="str">
            <v>Dec</v>
          </cell>
          <cell r="D12610" t="str">
            <v>Tables</v>
          </cell>
          <cell r="E12610">
            <v>2386.3629999999998</v>
          </cell>
          <cell r="F12610">
            <v>12</v>
          </cell>
        </row>
        <row r="12611">
          <cell r="A12611">
            <v>2019</v>
          </cell>
          <cell r="B12611" t="str">
            <v>Budget</v>
          </cell>
          <cell r="C12611" t="str">
            <v>Dec</v>
          </cell>
          <cell r="D12611" t="str">
            <v>Kitchen</v>
          </cell>
          <cell r="E12611">
            <v>111596.149</v>
          </cell>
          <cell r="F12611">
            <v>12</v>
          </cell>
        </row>
        <row r="12612">
          <cell r="A12612">
            <v>2019</v>
          </cell>
          <cell r="B12612" t="str">
            <v>Actual</v>
          </cell>
          <cell r="C12612" t="str">
            <v>Dec</v>
          </cell>
          <cell r="D12612" t="str">
            <v>Chairs</v>
          </cell>
          <cell r="E12612">
            <v>1031439.8009999999</v>
          </cell>
          <cell r="F12612">
            <v>12</v>
          </cell>
        </row>
        <row r="12613">
          <cell r="A12613">
            <v>2019</v>
          </cell>
          <cell r="B12613" t="str">
            <v>Budget</v>
          </cell>
          <cell r="C12613" t="str">
            <v>Dec</v>
          </cell>
          <cell r="D12613" t="str">
            <v>Tables</v>
          </cell>
          <cell r="E12613">
            <v>204571.45799999998</v>
          </cell>
          <cell r="F12613">
            <v>12</v>
          </cell>
        </row>
        <row r="12614">
          <cell r="A12614">
            <v>2018</v>
          </cell>
          <cell r="B12614" t="str">
            <v>Actual</v>
          </cell>
          <cell r="C12614" t="str">
            <v>Dec</v>
          </cell>
          <cell r="D12614" t="str">
            <v>Kitchen</v>
          </cell>
          <cell r="E12614">
            <v>38954.258000000002</v>
          </cell>
          <cell r="F12614">
            <v>12</v>
          </cell>
        </row>
        <row r="12615">
          <cell r="A12615">
            <v>2018</v>
          </cell>
          <cell r="B12615" t="str">
            <v>Budget</v>
          </cell>
          <cell r="C12615" t="str">
            <v>Dec</v>
          </cell>
          <cell r="D12615" t="str">
            <v>Chairs</v>
          </cell>
          <cell r="E12615">
            <v>15883.146999999999</v>
          </cell>
          <cell r="F12615">
            <v>12</v>
          </cell>
        </row>
        <row r="12616">
          <cell r="A12616">
            <v>2019</v>
          </cell>
          <cell r="B12616" t="str">
            <v>Actual</v>
          </cell>
          <cell r="C12616" t="str">
            <v>Dec</v>
          </cell>
          <cell r="D12616" t="str">
            <v>Chairs</v>
          </cell>
          <cell r="E12616">
            <v>166609.212</v>
          </cell>
          <cell r="F12616">
            <v>12</v>
          </cell>
        </row>
        <row r="12617">
          <cell r="A12617">
            <v>2019</v>
          </cell>
          <cell r="B12617" t="str">
            <v>Budget</v>
          </cell>
          <cell r="C12617" t="str">
            <v>Dec</v>
          </cell>
          <cell r="D12617" t="str">
            <v>Chairs</v>
          </cell>
          <cell r="E12617">
            <v>26178.165999999997</v>
          </cell>
          <cell r="F12617">
            <v>12</v>
          </cell>
        </row>
        <row r="12618">
          <cell r="A12618">
            <v>2019</v>
          </cell>
          <cell r="B12618" t="str">
            <v>Actual</v>
          </cell>
          <cell r="C12618" t="str">
            <v>Dec</v>
          </cell>
          <cell r="D12618" t="str">
            <v>Chairs</v>
          </cell>
          <cell r="E12618">
            <v>49662.913999999997</v>
          </cell>
          <cell r="F12618">
            <v>12</v>
          </cell>
        </row>
        <row r="12619">
          <cell r="A12619">
            <v>2018</v>
          </cell>
          <cell r="B12619" t="str">
            <v>Budget</v>
          </cell>
          <cell r="C12619" t="str">
            <v>Dec</v>
          </cell>
          <cell r="D12619" t="str">
            <v>Chairs</v>
          </cell>
          <cell r="E12619">
            <v>-711.06</v>
          </cell>
          <cell r="F12619">
            <v>12</v>
          </cell>
        </row>
        <row r="12620">
          <cell r="A12620">
            <v>2019</v>
          </cell>
          <cell r="B12620" t="str">
            <v>Actual</v>
          </cell>
          <cell r="C12620" t="str">
            <v>Dec</v>
          </cell>
          <cell r="D12620" t="str">
            <v>Chairs</v>
          </cell>
          <cell r="E12620">
            <v>-412.916</v>
          </cell>
          <cell r="F12620">
            <v>12</v>
          </cell>
        </row>
        <row r="12621">
          <cell r="A12621">
            <v>2019</v>
          </cell>
          <cell r="B12621" t="str">
            <v>Budget</v>
          </cell>
          <cell r="C12621" t="str">
            <v>Dec</v>
          </cell>
          <cell r="D12621" t="str">
            <v>Chairs</v>
          </cell>
          <cell r="E12621">
            <v>46441.493000000002</v>
          </cell>
          <cell r="F12621">
            <v>12</v>
          </cell>
        </row>
        <row r="12622">
          <cell r="A12622">
            <v>2019</v>
          </cell>
          <cell r="B12622" t="str">
            <v>Actual</v>
          </cell>
          <cell r="C12622" t="str">
            <v>Dec</v>
          </cell>
          <cell r="D12622" t="str">
            <v>Chairs</v>
          </cell>
          <cell r="E12622">
            <v>35863.799999999996</v>
          </cell>
          <cell r="F12622">
            <v>12</v>
          </cell>
        </row>
        <row r="12623">
          <cell r="A12623">
            <v>2019</v>
          </cell>
          <cell r="B12623" t="str">
            <v>Budget</v>
          </cell>
          <cell r="C12623" t="str">
            <v>Dec</v>
          </cell>
          <cell r="D12623" t="str">
            <v>Chairs</v>
          </cell>
          <cell r="E12623">
            <v>202641.76799999998</v>
          </cell>
          <cell r="F12623">
            <v>12</v>
          </cell>
        </row>
        <row r="12624">
          <cell r="A12624">
            <v>2018</v>
          </cell>
          <cell r="B12624" t="str">
            <v>Actual</v>
          </cell>
          <cell r="C12624" t="str">
            <v>Dec</v>
          </cell>
          <cell r="D12624" t="str">
            <v>Chairs</v>
          </cell>
          <cell r="E12624">
            <v>339182.38199999998</v>
          </cell>
          <cell r="F12624">
            <v>12</v>
          </cell>
        </row>
        <row r="12625">
          <cell r="A12625">
            <v>2018</v>
          </cell>
          <cell r="B12625" t="str">
            <v>Budget</v>
          </cell>
          <cell r="C12625" t="str">
            <v>Dec</v>
          </cell>
          <cell r="D12625" t="str">
            <v>Chairs</v>
          </cell>
          <cell r="E12625">
            <v>256580.36599999998</v>
          </cell>
          <cell r="F12625">
            <v>12</v>
          </cell>
        </row>
        <row r="12626">
          <cell r="A12626">
            <v>2019</v>
          </cell>
          <cell r="B12626" t="str">
            <v>Actual</v>
          </cell>
          <cell r="C12626" t="str">
            <v>Dec</v>
          </cell>
          <cell r="D12626" t="str">
            <v>Chairs</v>
          </cell>
          <cell r="E12626">
            <v>210454.56599999999</v>
          </cell>
          <cell r="F12626">
            <v>12</v>
          </cell>
        </row>
        <row r="12627">
          <cell r="A12627">
            <v>2018</v>
          </cell>
          <cell r="B12627" t="str">
            <v>Budget</v>
          </cell>
          <cell r="C12627" t="str">
            <v>Dec</v>
          </cell>
          <cell r="D12627" t="str">
            <v>Chairs</v>
          </cell>
          <cell r="E12627">
            <v>175184.345</v>
          </cell>
          <cell r="F12627">
            <v>12</v>
          </cell>
        </row>
        <row r="12628">
          <cell r="A12628">
            <v>2018</v>
          </cell>
          <cell r="B12628" t="str">
            <v>Actual</v>
          </cell>
          <cell r="C12628" t="str">
            <v>Dec</v>
          </cell>
          <cell r="D12628" t="str">
            <v>Chairs</v>
          </cell>
          <cell r="E12628">
            <v>420793.67399999994</v>
          </cell>
          <cell r="F12628">
            <v>12</v>
          </cell>
        </row>
        <row r="12629">
          <cell r="A12629">
            <v>2018</v>
          </cell>
          <cell r="B12629" t="str">
            <v>Budget</v>
          </cell>
          <cell r="C12629" t="str">
            <v>Dec</v>
          </cell>
          <cell r="D12629" t="str">
            <v>Chairs</v>
          </cell>
          <cell r="E12629">
            <v>258732.31999999998</v>
          </cell>
          <cell r="F12629">
            <v>12</v>
          </cell>
        </row>
        <row r="12630">
          <cell r="A12630">
            <v>2019</v>
          </cell>
          <cell r="B12630" t="str">
            <v>Actual</v>
          </cell>
          <cell r="C12630" t="str">
            <v>Dec</v>
          </cell>
          <cell r="D12630" t="str">
            <v>Chairs</v>
          </cell>
          <cell r="E12630">
            <v>370854.05699999997</v>
          </cell>
          <cell r="F12630">
            <v>12</v>
          </cell>
        </row>
        <row r="12631">
          <cell r="A12631">
            <v>2019</v>
          </cell>
          <cell r="B12631" t="str">
            <v>Budget</v>
          </cell>
          <cell r="C12631" t="str">
            <v>Dec</v>
          </cell>
          <cell r="D12631" t="str">
            <v>Chairs</v>
          </cell>
          <cell r="E12631">
            <v>120407.098</v>
          </cell>
          <cell r="F12631">
            <v>12</v>
          </cell>
        </row>
        <row r="12632">
          <cell r="A12632">
            <v>2018</v>
          </cell>
          <cell r="B12632" t="str">
            <v>Actual</v>
          </cell>
          <cell r="C12632" t="str">
            <v>Dec</v>
          </cell>
          <cell r="D12632" t="str">
            <v>Chairs</v>
          </cell>
          <cell r="E12632">
            <v>525900.29099999997</v>
          </cell>
          <cell r="F12632">
            <v>12</v>
          </cell>
        </row>
        <row r="12633">
          <cell r="A12633">
            <v>2019</v>
          </cell>
          <cell r="B12633" t="str">
            <v>Budget</v>
          </cell>
          <cell r="C12633" t="str">
            <v>Dec</v>
          </cell>
          <cell r="D12633" t="str">
            <v>Chairs</v>
          </cell>
          <cell r="E12633">
            <v>16789.206000000002</v>
          </cell>
          <cell r="F12633">
            <v>12</v>
          </cell>
        </row>
        <row r="12634">
          <cell r="A12634">
            <v>2018</v>
          </cell>
          <cell r="B12634" t="str">
            <v>Actual</v>
          </cell>
          <cell r="C12634" t="str">
            <v>Dec</v>
          </cell>
          <cell r="D12634" t="str">
            <v>Chairs</v>
          </cell>
          <cell r="E12634">
            <v>301441.10499999998</v>
          </cell>
          <cell r="F12634">
            <v>12</v>
          </cell>
        </row>
        <row r="12635">
          <cell r="A12635">
            <v>2019</v>
          </cell>
          <cell r="B12635" t="str">
            <v>Budget</v>
          </cell>
          <cell r="C12635" t="str">
            <v>Dec</v>
          </cell>
          <cell r="D12635" t="str">
            <v>Chairs</v>
          </cell>
          <cell r="E12635">
            <v>-1771.9449999999999</v>
          </cell>
          <cell r="F12635">
            <v>12</v>
          </cell>
        </row>
        <row r="12636">
          <cell r="A12636">
            <v>2018</v>
          </cell>
          <cell r="B12636" t="str">
            <v>Actual</v>
          </cell>
          <cell r="C12636" t="str">
            <v>Dec</v>
          </cell>
          <cell r="D12636" t="str">
            <v>Chairs</v>
          </cell>
          <cell r="E12636">
            <v>43642.864999999998</v>
          </cell>
          <cell r="F12636">
            <v>12</v>
          </cell>
        </row>
        <row r="12637">
          <cell r="A12637">
            <v>2018</v>
          </cell>
          <cell r="B12637" t="str">
            <v>Budget</v>
          </cell>
          <cell r="C12637" t="str">
            <v>Dec</v>
          </cell>
          <cell r="D12637" t="str">
            <v>Chairs</v>
          </cell>
          <cell r="E12637">
            <v>216126.59600000002</v>
          </cell>
          <cell r="F12637">
            <v>12</v>
          </cell>
        </row>
        <row r="12638">
          <cell r="A12638">
            <v>2019</v>
          </cell>
          <cell r="B12638" t="str">
            <v>Actual</v>
          </cell>
          <cell r="C12638" t="str">
            <v>Dec</v>
          </cell>
          <cell r="D12638" t="str">
            <v>Chairs</v>
          </cell>
          <cell r="E12638">
            <v>27031.928</v>
          </cell>
          <cell r="F12638">
            <v>12</v>
          </cell>
        </row>
        <row r="12639">
          <cell r="A12639">
            <v>2019</v>
          </cell>
          <cell r="B12639" t="str">
            <v>Budget</v>
          </cell>
          <cell r="C12639" t="str">
            <v>Dec</v>
          </cell>
          <cell r="D12639" t="str">
            <v>Chairs</v>
          </cell>
          <cell r="E12639">
            <v>-87.86399999999999</v>
          </cell>
          <cell r="F12639">
            <v>12</v>
          </cell>
        </row>
        <row r="12640">
          <cell r="A12640">
            <v>2019</v>
          </cell>
          <cell r="B12640" t="str">
            <v>Actual</v>
          </cell>
          <cell r="C12640" t="str">
            <v>Dec</v>
          </cell>
          <cell r="D12640" t="str">
            <v>Chairs</v>
          </cell>
          <cell r="E12640">
            <v>64748.396999999997</v>
          </cell>
          <cell r="F12640">
            <v>12</v>
          </cell>
        </row>
        <row r="12641">
          <cell r="A12641">
            <v>2019</v>
          </cell>
          <cell r="B12641" t="str">
            <v>Budget</v>
          </cell>
          <cell r="C12641" t="str">
            <v>Dec</v>
          </cell>
          <cell r="D12641" t="str">
            <v>Tables</v>
          </cell>
          <cell r="E12641">
            <v>8168.2159999999985</v>
          </cell>
          <cell r="F12641">
            <v>12</v>
          </cell>
        </row>
        <row r="12642">
          <cell r="A12642">
            <v>2018</v>
          </cell>
          <cell r="B12642" t="str">
            <v>Actual</v>
          </cell>
          <cell r="C12642" t="str">
            <v>Dec</v>
          </cell>
          <cell r="D12642" t="str">
            <v>Kitchen</v>
          </cell>
          <cell r="E12642">
            <v>-611.89099999999996</v>
          </cell>
          <cell r="F12642">
            <v>12</v>
          </cell>
        </row>
        <row r="12643">
          <cell r="A12643">
            <v>2019</v>
          </cell>
          <cell r="B12643" t="str">
            <v>Budget</v>
          </cell>
          <cell r="C12643" t="str">
            <v>Dec</v>
          </cell>
          <cell r="D12643" t="str">
            <v>Chairs</v>
          </cell>
          <cell r="E12643">
            <v>12785.471999999998</v>
          </cell>
          <cell r="F12643">
            <v>12</v>
          </cell>
        </row>
        <row r="12644">
          <cell r="A12644">
            <v>2019</v>
          </cell>
          <cell r="B12644" t="str">
            <v>Actual</v>
          </cell>
          <cell r="C12644" t="str">
            <v>Dec</v>
          </cell>
          <cell r="D12644" t="str">
            <v>Chairs</v>
          </cell>
          <cell r="E12644">
            <v>-545.88099999999997</v>
          </cell>
          <cell r="F12644">
            <v>12</v>
          </cell>
        </row>
        <row r="12645">
          <cell r="A12645">
            <v>2018</v>
          </cell>
          <cell r="B12645" t="str">
            <v>Budget</v>
          </cell>
          <cell r="C12645" t="str">
            <v>Dec</v>
          </cell>
          <cell r="D12645" t="str">
            <v>Chairs</v>
          </cell>
          <cell r="E12645">
            <v>204246.84</v>
          </cell>
          <cell r="F12645">
            <v>12</v>
          </cell>
        </row>
        <row r="12646">
          <cell r="A12646">
            <v>2018</v>
          </cell>
          <cell r="B12646" t="str">
            <v>Actual</v>
          </cell>
          <cell r="C12646" t="str">
            <v>Dec</v>
          </cell>
          <cell r="D12646" t="str">
            <v>Chairs</v>
          </cell>
          <cell r="E12646">
            <v>1480579.3379999998</v>
          </cell>
          <cell r="F12646">
            <v>12</v>
          </cell>
        </row>
        <row r="12647">
          <cell r="A12647">
            <v>2019</v>
          </cell>
          <cell r="B12647" t="str">
            <v>Budget</v>
          </cell>
          <cell r="C12647" t="str">
            <v>Dec</v>
          </cell>
          <cell r="D12647" t="str">
            <v>Chairs</v>
          </cell>
          <cell r="E12647">
            <v>2860865.9449999998</v>
          </cell>
          <cell r="F12647">
            <v>12</v>
          </cell>
        </row>
        <row r="12648">
          <cell r="A12648">
            <v>2018</v>
          </cell>
          <cell r="B12648" t="str">
            <v>Actual</v>
          </cell>
          <cell r="C12648" t="str">
            <v>Dec</v>
          </cell>
          <cell r="D12648" t="str">
            <v>Tables</v>
          </cell>
          <cell r="E12648">
            <v>139732.19399999999</v>
          </cell>
          <cell r="F12648">
            <v>12</v>
          </cell>
        </row>
        <row r="12649">
          <cell r="A12649">
            <v>2019</v>
          </cell>
          <cell r="B12649" t="str">
            <v>Budget</v>
          </cell>
          <cell r="C12649" t="str">
            <v>Dec</v>
          </cell>
          <cell r="D12649" t="str">
            <v>Kitchen</v>
          </cell>
          <cell r="E12649">
            <v>5793.7460000000001</v>
          </cell>
          <cell r="F12649">
            <v>12</v>
          </cell>
        </row>
        <row r="12650">
          <cell r="A12650">
            <v>2018</v>
          </cell>
          <cell r="B12650" t="str">
            <v>Actual</v>
          </cell>
          <cell r="C12650" t="str">
            <v>Dec</v>
          </cell>
          <cell r="D12650" t="str">
            <v>Chairs</v>
          </cell>
          <cell r="E12650">
            <v>835260.60799999989</v>
          </cell>
          <cell r="F12650">
            <v>12</v>
          </cell>
        </row>
        <row r="12651">
          <cell r="A12651">
            <v>2019</v>
          </cell>
          <cell r="B12651" t="str">
            <v>Budget</v>
          </cell>
          <cell r="C12651" t="str">
            <v>Dec</v>
          </cell>
          <cell r="D12651" t="str">
            <v>Chairs</v>
          </cell>
          <cell r="E12651">
            <v>122915.33799999999</v>
          </cell>
          <cell r="F12651">
            <v>12</v>
          </cell>
        </row>
        <row r="12652">
          <cell r="A12652">
            <v>2018</v>
          </cell>
          <cell r="B12652" t="str">
            <v>Actual</v>
          </cell>
          <cell r="C12652" t="str">
            <v>Dec</v>
          </cell>
          <cell r="D12652" t="str">
            <v>Chairs</v>
          </cell>
          <cell r="E12652">
            <v>1085184.6599999999</v>
          </cell>
          <cell r="F12652">
            <v>12</v>
          </cell>
        </row>
        <row r="12653">
          <cell r="A12653">
            <v>2019</v>
          </cell>
          <cell r="B12653" t="str">
            <v>Budget</v>
          </cell>
          <cell r="C12653" t="str">
            <v>Dec</v>
          </cell>
          <cell r="D12653" t="str">
            <v>Tables</v>
          </cell>
          <cell r="E12653">
            <v>3271315.0189999999</v>
          </cell>
          <cell r="F12653">
            <v>12</v>
          </cell>
        </row>
        <row r="12654">
          <cell r="A12654">
            <v>2019</v>
          </cell>
          <cell r="B12654" t="str">
            <v>Actual</v>
          </cell>
          <cell r="C12654" t="str">
            <v>Dec</v>
          </cell>
          <cell r="D12654" t="str">
            <v>Kitchen</v>
          </cell>
          <cell r="E12654">
            <v>81284.349999999991</v>
          </cell>
          <cell r="F12654">
            <v>12</v>
          </cell>
        </row>
        <row r="12655">
          <cell r="A12655">
            <v>2018</v>
          </cell>
          <cell r="B12655" t="str">
            <v>Budget</v>
          </cell>
          <cell r="C12655" t="str">
            <v>Dec</v>
          </cell>
          <cell r="D12655" t="str">
            <v>Chairs</v>
          </cell>
          <cell r="E12655">
            <v>163816.163</v>
          </cell>
          <cell r="F12655">
            <v>12</v>
          </cell>
        </row>
        <row r="12656">
          <cell r="A12656">
            <v>2018</v>
          </cell>
          <cell r="B12656" t="str">
            <v>Actual</v>
          </cell>
          <cell r="C12656" t="str">
            <v>Dec</v>
          </cell>
          <cell r="D12656" t="str">
            <v>Chairs</v>
          </cell>
          <cell r="E12656">
            <v>557384.68099999998</v>
          </cell>
          <cell r="F12656">
            <v>12</v>
          </cell>
        </row>
        <row r="12657">
          <cell r="A12657">
            <v>2018</v>
          </cell>
          <cell r="B12657" t="str">
            <v>Budget</v>
          </cell>
          <cell r="C12657" t="str">
            <v>Dec</v>
          </cell>
          <cell r="D12657" t="str">
            <v>Tables</v>
          </cell>
          <cell r="E12657">
            <v>103220.194</v>
          </cell>
          <cell r="F12657">
            <v>12</v>
          </cell>
        </row>
        <row r="12658">
          <cell r="A12658">
            <v>2018</v>
          </cell>
          <cell r="B12658" t="str">
            <v>Actual</v>
          </cell>
          <cell r="C12658" t="str">
            <v>Dec</v>
          </cell>
          <cell r="D12658" t="str">
            <v>Kitchen</v>
          </cell>
          <cell r="E12658">
            <v>309635.66899999999</v>
          </cell>
          <cell r="F12658">
            <v>12</v>
          </cell>
        </row>
        <row r="12659">
          <cell r="A12659">
            <v>2018</v>
          </cell>
          <cell r="B12659" t="str">
            <v>Budget</v>
          </cell>
          <cell r="C12659" t="str">
            <v>Dec</v>
          </cell>
          <cell r="D12659" t="str">
            <v>Chairs</v>
          </cell>
          <cell r="E12659">
            <v>17238.920999999998</v>
          </cell>
          <cell r="F12659">
            <v>12</v>
          </cell>
        </row>
        <row r="12660">
          <cell r="A12660">
            <v>2018</v>
          </cell>
          <cell r="B12660" t="str">
            <v>Actual</v>
          </cell>
          <cell r="C12660" t="str">
            <v>Dec</v>
          </cell>
          <cell r="D12660" t="str">
            <v>Chairs</v>
          </cell>
          <cell r="E12660">
            <v>22953.923999999999</v>
          </cell>
          <cell r="F12660">
            <v>12</v>
          </cell>
        </row>
        <row r="12661">
          <cell r="A12661">
            <v>2019</v>
          </cell>
          <cell r="B12661" t="str">
            <v>Budget</v>
          </cell>
          <cell r="C12661" t="str">
            <v>Dec</v>
          </cell>
          <cell r="D12661" t="str">
            <v>Chairs</v>
          </cell>
          <cell r="E12661">
            <v>94022.236000000004</v>
          </cell>
          <cell r="F12661">
            <v>12</v>
          </cell>
        </row>
        <row r="12662">
          <cell r="A12662">
            <v>2019</v>
          </cell>
          <cell r="B12662" t="str">
            <v>Actual</v>
          </cell>
          <cell r="C12662" t="str">
            <v>Dec</v>
          </cell>
          <cell r="D12662" t="str">
            <v>Tables</v>
          </cell>
          <cell r="E12662">
            <v>138044.32599999997</v>
          </cell>
          <cell r="F12662">
            <v>12</v>
          </cell>
        </row>
        <row r="12663">
          <cell r="A12663">
            <v>2019</v>
          </cell>
          <cell r="B12663" t="str">
            <v>Budget</v>
          </cell>
          <cell r="C12663" t="str">
            <v>Dec</v>
          </cell>
          <cell r="D12663" t="str">
            <v>Kitchen</v>
          </cell>
          <cell r="E12663">
            <v>950122.03299999994</v>
          </cell>
          <cell r="F12663">
            <v>12</v>
          </cell>
        </row>
        <row r="12664">
          <cell r="A12664">
            <v>2018</v>
          </cell>
          <cell r="B12664" t="str">
            <v>Actual</v>
          </cell>
          <cell r="C12664" t="str">
            <v>Dec</v>
          </cell>
          <cell r="D12664" t="str">
            <v>Accessories</v>
          </cell>
          <cell r="E12664">
            <v>8795.64</v>
          </cell>
          <cell r="F12664">
            <v>12</v>
          </cell>
        </row>
        <row r="12665">
          <cell r="A12665">
            <v>2019</v>
          </cell>
          <cell r="B12665" t="str">
            <v>Budget</v>
          </cell>
          <cell r="C12665" t="str">
            <v>Dec</v>
          </cell>
          <cell r="D12665" t="str">
            <v>Chairs</v>
          </cell>
          <cell r="E12665">
            <v>419574.435</v>
          </cell>
          <cell r="F12665">
            <v>12</v>
          </cell>
        </row>
        <row r="12666">
          <cell r="A12666">
            <v>2018</v>
          </cell>
          <cell r="B12666" t="str">
            <v>Actual</v>
          </cell>
          <cell r="C12666" t="str">
            <v>Dec</v>
          </cell>
          <cell r="D12666" t="str">
            <v>Tables</v>
          </cell>
          <cell r="E12666">
            <v>219320.68900000001</v>
          </cell>
          <cell r="F12666">
            <v>12</v>
          </cell>
        </row>
        <row r="12667">
          <cell r="A12667">
            <v>2019</v>
          </cell>
          <cell r="B12667" t="str">
            <v>Budget</v>
          </cell>
          <cell r="C12667" t="str">
            <v>Dec</v>
          </cell>
          <cell r="D12667" t="str">
            <v>Kitchen</v>
          </cell>
          <cell r="E12667">
            <v>130369.08499999998</v>
          </cell>
          <cell r="F12667">
            <v>12</v>
          </cell>
        </row>
        <row r="12668">
          <cell r="A12668">
            <v>2018</v>
          </cell>
          <cell r="B12668" t="str">
            <v>Actual</v>
          </cell>
          <cell r="C12668" t="str">
            <v>Dec</v>
          </cell>
          <cell r="D12668" t="str">
            <v>Accessories</v>
          </cell>
          <cell r="E12668">
            <v>183180.43099999998</v>
          </cell>
          <cell r="F12668">
            <v>12</v>
          </cell>
        </row>
        <row r="12669">
          <cell r="A12669">
            <v>2019</v>
          </cell>
          <cell r="B12669" t="str">
            <v>Budget</v>
          </cell>
          <cell r="C12669" t="str">
            <v>Dec</v>
          </cell>
          <cell r="D12669" t="str">
            <v>Chairs</v>
          </cell>
          <cell r="E12669">
            <v>41218.890999999996</v>
          </cell>
          <cell r="F12669">
            <v>12</v>
          </cell>
        </row>
        <row r="12670">
          <cell r="A12670">
            <v>2019</v>
          </cell>
          <cell r="B12670" t="str">
            <v>Actual</v>
          </cell>
          <cell r="C12670" t="str">
            <v>Dec</v>
          </cell>
          <cell r="D12670" t="str">
            <v>Tables</v>
          </cell>
          <cell r="E12670">
            <v>172660.42499999999</v>
          </cell>
          <cell r="F12670">
            <v>12</v>
          </cell>
        </row>
        <row r="12671">
          <cell r="A12671">
            <v>2018</v>
          </cell>
          <cell r="B12671" t="str">
            <v>Budget</v>
          </cell>
          <cell r="C12671" t="str">
            <v>Dec</v>
          </cell>
          <cell r="D12671" t="str">
            <v>Kitchen</v>
          </cell>
          <cell r="E12671">
            <v>179556.15299999999</v>
          </cell>
          <cell r="F12671">
            <v>12</v>
          </cell>
        </row>
        <row r="12672">
          <cell r="A12672">
            <v>2018</v>
          </cell>
          <cell r="B12672" t="str">
            <v>Actual</v>
          </cell>
          <cell r="C12672" t="str">
            <v>Dec</v>
          </cell>
          <cell r="D12672" t="str">
            <v>Accessories</v>
          </cell>
          <cell r="E12672">
            <v>11049072.944</v>
          </cell>
          <cell r="F12672">
            <v>12</v>
          </cell>
        </row>
        <row r="12673">
          <cell r="A12673">
            <v>2019</v>
          </cell>
          <cell r="B12673" t="str">
            <v>Budget</v>
          </cell>
          <cell r="C12673" t="str">
            <v>Dec</v>
          </cell>
          <cell r="D12673" t="str">
            <v>Chairs</v>
          </cell>
          <cell r="E12673">
            <v>41424.004999999997</v>
          </cell>
          <cell r="F12673">
            <v>12</v>
          </cell>
        </row>
        <row r="12674">
          <cell r="A12674">
            <v>2019</v>
          </cell>
          <cell r="B12674" t="str">
            <v>Actual</v>
          </cell>
          <cell r="C12674" t="str">
            <v>Dec</v>
          </cell>
          <cell r="D12674" t="str">
            <v>Tables</v>
          </cell>
          <cell r="E12674">
            <v>244978.72699999998</v>
          </cell>
          <cell r="F12674">
            <v>12</v>
          </cell>
        </row>
        <row r="12675">
          <cell r="A12675">
            <v>2019</v>
          </cell>
          <cell r="B12675" t="str">
            <v>Budget</v>
          </cell>
          <cell r="C12675" t="str">
            <v>Dec</v>
          </cell>
          <cell r="D12675" t="str">
            <v>Kitchen</v>
          </cell>
          <cell r="E12675">
            <v>1485164.051</v>
          </cell>
          <cell r="F12675">
            <v>12</v>
          </cell>
        </row>
        <row r="12676">
          <cell r="A12676">
            <v>2019</v>
          </cell>
          <cell r="B12676" t="str">
            <v>Actual</v>
          </cell>
          <cell r="C12676" t="str">
            <v>Dec</v>
          </cell>
          <cell r="D12676" t="str">
            <v>Accessories</v>
          </cell>
          <cell r="E12676">
            <v>56344.218000000001</v>
          </cell>
          <cell r="F12676">
            <v>12</v>
          </cell>
        </row>
        <row r="12677">
          <cell r="A12677">
            <v>2019</v>
          </cell>
          <cell r="B12677" t="str">
            <v>Budget</v>
          </cell>
          <cell r="C12677" t="str">
            <v>Dec</v>
          </cell>
          <cell r="D12677" t="str">
            <v>Chairs</v>
          </cell>
          <cell r="E12677">
            <v>10465.244999999999</v>
          </cell>
          <cell r="F12677">
            <v>12</v>
          </cell>
        </row>
        <row r="12678">
          <cell r="A12678">
            <v>2019</v>
          </cell>
          <cell r="B12678" t="str">
            <v>Actual</v>
          </cell>
          <cell r="C12678" t="str">
            <v>Dec</v>
          </cell>
          <cell r="D12678" t="str">
            <v>Chairs</v>
          </cell>
          <cell r="E12678">
            <v>37634.393999999993</v>
          </cell>
          <cell r="F12678">
            <v>12</v>
          </cell>
        </row>
        <row r="12679">
          <cell r="A12679">
            <v>2019</v>
          </cell>
          <cell r="B12679" t="str">
            <v>Budget</v>
          </cell>
          <cell r="C12679" t="str">
            <v>Dec</v>
          </cell>
          <cell r="D12679" t="str">
            <v>Tables</v>
          </cell>
          <cell r="E12679">
            <v>734122.08100000001</v>
          </cell>
          <cell r="F12679">
            <v>12</v>
          </cell>
        </row>
        <row r="12680">
          <cell r="A12680">
            <v>2019</v>
          </cell>
          <cell r="B12680" t="str">
            <v>Actual</v>
          </cell>
          <cell r="C12680" t="str">
            <v>Dec</v>
          </cell>
          <cell r="D12680" t="str">
            <v>Kitchen</v>
          </cell>
          <cell r="E12680">
            <v>166721.47099999999</v>
          </cell>
          <cell r="F12680">
            <v>12</v>
          </cell>
        </row>
        <row r="12681">
          <cell r="A12681">
            <v>2019</v>
          </cell>
          <cell r="B12681" t="str">
            <v>Budget</v>
          </cell>
          <cell r="C12681" t="str">
            <v>Dec</v>
          </cell>
          <cell r="D12681" t="str">
            <v>Chairs</v>
          </cell>
          <cell r="E12681">
            <v>435169.88899999997</v>
          </cell>
          <cell r="F12681">
            <v>12</v>
          </cell>
        </row>
        <row r="12682">
          <cell r="A12682">
            <v>2019</v>
          </cell>
          <cell r="B12682" t="str">
            <v>Actual</v>
          </cell>
          <cell r="C12682" t="str">
            <v>Dec</v>
          </cell>
          <cell r="D12682" t="str">
            <v>Tables</v>
          </cell>
          <cell r="E12682">
            <v>136530.56200000001</v>
          </cell>
          <cell r="F12682">
            <v>12</v>
          </cell>
        </row>
        <row r="12683">
          <cell r="A12683">
            <v>2019</v>
          </cell>
          <cell r="B12683" t="str">
            <v>Budget</v>
          </cell>
          <cell r="C12683" t="str">
            <v>Dec</v>
          </cell>
          <cell r="D12683" t="str">
            <v>Kitchen</v>
          </cell>
          <cell r="E12683">
            <v>84255.751999999993</v>
          </cell>
          <cell r="F12683">
            <v>12</v>
          </cell>
        </row>
        <row r="12684">
          <cell r="A12684">
            <v>2018</v>
          </cell>
          <cell r="B12684" t="str">
            <v>Actual</v>
          </cell>
          <cell r="C12684" t="str">
            <v>Dec</v>
          </cell>
          <cell r="D12684" t="str">
            <v>Chairs</v>
          </cell>
          <cell r="E12684">
            <v>3590133.5889999997</v>
          </cell>
          <cell r="F12684">
            <v>12</v>
          </cell>
        </row>
        <row r="12685">
          <cell r="A12685">
            <v>2018</v>
          </cell>
          <cell r="B12685" t="str">
            <v>Budget</v>
          </cell>
          <cell r="C12685" t="str">
            <v>Dec</v>
          </cell>
          <cell r="D12685" t="str">
            <v>Tables</v>
          </cell>
          <cell r="E12685">
            <v>182540.63799999998</v>
          </cell>
          <cell r="F12685">
            <v>12</v>
          </cell>
        </row>
        <row r="12686">
          <cell r="A12686">
            <v>2018</v>
          </cell>
          <cell r="B12686" t="str">
            <v>Actual</v>
          </cell>
          <cell r="C12686" t="str">
            <v>Dec</v>
          </cell>
          <cell r="D12686" t="str">
            <v>Kitchen</v>
          </cell>
          <cell r="E12686">
            <v>1359584.9749999999</v>
          </cell>
          <cell r="F12686">
            <v>12</v>
          </cell>
        </row>
        <row r="12687">
          <cell r="A12687">
            <v>2018</v>
          </cell>
          <cell r="B12687" t="str">
            <v>Budget</v>
          </cell>
          <cell r="C12687" t="str">
            <v>Dec</v>
          </cell>
          <cell r="D12687" t="str">
            <v>Chairs</v>
          </cell>
          <cell r="E12687">
            <v>257841.71699999998</v>
          </cell>
          <cell r="F12687">
            <v>12</v>
          </cell>
        </row>
        <row r="12688">
          <cell r="A12688">
            <v>2018</v>
          </cell>
          <cell r="B12688" t="str">
            <v>Actual</v>
          </cell>
          <cell r="C12688" t="str">
            <v>Dec</v>
          </cell>
          <cell r="D12688" t="str">
            <v>Chairs</v>
          </cell>
          <cell r="E12688">
            <v>902887.67099999997</v>
          </cell>
          <cell r="F12688">
            <v>12</v>
          </cell>
        </row>
        <row r="12689">
          <cell r="A12689">
            <v>2018</v>
          </cell>
          <cell r="B12689" t="str">
            <v>Budget</v>
          </cell>
          <cell r="C12689" t="str">
            <v>Dec</v>
          </cell>
          <cell r="D12689" t="str">
            <v>Chairs</v>
          </cell>
          <cell r="E12689">
            <v>1851305.659</v>
          </cell>
          <cell r="F12689">
            <v>12</v>
          </cell>
        </row>
        <row r="12690">
          <cell r="A12690">
            <v>2018</v>
          </cell>
          <cell r="B12690" t="str">
            <v>Actual</v>
          </cell>
          <cell r="C12690" t="str">
            <v>Dec</v>
          </cell>
          <cell r="D12690" t="str">
            <v>Chairs</v>
          </cell>
          <cell r="E12690">
            <v>512972.005</v>
          </cell>
          <cell r="F12690">
            <v>12</v>
          </cell>
        </row>
        <row r="12691">
          <cell r="A12691">
            <v>2019</v>
          </cell>
          <cell r="B12691" t="str">
            <v>Budget</v>
          </cell>
          <cell r="C12691" t="str">
            <v>Dec</v>
          </cell>
          <cell r="D12691" t="str">
            <v>Chairs</v>
          </cell>
          <cell r="E12691">
            <v>1538027.3930000002</v>
          </cell>
          <cell r="F12691">
            <v>12</v>
          </cell>
        </row>
        <row r="12692">
          <cell r="A12692">
            <v>2019</v>
          </cell>
          <cell r="B12692" t="str">
            <v>Actual</v>
          </cell>
          <cell r="C12692" t="str">
            <v>Dec</v>
          </cell>
          <cell r="D12692" t="str">
            <v>Chairs</v>
          </cell>
          <cell r="E12692">
            <v>1195609.828</v>
          </cell>
          <cell r="F12692">
            <v>12</v>
          </cell>
        </row>
        <row r="12693">
          <cell r="A12693">
            <v>2019</v>
          </cell>
          <cell r="B12693" t="str">
            <v>Budget</v>
          </cell>
          <cell r="C12693" t="str">
            <v>Dec</v>
          </cell>
          <cell r="D12693" t="str">
            <v>Chairs</v>
          </cell>
          <cell r="E12693">
            <v>7764514.7999999998</v>
          </cell>
          <cell r="F12693">
            <v>12</v>
          </cell>
        </row>
        <row r="12694">
          <cell r="A12694">
            <v>2018</v>
          </cell>
          <cell r="B12694" t="str">
            <v>Actual</v>
          </cell>
          <cell r="C12694" t="str">
            <v>Dec</v>
          </cell>
          <cell r="D12694" t="str">
            <v>Chairs</v>
          </cell>
          <cell r="E12694">
            <v>3157468.6569999997</v>
          </cell>
          <cell r="F12694">
            <v>12</v>
          </cell>
        </row>
        <row r="12695">
          <cell r="A12695">
            <v>2019</v>
          </cell>
          <cell r="B12695" t="str">
            <v>Budget</v>
          </cell>
          <cell r="C12695" t="str">
            <v>Dec</v>
          </cell>
          <cell r="D12695" t="str">
            <v>Chairs</v>
          </cell>
          <cell r="E12695">
            <v>227965.84299999999</v>
          </cell>
          <cell r="F12695">
            <v>12</v>
          </cell>
        </row>
        <row r="12696">
          <cell r="A12696">
            <v>2019</v>
          </cell>
          <cell r="B12696" t="str">
            <v>Actual</v>
          </cell>
          <cell r="C12696" t="str">
            <v>Dec</v>
          </cell>
          <cell r="D12696" t="str">
            <v>Chairs</v>
          </cell>
          <cell r="E12696">
            <v>1045397.563</v>
          </cell>
          <cell r="F12696">
            <v>12</v>
          </cell>
        </row>
        <row r="12697">
          <cell r="A12697">
            <v>2018</v>
          </cell>
          <cell r="B12697" t="str">
            <v>Budget</v>
          </cell>
          <cell r="C12697" t="str">
            <v>Dec</v>
          </cell>
          <cell r="D12697" t="str">
            <v>Chairs</v>
          </cell>
          <cell r="E12697">
            <v>1708173.7889999999</v>
          </cell>
          <cell r="F12697">
            <v>12</v>
          </cell>
        </row>
        <row r="12698">
          <cell r="A12698">
            <v>2019</v>
          </cell>
          <cell r="B12698" t="str">
            <v>Actual</v>
          </cell>
          <cell r="C12698" t="str">
            <v>Dec</v>
          </cell>
          <cell r="D12698" t="str">
            <v>Chairs</v>
          </cell>
          <cell r="E12698">
            <v>182927.63999999998</v>
          </cell>
          <cell r="F12698">
            <v>12</v>
          </cell>
        </row>
        <row r="12699">
          <cell r="A12699">
            <v>2019</v>
          </cell>
          <cell r="B12699" t="str">
            <v>Budget</v>
          </cell>
          <cell r="C12699" t="str">
            <v>Dec</v>
          </cell>
          <cell r="D12699" t="str">
            <v>Chairs</v>
          </cell>
          <cell r="E12699">
            <v>2268821.7859999998</v>
          </cell>
          <cell r="F12699">
            <v>12</v>
          </cell>
        </row>
        <row r="12700">
          <cell r="A12700">
            <v>2019</v>
          </cell>
          <cell r="B12700" t="str">
            <v>Actual</v>
          </cell>
          <cell r="C12700" t="str">
            <v>Dec</v>
          </cell>
          <cell r="D12700" t="str">
            <v>Chairs</v>
          </cell>
          <cell r="E12700">
            <v>2049436.5989999997</v>
          </cell>
          <cell r="F12700">
            <v>12</v>
          </cell>
        </row>
        <row r="12701">
          <cell r="A12701">
            <v>2018</v>
          </cell>
          <cell r="B12701" t="str">
            <v>Budget</v>
          </cell>
          <cell r="C12701" t="str">
            <v>Dec</v>
          </cell>
          <cell r="D12701" t="str">
            <v>Chairs</v>
          </cell>
          <cell r="E12701">
            <v>2288239.6949999998</v>
          </cell>
          <cell r="F12701">
            <v>12</v>
          </cell>
        </row>
        <row r="12702">
          <cell r="A12702">
            <v>2019</v>
          </cell>
          <cell r="B12702" t="str">
            <v>Actual</v>
          </cell>
          <cell r="C12702" t="str">
            <v>Dec</v>
          </cell>
          <cell r="D12702" t="str">
            <v>Chairs</v>
          </cell>
          <cell r="E12702">
            <v>3347075.102</v>
          </cell>
          <cell r="F12702">
            <v>12</v>
          </cell>
        </row>
        <row r="12703">
          <cell r="A12703">
            <v>2019</v>
          </cell>
          <cell r="B12703" t="str">
            <v>Budget</v>
          </cell>
          <cell r="C12703" t="str">
            <v>Dec</v>
          </cell>
          <cell r="D12703" t="str">
            <v>Chairs</v>
          </cell>
          <cell r="E12703">
            <v>128116.24</v>
          </cell>
          <cell r="F12703">
            <v>12</v>
          </cell>
        </row>
        <row r="12704">
          <cell r="A12704">
            <v>2019</v>
          </cell>
          <cell r="B12704" t="str">
            <v>Actual</v>
          </cell>
          <cell r="C12704" t="str">
            <v>Dec</v>
          </cell>
          <cell r="D12704" t="str">
            <v>Chairs</v>
          </cell>
          <cell r="E12704">
            <v>4635340.1849999996</v>
          </cell>
          <cell r="F12704">
            <v>12</v>
          </cell>
        </row>
        <row r="12705">
          <cell r="A12705">
            <v>2018</v>
          </cell>
          <cell r="B12705" t="str">
            <v>Budget</v>
          </cell>
          <cell r="C12705" t="str">
            <v>Dec</v>
          </cell>
          <cell r="D12705" t="str">
            <v>Chairs</v>
          </cell>
          <cell r="E12705">
            <v>3665055.1349999998</v>
          </cell>
          <cell r="F12705">
            <v>12</v>
          </cell>
        </row>
        <row r="12706">
          <cell r="A12706">
            <v>2018</v>
          </cell>
          <cell r="B12706" t="str">
            <v>Actual</v>
          </cell>
          <cell r="C12706" t="str">
            <v>Dec</v>
          </cell>
          <cell r="D12706" t="str">
            <v>Chairs</v>
          </cell>
          <cell r="E12706">
            <v>2018199.8059999999</v>
          </cell>
          <cell r="F12706">
            <v>12</v>
          </cell>
        </row>
        <row r="12707">
          <cell r="A12707">
            <v>2018</v>
          </cell>
          <cell r="B12707" t="str">
            <v>Budget</v>
          </cell>
          <cell r="C12707" t="str">
            <v>Dec</v>
          </cell>
          <cell r="D12707" t="str">
            <v>Chairs</v>
          </cell>
          <cell r="E12707">
            <v>334514.13099999999</v>
          </cell>
          <cell r="F12707">
            <v>12</v>
          </cell>
        </row>
        <row r="12708">
          <cell r="A12708">
            <v>2019</v>
          </cell>
          <cell r="B12708" t="str">
            <v>Actual</v>
          </cell>
          <cell r="C12708" t="str">
            <v>Dec</v>
          </cell>
          <cell r="D12708" t="str">
            <v>Chairs</v>
          </cell>
          <cell r="E12708">
            <v>3102310.1269999999</v>
          </cell>
          <cell r="F12708">
            <v>12</v>
          </cell>
        </row>
        <row r="12709">
          <cell r="A12709">
            <v>2019</v>
          </cell>
          <cell r="B12709" t="str">
            <v>Budget</v>
          </cell>
          <cell r="C12709" t="str">
            <v>Dec</v>
          </cell>
          <cell r="D12709" t="str">
            <v>Chairs</v>
          </cell>
          <cell r="E12709">
            <v>324548.15399999998</v>
          </cell>
          <cell r="F12709">
            <v>12</v>
          </cell>
        </row>
        <row r="12710">
          <cell r="A12710">
            <v>2018</v>
          </cell>
          <cell r="B12710" t="str">
            <v>Actual</v>
          </cell>
          <cell r="C12710" t="str">
            <v>Dec</v>
          </cell>
          <cell r="D12710" t="str">
            <v>Chairs</v>
          </cell>
          <cell r="E12710">
            <v>792600.40299999993</v>
          </cell>
          <cell r="F12710">
            <v>12</v>
          </cell>
        </row>
        <row r="12711">
          <cell r="A12711">
            <v>2018</v>
          </cell>
          <cell r="B12711" t="str">
            <v>Budget</v>
          </cell>
          <cell r="C12711" t="str">
            <v>Dec</v>
          </cell>
          <cell r="D12711" t="str">
            <v>Chairs</v>
          </cell>
          <cell r="E12711">
            <v>1463645.5119999999</v>
          </cell>
          <cell r="F12711">
            <v>12</v>
          </cell>
        </row>
        <row r="12712">
          <cell r="A12712">
            <v>2018</v>
          </cell>
          <cell r="B12712" t="str">
            <v>Actual</v>
          </cell>
          <cell r="C12712" t="str">
            <v>Dec</v>
          </cell>
          <cell r="D12712" t="str">
            <v>Chairs</v>
          </cell>
          <cell r="E12712">
            <v>-6370169.5749999993</v>
          </cell>
          <cell r="F12712">
            <v>12</v>
          </cell>
        </row>
        <row r="12713">
          <cell r="A12713">
            <v>2018</v>
          </cell>
          <cell r="B12713" t="str">
            <v>Budget</v>
          </cell>
          <cell r="C12713" t="str">
            <v>Dec</v>
          </cell>
          <cell r="D12713" t="str">
            <v>Tables</v>
          </cell>
          <cell r="E12713">
            <v>125630.76399999998</v>
          </cell>
          <cell r="F12713">
            <v>12</v>
          </cell>
        </row>
        <row r="12714">
          <cell r="A12714">
            <v>2019</v>
          </cell>
          <cell r="B12714" t="str">
            <v>Actual</v>
          </cell>
          <cell r="C12714" t="str">
            <v>Dec</v>
          </cell>
          <cell r="D12714" t="str">
            <v>Kitchen</v>
          </cell>
          <cell r="E12714">
            <v>927653.0689999999</v>
          </cell>
          <cell r="F12714">
            <v>12</v>
          </cell>
        </row>
        <row r="12715">
          <cell r="A12715">
            <v>2018</v>
          </cell>
          <cell r="B12715" t="str">
            <v>Budget</v>
          </cell>
          <cell r="C12715" t="str">
            <v>Dec</v>
          </cell>
          <cell r="D12715" t="str">
            <v>Chairs</v>
          </cell>
          <cell r="E12715">
            <v>3599485.2179999999</v>
          </cell>
          <cell r="F12715">
            <v>12</v>
          </cell>
        </row>
        <row r="12716">
          <cell r="A12716">
            <v>2018</v>
          </cell>
          <cell r="B12716" t="str">
            <v>Actual</v>
          </cell>
          <cell r="C12716" t="str">
            <v>Dec</v>
          </cell>
          <cell r="D12716" t="str">
            <v>Chairs</v>
          </cell>
          <cell r="E12716">
            <v>964614.40599999996</v>
          </cell>
          <cell r="F12716">
            <v>12</v>
          </cell>
        </row>
        <row r="12717">
          <cell r="A12717">
            <v>2019</v>
          </cell>
          <cell r="B12717" t="str">
            <v>Budget</v>
          </cell>
          <cell r="C12717" t="str">
            <v>Dec</v>
          </cell>
          <cell r="D12717" t="str">
            <v>Chairs</v>
          </cell>
          <cell r="E12717">
            <v>135212.644</v>
          </cell>
          <cell r="F12717">
            <v>12</v>
          </cell>
        </row>
        <row r="12718">
          <cell r="A12718">
            <v>2018</v>
          </cell>
          <cell r="B12718" t="str">
            <v>Actual</v>
          </cell>
          <cell r="C12718" t="str">
            <v>Dec</v>
          </cell>
          <cell r="D12718" t="str">
            <v>Chairs</v>
          </cell>
          <cell r="E12718">
            <v>-28169.162</v>
          </cell>
          <cell r="F12718">
            <v>12</v>
          </cell>
        </row>
        <row r="12719">
          <cell r="A12719">
            <v>2018</v>
          </cell>
          <cell r="B12719" t="str">
            <v>Budget</v>
          </cell>
          <cell r="C12719" t="str">
            <v>Dec</v>
          </cell>
          <cell r="D12719" t="str">
            <v>Chairs</v>
          </cell>
          <cell r="E12719">
            <v>49078.945999999996</v>
          </cell>
          <cell r="F12719">
            <v>12</v>
          </cell>
        </row>
        <row r="12720">
          <cell r="A12720">
            <v>2018</v>
          </cell>
          <cell r="B12720" t="str">
            <v>Actual</v>
          </cell>
          <cell r="C12720" t="str">
            <v>Dec</v>
          </cell>
          <cell r="D12720" t="str">
            <v>Tables</v>
          </cell>
          <cell r="E12720">
            <v>-107074.36599999999</v>
          </cell>
          <cell r="F12720">
            <v>12</v>
          </cell>
        </row>
        <row r="12721">
          <cell r="A12721">
            <v>2018</v>
          </cell>
          <cell r="B12721" t="str">
            <v>Budget</v>
          </cell>
          <cell r="C12721" t="str">
            <v>Dec</v>
          </cell>
          <cell r="D12721" t="str">
            <v>Kitchen</v>
          </cell>
          <cell r="E12721">
            <v>-195453.20199999999</v>
          </cell>
          <cell r="F12721">
            <v>12</v>
          </cell>
        </row>
        <row r="12722">
          <cell r="A12722">
            <v>2018</v>
          </cell>
          <cell r="B12722" t="str">
            <v>Actual</v>
          </cell>
          <cell r="C12722" t="str">
            <v>Dec</v>
          </cell>
          <cell r="D12722" t="str">
            <v>Chairs</v>
          </cell>
          <cell r="E12722">
            <v>10786.593999999999</v>
          </cell>
          <cell r="F12722">
            <v>12</v>
          </cell>
        </row>
        <row r="12723">
          <cell r="A12723">
            <v>2019</v>
          </cell>
          <cell r="B12723" t="str">
            <v>Budget</v>
          </cell>
          <cell r="C12723" t="str">
            <v>Dec</v>
          </cell>
          <cell r="D12723" t="str">
            <v>Chairs</v>
          </cell>
          <cell r="E12723">
            <v>3019445.2050000001</v>
          </cell>
          <cell r="F12723">
            <v>12</v>
          </cell>
        </row>
        <row r="12724">
          <cell r="A12724">
            <v>2018</v>
          </cell>
          <cell r="B12724" t="str">
            <v>Actual</v>
          </cell>
          <cell r="C12724" t="str">
            <v>Dec</v>
          </cell>
          <cell r="D12724" t="str">
            <v>Chairs</v>
          </cell>
          <cell r="E12724">
            <v>3372702.0319999997</v>
          </cell>
          <cell r="F12724">
            <v>12</v>
          </cell>
        </row>
        <row r="12725">
          <cell r="A12725">
            <v>2019</v>
          </cell>
          <cell r="B12725" t="str">
            <v>Budget</v>
          </cell>
          <cell r="C12725" t="str">
            <v>Dec</v>
          </cell>
          <cell r="D12725" t="str">
            <v>Tables</v>
          </cell>
          <cell r="E12725">
            <v>4848881.716</v>
          </cell>
          <cell r="F12725">
            <v>12</v>
          </cell>
        </row>
        <row r="12726">
          <cell r="A12726">
            <v>2018</v>
          </cell>
          <cell r="B12726" t="str">
            <v>Actual</v>
          </cell>
          <cell r="C12726" t="str">
            <v>Dec</v>
          </cell>
          <cell r="D12726" t="str">
            <v>Kitchen</v>
          </cell>
          <cell r="E12726">
            <v>364787.66099999996</v>
          </cell>
          <cell r="F12726">
            <v>12</v>
          </cell>
        </row>
        <row r="12727">
          <cell r="A12727">
            <v>2019</v>
          </cell>
          <cell r="B12727" t="str">
            <v>Budget</v>
          </cell>
          <cell r="C12727" t="str">
            <v>Dec</v>
          </cell>
          <cell r="D12727" t="str">
            <v>Chairs</v>
          </cell>
          <cell r="E12727">
            <v>5430656.9729999993</v>
          </cell>
          <cell r="F12727">
            <v>12</v>
          </cell>
        </row>
        <row r="12728">
          <cell r="A12728">
            <v>2019</v>
          </cell>
          <cell r="B12728" t="str">
            <v>Actual</v>
          </cell>
          <cell r="C12728" t="str">
            <v>Dec</v>
          </cell>
          <cell r="D12728" t="str">
            <v>Chairs</v>
          </cell>
          <cell r="E12728">
            <v>824024.33400000003</v>
          </cell>
          <cell r="F12728">
            <v>12</v>
          </cell>
        </row>
        <row r="12729">
          <cell r="A12729">
            <v>2018</v>
          </cell>
          <cell r="B12729" t="str">
            <v>Budget</v>
          </cell>
          <cell r="C12729" t="str">
            <v>Dec</v>
          </cell>
          <cell r="D12729" t="str">
            <v>Tables</v>
          </cell>
          <cell r="E12729">
            <v>313829.99900000001</v>
          </cell>
          <cell r="F12729">
            <v>12</v>
          </cell>
        </row>
        <row r="12730">
          <cell r="A12730">
            <v>2019</v>
          </cell>
          <cell r="B12730" t="str">
            <v>Actual</v>
          </cell>
          <cell r="C12730" t="str">
            <v>Dec</v>
          </cell>
          <cell r="D12730" t="str">
            <v>Kitchen</v>
          </cell>
          <cell r="E12730">
            <v>127049.20199999998</v>
          </cell>
          <cell r="F12730">
            <v>12</v>
          </cell>
        </row>
        <row r="12731">
          <cell r="A12731">
            <v>2019</v>
          </cell>
          <cell r="B12731" t="str">
            <v>Budget</v>
          </cell>
          <cell r="C12731" t="str">
            <v>Dec</v>
          </cell>
          <cell r="D12731" t="str">
            <v>Chairs</v>
          </cell>
          <cell r="E12731">
            <v>-8781.8219999999983</v>
          </cell>
          <cell r="F12731">
            <v>12</v>
          </cell>
        </row>
        <row r="12732">
          <cell r="A12732">
            <v>2019</v>
          </cell>
          <cell r="B12732" t="str">
            <v>Actual</v>
          </cell>
          <cell r="C12732" t="str">
            <v>Dec</v>
          </cell>
          <cell r="D12732" t="str">
            <v>Chairs</v>
          </cell>
          <cell r="E12732">
            <v>-1076657.5399999998</v>
          </cell>
          <cell r="F12732">
            <v>12</v>
          </cell>
        </row>
        <row r="12733">
          <cell r="A12733">
            <v>2018</v>
          </cell>
          <cell r="B12733" t="str">
            <v>Budget</v>
          </cell>
          <cell r="C12733" t="str">
            <v>Dec</v>
          </cell>
          <cell r="D12733" t="str">
            <v>Chairs</v>
          </cell>
          <cell r="E12733">
            <v>708654.98199999996</v>
          </cell>
          <cell r="F12733">
            <v>12</v>
          </cell>
        </row>
        <row r="12734">
          <cell r="A12734">
            <v>2018</v>
          </cell>
          <cell r="B12734" t="str">
            <v>Actual</v>
          </cell>
          <cell r="C12734" t="str">
            <v>Dec</v>
          </cell>
          <cell r="D12734" t="str">
            <v>Tables</v>
          </cell>
          <cell r="E12734">
            <v>965557.06099999987</v>
          </cell>
          <cell r="F12734">
            <v>12</v>
          </cell>
        </row>
        <row r="12735">
          <cell r="A12735">
            <v>2018</v>
          </cell>
          <cell r="B12735" t="str">
            <v>Budget</v>
          </cell>
          <cell r="C12735" t="str">
            <v>Dec</v>
          </cell>
          <cell r="D12735" t="str">
            <v>Kitchen</v>
          </cell>
          <cell r="E12735">
            <v>5157763.7929999996</v>
          </cell>
          <cell r="F12735">
            <v>12</v>
          </cell>
        </row>
        <row r="12736">
          <cell r="A12736">
            <v>2018</v>
          </cell>
          <cell r="B12736" t="str">
            <v>Actual</v>
          </cell>
          <cell r="C12736" t="str">
            <v>Dec</v>
          </cell>
          <cell r="D12736" t="str">
            <v>Accessories</v>
          </cell>
          <cell r="E12736">
            <v>1165062.6399999999</v>
          </cell>
          <cell r="F12736">
            <v>12</v>
          </cell>
        </row>
        <row r="12737">
          <cell r="A12737">
            <v>2019</v>
          </cell>
          <cell r="B12737" t="str">
            <v>Budget</v>
          </cell>
          <cell r="C12737" t="str">
            <v>Dec</v>
          </cell>
          <cell r="D12737" t="str">
            <v>Chairs</v>
          </cell>
          <cell r="E12737">
            <v>389190.52199999994</v>
          </cell>
          <cell r="F12737">
            <v>12</v>
          </cell>
        </row>
        <row r="12738">
          <cell r="A12738">
            <v>2018</v>
          </cell>
          <cell r="B12738" t="str">
            <v>Actual</v>
          </cell>
          <cell r="C12738" t="str">
            <v>Dec</v>
          </cell>
          <cell r="D12738" t="str">
            <v>Tables</v>
          </cell>
          <cell r="E12738">
            <v>200324.68399999998</v>
          </cell>
          <cell r="F12738">
            <v>12</v>
          </cell>
        </row>
        <row r="12739">
          <cell r="A12739">
            <v>2019</v>
          </cell>
          <cell r="B12739" t="str">
            <v>Budget</v>
          </cell>
          <cell r="C12739" t="str">
            <v>Dec</v>
          </cell>
          <cell r="D12739" t="str">
            <v>Kitchen</v>
          </cell>
          <cell r="E12739">
            <v>1478066.2609999999</v>
          </cell>
          <cell r="F12739">
            <v>12</v>
          </cell>
        </row>
        <row r="12740">
          <cell r="A12740">
            <v>2019</v>
          </cell>
          <cell r="B12740" t="str">
            <v>Actual</v>
          </cell>
          <cell r="C12740" t="str">
            <v>Dec</v>
          </cell>
          <cell r="D12740" t="str">
            <v>Accessories</v>
          </cell>
          <cell r="E12740">
            <v>294145.64899999998</v>
          </cell>
          <cell r="F12740">
            <v>12</v>
          </cell>
        </row>
        <row r="12741">
          <cell r="A12741">
            <v>2018</v>
          </cell>
          <cell r="B12741" t="str">
            <v>Budget</v>
          </cell>
          <cell r="C12741" t="str">
            <v>Dec</v>
          </cell>
          <cell r="D12741" t="str">
            <v>Chairs</v>
          </cell>
          <cell r="E12741">
            <v>1100682.7509999999</v>
          </cell>
          <cell r="F12741">
            <v>12</v>
          </cell>
        </row>
        <row r="12742">
          <cell r="A12742">
            <v>2018</v>
          </cell>
          <cell r="B12742" t="str">
            <v>Actual</v>
          </cell>
          <cell r="C12742" t="str">
            <v>Dec</v>
          </cell>
          <cell r="D12742" t="str">
            <v>Tables</v>
          </cell>
          <cell r="E12742">
            <v>6269.472999999999</v>
          </cell>
          <cell r="F12742">
            <v>12</v>
          </cell>
        </row>
        <row r="12743">
          <cell r="A12743">
            <v>2018</v>
          </cell>
          <cell r="B12743" t="str">
            <v>Budget</v>
          </cell>
          <cell r="C12743" t="str">
            <v>Dec</v>
          </cell>
          <cell r="D12743" t="str">
            <v>Kitchen</v>
          </cell>
          <cell r="E12743">
            <v>13990.025</v>
          </cell>
          <cell r="F12743">
            <v>12</v>
          </cell>
        </row>
        <row r="12744">
          <cell r="A12744">
            <v>2018</v>
          </cell>
          <cell r="B12744" t="str">
            <v>Actual</v>
          </cell>
          <cell r="C12744" t="str">
            <v>Dec</v>
          </cell>
          <cell r="D12744" t="str">
            <v>Accessories</v>
          </cell>
          <cell r="E12744">
            <v>205228.16999999998</v>
          </cell>
          <cell r="F12744">
            <v>12</v>
          </cell>
        </row>
        <row r="12745">
          <cell r="A12745">
            <v>2019</v>
          </cell>
          <cell r="B12745" t="str">
            <v>Budget</v>
          </cell>
          <cell r="C12745" t="str">
            <v>Dec</v>
          </cell>
          <cell r="D12745" t="str">
            <v>Chairs</v>
          </cell>
          <cell r="E12745">
            <v>206318.42699999997</v>
          </cell>
          <cell r="F12745">
            <v>12</v>
          </cell>
        </row>
        <row r="12746">
          <cell r="A12746">
            <v>2018</v>
          </cell>
          <cell r="B12746" t="str">
            <v>Actual</v>
          </cell>
          <cell r="C12746" t="str">
            <v>Dec</v>
          </cell>
          <cell r="D12746" t="str">
            <v>Tables</v>
          </cell>
          <cell r="E12746">
            <v>-630.80499999999995</v>
          </cell>
          <cell r="F12746">
            <v>12</v>
          </cell>
        </row>
        <row r="12747">
          <cell r="A12747">
            <v>2018</v>
          </cell>
          <cell r="B12747" t="str">
            <v>Budget</v>
          </cell>
          <cell r="C12747" t="str">
            <v>Dec</v>
          </cell>
          <cell r="D12747" t="str">
            <v>Kitchen</v>
          </cell>
          <cell r="E12747">
            <v>1855688.9680000001</v>
          </cell>
          <cell r="F12747">
            <v>12</v>
          </cell>
        </row>
        <row r="12748">
          <cell r="A12748">
            <v>2019</v>
          </cell>
          <cell r="B12748" t="str">
            <v>Actual</v>
          </cell>
          <cell r="C12748" t="str">
            <v>Dec</v>
          </cell>
          <cell r="D12748" t="str">
            <v>Accessories</v>
          </cell>
          <cell r="E12748">
            <v>620115.20899999992</v>
          </cell>
          <cell r="F12748">
            <v>12</v>
          </cell>
        </row>
        <row r="12749">
          <cell r="A12749">
            <v>2019</v>
          </cell>
          <cell r="B12749" t="str">
            <v>Budget</v>
          </cell>
          <cell r="C12749" t="str">
            <v>Dec</v>
          </cell>
          <cell r="D12749" t="str">
            <v>Chairs</v>
          </cell>
          <cell r="E12749">
            <v>27479.913999999997</v>
          </cell>
          <cell r="F12749">
            <v>12</v>
          </cell>
        </row>
        <row r="12750">
          <cell r="A12750">
            <v>2018</v>
          </cell>
          <cell r="B12750" t="str">
            <v>Actual</v>
          </cell>
          <cell r="C12750" t="str">
            <v>Dec</v>
          </cell>
          <cell r="D12750" t="str">
            <v>Chairs</v>
          </cell>
          <cell r="E12750">
            <v>97711.627999999997</v>
          </cell>
          <cell r="F12750">
            <v>12</v>
          </cell>
        </row>
        <row r="12751">
          <cell r="A12751">
            <v>2019</v>
          </cell>
          <cell r="B12751" t="str">
            <v>Budget</v>
          </cell>
          <cell r="C12751" t="str">
            <v>Dec</v>
          </cell>
          <cell r="D12751" t="str">
            <v>Tables</v>
          </cell>
          <cell r="E12751">
            <v>110455.82799999999</v>
          </cell>
          <cell r="F12751">
            <v>12</v>
          </cell>
        </row>
        <row r="12752">
          <cell r="A12752">
            <v>2018</v>
          </cell>
          <cell r="B12752" t="str">
            <v>Actual</v>
          </cell>
          <cell r="C12752" t="str">
            <v>Dec</v>
          </cell>
          <cell r="D12752" t="str">
            <v>Kitchen</v>
          </cell>
          <cell r="E12752">
            <v>84663.418000000005</v>
          </cell>
          <cell r="F12752">
            <v>12</v>
          </cell>
        </row>
        <row r="12753">
          <cell r="A12753">
            <v>2019</v>
          </cell>
          <cell r="B12753" t="str">
            <v>Budget</v>
          </cell>
          <cell r="C12753" t="str">
            <v>Dec</v>
          </cell>
          <cell r="D12753" t="str">
            <v>Chairs</v>
          </cell>
          <cell r="E12753">
            <v>103033.42699999998</v>
          </cell>
          <cell r="F12753">
            <v>12</v>
          </cell>
        </row>
        <row r="12754">
          <cell r="A12754">
            <v>2018</v>
          </cell>
          <cell r="B12754" t="str">
            <v>Actual</v>
          </cell>
          <cell r="C12754" t="str">
            <v>Dec</v>
          </cell>
          <cell r="D12754" t="str">
            <v>Tables</v>
          </cell>
          <cell r="E12754">
            <v>8896.2369999999992</v>
          </cell>
          <cell r="F12754">
            <v>12</v>
          </cell>
        </row>
        <row r="12755">
          <cell r="A12755">
            <v>2019</v>
          </cell>
          <cell r="B12755" t="str">
            <v>Budget</v>
          </cell>
          <cell r="C12755" t="str">
            <v>Dec</v>
          </cell>
          <cell r="D12755" t="str">
            <v>Kitchen</v>
          </cell>
          <cell r="E12755">
            <v>8830.128999999999</v>
          </cell>
          <cell r="F12755">
            <v>12</v>
          </cell>
        </row>
        <row r="12756">
          <cell r="A12756">
            <v>2019</v>
          </cell>
          <cell r="B12756" t="str">
            <v>Actual</v>
          </cell>
          <cell r="C12756" t="str">
            <v>Dec</v>
          </cell>
          <cell r="D12756" t="str">
            <v>Chairs</v>
          </cell>
          <cell r="E12756">
            <v>146840.75699999998</v>
          </cell>
          <cell r="F12756">
            <v>12</v>
          </cell>
        </row>
        <row r="12757">
          <cell r="A12757">
            <v>2019</v>
          </cell>
          <cell r="B12757" t="str">
            <v>Budget</v>
          </cell>
          <cell r="C12757" t="str">
            <v>Dec</v>
          </cell>
          <cell r="D12757" t="str">
            <v>Tables</v>
          </cell>
          <cell r="E12757">
            <v>182725.50099999999</v>
          </cell>
          <cell r="F12757">
            <v>12</v>
          </cell>
        </row>
        <row r="12758">
          <cell r="A12758">
            <v>2018</v>
          </cell>
          <cell r="B12758" t="str">
            <v>Actual</v>
          </cell>
          <cell r="C12758" t="str">
            <v>Dec</v>
          </cell>
          <cell r="D12758" t="str">
            <v>Kitchen</v>
          </cell>
          <cell r="E12758">
            <v>-1255.4359999999999</v>
          </cell>
          <cell r="F12758">
            <v>12</v>
          </cell>
        </row>
        <row r="12759">
          <cell r="A12759">
            <v>2019</v>
          </cell>
          <cell r="B12759" t="str">
            <v>Budget</v>
          </cell>
          <cell r="C12759" t="str">
            <v>Dec</v>
          </cell>
          <cell r="D12759" t="str">
            <v>Chairs</v>
          </cell>
          <cell r="E12759">
            <v>43553.951000000001</v>
          </cell>
          <cell r="F12759">
            <v>12</v>
          </cell>
        </row>
        <row r="12760">
          <cell r="A12760">
            <v>2018</v>
          </cell>
          <cell r="B12760" t="str">
            <v>Actual</v>
          </cell>
          <cell r="C12760" t="str">
            <v>Dec</v>
          </cell>
          <cell r="D12760" t="str">
            <v>Chairs</v>
          </cell>
          <cell r="E12760">
            <v>90021.294999999998</v>
          </cell>
          <cell r="F12760">
            <v>12</v>
          </cell>
        </row>
        <row r="12761">
          <cell r="A12761">
            <v>2018</v>
          </cell>
          <cell r="B12761" t="str">
            <v>Budget</v>
          </cell>
          <cell r="C12761" t="str">
            <v>Dec</v>
          </cell>
          <cell r="D12761" t="str">
            <v>Chairs</v>
          </cell>
          <cell r="E12761">
            <v>32046.538999999997</v>
          </cell>
          <cell r="F12761">
            <v>12</v>
          </cell>
        </row>
        <row r="12762">
          <cell r="A12762">
            <v>2019</v>
          </cell>
          <cell r="B12762" t="str">
            <v>Actual</v>
          </cell>
          <cell r="C12762" t="str">
            <v>Dec</v>
          </cell>
          <cell r="D12762" t="str">
            <v>Chairs</v>
          </cell>
          <cell r="E12762">
            <v>56536.843999999997</v>
          </cell>
          <cell r="F12762">
            <v>12</v>
          </cell>
        </row>
        <row r="12763">
          <cell r="A12763">
            <v>2019</v>
          </cell>
          <cell r="B12763" t="str">
            <v>Budget</v>
          </cell>
          <cell r="C12763" t="str">
            <v>Dec</v>
          </cell>
          <cell r="D12763" t="str">
            <v>Chairs</v>
          </cell>
          <cell r="E12763">
            <v>34951.553</v>
          </cell>
          <cell r="F12763">
            <v>12</v>
          </cell>
        </row>
        <row r="12764">
          <cell r="A12764">
            <v>2018</v>
          </cell>
          <cell r="B12764" t="str">
            <v>Actual</v>
          </cell>
          <cell r="C12764" t="str">
            <v>Dec</v>
          </cell>
          <cell r="D12764" t="str">
            <v>Chairs</v>
          </cell>
          <cell r="E12764">
            <v>201775.61599999998</v>
          </cell>
          <cell r="F12764">
            <v>12</v>
          </cell>
        </row>
        <row r="12765">
          <cell r="A12765">
            <v>2018</v>
          </cell>
          <cell r="B12765" t="str">
            <v>Budget</v>
          </cell>
          <cell r="C12765" t="str">
            <v>Dec</v>
          </cell>
          <cell r="D12765" t="str">
            <v>Chairs</v>
          </cell>
          <cell r="E12765">
            <v>45759.818999999996</v>
          </cell>
          <cell r="F12765">
            <v>12</v>
          </cell>
        </row>
        <row r="12766">
          <cell r="A12766">
            <v>2018</v>
          </cell>
          <cell r="B12766" t="str">
            <v>Actual</v>
          </cell>
          <cell r="C12766" t="str">
            <v>Dec</v>
          </cell>
          <cell r="D12766" t="str">
            <v>Chairs</v>
          </cell>
          <cell r="E12766">
            <v>58125.430999999997</v>
          </cell>
          <cell r="F12766">
            <v>12</v>
          </cell>
        </row>
        <row r="12767">
          <cell r="A12767">
            <v>2019</v>
          </cell>
          <cell r="B12767" t="str">
            <v>Budget</v>
          </cell>
          <cell r="C12767" t="str">
            <v>Dec</v>
          </cell>
          <cell r="D12767" t="str">
            <v>Chairs</v>
          </cell>
          <cell r="E12767">
            <v>28812.447999999997</v>
          </cell>
          <cell r="F12767">
            <v>12</v>
          </cell>
        </row>
        <row r="12768">
          <cell r="A12768">
            <v>2018</v>
          </cell>
          <cell r="B12768" t="str">
            <v>Actual</v>
          </cell>
          <cell r="C12768" t="str">
            <v>Dec</v>
          </cell>
          <cell r="D12768" t="str">
            <v>Chairs</v>
          </cell>
          <cell r="E12768">
            <v>18302.41</v>
          </cell>
          <cell r="F12768">
            <v>12</v>
          </cell>
        </row>
        <row r="12769">
          <cell r="A12769">
            <v>2018</v>
          </cell>
          <cell r="B12769" t="str">
            <v>Budget</v>
          </cell>
          <cell r="C12769" t="str">
            <v>Dec</v>
          </cell>
          <cell r="D12769" t="str">
            <v>Chairs</v>
          </cell>
          <cell r="E12769">
            <v>124199.22899999999</v>
          </cell>
          <cell r="F12769">
            <v>12</v>
          </cell>
        </row>
        <row r="12770">
          <cell r="A12770">
            <v>2019</v>
          </cell>
          <cell r="B12770" t="str">
            <v>Actual</v>
          </cell>
          <cell r="C12770" t="str">
            <v>Dec</v>
          </cell>
          <cell r="D12770" t="str">
            <v>Chairs</v>
          </cell>
          <cell r="E12770">
            <v>72955.126999999993</v>
          </cell>
          <cell r="F12770">
            <v>12</v>
          </cell>
        </row>
        <row r="12771">
          <cell r="A12771">
            <v>2019</v>
          </cell>
          <cell r="B12771" t="str">
            <v>Budget</v>
          </cell>
          <cell r="C12771" t="str">
            <v>Dec</v>
          </cell>
          <cell r="D12771" t="str">
            <v>Chairs</v>
          </cell>
          <cell r="E12771">
            <v>62555.345999999998</v>
          </cell>
          <cell r="F12771">
            <v>12</v>
          </cell>
        </row>
        <row r="12772">
          <cell r="A12772">
            <v>2019</v>
          </cell>
          <cell r="B12772" t="str">
            <v>Actual</v>
          </cell>
          <cell r="C12772" t="str">
            <v>Dec</v>
          </cell>
          <cell r="D12772" t="str">
            <v>Chairs</v>
          </cell>
          <cell r="E12772">
            <v>195227.64799999999</v>
          </cell>
          <cell r="F12772">
            <v>12</v>
          </cell>
        </row>
        <row r="12773">
          <cell r="A12773">
            <v>2018</v>
          </cell>
          <cell r="B12773" t="str">
            <v>Budget</v>
          </cell>
          <cell r="C12773" t="str">
            <v>Dec</v>
          </cell>
          <cell r="D12773" t="str">
            <v>Chairs</v>
          </cell>
          <cell r="E12773">
            <v>15268.161999999998</v>
          </cell>
          <cell r="F12773">
            <v>12</v>
          </cell>
        </row>
        <row r="12774">
          <cell r="A12774">
            <v>2019</v>
          </cell>
          <cell r="B12774" t="str">
            <v>Actual</v>
          </cell>
          <cell r="C12774" t="str">
            <v>Dec</v>
          </cell>
          <cell r="D12774" t="str">
            <v>Chairs</v>
          </cell>
          <cell r="E12774">
            <v>1491857.7099999997</v>
          </cell>
          <cell r="F12774">
            <v>12</v>
          </cell>
        </row>
        <row r="12775">
          <cell r="A12775">
            <v>2019</v>
          </cell>
          <cell r="B12775" t="str">
            <v>Budget</v>
          </cell>
          <cell r="C12775" t="str">
            <v>Dec</v>
          </cell>
          <cell r="D12775" t="str">
            <v>Chairs</v>
          </cell>
          <cell r="E12775">
            <v>78458.904999999984</v>
          </cell>
          <cell r="F12775">
            <v>12</v>
          </cell>
        </row>
        <row r="12776">
          <cell r="A12776">
            <v>2019</v>
          </cell>
          <cell r="B12776" t="str">
            <v>Actual</v>
          </cell>
          <cell r="C12776" t="str">
            <v>Dec</v>
          </cell>
          <cell r="D12776" t="str">
            <v>Chairs</v>
          </cell>
          <cell r="E12776">
            <v>480234.83899999998</v>
          </cell>
          <cell r="F12776">
            <v>12</v>
          </cell>
        </row>
        <row r="12777">
          <cell r="A12777">
            <v>2019</v>
          </cell>
          <cell r="B12777" t="str">
            <v>Budget</v>
          </cell>
          <cell r="C12777" t="str">
            <v>Dec</v>
          </cell>
          <cell r="D12777" t="str">
            <v>Chairs</v>
          </cell>
          <cell r="E12777">
            <v>219276.46300000002</v>
          </cell>
          <cell r="F12777">
            <v>12</v>
          </cell>
        </row>
        <row r="12778">
          <cell r="A12778">
            <v>2018</v>
          </cell>
          <cell r="B12778" t="str">
            <v>Actual</v>
          </cell>
          <cell r="C12778" t="str">
            <v>Dec</v>
          </cell>
          <cell r="D12778" t="str">
            <v>Chairs</v>
          </cell>
          <cell r="E12778">
            <v>484419.04699999996</v>
          </cell>
          <cell r="F12778">
            <v>12</v>
          </cell>
        </row>
        <row r="12779">
          <cell r="A12779">
            <v>2019</v>
          </cell>
          <cell r="B12779" t="str">
            <v>Budget</v>
          </cell>
          <cell r="C12779" t="str">
            <v>Dec</v>
          </cell>
          <cell r="D12779" t="str">
            <v>Chairs</v>
          </cell>
          <cell r="E12779">
            <v>113390.76699999999</v>
          </cell>
          <cell r="F12779">
            <v>12</v>
          </cell>
        </row>
        <row r="12780">
          <cell r="A12780">
            <v>2019</v>
          </cell>
          <cell r="B12780" t="str">
            <v>Actual</v>
          </cell>
          <cell r="C12780" t="str">
            <v>Dec</v>
          </cell>
          <cell r="D12780" t="str">
            <v>Chairs</v>
          </cell>
          <cell r="E12780">
            <v>55857.991000000002</v>
          </cell>
          <cell r="F12780">
            <v>12</v>
          </cell>
        </row>
        <row r="12781">
          <cell r="A12781">
            <v>2019</v>
          </cell>
          <cell r="B12781" t="str">
            <v>Budget</v>
          </cell>
          <cell r="C12781" t="str">
            <v>Dec</v>
          </cell>
          <cell r="D12781" t="str">
            <v>Chairs</v>
          </cell>
          <cell r="E12781">
            <v>1157181.746</v>
          </cell>
          <cell r="F12781">
            <v>12</v>
          </cell>
        </row>
        <row r="12782">
          <cell r="A12782">
            <v>2019</v>
          </cell>
          <cell r="B12782" t="str">
            <v>Actual</v>
          </cell>
          <cell r="C12782" t="str">
            <v>Dec</v>
          </cell>
          <cell r="D12782" t="str">
            <v>Chairs</v>
          </cell>
          <cell r="E12782">
            <v>19085.849999999999</v>
          </cell>
          <cell r="F12782">
            <v>12</v>
          </cell>
        </row>
        <row r="12783">
          <cell r="A12783">
            <v>2018</v>
          </cell>
          <cell r="B12783" t="str">
            <v>Budget</v>
          </cell>
          <cell r="C12783" t="str">
            <v>Dec</v>
          </cell>
          <cell r="D12783" t="str">
            <v>Chairs</v>
          </cell>
          <cell r="E12783">
            <v>70092.812999999995</v>
          </cell>
          <cell r="F12783">
            <v>12</v>
          </cell>
        </row>
        <row r="12784">
          <cell r="A12784">
            <v>2018</v>
          </cell>
          <cell r="B12784" t="str">
            <v>Actual</v>
          </cell>
          <cell r="C12784" t="str">
            <v>Dec</v>
          </cell>
          <cell r="D12784" t="str">
            <v>Chairs</v>
          </cell>
          <cell r="E12784">
            <v>19631.520999999997</v>
          </cell>
          <cell r="F12784">
            <v>12</v>
          </cell>
        </row>
        <row r="12785">
          <cell r="A12785">
            <v>2018</v>
          </cell>
          <cell r="B12785" t="str">
            <v>Budget</v>
          </cell>
          <cell r="C12785" t="str">
            <v>Dec</v>
          </cell>
          <cell r="D12785" t="str">
            <v>Tables</v>
          </cell>
          <cell r="E12785">
            <v>154803.15199999997</v>
          </cell>
          <cell r="F12785">
            <v>12</v>
          </cell>
        </row>
        <row r="12786">
          <cell r="A12786">
            <v>2018</v>
          </cell>
          <cell r="B12786" t="str">
            <v>Actual</v>
          </cell>
          <cell r="C12786" t="str">
            <v>Dec</v>
          </cell>
          <cell r="D12786" t="str">
            <v>Kitchen</v>
          </cell>
          <cell r="E12786">
            <v>241231.557</v>
          </cell>
          <cell r="F12786">
            <v>12</v>
          </cell>
        </row>
        <row r="12787">
          <cell r="A12787">
            <v>2019</v>
          </cell>
          <cell r="B12787" t="str">
            <v>Budget</v>
          </cell>
          <cell r="C12787" t="str">
            <v>Dec</v>
          </cell>
          <cell r="D12787" t="str">
            <v>Chairs</v>
          </cell>
          <cell r="E12787">
            <v>365000.89499999996</v>
          </cell>
          <cell r="F12787">
            <v>12</v>
          </cell>
        </row>
        <row r="12788">
          <cell r="A12788">
            <v>2018</v>
          </cell>
          <cell r="B12788" t="str">
            <v>Actual</v>
          </cell>
          <cell r="C12788" t="str">
            <v>Dec</v>
          </cell>
          <cell r="D12788" t="str">
            <v>Chairs</v>
          </cell>
          <cell r="E12788">
            <v>293598.39600000001</v>
          </cell>
          <cell r="F12788">
            <v>12</v>
          </cell>
        </row>
        <row r="12789">
          <cell r="A12789">
            <v>2018</v>
          </cell>
          <cell r="B12789" t="str">
            <v>Budget</v>
          </cell>
          <cell r="C12789" t="str">
            <v>Dec</v>
          </cell>
          <cell r="D12789" t="str">
            <v>Chairs</v>
          </cell>
          <cell r="E12789">
            <v>223452.29199999999</v>
          </cell>
          <cell r="F12789">
            <v>12</v>
          </cell>
        </row>
        <row r="12790">
          <cell r="A12790">
            <v>2019</v>
          </cell>
          <cell r="B12790" t="str">
            <v>Actual</v>
          </cell>
          <cell r="C12790" t="str">
            <v>Dec</v>
          </cell>
          <cell r="D12790" t="str">
            <v>Chairs</v>
          </cell>
          <cell r="E12790">
            <v>2039556.281</v>
          </cell>
          <cell r="F12790">
            <v>12</v>
          </cell>
        </row>
        <row r="12791">
          <cell r="A12791">
            <v>2019</v>
          </cell>
          <cell r="B12791" t="str">
            <v>Budget</v>
          </cell>
          <cell r="C12791" t="str">
            <v>Dec</v>
          </cell>
          <cell r="D12791" t="str">
            <v>Chairs</v>
          </cell>
          <cell r="E12791">
            <v>9522376.1359999999</v>
          </cell>
          <cell r="F12791">
            <v>12</v>
          </cell>
        </row>
        <row r="12792">
          <cell r="A12792">
            <v>2018</v>
          </cell>
          <cell r="B12792" t="str">
            <v>Actual</v>
          </cell>
          <cell r="C12792" t="str">
            <v>Dec</v>
          </cell>
          <cell r="D12792" t="str">
            <v>Tables</v>
          </cell>
          <cell r="E12792">
            <v>88864.51</v>
          </cell>
          <cell r="F12792">
            <v>12</v>
          </cell>
        </row>
        <row r="12793">
          <cell r="A12793">
            <v>2018</v>
          </cell>
          <cell r="B12793" t="str">
            <v>Budget</v>
          </cell>
          <cell r="C12793" t="str">
            <v>Dec</v>
          </cell>
          <cell r="D12793" t="str">
            <v>Kitchen</v>
          </cell>
          <cell r="E12793">
            <v>64309.923999999999</v>
          </cell>
          <cell r="F12793">
            <v>12</v>
          </cell>
        </row>
        <row r="12794">
          <cell r="A12794">
            <v>2018</v>
          </cell>
          <cell r="B12794" t="str">
            <v>Actual</v>
          </cell>
          <cell r="C12794" t="str">
            <v>Dec</v>
          </cell>
          <cell r="D12794" t="str">
            <v>Chairs</v>
          </cell>
          <cell r="E12794">
            <v>1606778.523</v>
          </cell>
          <cell r="F12794">
            <v>12</v>
          </cell>
        </row>
        <row r="12795">
          <cell r="A12795">
            <v>2019</v>
          </cell>
          <cell r="B12795" t="str">
            <v>Budget</v>
          </cell>
          <cell r="C12795" t="str">
            <v>Dec</v>
          </cell>
          <cell r="D12795" t="str">
            <v>Chairs</v>
          </cell>
          <cell r="E12795">
            <v>3008.0889999999999</v>
          </cell>
          <cell r="F12795">
            <v>12</v>
          </cell>
        </row>
        <row r="12796">
          <cell r="A12796">
            <v>2019</v>
          </cell>
          <cell r="B12796" t="str">
            <v>Actual</v>
          </cell>
          <cell r="C12796" t="str">
            <v>Dec</v>
          </cell>
          <cell r="D12796" t="str">
            <v>Chairs</v>
          </cell>
          <cell r="E12796">
            <v>38649.393999999993</v>
          </cell>
          <cell r="F12796">
            <v>12</v>
          </cell>
        </row>
        <row r="12797">
          <cell r="A12797">
            <v>2019</v>
          </cell>
          <cell r="B12797" t="str">
            <v>Budget</v>
          </cell>
          <cell r="C12797" t="str">
            <v>Dec</v>
          </cell>
          <cell r="D12797" t="str">
            <v>Tables</v>
          </cell>
          <cell r="E12797">
            <v>837421.43099999998</v>
          </cell>
          <cell r="F12797">
            <v>12</v>
          </cell>
        </row>
        <row r="12798">
          <cell r="A12798">
            <v>2019</v>
          </cell>
          <cell r="B12798" t="str">
            <v>Actual</v>
          </cell>
          <cell r="C12798" t="str">
            <v>Dec</v>
          </cell>
          <cell r="D12798" t="str">
            <v>Kitchen</v>
          </cell>
          <cell r="E12798">
            <v>229532.69499999998</v>
          </cell>
          <cell r="F12798">
            <v>12</v>
          </cell>
        </row>
        <row r="12799">
          <cell r="A12799">
            <v>2018</v>
          </cell>
          <cell r="B12799" t="str">
            <v>Budget</v>
          </cell>
          <cell r="C12799" t="str">
            <v>Dec</v>
          </cell>
          <cell r="D12799" t="str">
            <v>Chairs</v>
          </cell>
          <cell r="E12799">
            <v>70475.467999999993</v>
          </cell>
          <cell r="F12799">
            <v>12</v>
          </cell>
        </row>
        <row r="12800">
          <cell r="A12800">
            <v>2019</v>
          </cell>
          <cell r="B12800" t="str">
            <v>Actual</v>
          </cell>
          <cell r="C12800" t="str">
            <v>Dec</v>
          </cell>
          <cell r="D12800" t="str">
            <v>Chairs</v>
          </cell>
          <cell r="E12800">
            <v>74685.533999999985</v>
          </cell>
          <cell r="F12800">
            <v>12</v>
          </cell>
        </row>
        <row r="12801">
          <cell r="A12801">
            <v>2018</v>
          </cell>
          <cell r="B12801" t="str">
            <v>Budget</v>
          </cell>
          <cell r="C12801" t="str">
            <v>Dec</v>
          </cell>
          <cell r="D12801" t="str">
            <v>Tables</v>
          </cell>
          <cell r="E12801">
            <v>1338521.9469999999</v>
          </cell>
          <cell r="F12801">
            <v>12</v>
          </cell>
        </row>
        <row r="12802">
          <cell r="A12802">
            <v>2018</v>
          </cell>
          <cell r="B12802" t="str">
            <v>Actual</v>
          </cell>
          <cell r="C12802" t="str">
            <v>Dec</v>
          </cell>
          <cell r="D12802" t="str">
            <v>Kitchen</v>
          </cell>
          <cell r="E12802">
            <v>68731.942999999999</v>
          </cell>
          <cell r="F12802">
            <v>12</v>
          </cell>
        </row>
        <row r="12803">
          <cell r="A12803">
            <v>2018</v>
          </cell>
          <cell r="B12803" t="str">
            <v>Budget</v>
          </cell>
          <cell r="C12803" t="str">
            <v>Dec</v>
          </cell>
          <cell r="D12803" t="str">
            <v>Chairs</v>
          </cell>
          <cell r="E12803">
            <v>1996711.2479999999</v>
          </cell>
          <cell r="F12803">
            <v>12</v>
          </cell>
        </row>
        <row r="12804">
          <cell r="A12804">
            <v>2018</v>
          </cell>
          <cell r="B12804" t="str">
            <v>Actual</v>
          </cell>
          <cell r="C12804" t="str">
            <v>Dec</v>
          </cell>
          <cell r="D12804" t="str">
            <v>Chairs</v>
          </cell>
          <cell r="E12804">
            <v>1822178.0499999998</v>
          </cell>
          <cell r="F12804">
            <v>12</v>
          </cell>
        </row>
        <row r="12805">
          <cell r="A12805">
            <v>2018</v>
          </cell>
          <cell r="B12805" t="str">
            <v>Budget</v>
          </cell>
          <cell r="C12805" t="str">
            <v>Dec</v>
          </cell>
          <cell r="D12805" t="str">
            <v>Chairs</v>
          </cell>
          <cell r="E12805">
            <v>319686.19199999998</v>
          </cell>
          <cell r="F12805">
            <v>12</v>
          </cell>
        </row>
        <row r="12806">
          <cell r="A12806">
            <v>2018</v>
          </cell>
          <cell r="B12806" t="str">
            <v>Actual</v>
          </cell>
          <cell r="C12806" t="str">
            <v>Dec</v>
          </cell>
          <cell r="D12806" t="str">
            <v>Tables</v>
          </cell>
          <cell r="E12806">
            <v>108693.31199999999</v>
          </cell>
          <cell r="F12806">
            <v>12</v>
          </cell>
        </row>
        <row r="12807">
          <cell r="A12807">
            <v>2018</v>
          </cell>
          <cell r="B12807" t="str">
            <v>Budget</v>
          </cell>
          <cell r="C12807" t="str">
            <v>Dec</v>
          </cell>
          <cell r="D12807" t="str">
            <v>Kitchen</v>
          </cell>
          <cell r="E12807">
            <v>149596.49599999998</v>
          </cell>
          <cell r="F12807">
            <v>12</v>
          </cell>
        </row>
        <row r="12808">
          <cell r="A12808">
            <v>2019</v>
          </cell>
          <cell r="B12808" t="str">
            <v>Actual</v>
          </cell>
          <cell r="C12808" t="str">
            <v>Dec</v>
          </cell>
          <cell r="D12808" t="str">
            <v>Accessories</v>
          </cell>
          <cell r="E12808">
            <v>791829.26199999987</v>
          </cell>
          <cell r="F12808">
            <v>12</v>
          </cell>
        </row>
        <row r="12809">
          <cell r="A12809">
            <v>2019</v>
          </cell>
          <cell r="B12809" t="str">
            <v>Budget</v>
          </cell>
          <cell r="C12809" t="str">
            <v>Dec</v>
          </cell>
          <cell r="D12809" t="str">
            <v>Chairs</v>
          </cell>
          <cell r="E12809">
            <v>676353.25100000005</v>
          </cell>
          <cell r="F12809">
            <v>12</v>
          </cell>
        </row>
        <row r="12810">
          <cell r="A12810">
            <v>2018</v>
          </cell>
          <cell r="B12810" t="str">
            <v>Actual</v>
          </cell>
          <cell r="C12810" t="str">
            <v>Dec</v>
          </cell>
          <cell r="D12810" t="str">
            <v>Tables</v>
          </cell>
          <cell r="E12810">
            <v>922619.17999999982</v>
          </cell>
          <cell r="F12810">
            <v>12</v>
          </cell>
        </row>
        <row r="12811">
          <cell r="A12811">
            <v>2019</v>
          </cell>
          <cell r="B12811" t="str">
            <v>Budget</v>
          </cell>
          <cell r="C12811" t="str">
            <v>Dec</v>
          </cell>
          <cell r="D12811" t="str">
            <v>Kitchen</v>
          </cell>
          <cell r="E12811">
            <v>305420.13599999994</v>
          </cell>
          <cell r="F12811">
            <v>12</v>
          </cell>
        </row>
        <row r="12812">
          <cell r="A12812">
            <v>2019</v>
          </cell>
          <cell r="B12812" t="str">
            <v>Actual</v>
          </cell>
          <cell r="C12812" t="str">
            <v>Dec</v>
          </cell>
          <cell r="D12812" t="str">
            <v>Accessories</v>
          </cell>
          <cell r="E12812">
            <v>88428.661999999997</v>
          </cell>
          <cell r="F12812">
            <v>12</v>
          </cell>
        </row>
        <row r="12813">
          <cell r="A12813">
            <v>2019</v>
          </cell>
          <cell r="B12813" t="str">
            <v>Budget</v>
          </cell>
          <cell r="C12813" t="str">
            <v>Dec</v>
          </cell>
          <cell r="D12813" t="str">
            <v>Chairs</v>
          </cell>
          <cell r="E12813">
            <v>3127174.4699999997</v>
          </cell>
          <cell r="F12813">
            <v>12</v>
          </cell>
        </row>
        <row r="12814">
          <cell r="A12814">
            <v>2018</v>
          </cell>
          <cell r="B12814" t="str">
            <v>Actual</v>
          </cell>
          <cell r="C12814" t="str">
            <v>Dec</v>
          </cell>
          <cell r="D12814" t="str">
            <v>Tables</v>
          </cell>
          <cell r="E12814">
            <v>261566.01099999997</v>
          </cell>
          <cell r="F12814">
            <v>12</v>
          </cell>
        </row>
        <row r="12815">
          <cell r="A12815">
            <v>2019</v>
          </cell>
          <cell r="B12815" t="str">
            <v>Budget</v>
          </cell>
          <cell r="C12815" t="str">
            <v>Dec</v>
          </cell>
          <cell r="D12815" t="str">
            <v>Kitchen</v>
          </cell>
          <cell r="E12815">
            <v>3371937.1139999996</v>
          </cell>
          <cell r="F12815">
            <v>12</v>
          </cell>
        </row>
        <row r="12816">
          <cell r="A12816">
            <v>2018</v>
          </cell>
          <cell r="B12816" t="str">
            <v>Actual</v>
          </cell>
          <cell r="C12816" t="str">
            <v>Dec</v>
          </cell>
          <cell r="D12816" t="str">
            <v>Accessories</v>
          </cell>
          <cell r="E12816">
            <v>-8506.8130000000001</v>
          </cell>
          <cell r="F12816">
            <v>12</v>
          </cell>
        </row>
        <row r="12817">
          <cell r="A12817">
            <v>2018</v>
          </cell>
          <cell r="B12817" t="str">
            <v>Budget</v>
          </cell>
          <cell r="C12817" t="str">
            <v>Dec</v>
          </cell>
          <cell r="D12817" t="str">
            <v>Chairs</v>
          </cell>
          <cell r="E12817">
            <v>-12973.114</v>
          </cell>
          <cell r="F12817">
            <v>12</v>
          </cell>
        </row>
        <row r="12818">
          <cell r="A12818">
            <v>2019</v>
          </cell>
          <cell r="B12818" t="str">
            <v>Actual</v>
          </cell>
          <cell r="C12818" t="str">
            <v>Dec</v>
          </cell>
          <cell r="D12818" t="str">
            <v>Tables</v>
          </cell>
          <cell r="E12818">
            <v>-90877.387999999992</v>
          </cell>
          <cell r="F12818">
            <v>12</v>
          </cell>
        </row>
        <row r="12819">
          <cell r="A12819">
            <v>2018</v>
          </cell>
          <cell r="B12819" t="str">
            <v>Budget</v>
          </cell>
          <cell r="C12819" t="str">
            <v>Dec</v>
          </cell>
          <cell r="D12819" t="str">
            <v>Kitchen</v>
          </cell>
          <cell r="E12819">
            <v>1427709.15</v>
          </cell>
          <cell r="F12819">
            <v>12</v>
          </cell>
        </row>
        <row r="12820">
          <cell r="A12820">
            <v>2019</v>
          </cell>
          <cell r="B12820" t="str">
            <v>Actual</v>
          </cell>
          <cell r="C12820" t="str">
            <v>Dec</v>
          </cell>
          <cell r="D12820" t="str">
            <v>Accessories</v>
          </cell>
          <cell r="E12820">
            <v>1724333.5269999998</v>
          </cell>
          <cell r="F12820">
            <v>12</v>
          </cell>
        </row>
        <row r="12821">
          <cell r="A12821">
            <v>2018</v>
          </cell>
          <cell r="B12821" t="str">
            <v>Budget</v>
          </cell>
          <cell r="C12821" t="str">
            <v>Dec</v>
          </cell>
          <cell r="D12821" t="str">
            <v>Chairs</v>
          </cell>
          <cell r="E12821">
            <v>114431.09999999999</v>
          </cell>
          <cell r="F12821">
            <v>12</v>
          </cell>
        </row>
        <row r="12822">
          <cell r="A12822">
            <v>2018</v>
          </cell>
          <cell r="B12822" t="str">
            <v>Actual</v>
          </cell>
          <cell r="C12822" t="str">
            <v>Dec</v>
          </cell>
          <cell r="D12822" t="str">
            <v>Chairs</v>
          </cell>
          <cell r="E12822">
            <v>114788.09999999999</v>
          </cell>
          <cell r="F12822">
            <v>12</v>
          </cell>
        </row>
        <row r="12823">
          <cell r="A12823">
            <v>2018</v>
          </cell>
          <cell r="B12823" t="str">
            <v>Budget</v>
          </cell>
          <cell r="C12823" t="str">
            <v>Dec</v>
          </cell>
          <cell r="D12823" t="str">
            <v>Tables</v>
          </cell>
          <cell r="E12823">
            <v>114439.5</v>
          </cell>
          <cell r="F12823">
            <v>12</v>
          </cell>
        </row>
        <row r="12824">
          <cell r="A12824">
            <v>2018</v>
          </cell>
          <cell r="B12824" t="str">
            <v>Actual</v>
          </cell>
          <cell r="C12824" t="str">
            <v>Dec</v>
          </cell>
          <cell r="D12824" t="str">
            <v>Kitchen</v>
          </cell>
          <cell r="E12824">
            <v>229666.49999999997</v>
          </cell>
          <cell r="F12824">
            <v>12</v>
          </cell>
        </row>
        <row r="12825">
          <cell r="A12825">
            <v>2018</v>
          </cell>
          <cell r="B12825" t="str">
            <v>Budget</v>
          </cell>
          <cell r="C12825" t="str">
            <v>Dec</v>
          </cell>
          <cell r="D12825" t="str">
            <v>Chairs</v>
          </cell>
          <cell r="E12825">
            <v>78764.035000000003</v>
          </cell>
          <cell r="F12825">
            <v>12</v>
          </cell>
        </row>
        <row r="12826">
          <cell r="A12826">
            <v>2018</v>
          </cell>
          <cell r="B12826" t="str">
            <v>Actual</v>
          </cell>
          <cell r="C12826" t="str">
            <v>Dec</v>
          </cell>
          <cell r="D12826" t="str">
            <v>Tables</v>
          </cell>
          <cell r="E12826">
            <v>2864.183</v>
          </cell>
          <cell r="F12826">
            <v>12</v>
          </cell>
        </row>
        <row r="12827">
          <cell r="A12827">
            <v>2019</v>
          </cell>
          <cell r="B12827" t="str">
            <v>Budget</v>
          </cell>
          <cell r="C12827" t="str">
            <v>Dec</v>
          </cell>
          <cell r="D12827" t="str">
            <v>Kitchen</v>
          </cell>
          <cell r="E12827">
            <v>214242.68599999999</v>
          </cell>
          <cell r="F12827">
            <v>12</v>
          </cell>
        </row>
        <row r="12828">
          <cell r="A12828">
            <v>2019</v>
          </cell>
          <cell r="B12828" t="str">
            <v>Actual</v>
          </cell>
          <cell r="C12828" t="str">
            <v>Dec</v>
          </cell>
          <cell r="D12828" t="str">
            <v>Chairs</v>
          </cell>
          <cell r="E12828">
            <v>200456.872</v>
          </cell>
          <cell r="F12828">
            <v>12</v>
          </cell>
        </row>
        <row r="12829">
          <cell r="A12829">
            <v>2018</v>
          </cell>
          <cell r="B12829" t="str">
            <v>Budget</v>
          </cell>
          <cell r="C12829" t="str">
            <v>Dec</v>
          </cell>
          <cell r="D12829" t="str">
            <v>Tables</v>
          </cell>
          <cell r="E12829">
            <v>132449.20499999999</v>
          </cell>
          <cell r="F12829">
            <v>12</v>
          </cell>
        </row>
        <row r="12830">
          <cell r="A12830">
            <v>2019</v>
          </cell>
          <cell r="B12830" t="str">
            <v>Actual</v>
          </cell>
          <cell r="C12830" t="str">
            <v>Dec</v>
          </cell>
          <cell r="D12830" t="str">
            <v>Kitchen</v>
          </cell>
          <cell r="E12830">
            <v>205044.68599999999</v>
          </cell>
          <cell r="F12830">
            <v>12</v>
          </cell>
        </row>
        <row r="12831">
          <cell r="A12831">
            <v>2019</v>
          </cell>
          <cell r="B12831" t="str">
            <v>Budget</v>
          </cell>
          <cell r="C12831" t="str">
            <v>Dec</v>
          </cell>
          <cell r="D12831" t="str">
            <v>Chairs</v>
          </cell>
          <cell r="E12831">
            <v>103035.51299999999</v>
          </cell>
          <cell r="F12831">
            <v>12</v>
          </cell>
        </row>
        <row r="12832">
          <cell r="A12832">
            <v>2018</v>
          </cell>
          <cell r="B12832" t="str">
            <v>Actual</v>
          </cell>
          <cell r="C12832" t="str">
            <v>Dec</v>
          </cell>
          <cell r="D12832" t="str">
            <v>Chairs</v>
          </cell>
          <cell r="E12832">
            <v>9066.4279999999999</v>
          </cell>
          <cell r="F12832">
            <v>12</v>
          </cell>
        </row>
        <row r="12833">
          <cell r="A12833">
            <v>2018</v>
          </cell>
          <cell r="B12833" t="str">
            <v>Budget</v>
          </cell>
          <cell r="C12833" t="str">
            <v>Dec</v>
          </cell>
          <cell r="D12833" t="str">
            <v>Chairs</v>
          </cell>
          <cell r="E12833">
            <v>70636.993000000002</v>
          </cell>
          <cell r="F12833">
            <v>12</v>
          </cell>
        </row>
        <row r="12834">
          <cell r="A12834">
            <v>2019</v>
          </cell>
          <cell r="B12834" t="str">
            <v>Actual</v>
          </cell>
          <cell r="C12834" t="str">
            <v>Dec</v>
          </cell>
          <cell r="D12834" t="str">
            <v>Chairs</v>
          </cell>
          <cell r="E12834">
            <v>166998.41199999998</v>
          </cell>
          <cell r="F12834">
            <v>12</v>
          </cell>
        </row>
        <row r="12835">
          <cell r="A12835">
            <v>2019</v>
          </cell>
          <cell r="B12835" t="str">
            <v>Budget</v>
          </cell>
          <cell r="C12835" t="str">
            <v>Dec</v>
          </cell>
          <cell r="D12835" t="str">
            <v>Chairs</v>
          </cell>
          <cell r="E12835">
            <v>248907.323</v>
          </cell>
          <cell r="F12835">
            <v>12</v>
          </cell>
        </row>
        <row r="12836">
          <cell r="A12836">
            <v>2019</v>
          </cell>
          <cell r="B12836" t="str">
            <v>Actual</v>
          </cell>
          <cell r="C12836" t="str">
            <v>Dec</v>
          </cell>
          <cell r="D12836" t="str">
            <v>Chairs</v>
          </cell>
          <cell r="E12836">
            <v>142305.30299999999</v>
          </cell>
          <cell r="F12836">
            <v>12</v>
          </cell>
        </row>
        <row r="12837">
          <cell r="A12837">
            <v>2019</v>
          </cell>
          <cell r="B12837" t="str">
            <v>Budget</v>
          </cell>
          <cell r="C12837" t="str">
            <v>Dec</v>
          </cell>
          <cell r="D12837" t="str">
            <v>Chairs</v>
          </cell>
          <cell r="E12837">
            <v>19432.231</v>
          </cell>
          <cell r="F12837">
            <v>12</v>
          </cell>
        </row>
        <row r="12838">
          <cell r="A12838">
            <v>2018</v>
          </cell>
          <cell r="B12838" t="str">
            <v>Actual</v>
          </cell>
          <cell r="C12838" t="str">
            <v>Dec</v>
          </cell>
          <cell r="D12838" t="str">
            <v>Chairs</v>
          </cell>
          <cell r="E12838">
            <v>35252.727999999996</v>
          </cell>
          <cell r="F12838">
            <v>12</v>
          </cell>
        </row>
        <row r="12839">
          <cell r="A12839">
            <v>2019</v>
          </cell>
          <cell r="B12839" t="str">
            <v>Budget</v>
          </cell>
          <cell r="C12839" t="str">
            <v>Dec</v>
          </cell>
          <cell r="D12839" t="str">
            <v>Chairs</v>
          </cell>
          <cell r="E12839">
            <v>16775.093999999997</v>
          </cell>
          <cell r="F12839">
            <v>12</v>
          </cell>
        </row>
        <row r="12840">
          <cell r="A12840">
            <v>2018</v>
          </cell>
          <cell r="B12840" t="str">
            <v>Actual</v>
          </cell>
          <cell r="C12840" t="str">
            <v>Dec</v>
          </cell>
          <cell r="D12840" t="str">
            <v>Chairs</v>
          </cell>
          <cell r="E12840">
            <v>347115.41899999999</v>
          </cell>
          <cell r="F12840">
            <v>12</v>
          </cell>
        </row>
        <row r="12841">
          <cell r="A12841">
            <v>2019</v>
          </cell>
          <cell r="B12841" t="str">
            <v>Budget</v>
          </cell>
          <cell r="C12841" t="str">
            <v>Dec</v>
          </cell>
          <cell r="D12841" t="str">
            <v>Chairs</v>
          </cell>
          <cell r="E12841">
            <v>18104.786</v>
          </cell>
          <cell r="F12841">
            <v>12</v>
          </cell>
        </row>
        <row r="12842">
          <cell r="A12842">
            <v>2018</v>
          </cell>
          <cell r="B12842" t="str">
            <v>Actual</v>
          </cell>
          <cell r="C12842" t="str">
            <v>Dec</v>
          </cell>
          <cell r="D12842" t="str">
            <v>Chairs</v>
          </cell>
          <cell r="E12842">
            <v>51442.845999999998</v>
          </cell>
          <cell r="F12842">
            <v>12</v>
          </cell>
        </row>
        <row r="12843">
          <cell r="A12843">
            <v>2019</v>
          </cell>
          <cell r="B12843" t="str">
            <v>Budget</v>
          </cell>
          <cell r="C12843" t="str">
            <v>Dec</v>
          </cell>
          <cell r="D12843" t="str">
            <v>Chairs</v>
          </cell>
          <cell r="E12843">
            <v>60143.229999999989</v>
          </cell>
          <cell r="F12843">
            <v>12</v>
          </cell>
        </row>
        <row r="12844">
          <cell r="A12844">
            <v>2019</v>
          </cell>
          <cell r="B12844" t="str">
            <v>Actual</v>
          </cell>
          <cell r="C12844" t="str">
            <v>Dec</v>
          </cell>
          <cell r="D12844" t="str">
            <v>Chairs</v>
          </cell>
          <cell r="E12844">
            <v>412098.58199999999</v>
          </cell>
          <cell r="F12844">
            <v>12</v>
          </cell>
        </row>
        <row r="12845">
          <cell r="A12845">
            <v>2019</v>
          </cell>
          <cell r="B12845" t="str">
            <v>Budget</v>
          </cell>
          <cell r="C12845" t="str">
            <v>Dec</v>
          </cell>
          <cell r="D12845" t="str">
            <v>Chairs</v>
          </cell>
          <cell r="E12845">
            <v>32320.042999999998</v>
          </cell>
          <cell r="F12845">
            <v>12</v>
          </cell>
        </row>
        <row r="12846">
          <cell r="A12846">
            <v>2019</v>
          </cell>
          <cell r="B12846" t="str">
            <v>Actual</v>
          </cell>
          <cell r="C12846" t="str">
            <v>Dec</v>
          </cell>
          <cell r="D12846" t="str">
            <v>Chairs</v>
          </cell>
          <cell r="E12846">
            <v>295844.26199999999</v>
          </cell>
          <cell r="F12846">
            <v>12</v>
          </cell>
        </row>
        <row r="12847">
          <cell r="A12847">
            <v>2019</v>
          </cell>
          <cell r="B12847" t="str">
            <v>Budget</v>
          </cell>
          <cell r="C12847" t="str">
            <v>Dec</v>
          </cell>
          <cell r="D12847" t="str">
            <v>Chairs</v>
          </cell>
          <cell r="E12847">
            <v>164181.56299999999</v>
          </cell>
          <cell r="F12847">
            <v>12</v>
          </cell>
        </row>
        <row r="12848">
          <cell r="A12848">
            <v>2018</v>
          </cell>
          <cell r="B12848" t="str">
            <v>Actual</v>
          </cell>
          <cell r="C12848" t="str">
            <v>Dec</v>
          </cell>
          <cell r="D12848" t="str">
            <v>Chairs</v>
          </cell>
          <cell r="E12848">
            <v>81100.516000000003</v>
          </cell>
          <cell r="F12848">
            <v>12</v>
          </cell>
        </row>
        <row r="12849">
          <cell r="A12849">
            <v>2019</v>
          </cell>
          <cell r="B12849" t="str">
            <v>Budget</v>
          </cell>
          <cell r="C12849" t="str">
            <v>Dec</v>
          </cell>
          <cell r="D12849" t="str">
            <v>Chairs</v>
          </cell>
          <cell r="E12849">
            <v>57114.96</v>
          </cell>
          <cell r="F12849">
            <v>12</v>
          </cell>
        </row>
        <row r="12850">
          <cell r="A12850">
            <v>2018</v>
          </cell>
          <cell r="B12850" t="str">
            <v>Actual</v>
          </cell>
          <cell r="C12850" t="str">
            <v>Dec</v>
          </cell>
          <cell r="D12850" t="str">
            <v>Chairs</v>
          </cell>
          <cell r="E12850">
            <v>321237.86799999996</v>
          </cell>
          <cell r="F12850">
            <v>12</v>
          </cell>
        </row>
        <row r="12851">
          <cell r="A12851">
            <v>2019</v>
          </cell>
          <cell r="B12851" t="str">
            <v>Budget</v>
          </cell>
          <cell r="C12851" t="str">
            <v>Dec</v>
          </cell>
          <cell r="D12851" t="str">
            <v>Chairs</v>
          </cell>
          <cell r="E12851">
            <v>192382.07799999998</v>
          </cell>
          <cell r="F12851">
            <v>12</v>
          </cell>
        </row>
        <row r="12852">
          <cell r="A12852">
            <v>2019</v>
          </cell>
          <cell r="B12852" t="str">
            <v>Actual</v>
          </cell>
          <cell r="C12852" t="str">
            <v>Dec</v>
          </cell>
          <cell r="D12852" t="str">
            <v>Chairs</v>
          </cell>
          <cell r="E12852">
            <v>540171.90500000003</v>
          </cell>
          <cell r="F12852">
            <v>12</v>
          </cell>
        </row>
        <row r="12853">
          <cell r="A12853">
            <v>2018</v>
          </cell>
          <cell r="B12853" t="str">
            <v>Budget</v>
          </cell>
          <cell r="C12853" t="str">
            <v>Dec</v>
          </cell>
          <cell r="D12853" t="str">
            <v>Chairs</v>
          </cell>
          <cell r="E12853">
            <v>460573.04299999995</v>
          </cell>
          <cell r="F12853">
            <v>12</v>
          </cell>
        </row>
        <row r="12854">
          <cell r="A12854">
            <v>2018</v>
          </cell>
          <cell r="B12854" t="str">
            <v>Actual</v>
          </cell>
          <cell r="C12854" t="str">
            <v>Dec</v>
          </cell>
          <cell r="D12854" t="str">
            <v>Chairs</v>
          </cell>
          <cell r="E12854">
            <v>403938.80799999996</v>
          </cell>
          <cell r="F12854">
            <v>12</v>
          </cell>
        </row>
        <row r="12855">
          <cell r="A12855">
            <v>2018</v>
          </cell>
          <cell r="B12855" t="str">
            <v>Budget</v>
          </cell>
          <cell r="C12855" t="str">
            <v>Dec</v>
          </cell>
          <cell r="D12855" t="str">
            <v>Chairs</v>
          </cell>
          <cell r="E12855">
            <v>458933.46799999999</v>
          </cell>
          <cell r="F12855">
            <v>12</v>
          </cell>
        </row>
        <row r="12856">
          <cell r="A12856">
            <v>2019</v>
          </cell>
          <cell r="B12856" t="str">
            <v>Actual</v>
          </cell>
          <cell r="C12856" t="str">
            <v>Dec</v>
          </cell>
          <cell r="D12856" t="str">
            <v>Chairs</v>
          </cell>
          <cell r="E12856">
            <v>319881.21199999994</v>
          </cell>
          <cell r="F12856">
            <v>12</v>
          </cell>
        </row>
        <row r="12857">
          <cell r="A12857">
            <v>2019</v>
          </cell>
          <cell r="B12857" t="str">
            <v>Budget</v>
          </cell>
          <cell r="C12857" t="str">
            <v>Dec</v>
          </cell>
          <cell r="D12857" t="str">
            <v>Tables</v>
          </cell>
          <cell r="E12857">
            <v>85351.468999999997</v>
          </cell>
          <cell r="F12857">
            <v>12</v>
          </cell>
        </row>
        <row r="12858">
          <cell r="A12858">
            <v>2019</v>
          </cell>
          <cell r="B12858" t="str">
            <v>Actual</v>
          </cell>
          <cell r="C12858" t="str">
            <v>Dec</v>
          </cell>
          <cell r="D12858" t="str">
            <v>Kitchen</v>
          </cell>
          <cell r="E12858">
            <v>60875.92</v>
          </cell>
          <cell r="F12858">
            <v>12</v>
          </cell>
        </row>
        <row r="12859">
          <cell r="A12859">
            <v>2019</v>
          </cell>
          <cell r="B12859" t="str">
            <v>Budget</v>
          </cell>
          <cell r="C12859" t="str">
            <v>Dec</v>
          </cell>
          <cell r="D12859" t="str">
            <v>Chairs</v>
          </cell>
          <cell r="E12859">
            <v>68541.325999999986</v>
          </cell>
          <cell r="F12859">
            <v>12</v>
          </cell>
        </row>
        <row r="12860">
          <cell r="A12860">
            <v>2018</v>
          </cell>
          <cell r="B12860" t="str">
            <v>Actual</v>
          </cell>
          <cell r="C12860" t="str">
            <v>Dec</v>
          </cell>
          <cell r="D12860" t="str">
            <v>Chairs</v>
          </cell>
          <cell r="E12860">
            <v>124015.073</v>
          </cell>
          <cell r="F12860">
            <v>12</v>
          </cell>
        </row>
        <row r="12861">
          <cell r="A12861">
            <v>2019</v>
          </cell>
          <cell r="B12861" t="str">
            <v>Budget</v>
          </cell>
          <cell r="C12861" t="str">
            <v>Dec</v>
          </cell>
          <cell r="D12861" t="str">
            <v>Chairs</v>
          </cell>
          <cell r="E12861">
            <v>60741.52</v>
          </cell>
          <cell r="F12861">
            <v>12</v>
          </cell>
        </row>
        <row r="12862">
          <cell r="A12862">
            <v>2018</v>
          </cell>
          <cell r="B12862" t="str">
            <v>Actual</v>
          </cell>
          <cell r="C12862" t="str">
            <v>Dec</v>
          </cell>
          <cell r="D12862" t="str">
            <v>Chairs</v>
          </cell>
          <cell r="E12862">
            <v>104379.51299999999</v>
          </cell>
          <cell r="F12862">
            <v>12</v>
          </cell>
        </row>
        <row r="12863">
          <cell r="A12863">
            <v>2019</v>
          </cell>
          <cell r="B12863" t="str">
            <v>Budget</v>
          </cell>
          <cell r="C12863" t="str">
            <v>Dec</v>
          </cell>
          <cell r="D12863" t="str">
            <v>Chairs</v>
          </cell>
          <cell r="E12863">
            <v>56522.031999999992</v>
          </cell>
          <cell r="F12863">
            <v>12</v>
          </cell>
        </row>
        <row r="12864">
          <cell r="A12864">
            <v>2018</v>
          </cell>
          <cell r="B12864" t="str">
            <v>Actual</v>
          </cell>
          <cell r="C12864" t="str">
            <v>Dec</v>
          </cell>
          <cell r="D12864" t="str">
            <v>Tables</v>
          </cell>
          <cell r="E12864">
            <v>60578.489999999991</v>
          </cell>
          <cell r="F12864">
            <v>12</v>
          </cell>
        </row>
        <row r="12865">
          <cell r="A12865">
            <v>2019</v>
          </cell>
          <cell r="B12865" t="str">
            <v>Budget</v>
          </cell>
          <cell r="C12865" t="str">
            <v>Dec</v>
          </cell>
          <cell r="D12865" t="str">
            <v>Kitchen</v>
          </cell>
          <cell r="E12865">
            <v>36096.724999999999</v>
          </cell>
          <cell r="F12865">
            <v>12</v>
          </cell>
        </row>
        <row r="12866">
          <cell r="A12866">
            <v>2019</v>
          </cell>
          <cell r="B12866" t="str">
            <v>Actual</v>
          </cell>
          <cell r="C12866" t="str">
            <v>Dec</v>
          </cell>
          <cell r="D12866" t="str">
            <v>Chairs</v>
          </cell>
          <cell r="E12866">
            <v>61286.056999999993</v>
          </cell>
          <cell r="F12866">
            <v>12</v>
          </cell>
        </row>
        <row r="12867">
          <cell r="A12867">
            <v>2018</v>
          </cell>
          <cell r="B12867" t="str">
            <v>Budget</v>
          </cell>
          <cell r="C12867" t="str">
            <v>Dec</v>
          </cell>
          <cell r="D12867" t="str">
            <v>Chairs</v>
          </cell>
          <cell r="E12867">
            <v>478363.82999999996</v>
          </cell>
          <cell r="F12867">
            <v>12</v>
          </cell>
        </row>
        <row r="12868">
          <cell r="A12868">
            <v>2019</v>
          </cell>
          <cell r="B12868" t="str">
            <v>Actual</v>
          </cell>
          <cell r="C12868" t="str">
            <v>Dec</v>
          </cell>
          <cell r="D12868" t="str">
            <v>Chairs</v>
          </cell>
          <cell r="E12868">
            <v>2195305.2450000001</v>
          </cell>
          <cell r="F12868">
            <v>12</v>
          </cell>
        </row>
        <row r="12869">
          <cell r="A12869">
            <v>2019</v>
          </cell>
          <cell r="B12869" t="str">
            <v>Budget</v>
          </cell>
          <cell r="C12869" t="str">
            <v>Dec</v>
          </cell>
          <cell r="D12869" t="str">
            <v>Tables</v>
          </cell>
          <cell r="E12869">
            <v>209826.071</v>
          </cell>
          <cell r="F12869">
            <v>12</v>
          </cell>
        </row>
        <row r="12870">
          <cell r="A12870">
            <v>2018</v>
          </cell>
          <cell r="B12870" t="str">
            <v>Actual</v>
          </cell>
          <cell r="C12870" t="str">
            <v>Dec</v>
          </cell>
          <cell r="D12870" t="str">
            <v>Kitchen</v>
          </cell>
          <cell r="E12870">
            <v>114240.29400000001</v>
          </cell>
          <cell r="F12870">
            <v>12</v>
          </cell>
        </row>
        <row r="12871">
          <cell r="A12871">
            <v>2018</v>
          </cell>
          <cell r="B12871" t="str">
            <v>Budget</v>
          </cell>
          <cell r="C12871" t="str">
            <v>Dec</v>
          </cell>
          <cell r="D12871" t="str">
            <v>Chairs</v>
          </cell>
          <cell r="E12871">
            <v>61561.387999999992</v>
          </cell>
          <cell r="F12871">
            <v>12</v>
          </cell>
        </row>
        <row r="12872">
          <cell r="A12872">
            <v>2019</v>
          </cell>
          <cell r="B12872" t="str">
            <v>Actual</v>
          </cell>
          <cell r="C12872" t="str">
            <v>Dec</v>
          </cell>
          <cell r="D12872" t="str">
            <v>Chairs</v>
          </cell>
          <cell r="E12872">
            <v>19986.770999999997</v>
          </cell>
          <cell r="F12872">
            <v>12</v>
          </cell>
        </row>
        <row r="12873">
          <cell r="A12873">
            <v>2019</v>
          </cell>
          <cell r="B12873" t="str">
            <v>Budget</v>
          </cell>
          <cell r="C12873" t="str">
            <v>Dec</v>
          </cell>
          <cell r="D12873" t="str">
            <v>Tables</v>
          </cell>
          <cell r="E12873">
            <v>128303.02099999999</v>
          </cell>
          <cell r="F12873">
            <v>12</v>
          </cell>
        </row>
        <row r="12874">
          <cell r="A12874">
            <v>2019</v>
          </cell>
          <cell r="B12874" t="str">
            <v>Actual</v>
          </cell>
          <cell r="C12874" t="str">
            <v>Dec</v>
          </cell>
          <cell r="D12874" t="str">
            <v>Kitchen</v>
          </cell>
          <cell r="E12874">
            <v>39840.282999999996</v>
          </cell>
          <cell r="F12874">
            <v>12</v>
          </cell>
        </row>
        <row r="12875">
          <cell r="A12875">
            <v>2018</v>
          </cell>
          <cell r="B12875" t="str">
            <v>Budget</v>
          </cell>
          <cell r="C12875" t="str">
            <v>Dec</v>
          </cell>
          <cell r="D12875" t="str">
            <v>Chairs</v>
          </cell>
          <cell r="E12875">
            <v>208187.99399999998</v>
          </cell>
          <cell r="F12875">
            <v>12</v>
          </cell>
        </row>
        <row r="12876">
          <cell r="A12876">
            <v>2019</v>
          </cell>
          <cell r="B12876" t="str">
            <v>Actual</v>
          </cell>
          <cell r="C12876" t="str">
            <v>Dec</v>
          </cell>
          <cell r="D12876" t="str">
            <v>Chairs</v>
          </cell>
          <cell r="E12876">
            <v>245058.065</v>
          </cell>
          <cell r="F12876">
            <v>12</v>
          </cell>
        </row>
        <row r="12877">
          <cell r="A12877">
            <v>2018</v>
          </cell>
          <cell r="B12877" t="str">
            <v>Budget</v>
          </cell>
          <cell r="C12877" t="str">
            <v>Dec</v>
          </cell>
          <cell r="D12877" t="str">
            <v>Chairs</v>
          </cell>
          <cell r="E12877">
            <v>303403.891</v>
          </cell>
          <cell r="F12877">
            <v>12</v>
          </cell>
        </row>
        <row r="12878">
          <cell r="A12878">
            <v>2018</v>
          </cell>
          <cell r="B12878" t="str">
            <v>Actual</v>
          </cell>
          <cell r="C12878" t="str">
            <v>Dec</v>
          </cell>
          <cell r="D12878" t="str">
            <v>Tables</v>
          </cell>
          <cell r="E12878">
            <v>36988.133000000002</v>
          </cell>
          <cell r="F12878">
            <v>12</v>
          </cell>
        </row>
        <row r="12879">
          <cell r="A12879">
            <v>2019</v>
          </cell>
          <cell r="B12879" t="str">
            <v>Budget</v>
          </cell>
          <cell r="C12879" t="str">
            <v>Dec</v>
          </cell>
          <cell r="D12879" t="str">
            <v>Kitchen</v>
          </cell>
          <cell r="E12879">
            <v>610076.69799999997</v>
          </cell>
          <cell r="F12879">
            <v>12</v>
          </cell>
        </row>
        <row r="12880">
          <cell r="A12880">
            <v>2019</v>
          </cell>
          <cell r="B12880" t="str">
            <v>Actual</v>
          </cell>
          <cell r="C12880" t="str">
            <v>Dec</v>
          </cell>
          <cell r="D12880" t="str">
            <v>Accessories</v>
          </cell>
          <cell r="E12880">
            <v>25678.632000000001</v>
          </cell>
          <cell r="F12880">
            <v>12</v>
          </cell>
        </row>
        <row r="12881">
          <cell r="A12881">
            <v>2018</v>
          </cell>
          <cell r="B12881" t="str">
            <v>Budget</v>
          </cell>
          <cell r="C12881" t="str">
            <v>Dec</v>
          </cell>
          <cell r="D12881" t="str">
            <v>Chairs</v>
          </cell>
          <cell r="E12881">
            <v>38475.912999999993</v>
          </cell>
          <cell r="F12881">
            <v>12</v>
          </cell>
        </row>
        <row r="12882">
          <cell r="A12882">
            <v>2018</v>
          </cell>
          <cell r="B12882" t="str">
            <v>Actual</v>
          </cell>
          <cell r="C12882" t="str">
            <v>Dec</v>
          </cell>
          <cell r="D12882" t="str">
            <v>Tables</v>
          </cell>
          <cell r="E12882">
            <v>76298.858999999997</v>
          </cell>
          <cell r="F12882">
            <v>12</v>
          </cell>
        </row>
        <row r="12883">
          <cell r="A12883">
            <v>2019</v>
          </cell>
          <cell r="B12883" t="str">
            <v>Budget</v>
          </cell>
          <cell r="C12883" t="str">
            <v>Dec</v>
          </cell>
          <cell r="D12883" t="str">
            <v>Kitchen</v>
          </cell>
          <cell r="E12883">
            <v>138769.58199999999</v>
          </cell>
          <cell r="F12883">
            <v>12</v>
          </cell>
        </row>
        <row r="12884">
          <cell r="A12884">
            <v>2019</v>
          </cell>
          <cell r="B12884" t="str">
            <v>Actual</v>
          </cell>
          <cell r="C12884" t="str">
            <v>Dec</v>
          </cell>
          <cell r="D12884" t="str">
            <v>Accessories</v>
          </cell>
          <cell r="E12884">
            <v>38889.858</v>
          </cell>
          <cell r="F12884">
            <v>12</v>
          </cell>
        </row>
        <row r="12885">
          <cell r="A12885">
            <v>2018</v>
          </cell>
          <cell r="B12885" t="str">
            <v>Budget</v>
          </cell>
          <cell r="C12885" t="str">
            <v>Dec</v>
          </cell>
          <cell r="D12885" t="str">
            <v>Chairs</v>
          </cell>
          <cell r="E12885">
            <v>132107.16399999999</v>
          </cell>
          <cell r="F12885">
            <v>12</v>
          </cell>
        </row>
        <row r="12886">
          <cell r="A12886">
            <v>2018</v>
          </cell>
          <cell r="B12886" t="str">
            <v>Actual</v>
          </cell>
          <cell r="C12886" t="str">
            <v>Dec</v>
          </cell>
          <cell r="D12886" t="str">
            <v>Tables</v>
          </cell>
          <cell r="E12886">
            <v>119223.25799999999</v>
          </cell>
          <cell r="F12886">
            <v>12</v>
          </cell>
        </row>
        <row r="12887">
          <cell r="A12887">
            <v>2018</v>
          </cell>
          <cell r="B12887" t="str">
            <v>Budget</v>
          </cell>
          <cell r="C12887" t="str">
            <v>Dec</v>
          </cell>
          <cell r="D12887" t="str">
            <v>Kitchen</v>
          </cell>
          <cell r="E12887">
            <v>1505292.3759999999</v>
          </cell>
          <cell r="F12887">
            <v>12</v>
          </cell>
        </row>
        <row r="12888">
          <cell r="A12888">
            <v>2019</v>
          </cell>
          <cell r="B12888" t="str">
            <v>Actual</v>
          </cell>
          <cell r="C12888" t="str">
            <v>Dec</v>
          </cell>
          <cell r="D12888" t="str">
            <v>Accessories</v>
          </cell>
          <cell r="E12888">
            <v>242222.84099999999</v>
          </cell>
          <cell r="F12888">
            <v>12</v>
          </cell>
        </row>
        <row r="12889">
          <cell r="A12889">
            <v>2019</v>
          </cell>
          <cell r="B12889" t="str">
            <v>Budget</v>
          </cell>
          <cell r="C12889" t="str">
            <v>Dec</v>
          </cell>
          <cell r="D12889" t="str">
            <v>Chairs</v>
          </cell>
          <cell r="E12889">
            <v>479818.77299999999</v>
          </cell>
          <cell r="F12889">
            <v>12</v>
          </cell>
        </row>
        <row r="12890">
          <cell r="A12890">
            <v>2018</v>
          </cell>
          <cell r="B12890" t="str">
            <v>Actual</v>
          </cell>
          <cell r="C12890" t="str">
            <v>Dec</v>
          </cell>
          <cell r="D12890" t="str">
            <v>Tables</v>
          </cell>
          <cell r="E12890">
            <v>13262624.522</v>
          </cell>
          <cell r="F12890">
            <v>12</v>
          </cell>
        </row>
        <row r="12891">
          <cell r="A12891">
            <v>2018</v>
          </cell>
          <cell r="B12891" t="str">
            <v>Budget</v>
          </cell>
          <cell r="C12891" t="str">
            <v>Dec</v>
          </cell>
          <cell r="D12891" t="str">
            <v>Kitchen</v>
          </cell>
          <cell r="E12891">
            <v>4200.9939999999997</v>
          </cell>
          <cell r="F12891">
            <v>12</v>
          </cell>
        </row>
        <row r="12892">
          <cell r="A12892">
            <v>2018</v>
          </cell>
          <cell r="B12892" t="str">
            <v>Actual</v>
          </cell>
          <cell r="C12892" t="str">
            <v>Dec</v>
          </cell>
          <cell r="D12892" t="str">
            <v>Accessories</v>
          </cell>
          <cell r="E12892">
            <v>1021642.9859999999</v>
          </cell>
          <cell r="F12892">
            <v>12</v>
          </cell>
        </row>
        <row r="12893">
          <cell r="A12893">
            <v>2019</v>
          </cell>
          <cell r="B12893" t="str">
            <v>Budget</v>
          </cell>
          <cell r="C12893" t="str">
            <v>Dec</v>
          </cell>
          <cell r="D12893" t="str">
            <v>Chairs</v>
          </cell>
          <cell r="E12893">
            <v>905608.27</v>
          </cell>
          <cell r="F12893">
            <v>12</v>
          </cell>
        </row>
        <row r="12894">
          <cell r="A12894">
            <v>2018</v>
          </cell>
          <cell r="B12894" t="str">
            <v>Actual</v>
          </cell>
          <cell r="C12894" t="str">
            <v>Dec</v>
          </cell>
          <cell r="D12894" t="str">
            <v>Chairs</v>
          </cell>
          <cell r="E12894">
            <v>799136.46399999992</v>
          </cell>
          <cell r="F12894">
            <v>12</v>
          </cell>
        </row>
        <row r="12895">
          <cell r="A12895">
            <v>2019</v>
          </cell>
          <cell r="B12895" t="str">
            <v>Budget</v>
          </cell>
          <cell r="C12895" t="str">
            <v>Dec</v>
          </cell>
          <cell r="D12895" t="str">
            <v>Tables</v>
          </cell>
          <cell r="E12895">
            <v>606357.56999999995</v>
          </cell>
          <cell r="F12895">
            <v>12</v>
          </cell>
        </row>
        <row r="12896">
          <cell r="A12896">
            <v>2018</v>
          </cell>
          <cell r="B12896" t="str">
            <v>Actual</v>
          </cell>
          <cell r="C12896" t="str">
            <v>Dec</v>
          </cell>
          <cell r="D12896" t="str">
            <v>Kitchen</v>
          </cell>
          <cell r="E12896">
            <v>2578934.7429999998</v>
          </cell>
          <cell r="F12896">
            <v>12</v>
          </cell>
        </row>
        <row r="12897">
          <cell r="A12897">
            <v>2018</v>
          </cell>
          <cell r="B12897" t="str">
            <v>Budget</v>
          </cell>
          <cell r="C12897" t="str">
            <v>Dec</v>
          </cell>
          <cell r="D12897" t="str">
            <v>Chairs</v>
          </cell>
          <cell r="E12897">
            <v>28230.320999999996</v>
          </cell>
          <cell r="F12897">
            <v>12</v>
          </cell>
        </row>
        <row r="12898">
          <cell r="A12898">
            <v>2019</v>
          </cell>
          <cell r="B12898" t="str">
            <v>Actual</v>
          </cell>
          <cell r="C12898" t="str">
            <v>Dec</v>
          </cell>
          <cell r="D12898" t="str">
            <v>Tables</v>
          </cell>
          <cell r="E12898">
            <v>81626.453999999998</v>
          </cell>
          <cell r="F12898">
            <v>12</v>
          </cell>
        </row>
        <row r="12899">
          <cell r="A12899">
            <v>2019</v>
          </cell>
          <cell r="B12899" t="str">
            <v>Budget</v>
          </cell>
          <cell r="C12899" t="str">
            <v>Dec</v>
          </cell>
          <cell r="D12899" t="str">
            <v>Kitchen</v>
          </cell>
          <cell r="E12899">
            <v>2362323.0329999998</v>
          </cell>
          <cell r="F12899">
            <v>12</v>
          </cell>
        </row>
        <row r="12900">
          <cell r="A12900">
            <v>2018</v>
          </cell>
          <cell r="B12900" t="str">
            <v>Actual</v>
          </cell>
          <cell r="C12900" t="str">
            <v>Dec</v>
          </cell>
          <cell r="D12900" t="str">
            <v>Chairs</v>
          </cell>
          <cell r="E12900">
            <v>2076503.8769999999</v>
          </cell>
          <cell r="F12900">
            <v>12</v>
          </cell>
        </row>
        <row r="12901">
          <cell r="A12901">
            <v>2018</v>
          </cell>
          <cell r="B12901" t="str">
            <v>Budget</v>
          </cell>
          <cell r="C12901" t="str">
            <v>Dec</v>
          </cell>
          <cell r="D12901" t="str">
            <v>Tables</v>
          </cell>
          <cell r="E12901">
            <v>1581066.27</v>
          </cell>
          <cell r="F12901">
            <v>12</v>
          </cell>
        </row>
        <row r="12902">
          <cell r="A12902">
            <v>2019</v>
          </cell>
          <cell r="B12902" t="str">
            <v>Actual</v>
          </cell>
          <cell r="C12902" t="str">
            <v>Dec</v>
          </cell>
          <cell r="D12902" t="str">
            <v>Kitchen</v>
          </cell>
          <cell r="E12902">
            <v>930391.48299999989</v>
          </cell>
          <cell r="F12902">
            <v>12</v>
          </cell>
        </row>
        <row r="12903">
          <cell r="A12903">
            <v>2018</v>
          </cell>
          <cell r="B12903" t="str">
            <v>Budget</v>
          </cell>
          <cell r="C12903" t="str">
            <v>Dec</v>
          </cell>
          <cell r="D12903" t="str">
            <v>Chairs</v>
          </cell>
          <cell r="E12903">
            <v>1248453.1569999999</v>
          </cell>
          <cell r="F12903">
            <v>12</v>
          </cell>
        </row>
        <row r="12904">
          <cell r="A12904">
            <v>2018</v>
          </cell>
          <cell r="B12904" t="str">
            <v>Actual</v>
          </cell>
          <cell r="C12904" t="str">
            <v>Dec</v>
          </cell>
          <cell r="D12904" t="str">
            <v>Chairs</v>
          </cell>
          <cell r="E12904">
            <v>51067.547999999995</v>
          </cell>
          <cell r="F12904">
            <v>12</v>
          </cell>
        </row>
        <row r="12905">
          <cell r="A12905">
            <v>2019</v>
          </cell>
          <cell r="B12905" t="str">
            <v>Budget</v>
          </cell>
          <cell r="C12905" t="str">
            <v>Dec</v>
          </cell>
          <cell r="D12905" t="str">
            <v>Chairs</v>
          </cell>
          <cell r="E12905">
            <v>88832.505999999994</v>
          </cell>
          <cell r="F12905">
            <v>12</v>
          </cell>
        </row>
        <row r="12906">
          <cell r="A12906">
            <v>2018</v>
          </cell>
          <cell r="B12906" t="str">
            <v>Actual</v>
          </cell>
          <cell r="C12906" t="str">
            <v>Dec</v>
          </cell>
          <cell r="D12906" t="str">
            <v>Chairs</v>
          </cell>
          <cell r="E12906">
            <v>2366569.142</v>
          </cell>
          <cell r="F12906">
            <v>12</v>
          </cell>
        </row>
        <row r="12907">
          <cell r="A12907">
            <v>2018</v>
          </cell>
          <cell r="B12907" t="str">
            <v>Budget</v>
          </cell>
          <cell r="C12907" t="str">
            <v>Dec</v>
          </cell>
          <cell r="D12907" t="str">
            <v>Chairs</v>
          </cell>
          <cell r="E12907">
            <v>1845969.237</v>
          </cell>
          <cell r="F12907">
            <v>12</v>
          </cell>
        </row>
        <row r="12908">
          <cell r="A12908">
            <v>2018</v>
          </cell>
          <cell r="B12908" t="str">
            <v>Actual</v>
          </cell>
          <cell r="C12908" t="str">
            <v>Dec</v>
          </cell>
          <cell r="D12908" t="str">
            <v>Chairs</v>
          </cell>
          <cell r="E12908">
            <v>1452737.6009999998</v>
          </cell>
          <cell r="F12908">
            <v>12</v>
          </cell>
        </row>
        <row r="12909">
          <cell r="A12909">
            <v>2019</v>
          </cell>
          <cell r="B12909" t="str">
            <v>Budget</v>
          </cell>
          <cell r="C12909" t="str">
            <v>Dec</v>
          </cell>
          <cell r="D12909" t="str">
            <v>Chairs</v>
          </cell>
          <cell r="E12909">
            <v>2319443.6439999999</v>
          </cell>
          <cell r="F12909">
            <v>12</v>
          </cell>
        </row>
        <row r="12910">
          <cell r="A12910">
            <v>2018</v>
          </cell>
          <cell r="B12910" t="str">
            <v>Actual</v>
          </cell>
          <cell r="C12910" t="str">
            <v>Dec</v>
          </cell>
          <cell r="D12910" t="str">
            <v>Chairs</v>
          </cell>
          <cell r="E12910">
            <v>-38814.726999999999</v>
          </cell>
          <cell r="F12910">
            <v>12</v>
          </cell>
        </row>
        <row r="12911">
          <cell r="A12911">
            <v>2018</v>
          </cell>
          <cell r="B12911" t="str">
            <v>Budget</v>
          </cell>
          <cell r="C12911" t="str">
            <v>Dec</v>
          </cell>
          <cell r="D12911" t="str">
            <v>Chairs</v>
          </cell>
          <cell r="E12911">
            <v>9315.1169999999984</v>
          </cell>
          <cell r="F12911">
            <v>12</v>
          </cell>
        </row>
        <row r="12912">
          <cell r="A12912">
            <v>2018</v>
          </cell>
          <cell r="B12912" t="str">
            <v>Actual</v>
          </cell>
          <cell r="C12912" t="str">
            <v>Dec</v>
          </cell>
          <cell r="D12912" t="str">
            <v>Chairs</v>
          </cell>
          <cell r="E12912">
            <v>199806.432</v>
          </cell>
          <cell r="F12912">
            <v>12</v>
          </cell>
        </row>
        <row r="12913">
          <cell r="A12913">
            <v>2018</v>
          </cell>
          <cell r="B12913" t="str">
            <v>Budget</v>
          </cell>
          <cell r="C12913" t="str">
            <v>Dec</v>
          </cell>
          <cell r="D12913" t="str">
            <v>Chairs</v>
          </cell>
          <cell r="E12913">
            <v>53842.543999999994</v>
          </cell>
          <cell r="F12913">
            <v>12</v>
          </cell>
        </row>
        <row r="12914">
          <cell r="A12914">
            <v>2018</v>
          </cell>
          <cell r="B12914" t="str">
            <v>Actual</v>
          </cell>
          <cell r="C12914" t="str">
            <v>Dec</v>
          </cell>
          <cell r="D12914" t="str">
            <v>Chairs</v>
          </cell>
          <cell r="E12914">
            <v>484637.97899999993</v>
          </cell>
          <cell r="F12914">
            <v>12</v>
          </cell>
        </row>
        <row r="12915">
          <cell r="A12915">
            <v>2019</v>
          </cell>
          <cell r="B12915" t="str">
            <v>Budget</v>
          </cell>
          <cell r="C12915" t="str">
            <v>Dec</v>
          </cell>
          <cell r="D12915" t="str">
            <v>Chairs</v>
          </cell>
          <cell r="E12915">
            <v>254459.59</v>
          </cell>
          <cell r="F12915">
            <v>12</v>
          </cell>
        </row>
        <row r="12916">
          <cell r="A12916">
            <v>2018</v>
          </cell>
          <cell r="B12916" t="str">
            <v>Actual</v>
          </cell>
          <cell r="C12916" t="str">
            <v>Dec</v>
          </cell>
          <cell r="D12916" t="str">
            <v>Chairs</v>
          </cell>
          <cell r="E12916">
            <v>3188488.5969999996</v>
          </cell>
          <cell r="F12916">
            <v>12</v>
          </cell>
        </row>
        <row r="12917">
          <cell r="A12917">
            <v>2018</v>
          </cell>
          <cell r="B12917" t="str">
            <v>Budget</v>
          </cell>
          <cell r="C12917" t="str">
            <v>Dec</v>
          </cell>
          <cell r="D12917" t="str">
            <v>Chairs</v>
          </cell>
          <cell r="E12917">
            <v>435610.70699999999</v>
          </cell>
          <cell r="F12917">
            <v>12</v>
          </cell>
        </row>
        <row r="12918">
          <cell r="A12918">
            <v>2018</v>
          </cell>
          <cell r="B12918" t="str">
            <v>Actual</v>
          </cell>
          <cell r="C12918" t="str">
            <v>Dec</v>
          </cell>
          <cell r="D12918" t="str">
            <v>Chairs</v>
          </cell>
          <cell r="E12918">
            <v>215961.872</v>
          </cell>
          <cell r="F12918">
            <v>12</v>
          </cell>
        </row>
        <row r="12919">
          <cell r="A12919">
            <v>2018</v>
          </cell>
          <cell r="B12919" t="str">
            <v>Budget</v>
          </cell>
          <cell r="C12919" t="str">
            <v>Dec</v>
          </cell>
          <cell r="D12919" t="str">
            <v>Chairs</v>
          </cell>
          <cell r="E12919">
            <v>67085.22099999999</v>
          </cell>
          <cell r="F12919">
            <v>12</v>
          </cell>
        </row>
        <row r="12920">
          <cell r="A12920">
            <v>2018</v>
          </cell>
          <cell r="B12920" t="str">
            <v>Actual</v>
          </cell>
          <cell r="C12920" t="str">
            <v>Dec</v>
          </cell>
          <cell r="D12920" t="str">
            <v>Chairs</v>
          </cell>
          <cell r="E12920">
            <v>-358137.46499999997</v>
          </cell>
          <cell r="F12920">
            <v>12</v>
          </cell>
        </row>
        <row r="12921">
          <cell r="A12921">
            <v>2018</v>
          </cell>
          <cell r="B12921" t="str">
            <v>Budget</v>
          </cell>
          <cell r="C12921" t="str">
            <v>Dec</v>
          </cell>
          <cell r="D12921" t="str">
            <v>Chairs</v>
          </cell>
          <cell r="E12921">
            <v>-6004.9780000000001</v>
          </cell>
          <cell r="F12921">
            <v>12</v>
          </cell>
        </row>
        <row r="12922">
          <cell r="A12922">
            <v>2018</v>
          </cell>
          <cell r="B12922" t="str">
            <v>Actual</v>
          </cell>
          <cell r="C12922" t="str">
            <v>Dec</v>
          </cell>
          <cell r="D12922" t="str">
            <v>Chairs</v>
          </cell>
          <cell r="E12922">
            <v>-13421.547999999999</v>
          </cell>
          <cell r="F12922">
            <v>12</v>
          </cell>
        </row>
        <row r="12923">
          <cell r="A12923">
            <v>2018</v>
          </cell>
          <cell r="B12923" t="str">
            <v>Budget</v>
          </cell>
          <cell r="C12923" t="str">
            <v>Dec</v>
          </cell>
          <cell r="D12923" t="str">
            <v>Chairs</v>
          </cell>
          <cell r="E12923">
            <v>-6719.7059999999992</v>
          </cell>
          <cell r="F12923">
            <v>12</v>
          </cell>
        </row>
        <row r="12924">
          <cell r="A12924">
            <v>2019</v>
          </cell>
          <cell r="B12924" t="str">
            <v>Actual</v>
          </cell>
          <cell r="C12924" t="str">
            <v>Dec</v>
          </cell>
          <cell r="D12924" t="str">
            <v>Chairs</v>
          </cell>
          <cell r="E12924">
            <v>-332515.61</v>
          </cell>
          <cell r="F12924">
            <v>12</v>
          </cell>
        </row>
        <row r="12925">
          <cell r="A12925">
            <v>2018</v>
          </cell>
          <cell r="B12925" t="str">
            <v>Budget</v>
          </cell>
          <cell r="C12925" t="str">
            <v>Dec</v>
          </cell>
          <cell r="D12925" t="str">
            <v>Chairs</v>
          </cell>
          <cell r="E12925">
            <v>-44221.625</v>
          </cell>
          <cell r="F12925">
            <v>12</v>
          </cell>
        </row>
        <row r="12926">
          <cell r="A12926">
            <v>2019</v>
          </cell>
          <cell r="B12926" t="str">
            <v>Actual</v>
          </cell>
          <cell r="C12926" t="str">
            <v>Dec</v>
          </cell>
          <cell r="D12926" t="str">
            <v>Chairs</v>
          </cell>
          <cell r="E12926">
            <v>1540687.4209999999</v>
          </cell>
          <cell r="F12926">
            <v>12</v>
          </cell>
        </row>
        <row r="12927">
          <cell r="A12927">
            <v>2019</v>
          </cell>
          <cell r="B12927" t="str">
            <v>Budget</v>
          </cell>
          <cell r="C12927" t="str">
            <v>Dec</v>
          </cell>
          <cell r="D12927" t="str">
            <v>Chairs</v>
          </cell>
          <cell r="E12927">
            <v>119771.21799999998</v>
          </cell>
          <cell r="F12927">
            <v>12</v>
          </cell>
        </row>
        <row r="12928">
          <cell r="A12928">
            <v>2019</v>
          </cell>
          <cell r="B12928" t="str">
            <v>Actual</v>
          </cell>
          <cell r="C12928" t="str">
            <v>Dec</v>
          </cell>
          <cell r="D12928" t="str">
            <v>Chairs</v>
          </cell>
          <cell r="E12928">
            <v>842695.61599999992</v>
          </cell>
          <cell r="F12928">
            <v>12</v>
          </cell>
        </row>
        <row r="12929">
          <cell r="A12929">
            <v>2018</v>
          </cell>
          <cell r="B12929" t="str">
            <v>Budget</v>
          </cell>
          <cell r="C12929" t="str">
            <v>Dec</v>
          </cell>
          <cell r="D12929" t="str">
            <v>Tables</v>
          </cell>
          <cell r="E12929">
            <v>479589.31299999997</v>
          </cell>
          <cell r="F12929">
            <v>12</v>
          </cell>
        </row>
        <row r="12930">
          <cell r="A12930">
            <v>2018</v>
          </cell>
          <cell r="B12930" t="str">
            <v>Actual</v>
          </cell>
          <cell r="C12930" t="str">
            <v>Dec</v>
          </cell>
          <cell r="D12930" t="str">
            <v>Kitchen</v>
          </cell>
          <cell r="E12930">
            <v>140535.22</v>
          </cell>
          <cell r="F12930">
            <v>12</v>
          </cell>
        </row>
        <row r="12931">
          <cell r="A12931">
            <v>2019</v>
          </cell>
          <cell r="B12931" t="str">
            <v>Budget</v>
          </cell>
          <cell r="C12931" t="str">
            <v>Dec</v>
          </cell>
          <cell r="D12931" t="str">
            <v>Chairs</v>
          </cell>
          <cell r="E12931">
            <v>106345.736</v>
          </cell>
          <cell r="F12931">
            <v>12</v>
          </cell>
        </row>
        <row r="12932">
          <cell r="A12932">
            <v>2018</v>
          </cell>
          <cell r="B12932" t="str">
            <v>Actual</v>
          </cell>
          <cell r="C12932" t="str">
            <v>Dec</v>
          </cell>
          <cell r="D12932" t="str">
            <v>Chairs</v>
          </cell>
          <cell r="E12932">
            <v>-76627.116999999998</v>
          </cell>
          <cell r="F12932">
            <v>12</v>
          </cell>
        </row>
        <row r="12933">
          <cell r="A12933">
            <v>2018</v>
          </cell>
          <cell r="B12933" t="str">
            <v>Budget</v>
          </cell>
          <cell r="C12933" t="str">
            <v>Dec</v>
          </cell>
          <cell r="D12933" t="str">
            <v>Chairs</v>
          </cell>
          <cell r="E12933">
            <v>370004.14499999996</v>
          </cell>
          <cell r="F12933">
            <v>12</v>
          </cell>
        </row>
        <row r="12934">
          <cell r="A12934">
            <v>2019</v>
          </cell>
          <cell r="B12934" t="str">
            <v>Actual</v>
          </cell>
          <cell r="C12934" t="str">
            <v>Dec</v>
          </cell>
          <cell r="D12934" t="str">
            <v>Chairs</v>
          </cell>
          <cell r="E12934">
            <v>99216.565000000002</v>
          </cell>
          <cell r="F12934">
            <v>12</v>
          </cell>
        </row>
        <row r="12935">
          <cell r="A12935">
            <v>2018</v>
          </cell>
          <cell r="B12935" t="str">
            <v>Budget</v>
          </cell>
          <cell r="C12935" t="str">
            <v>Dec</v>
          </cell>
          <cell r="D12935" t="str">
            <v>Chairs</v>
          </cell>
          <cell r="E12935">
            <v>196961.86300000001</v>
          </cell>
          <cell r="F12935">
            <v>12</v>
          </cell>
        </row>
        <row r="12936">
          <cell r="A12936">
            <v>2018</v>
          </cell>
          <cell r="B12936" t="str">
            <v>Actual</v>
          </cell>
          <cell r="C12936" t="str">
            <v>Dec</v>
          </cell>
          <cell r="D12936" t="str">
            <v>Tables</v>
          </cell>
          <cell r="E12936">
            <v>17489.927</v>
          </cell>
          <cell r="F12936">
            <v>12</v>
          </cell>
        </row>
        <row r="12937">
          <cell r="A12937">
            <v>2018</v>
          </cell>
          <cell r="B12937" t="str">
            <v>Budget</v>
          </cell>
          <cell r="C12937" t="str">
            <v>Dec</v>
          </cell>
          <cell r="D12937" t="str">
            <v>Kitchen</v>
          </cell>
          <cell r="E12937">
            <v>39820.311999999998</v>
          </cell>
          <cell r="F12937">
            <v>12</v>
          </cell>
        </row>
        <row r="12938">
          <cell r="A12938">
            <v>2019</v>
          </cell>
          <cell r="B12938" t="str">
            <v>Actual</v>
          </cell>
          <cell r="C12938" t="str">
            <v>Dec</v>
          </cell>
          <cell r="D12938" t="str">
            <v>Chairs</v>
          </cell>
          <cell r="E12938">
            <v>91878.303999999989</v>
          </cell>
          <cell r="F12938">
            <v>12</v>
          </cell>
        </row>
        <row r="12939">
          <cell r="A12939">
            <v>2018</v>
          </cell>
          <cell r="B12939" t="str">
            <v>Budget</v>
          </cell>
          <cell r="C12939" t="str">
            <v>Dec</v>
          </cell>
          <cell r="D12939" t="str">
            <v>Chairs</v>
          </cell>
          <cell r="E12939">
            <v>52475.443999999996</v>
          </cell>
          <cell r="F12939">
            <v>12</v>
          </cell>
        </row>
        <row r="12940">
          <cell r="A12940">
            <v>2019</v>
          </cell>
          <cell r="B12940" t="str">
            <v>Actual</v>
          </cell>
          <cell r="C12940" t="str">
            <v>Dec</v>
          </cell>
          <cell r="D12940" t="str">
            <v>Chairs</v>
          </cell>
          <cell r="E12940">
            <v>193493.59399999998</v>
          </cell>
          <cell r="F12940">
            <v>12</v>
          </cell>
        </row>
        <row r="12941">
          <cell r="A12941">
            <v>2019</v>
          </cell>
          <cell r="B12941" t="str">
            <v>Budget</v>
          </cell>
          <cell r="C12941" t="str">
            <v>Dec</v>
          </cell>
          <cell r="D12941" t="str">
            <v>Tables</v>
          </cell>
          <cell r="E12941">
            <v>-207657.114</v>
          </cell>
          <cell r="F12941">
            <v>12</v>
          </cell>
        </row>
        <row r="12942">
          <cell r="A12942">
            <v>2019</v>
          </cell>
          <cell r="B12942" t="str">
            <v>Actual</v>
          </cell>
          <cell r="C12942" t="str">
            <v>Dec</v>
          </cell>
          <cell r="D12942" t="str">
            <v>Kitchen</v>
          </cell>
          <cell r="E12942">
            <v>26066.159</v>
          </cell>
          <cell r="F12942">
            <v>12</v>
          </cell>
        </row>
        <row r="12943">
          <cell r="A12943">
            <v>2018</v>
          </cell>
          <cell r="B12943" t="str">
            <v>Budget</v>
          </cell>
          <cell r="C12943" t="str">
            <v>Dec</v>
          </cell>
          <cell r="D12943" t="str">
            <v>Chairs</v>
          </cell>
          <cell r="E12943">
            <v>21961.743999999999</v>
          </cell>
          <cell r="F12943">
            <v>12</v>
          </cell>
        </row>
        <row r="12944">
          <cell r="A12944">
            <v>2019</v>
          </cell>
          <cell r="B12944" t="str">
            <v>Actual</v>
          </cell>
          <cell r="C12944" t="str">
            <v>Dec</v>
          </cell>
          <cell r="D12944" t="str">
            <v>Chairs</v>
          </cell>
          <cell r="E12944">
            <v>747943.74199999997</v>
          </cell>
          <cell r="F12944">
            <v>12</v>
          </cell>
        </row>
        <row r="12945">
          <cell r="A12945">
            <v>2018</v>
          </cell>
          <cell r="B12945" t="str">
            <v>Budget</v>
          </cell>
          <cell r="C12945" t="str">
            <v>Dec</v>
          </cell>
          <cell r="D12945" t="str">
            <v>Tables</v>
          </cell>
          <cell r="E12945">
            <v>123533.31199999999</v>
          </cell>
          <cell r="F12945">
            <v>12</v>
          </cell>
        </row>
        <row r="12946">
          <cell r="A12946">
            <v>2019</v>
          </cell>
          <cell r="B12946" t="str">
            <v>Actual</v>
          </cell>
          <cell r="C12946" t="str">
            <v>Dec</v>
          </cell>
          <cell r="D12946" t="str">
            <v>Kitchen</v>
          </cell>
          <cell r="E12946">
            <v>97183.28899999999</v>
          </cell>
          <cell r="F12946">
            <v>12</v>
          </cell>
        </row>
        <row r="12947">
          <cell r="A12947">
            <v>2018</v>
          </cell>
          <cell r="B12947" t="str">
            <v>Budget</v>
          </cell>
          <cell r="C12947" t="str">
            <v>Dec</v>
          </cell>
          <cell r="D12947" t="str">
            <v>Chairs</v>
          </cell>
          <cell r="E12947">
            <v>512223.39699999994</v>
          </cell>
          <cell r="F12947">
            <v>12</v>
          </cell>
        </row>
        <row r="12948">
          <cell r="A12948">
            <v>2018</v>
          </cell>
          <cell r="B12948" t="str">
            <v>Actual</v>
          </cell>
          <cell r="C12948" t="str">
            <v>Dec</v>
          </cell>
          <cell r="D12948" t="str">
            <v>Chairs</v>
          </cell>
          <cell r="E12948">
            <v>503760.03999999992</v>
          </cell>
          <cell r="F12948">
            <v>12</v>
          </cell>
        </row>
        <row r="12949">
          <cell r="A12949">
            <v>2019</v>
          </cell>
          <cell r="B12949" t="str">
            <v>Budget</v>
          </cell>
          <cell r="C12949" t="str">
            <v>Dec</v>
          </cell>
          <cell r="D12949" t="str">
            <v>Chairs</v>
          </cell>
          <cell r="E12949">
            <v>177064.44699999999</v>
          </cell>
          <cell r="F12949">
            <v>12</v>
          </cell>
        </row>
        <row r="12950">
          <cell r="A12950">
            <v>2019</v>
          </cell>
          <cell r="B12950" t="str">
            <v>Actual</v>
          </cell>
          <cell r="C12950" t="str">
            <v>Dec</v>
          </cell>
          <cell r="D12950" t="str">
            <v>Tables</v>
          </cell>
          <cell r="E12950">
            <v>2521.4209999999998</v>
          </cell>
          <cell r="F12950">
            <v>12</v>
          </cell>
        </row>
        <row r="12951">
          <cell r="A12951">
            <v>2019</v>
          </cell>
          <cell r="B12951" t="str">
            <v>Budget</v>
          </cell>
          <cell r="C12951" t="str">
            <v>Dec</v>
          </cell>
          <cell r="D12951" t="str">
            <v>Kitchen</v>
          </cell>
          <cell r="E12951">
            <v>786615.73899999994</v>
          </cell>
          <cell r="F12951">
            <v>12</v>
          </cell>
        </row>
        <row r="12952">
          <cell r="A12952">
            <v>2019</v>
          </cell>
          <cell r="B12952" t="str">
            <v>Actual</v>
          </cell>
          <cell r="C12952" t="str">
            <v>Dec</v>
          </cell>
          <cell r="D12952" t="str">
            <v>Accessories</v>
          </cell>
          <cell r="E12952">
            <v>49246.406999999992</v>
          </cell>
          <cell r="F12952">
            <v>12</v>
          </cell>
        </row>
        <row r="12953">
          <cell r="A12953">
            <v>2018</v>
          </cell>
          <cell r="B12953" t="str">
            <v>Budget</v>
          </cell>
          <cell r="C12953" t="str">
            <v>Dec</v>
          </cell>
          <cell r="D12953" t="str">
            <v>Chairs</v>
          </cell>
          <cell r="E12953">
            <v>378535.56299999997</v>
          </cell>
          <cell r="F12953">
            <v>12</v>
          </cell>
        </row>
        <row r="12954">
          <cell r="A12954">
            <v>2019</v>
          </cell>
          <cell r="B12954" t="str">
            <v>Actual</v>
          </cell>
          <cell r="C12954" t="str">
            <v>Dec</v>
          </cell>
          <cell r="D12954" t="str">
            <v>Tables</v>
          </cell>
          <cell r="E12954">
            <v>873118.91799999995</v>
          </cell>
          <cell r="F12954">
            <v>12</v>
          </cell>
        </row>
        <row r="12955">
          <cell r="A12955">
            <v>2018</v>
          </cell>
          <cell r="B12955" t="str">
            <v>Budget</v>
          </cell>
          <cell r="C12955" t="str">
            <v>Dec</v>
          </cell>
          <cell r="D12955" t="str">
            <v>Kitchen</v>
          </cell>
          <cell r="E12955">
            <v>709277.19799999997</v>
          </cell>
          <cell r="F12955">
            <v>12</v>
          </cell>
        </row>
        <row r="12956">
          <cell r="A12956">
            <v>2019</v>
          </cell>
          <cell r="B12956" t="str">
            <v>Actual</v>
          </cell>
          <cell r="C12956" t="str">
            <v>Dec</v>
          </cell>
          <cell r="D12956" t="str">
            <v>Accessories</v>
          </cell>
          <cell r="E12956">
            <v>1059327.297</v>
          </cell>
          <cell r="F12956">
            <v>12</v>
          </cell>
        </row>
        <row r="12957">
          <cell r="A12957">
            <v>2019</v>
          </cell>
          <cell r="B12957" t="str">
            <v>Budget</v>
          </cell>
          <cell r="C12957" t="str">
            <v>Dec</v>
          </cell>
          <cell r="D12957" t="str">
            <v>Chairs</v>
          </cell>
          <cell r="E12957">
            <v>177002.02099999998</v>
          </cell>
          <cell r="F12957">
            <v>12</v>
          </cell>
        </row>
        <row r="12958">
          <cell r="A12958">
            <v>2018</v>
          </cell>
          <cell r="B12958" t="str">
            <v>Actual</v>
          </cell>
          <cell r="C12958" t="str">
            <v>Dec</v>
          </cell>
          <cell r="D12958" t="str">
            <v>Tables</v>
          </cell>
          <cell r="E12958">
            <v>1002085.231</v>
          </cell>
          <cell r="F12958">
            <v>12</v>
          </cell>
        </row>
        <row r="12959">
          <cell r="A12959">
            <v>2019</v>
          </cell>
          <cell r="B12959" t="str">
            <v>Budget</v>
          </cell>
          <cell r="C12959" t="str">
            <v>Dec</v>
          </cell>
          <cell r="D12959" t="str">
            <v>Kitchen</v>
          </cell>
          <cell r="E12959">
            <v>67941.887999999992</v>
          </cell>
          <cell r="F12959">
            <v>12</v>
          </cell>
        </row>
        <row r="12960">
          <cell r="A12960">
            <v>2019</v>
          </cell>
          <cell r="B12960" t="str">
            <v>Actual</v>
          </cell>
          <cell r="C12960" t="str">
            <v>Dec</v>
          </cell>
          <cell r="D12960" t="str">
            <v>Accessories</v>
          </cell>
          <cell r="E12960">
            <v>19188.406999999999</v>
          </cell>
          <cell r="F12960">
            <v>12</v>
          </cell>
        </row>
        <row r="12961">
          <cell r="A12961">
            <v>2018</v>
          </cell>
          <cell r="B12961" t="str">
            <v>Budget</v>
          </cell>
          <cell r="C12961" t="str">
            <v>Dec</v>
          </cell>
          <cell r="D12961" t="str">
            <v>Chairs</v>
          </cell>
          <cell r="E12961">
            <v>742216.16700000002</v>
          </cell>
          <cell r="F12961">
            <v>12</v>
          </cell>
        </row>
        <row r="12962">
          <cell r="A12962">
            <v>2019</v>
          </cell>
          <cell r="B12962" t="str">
            <v>Actual</v>
          </cell>
          <cell r="C12962" t="str">
            <v>Dec</v>
          </cell>
          <cell r="D12962" t="str">
            <v>Tables</v>
          </cell>
          <cell r="E12962">
            <v>8461709.9350000005</v>
          </cell>
          <cell r="F12962">
            <v>12</v>
          </cell>
        </row>
        <row r="12963">
          <cell r="A12963">
            <v>2019</v>
          </cell>
          <cell r="B12963" t="str">
            <v>Budget</v>
          </cell>
          <cell r="C12963" t="str">
            <v>Dec</v>
          </cell>
          <cell r="D12963" t="str">
            <v>Kitchen</v>
          </cell>
          <cell r="E12963">
            <v>52593.149000000005</v>
          </cell>
          <cell r="F12963">
            <v>12</v>
          </cell>
        </row>
        <row r="12964">
          <cell r="A12964">
            <v>2019</v>
          </cell>
          <cell r="B12964" t="str">
            <v>Actual</v>
          </cell>
          <cell r="C12964" t="str">
            <v>Dec</v>
          </cell>
          <cell r="D12964" t="str">
            <v>Accessories</v>
          </cell>
          <cell r="E12964">
            <v>66407.830999999991</v>
          </cell>
          <cell r="F12964">
            <v>12</v>
          </cell>
        </row>
        <row r="12965">
          <cell r="A12965">
            <v>2018</v>
          </cell>
          <cell r="B12965" t="str">
            <v>Budget</v>
          </cell>
          <cell r="C12965" t="str">
            <v>Dec</v>
          </cell>
          <cell r="D12965" t="str">
            <v>Chairs</v>
          </cell>
          <cell r="E12965">
            <v>17953.403999999999</v>
          </cell>
          <cell r="F12965">
            <v>12</v>
          </cell>
        </row>
        <row r="12966">
          <cell r="A12966">
            <v>2019</v>
          </cell>
          <cell r="B12966" t="str">
            <v>Actual</v>
          </cell>
          <cell r="C12966" t="str">
            <v>Dec</v>
          </cell>
          <cell r="D12966" t="str">
            <v>Chairs</v>
          </cell>
          <cell r="E12966">
            <v>28914.073999999997</v>
          </cell>
          <cell r="F12966">
            <v>12</v>
          </cell>
        </row>
        <row r="12967">
          <cell r="A12967">
            <v>2018</v>
          </cell>
          <cell r="B12967" t="str">
            <v>Budget</v>
          </cell>
          <cell r="C12967" t="str">
            <v>Dec</v>
          </cell>
          <cell r="D12967" t="str">
            <v>Tables</v>
          </cell>
          <cell r="E12967">
            <v>7996.0369999999994</v>
          </cell>
          <cell r="F12967">
            <v>12</v>
          </cell>
        </row>
        <row r="12968">
          <cell r="A12968">
            <v>2018</v>
          </cell>
          <cell r="B12968" t="str">
            <v>Actual</v>
          </cell>
          <cell r="C12968" t="str">
            <v>Dec</v>
          </cell>
          <cell r="D12968" t="str">
            <v>Kitchen</v>
          </cell>
          <cell r="E12968">
            <v>37315.383000000002</v>
          </cell>
          <cell r="F12968">
            <v>12</v>
          </cell>
        </row>
        <row r="12969">
          <cell r="A12969">
            <v>2019</v>
          </cell>
          <cell r="B12969" t="str">
            <v>Budget</v>
          </cell>
          <cell r="C12969" t="str">
            <v>Dec</v>
          </cell>
          <cell r="D12969" t="str">
            <v>Chairs</v>
          </cell>
          <cell r="E12969">
            <v>21609.749</v>
          </cell>
          <cell r="F12969">
            <v>12</v>
          </cell>
        </row>
        <row r="12970">
          <cell r="A12970">
            <v>2019</v>
          </cell>
          <cell r="B12970" t="str">
            <v>Actual</v>
          </cell>
          <cell r="C12970" t="str">
            <v>Dec</v>
          </cell>
          <cell r="D12970" t="str">
            <v>Tables</v>
          </cell>
          <cell r="E12970">
            <v>49701.96</v>
          </cell>
          <cell r="F12970">
            <v>12</v>
          </cell>
        </row>
        <row r="12971">
          <cell r="A12971">
            <v>2018</v>
          </cell>
          <cell r="B12971" t="str">
            <v>Budget</v>
          </cell>
          <cell r="C12971" t="str">
            <v>Dec</v>
          </cell>
          <cell r="D12971" t="str">
            <v>Kitchen</v>
          </cell>
          <cell r="E12971">
            <v>38766.391999999993</v>
          </cell>
          <cell r="F12971">
            <v>12</v>
          </cell>
        </row>
        <row r="12972">
          <cell r="A12972">
            <v>2019</v>
          </cell>
          <cell r="B12972" t="str">
            <v>Actual</v>
          </cell>
          <cell r="C12972" t="str">
            <v>Dec</v>
          </cell>
          <cell r="D12972" t="str">
            <v>Chairs</v>
          </cell>
          <cell r="E12972">
            <v>186028.48599999998</v>
          </cell>
          <cell r="F12972">
            <v>12</v>
          </cell>
        </row>
        <row r="12973">
          <cell r="A12973">
            <v>2018</v>
          </cell>
          <cell r="B12973" t="str">
            <v>Budget</v>
          </cell>
          <cell r="C12973" t="str">
            <v>Dec</v>
          </cell>
          <cell r="D12973" t="str">
            <v>Tables</v>
          </cell>
          <cell r="E12973">
            <v>288262.88399999996</v>
          </cell>
          <cell r="F12973">
            <v>12</v>
          </cell>
        </row>
        <row r="12974">
          <cell r="A12974">
            <v>2018</v>
          </cell>
          <cell r="B12974" t="str">
            <v>Actual</v>
          </cell>
          <cell r="C12974" t="str">
            <v>Dec</v>
          </cell>
          <cell r="D12974" t="str">
            <v>Kitchen</v>
          </cell>
          <cell r="E12974">
            <v>317177.35699999996</v>
          </cell>
          <cell r="F12974">
            <v>12</v>
          </cell>
        </row>
        <row r="12975">
          <cell r="A12975">
            <v>2019</v>
          </cell>
          <cell r="B12975" t="str">
            <v>Budget</v>
          </cell>
          <cell r="C12975" t="str">
            <v>Dec</v>
          </cell>
          <cell r="D12975" t="str">
            <v>Chairs</v>
          </cell>
          <cell r="E12975">
            <v>864571.34399999992</v>
          </cell>
          <cell r="F12975">
            <v>12</v>
          </cell>
        </row>
        <row r="12976">
          <cell r="A12976">
            <v>2018</v>
          </cell>
          <cell r="B12976" t="str">
            <v>Actual</v>
          </cell>
          <cell r="C12976" t="str">
            <v>Dec</v>
          </cell>
          <cell r="D12976" t="str">
            <v>Chairs</v>
          </cell>
          <cell r="E12976">
            <v>118141.583</v>
          </cell>
          <cell r="F12976">
            <v>12</v>
          </cell>
        </row>
        <row r="12977">
          <cell r="A12977">
            <v>2019</v>
          </cell>
          <cell r="B12977" t="str">
            <v>Budget</v>
          </cell>
          <cell r="C12977" t="str">
            <v>Dec</v>
          </cell>
          <cell r="D12977" t="str">
            <v>Chairs</v>
          </cell>
          <cell r="E12977">
            <v>106792.25199999998</v>
          </cell>
          <cell r="F12977">
            <v>12</v>
          </cell>
        </row>
        <row r="12978">
          <cell r="A12978">
            <v>2019</v>
          </cell>
          <cell r="B12978" t="str">
            <v>Actual</v>
          </cell>
          <cell r="C12978" t="str">
            <v>Dec</v>
          </cell>
          <cell r="D12978" t="str">
            <v>Chairs</v>
          </cell>
          <cell r="E12978">
            <v>5898.683</v>
          </cell>
          <cell r="F12978">
            <v>12</v>
          </cell>
        </row>
        <row r="12979">
          <cell r="A12979">
            <v>2018</v>
          </cell>
          <cell r="B12979" t="str">
            <v>Budget</v>
          </cell>
          <cell r="C12979" t="str">
            <v>Dec</v>
          </cell>
          <cell r="D12979" t="str">
            <v>Chairs</v>
          </cell>
          <cell r="E12979">
            <v>403237.09299999999</v>
          </cell>
          <cell r="F12979">
            <v>12</v>
          </cell>
        </row>
        <row r="12980">
          <cell r="A12980">
            <v>2018</v>
          </cell>
          <cell r="B12980" t="str">
            <v>Actual</v>
          </cell>
          <cell r="C12980" t="str">
            <v>Dec</v>
          </cell>
          <cell r="D12980" t="str">
            <v>Chairs</v>
          </cell>
          <cell r="E12980">
            <v>350405.755</v>
          </cell>
          <cell r="F12980">
            <v>12</v>
          </cell>
        </row>
        <row r="12981">
          <cell r="A12981">
            <v>2018</v>
          </cell>
          <cell r="B12981" t="str">
            <v>Budget</v>
          </cell>
          <cell r="C12981" t="str">
            <v>Dec</v>
          </cell>
          <cell r="D12981" t="str">
            <v>Chairs</v>
          </cell>
          <cell r="E12981">
            <v>6301.4769999999999</v>
          </cell>
          <cell r="F12981">
            <v>12</v>
          </cell>
        </row>
        <row r="12982">
          <cell r="A12982">
            <v>2018</v>
          </cell>
          <cell r="B12982" t="str">
            <v>Actual</v>
          </cell>
          <cell r="C12982" t="str">
            <v>Dec</v>
          </cell>
          <cell r="D12982" t="str">
            <v>Chairs</v>
          </cell>
          <cell r="E12982">
            <v>488690.19499999995</v>
          </cell>
          <cell r="F12982">
            <v>12</v>
          </cell>
        </row>
        <row r="12983">
          <cell r="A12983">
            <v>2019</v>
          </cell>
          <cell r="B12983" t="str">
            <v>Budget</v>
          </cell>
          <cell r="C12983" t="str">
            <v>Dec</v>
          </cell>
          <cell r="D12983" t="str">
            <v>Chairs</v>
          </cell>
          <cell r="E12983">
            <v>2489400.3539999998</v>
          </cell>
          <cell r="F12983">
            <v>12</v>
          </cell>
        </row>
        <row r="12984">
          <cell r="A12984">
            <v>2018</v>
          </cell>
          <cell r="B12984" t="str">
            <v>Actual</v>
          </cell>
          <cell r="C12984" t="str">
            <v>Dec</v>
          </cell>
          <cell r="D12984" t="str">
            <v>Chairs</v>
          </cell>
          <cell r="E12984">
            <v>38900.161999999997</v>
          </cell>
          <cell r="F12984">
            <v>12</v>
          </cell>
        </row>
        <row r="12985">
          <cell r="A12985">
            <v>2019</v>
          </cell>
          <cell r="B12985" t="str">
            <v>Budget</v>
          </cell>
          <cell r="C12985" t="str">
            <v>Dec</v>
          </cell>
          <cell r="D12985" t="str">
            <v>Chairs</v>
          </cell>
          <cell r="E12985">
            <v>59271.008999999991</v>
          </cell>
          <cell r="F12985">
            <v>12</v>
          </cell>
        </row>
        <row r="12986">
          <cell r="A12986">
            <v>2019</v>
          </cell>
          <cell r="B12986" t="str">
            <v>Actual</v>
          </cell>
          <cell r="C12986" t="str">
            <v>Dec</v>
          </cell>
          <cell r="D12986" t="str">
            <v>Chairs</v>
          </cell>
          <cell r="E12986">
            <v>435786.98799999995</v>
          </cell>
          <cell r="F12986">
            <v>12</v>
          </cell>
        </row>
        <row r="12987">
          <cell r="A12987">
            <v>2018</v>
          </cell>
          <cell r="B12987" t="str">
            <v>Budget</v>
          </cell>
          <cell r="C12987" t="str">
            <v>Dec</v>
          </cell>
          <cell r="D12987" t="str">
            <v>Chairs</v>
          </cell>
          <cell r="E12987">
            <v>84905.176999999996</v>
          </cell>
          <cell r="F12987">
            <v>12</v>
          </cell>
        </row>
        <row r="12988">
          <cell r="A12988">
            <v>2018</v>
          </cell>
          <cell r="B12988" t="str">
            <v>Actual</v>
          </cell>
          <cell r="C12988" t="str">
            <v>Dec</v>
          </cell>
          <cell r="D12988" t="str">
            <v>Chairs</v>
          </cell>
          <cell r="E12988">
            <v>234920.72099999999</v>
          </cell>
          <cell r="F12988">
            <v>12</v>
          </cell>
        </row>
        <row r="12989">
          <cell r="A12989">
            <v>2018</v>
          </cell>
          <cell r="B12989" t="str">
            <v>Budget</v>
          </cell>
          <cell r="C12989" t="str">
            <v>Dec</v>
          </cell>
          <cell r="D12989" t="str">
            <v>Chairs</v>
          </cell>
          <cell r="E12989">
            <v>-1043345.5899999999</v>
          </cell>
          <cell r="F12989">
            <v>12</v>
          </cell>
        </row>
        <row r="12990">
          <cell r="A12990">
            <v>2018</v>
          </cell>
          <cell r="B12990" t="str">
            <v>Actual</v>
          </cell>
          <cell r="C12990" t="str">
            <v>Dec</v>
          </cell>
          <cell r="D12990" t="str">
            <v>Chairs</v>
          </cell>
          <cell r="E12990">
            <v>-161592.33299999998</v>
          </cell>
          <cell r="F12990">
            <v>12</v>
          </cell>
        </row>
        <row r="12991">
          <cell r="A12991">
            <v>2018</v>
          </cell>
          <cell r="B12991" t="str">
            <v>Budget</v>
          </cell>
          <cell r="C12991" t="str">
            <v>Dec</v>
          </cell>
          <cell r="D12991" t="str">
            <v>Chairs</v>
          </cell>
          <cell r="E12991">
            <v>1419541.1089999999</v>
          </cell>
          <cell r="F12991">
            <v>12</v>
          </cell>
        </row>
        <row r="12992">
          <cell r="A12992">
            <v>2019</v>
          </cell>
          <cell r="B12992" t="str">
            <v>Actual</v>
          </cell>
          <cell r="C12992" t="str">
            <v>Dec</v>
          </cell>
          <cell r="D12992" t="str">
            <v>Chairs</v>
          </cell>
          <cell r="E12992">
            <v>142606.18399999998</v>
          </cell>
          <cell r="F12992">
            <v>12</v>
          </cell>
        </row>
        <row r="12993">
          <cell r="A12993">
            <v>2018</v>
          </cell>
          <cell r="B12993" t="str">
            <v>Budget</v>
          </cell>
          <cell r="C12993" t="str">
            <v>Dec</v>
          </cell>
          <cell r="D12993" t="str">
            <v>Chairs</v>
          </cell>
          <cell r="E12993">
            <v>141151.42300000001</v>
          </cell>
          <cell r="F12993">
            <v>12</v>
          </cell>
        </row>
        <row r="12994">
          <cell r="A12994">
            <v>2019</v>
          </cell>
          <cell r="B12994" t="str">
            <v>Actual</v>
          </cell>
          <cell r="C12994" t="str">
            <v>Dec</v>
          </cell>
          <cell r="D12994" t="str">
            <v>Chairs</v>
          </cell>
          <cell r="E12994">
            <v>717984.38599999994</v>
          </cell>
          <cell r="F12994">
            <v>12</v>
          </cell>
        </row>
        <row r="12995">
          <cell r="A12995">
            <v>2018</v>
          </cell>
          <cell r="B12995" t="str">
            <v>Budget</v>
          </cell>
          <cell r="C12995" t="str">
            <v>Dec</v>
          </cell>
          <cell r="D12995" t="str">
            <v>Chairs</v>
          </cell>
          <cell r="E12995">
            <v>142786.37099999998</v>
          </cell>
          <cell r="F12995">
            <v>12</v>
          </cell>
        </row>
        <row r="12996">
          <cell r="A12996">
            <v>2019</v>
          </cell>
          <cell r="B12996" t="str">
            <v>Actual</v>
          </cell>
          <cell r="C12996" t="str">
            <v>Dec</v>
          </cell>
          <cell r="D12996" t="str">
            <v>Chairs</v>
          </cell>
          <cell r="E12996">
            <v>57952.320999999996</v>
          </cell>
          <cell r="F12996">
            <v>12</v>
          </cell>
        </row>
        <row r="12997">
          <cell r="A12997">
            <v>2019</v>
          </cell>
          <cell r="B12997" t="str">
            <v>Budget</v>
          </cell>
          <cell r="C12997" t="str">
            <v>Dec</v>
          </cell>
          <cell r="D12997" t="str">
            <v>Chairs</v>
          </cell>
          <cell r="E12997">
            <v>113446.473</v>
          </cell>
          <cell r="F12997">
            <v>12</v>
          </cell>
        </row>
        <row r="12998">
          <cell r="A12998">
            <v>2019</v>
          </cell>
          <cell r="B12998" t="str">
            <v>Actual</v>
          </cell>
          <cell r="C12998" t="str">
            <v>Dec</v>
          </cell>
          <cell r="D12998" t="str">
            <v>Chairs</v>
          </cell>
          <cell r="E12998">
            <v>53986.645999999993</v>
          </cell>
          <cell r="F12998">
            <v>12</v>
          </cell>
        </row>
        <row r="12999">
          <cell r="A12999">
            <v>2019</v>
          </cell>
          <cell r="B12999" t="str">
            <v>Budget</v>
          </cell>
          <cell r="C12999" t="str">
            <v>Dec</v>
          </cell>
          <cell r="D12999" t="str">
            <v>Chairs</v>
          </cell>
          <cell r="E12999">
            <v>400205.64499999996</v>
          </cell>
          <cell r="F12999">
            <v>12</v>
          </cell>
        </row>
        <row r="13000">
          <cell r="A13000">
            <v>2019</v>
          </cell>
          <cell r="B13000" t="str">
            <v>Actual</v>
          </cell>
          <cell r="C13000" t="str">
            <v>Dec</v>
          </cell>
          <cell r="D13000" t="str">
            <v>Chairs</v>
          </cell>
          <cell r="E13000">
            <v>372505.81900000002</v>
          </cell>
          <cell r="F13000">
            <v>12</v>
          </cell>
        </row>
        <row r="13001">
          <cell r="A13001">
            <v>2019</v>
          </cell>
          <cell r="B13001" t="str">
            <v>Budget</v>
          </cell>
          <cell r="C13001" t="str">
            <v>Dec</v>
          </cell>
          <cell r="D13001" t="str">
            <v>Tables</v>
          </cell>
          <cell r="E13001">
            <v>40038.725999999995</v>
          </cell>
          <cell r="F13001">
            <v>12</v>
          </cell>
        </row>
        <row r="13002">
          <cell r="A13002">
            <v>2019</v>
          </cell>
          <cell r="B13002" t="str">
            <v>Actual</v>
          </cell>
          <cell r="C13002" t="str">
            <v>Dec</v>
          </cell>
          <cell r="D13002" t="str">
            <v>Kitchen</v>
          </cell>
          <cell r="E13002">
            <v>39613.993999999999</v>
          </cell>
          <cell r="F13002">
            <v>12</v>
          </cell>
        </row>
        <row r="13003">
          <cell r="A13003">
            <v>2018</v>
          </cell>
          <cell r="B13003" t="str">
            <v>Budget</v>
          </cell>
          <cell r="C13003" t="str">
            <v>Dec</v>
          </cell>
          <cell r="D13003" t="str">
            <v>Chairs</v>
          </cell>
          <cell r="E13003">
            <v>16240.468999999997</v>
          </cell>
          <cell r="F13003">
            <v>12</v>
          </cell>
        </row>
        <row r="13004">
          <cell r="A13004">
            <v>2019</v>
          </cell>
          <cell r="B13004" t="str">
            <v>Actual</v>
          </cell>
          <cell r="C13004" t="str">
            <v>Dec</v>
          </cell>
          <cell r="D13004" t="str">
            <v>Chairs</v>
          </cell>
          <cell r="E13004">
            <v>114167.732</v>
          </cell>
          <cell r="F13004">
            <v>12</v>
          </cell>
        </row>
        <row r="13005">
          <cell r="A13005">
            <v>2018</v>
          </cell>
          <cell r="B13005" t="str">
            <v>Budget</v>
          </cell>
          <cell r="C13005" t="str">
            <v>Dec</v>
          </cell>
          <cell r="D13005" t="str">
            <v>Chairs</v>
          </cell>
          <cell r="E13005">
            <v>912513.61599999992</v>
          </cell>
          <cell r="F13005">
            <v>12</v>
          </cell>
        </row>
        <row r="13006">
          <cell r="A13006">
            <v>2018</v>
          </cell>
          <cell r="B13006" t="str">
            <v>Actual</v>
          </cell>
          <cell r="C13006" t="str">
            <v>Dec</v>
          </cell>
          <cell r="D13006" t="str">
            <v>Chairs</v>
          </cell>
          <cell r="E13006">
            <v>795123.35699999996</v>
          </cell>
          <cell r="F13006">
            <v>12</v>
          </cell>
        </row>
        <row r="13007">
          <cell r="A13007">
            <v>2018</v>
          </cell>
          <cell r="B13007" t="str">
            <v>Budget</v>
          </cell>
          <cell r="C13007" t="str">
            <v>Dec</v>
          </cell>
          <cell r="D13007" t="str">
            <v>Chairs</v>
          </cell>
          <cell r="E13007">
            <v>15818.396999999999</v>
          </cell>
          <cell r="F13007">
            <v>12</v>
          </cell>
        </row>
        <row r="13008">
          <cell r="A13008">
            <v>2018</v>
          </cell>
          <cell r="B13008" t="str">
            <v>Actual</v>
          </cell>
          <cell r="C13008" t="str">
            <v>Dec</v>
          </cell>
          <cell r="D13008" t="str">
            <v>Tables</v>
          </cell>
          <cell r="E13008">
            <v>69988.631999999998</v>
          </cell>
          <cell r="F13008">
            <v>12</v>
          </cell>
        </row>
        <row r="13009">
          <cell r="A13009">
            <v>2019</v>
          </cell>
          <cell r="B13009" t="str">
            <v>Budget</v>
          </cell>
          <cell r="C13009" t="str">
            <v>Dec</v>
          </cell>
          <cell r="D13009" t="str">
            <v>Kitchen</v>
          </cell>
          <cell r="E13009">
            <v>92826.579999999987</v>
          </cell>
          <cell r="F13009">
            <v>12</v>
          </cell>
        </row>
        <row r="13010">
          <cell r="A13010">
            <v>2019</v>
          </cell>
          <cell r="B13010" t="str">
            <v>Actual</v>
          </cell>
          <cell r="C13010" t="str">
            <v>Dec</v>
          </cell>
          <cell r="D13010" t="str">
            <v>Chairs</v>
          </cell>
          <cell r="E13010">
            <v>29694.357</v>
          </cell>
          <cell r="F13010">
            <v>12</v>
          </cell>
        </row>
        <row r="13011">
          <cell r="A13011">
            <v>2018</v>
          </cell>
          <cell r="B13011" t="str">
            <v>Budget</v>
          </cell>
          <cell r="C13011" t="str">
            <v>Dec</v>
          </cell>
          <cell r="D13011" t="str">
            <v>Chairs</v>
          </cell>
          <cell r="E13011">
            <v>97557.291999999987</v>
          </cell>
          <cell r="F13011">
            <v>12</v>
          </cell>
        </row>
        <row r="13012">
          <cell r="A13012">
            <v>2018</v>
          </cell>
          <cell r="B13012" t="str">
            <v>Actual</v>
          </cell>
          <cell r="C13012" t="str">
            <v>Dec</v>
          </cell>
          <cell r="D13012" t="str">
            <v>Chairs</v>
          </cell>
          <cell r="E13012">
            <v>73124.267999999996</v>
          </cell>
          <cell r="F13012">
            <v>12</v>
          </cell>
        </row>
        <row r="13013">
          <cell r="A13013">
            <v>2018</v>
          </cell>
          <cell r="B13013" t="str">
            <v>Budget</v>
          </cell>
          <cell r="C13013" t="str">
            <v>Dec</v>
          </cell>
          <cell r="D13013" t="str">
            <v>Tables</v>
          </cell>
          <cell r="E13013">
            <v>37118.752999999997</v>
          </cell>
          <cell r="F13013">
            <v>12</v>
          </cell>
        </row>
        <row r="13014">
          <cell r="A13014">
            <v>2019</v>
          </cell>
          <cell r="B13014" t="str">
            <v>Actual</v>
          </cell>
          <cell r="C13014" t="str">
            <v>Dec</v>
          </cell>
          <cell r="D13014" t="str">
            <v>Kitchen</v>
          </cell>
          <cell r="E13014">
            <v>872434.94799999986</v>
          </cell>
          <cell r="F13014">
            <v>12</v>
          </cell>
        </row>
        <row r="13015">
          <cell r="A13015">
            <v>2019</v>
          </cell>
          <cell r="B13015" t="str">
            <v>Budget</v>
          </cell>
          <cell r="C13015" t="str">
            <v>Dec</v>
          </cell>
          <cell r="D13015" t="str">
            <v>Chairs</v>
          </cell>
          <cell r="E13015">
            <v>25840.752</v>
          </cell>
          <cell r="F13015">
            <v>12</v>
          </cell>
        </row>
        <row r="13016">
          <cell r="A13016">
            <v>2018</v>
          </cell>
          <cell r="B13016" t="str">
            <v>Actual</v>
          </cell>
          <cell r="C13016" t="str">
            <v>Dec</v>
          </cell>
          <cell r="D13016" t="str">
            <v>Chairs</v>
          </cell>
          <cell r="E13016">
            <v>4454.5829999999996</v>
          </cell>
          <cell r="F13016">
            <v>12</v>
          </cell>
        </row>
        <row r="13017">
          <cell r="A13017">
            <v>2018</v>
          </cell>
          <cell r="B13017" t="str">
            <v>Budget</v>
          </cell>
          <cell r="C13017" t="str">
            <v>Dec</v>
          </cell>
          <cell r="D13017" t="str">
            <v>Tables</v>
          </cell>
          <cell r="E13017">
            <v>1046837.4979999999</v>
          </cell>
          <cell r="F13017">
            <v>12</v>
          </cell>
        </row>
        <row r="13018">
          <cell r="A13018">
            <v>2018</v>
          </cell>
          <cell r="B13018" t="str">
            <v>Actual</v>
          </cell>
          <cell r="C13018" t="str">
            <v>Dec</v>
          </cell>
          <cell r="D13018" t="str">
            <v>Kitchen</v>
          </cell>
          <cell r="E13018">
            <v>564289.48099999991</v>
          </cell>
          <cell r="F13018">
            <v>12</v>
          </cell>
        </row>
        <row r="13019">
          <cell r="A13019">
            <v>2018</v>
          </cell>
          <cell r="B13019" t="str">
            <v>Budget</v>
          </cell>
          <cell r="C13019" t="str">
            <v>Dec</v>
          </cell>
          <cell r="D13019" t="str">
            <v>Chairs</v>
          </cell>
          <cell r="E13019">
            <v>933064.34899999993</v>
          </cell>
          <cell r="F13019">
            <v>12</v>
          </cell>
        </row>
        <row r="13020">
          <cell r="A13020">
            <v>2019</v>
          </cell>
          <cell r="B13020" t="str">
            <v>Actual</v>
          </cell>
          <cell r="C13020" t="str">
            <v>Dec</v>
          </cell>
          <cell r="D13020" t="str">
            <v>Chairs</v>
          </cell>
          <cell r="E13020">
            <v>109699.387</v>
          </cell>
          <cell r="F13020">
            <v>12</v>
          </cell>
        </row>
        <row r="13021">
          <cell r="A13021">
            <v>2019</v>
          </cell>
          <cell r="B13021" t="str">
            <v>Budget</v>
          </cell>
          <cell r="C13021" t="str">
            <v>Dec</v>
          </cell>
          <cell r="D13021" t="str">
            <v>Chairs</v>
          </cell>
          <cell r="E13021">
            <v>179211.58499999999</v>
          </cell>
          <cell r="F13021">
            <v>12</v>
          </cell>
        </row>
        <row r="13022">
          <cell r="A13022">
            <v>2019</v>
          </cell>
          <cell r="B13022" t="str">
            <v>Actual</v>
          </cell>
          <cell r="C13022" t="str">
            <v>Dec</v>
          </cell>
          <cell r="D13022" t="str">
            <v>Tables</v>
          </cell>
          <cell r="E13022">
            <v>3901.1279999999997</v>
          </cell>
          <cell r="F13022">
            <v>12</v>
          </cell>
        </row>
        <row r="13023">
          <cell r="A13023">
            <v>2019</v>
          </cell>
          <cell r="B13023" t="str">
            <v>Budget</v>
          </cell>
          <cell r="C13023" t="str">
            <v>Dec</v>
          </cell>
          <cell r="D13023" t="str">
            <v>Kitchen</v>
          </cell>
          <cell r="E13023">
            <v>7807.6249999999991</v>
          </cell>
          <cell r="F13023">
            <v>12</v>
          </cell>
        </row>
        <row r="13024">
          <cell r="A13024">
            <v>2018</v>
          </cell>
          <cell r="B13024" t="str">
            <v>Actual</v>
          </cell>
          <cell r="C13024" t="str">
            <v>Dec</v>
          </cell>
          <cell r="D13024" t="str">
            <v>Accessories</v>
          </cell>
          <cell r="E13024">
            <v>50879.079999999994</v>
          </cell>
          <cell r="F13024">
            <v>12</v>
          </cell>
        </row>
        <row r="13025">
          <cell r="A13025">
            <v>2018</v>
          </cell>
          <cell r="B13025" t="str">
            <v>Budget</v>
          </cell>
          <cell r="C13025" t="str">
            <v>Dec</v>
          </cell>
          <cell r="D13025" t="str">
            <v>Chairs</v>
          </cell>
          <cell r="E13025">
            <v>481954.90699999995</v>
          </cell>
          <cell r="F13025">
            <v>12</v>
          </cell>
        </row>
        <row r="13026">
          <cell r="A13026">
            <v>2019</v>
          </cell>
          <cell r="B13026" t="str">
            <v>Actual</v>
          </cell>
          <cell r="C13026" t="str">
            <v>Dec</v>
          </cell>
          <cell r="D13026" t="str">
            <v>Tables</v>
          </cell>
          <cell r="E13026">
            <v>245649.68399999998</v>
          </cell>
          <cell r="F13026">
            <v>12</v>
          </cell>
        </row>
        <row r="13027">
          <cell r="A13027">
            <v>2018</v>
          </cell>
          <cell r="B13027" t="str">
            <v>Budget</v>
          </cell>
          <cell r="C13027" t="str">
            <v>Dec</v>
          </cell>
          <cell r="D13027" t="str">
            <v>Kitchen</v>
          </cell>
          <cell r="E13027">
            <v>40127.682000000001</v>
          </cell>
          <cell r="F13027">
            <v>12</v>
          </cell>
        </row>
        <row r="13028">
          <cell r="A13028">
            <v>2019</v>
          </cell>
          <cell r="B13028" t="str">
            <v>Actual</v>
          </cell>
          <cell r="C13028" t="str">
            <v>Dec</v>
          </cell>
          <cell r="D13028" t="str">
            <v>Accessories</v>
          </cell>
          <cell r="E13028">
            <v>336398.65700000001</v>
          </cell>
          <cell r="F13028">
            <v>12</v>
          </cell>
        </row>
        <row r="13029">
          <cell r="A13029">
            <v>2018</v>
          </cell>
          <cell r="B13029" t="str">
            <v>Budget</v>
          </cell>
          <cell r="C13029" t="str">
            <v>Dec</v>
          </cell>
          <cell r="D13029" t="str">
            <v>Chairs</v>
          </cell>
          <cell r="E13029">
            <v>52592.847999999998</v>
          </cell>
          <cell r="F13029">
            <v>12</v>
          </cell>
        </row>
        <row r="13030">
          <cell r="A13030">
            <v>2019</v>
          </cell>
          <cell r="B13030" t="str">
            <v>Actual</v>
          </cell>
          <cell r="C13030" t="str">
            <v>Dec</v>
          </cell>
          <cell r="D13030" t="str">
            <v>Tables</v>
          </cell>
          <cell r="E13030">
            <v>54677.623</v>
          </cell>
          <cell r="F13030">
            <v>12</v>
          </cell>
        </row>
        <row r="13031">
          <cell r="A13031">
            <v>2019</v>
          </cell>
          <cell r="B13031" t="str">
            <v>Budget</v>
          </cell>
          <cell r="C13031" t="str">
            <v>Dec</v>
          </cell>
          <cell r="D13031" t="str">
            <v>Kitchen</v>
          </cell>
          <cell r="E13031">
            <v>191989.28699999998</v>
          </cell>
          <cell r="F13031">
            <v>12</v>
          </cell>
        </row>
        <row r="13032">
          <cell r="A13032">
            <v>2019</v>
          </cell>
          <cell r="B13032" t="str">
            <v>Actual</v>
          </cell>
          <cell r="C13032" t="str">
            <v>Dec</v>
          </cell>
          <cell r="D13032" t="str">
            <v>Accessories</v>
          </cell>
          <cell r="E13032">
            <v>102977.30799999999</v>
          </cell>
          <cell r="F13032">
            <v>12</v>
          </cell>
        </row>
        <row r="13033">
          <cell r="A13033">
            <v>2018</v>
          </cell>
          <cell r="B13033" t="str">
            <v>Budget</v>
          </cell>
          <cell r="C13033" t="str">
            <v>Dec</v>
          </cell>
          <cell r="D13033" t="str">
            <v>Chairs</v>
          </cell>
          <cell r="E13033">
            <v>221471.35500000001</v>
          </cell>
          <cell r="F13033">
            <v>12</v>
          </cell>
        </row>
        <row r="13034">
          <cell r="A13034">
            <v>2019</v>
          </cell>
          <cell r="B13034" t="str">
            <v>Actual</v>
          </cell>
          <cell r="C13034" t="str">
            <v>Dec</v>
          </cell>
          <cell r="D13034" t="str">
            <v>Tables</v>
          </cell>
          <cell r="E13034">
            <v>42901.438999999998</v>
          </cell>
          <cell r="F13034">
            <v>12</v>
          </cell>
        </row>
        <row r="13035">
          <cell r="A13035">
            <v>2018</v>
          </cell>
          <cell r="B13035" t="str">
            <v>Budget</v>
          </cell>
          <cell r="C13035" t="str">
            <v>Dec</v>
          </cell>
          <cell r="D13035" t="str">
            <v>Kitchen</v>
          </cell>
          <cell r="E13035">
            <v>24315.984</v>
          </cell>
          <cell r="F13035">
            <v>12</v>
          </cell>
        </row>
        <row r="13036">
          <cell r="A13036">
            <v>2019</v>
          </cell>
          <cell r="B13036" t="str">
            <v>Actual</v>
          </cell>
          <cell r="C13036" t="str">
            <v>Dec</v>
          </cell>
          <cell r="D13036" t="str">
            <v>Accessories</v>
          </cell>
          <cell r="E13036">
            <v>48361.788999999997</v>
          </cell>
          <cell r="F13036">
            <v>12</v>
          </cell>
        </row>
        <row r="13037">
          <cell r="A13037">
            <v>2019</v>
          </cell>
          <cell r="B13037" t="str">
            <v>Budget</v>
          </cell>
          <cell r="C13037" t="str">
            <v>Dec</v>
          </cell>
          <cell r="D13037" t="str">
            <v>Chairs</v>
          </cell>
          <cell r="E13037">
            <v>38652.11</v>
          </cell>
          <cell r="F13037">
            <v>12</v>
          </cell>
        </row>
        <row r="13038">
          <cell r="A13038">
            <v>2019</v>
          </cell>
          <cell r="B13038" t="str">
            <v>Actual</v>
          </cell>
          <cell r="C13038" t="str">
            <v>Dec</v>
          </cell>
          <cell r="D13038" t="str">
            <v>Chairs</v>
          </cell>
          <cell r="E13038">
            <v>20203.616999999998</v>
          </cell>
          <cell r="F13038">
            <v>12</v>
          </cell>
        </row>
        <row r="13039">
          <cell r="A13039">
            <v>2018</v>
          </cell>
          <cell r="B13039" t="str">
            <v>Budget</v>
          </cell>
          <cell r="C13039" t="str">
            <v>Dec</v>
          </cell>
          <cell r="D13039" t="str">
            <v>Tables</v>
          </cell>
          <cell r="E13039">
            <v>61246.478999999999</v>
          </cell>
          <cell r="F13039">
            <v>12</v>
          </cell>
        </row>
        <row r="13040">
          <cell r="A13040">
            <v>2018</v>
          </cell>
          <cell r="B13040" t="str">
            <v>Actual</v>
          </cell>
          <cell r="C13040" t="str">
            <v>Dec</v>
          </cell>
          <cell r="D13040" t="str">
            <v>Kitchen</v>
          </cell>
          <cell r="E13040">
            <v>238786.247</v>
          </cell>
          <cell r="F13040">
            <v>12</v>
          </cell>
        </row>
        <row r="13041">
          <cell r="A13041">
            <v>2018</v>
          </cell>
          <cell r="B13041" t="str">
            <v>Budget</v>
          </cell>
          <cell r="C13041" t="str">
            <v>Dec</v>
          </cell>
          <cell r="D13041" t="str">
            <v>Chairs</v>
          </cell>
          <cell r="E13041">
            <v>132881.73499999999</v>
          </cell>
          <cell r="F13041">
            <v>12</v>
          </cell>
        </row>
        <row r="13042">
          <cell r="A13042">
            <v>2018</v>
          </cell>
          <cell r="B13042" t="str">
            <v>Actual</v>
          </cell>
          <cell r="C13042" t="str">
            <v>Dec</v>
          </cell>
          <cell r="D13042" t="str">
            <v>Tables</v>
          </cell>
          <cell r="E13042">
            <v>156460.24799999999</v>
          </cell>
          <cell r="F13042">
            <v>12</v>
          </cell>
        </row>
        <row r="13043">
          <cell r="A13043">
            <v>2018</v>
          </cell>
          <cell r="B13043" t="str">
            <v>Budget</v>
          </cell>
          <cell r="C13043" t="str">
            <v>Dec</v>
          </cell>
          <cell r="D13043" t="str">
            <v>Kitchen</v>
          </cell>
          <cell r="E13043">
            <v>40136.844999999994</v>
          </cell>
          <cell r="F13043">
            <v>12</v>
          </cell>
        </row>
        <row r="13044">
          <cell r="A13044">
            <v>2019</v>
          </cell>
          <cell r="B13044" t="str">
            <v>Actual</v>
          </cell>
          <cell r="C13044" t="str">
            <v>Dec</v>
          </cell>
          <cell r="D13044" t="str">
            <v>Chairs</v>
          </cell>
          <cell r="E13044">
            <v>122560.52899999999</v>
          </cell>
          <cell r="F13044">
            <v>12</v>
          </cell>
        </row>
        <row r="13045">
          <cell r="A13045">
            <v>2018</v>
          </cell>
          <cell r="B13045" t="str">
            <v>Budget</v>
          </cell>
          <cell r="C13045" t="str">
            <v>Dec</v>
          </cell>
          <cell r="D13045" t="str">
            <v>Tables</v>
          </cell>
          <cell r="E13045">
            <v>155136.70899999997</v>
          </cell>
          <cell r="F13045">
            <v>12</v>
          </cell>
        </row>
        <row r="13046">
          <cell r="A13046">
            <v>2018</v>
          </cell>
          <cell r="B13046" t="str">
            <v>Actual</v>
          </cell>
          <cell r="C13046" t="str">
            <v>Dec</v>
          </cell>
          <cell r="D13046" t="str">
            <v>Kitchen</v>
          </cell>
          <cell r="E13046">
            <v>15541.693999999998</v>
          </cell>
          <cell r="F13046">
            <v>12</v>
          </cell>
        </row>
        <row r="13047">
          <cell r="A13047">
            <v>2019</v>
          </cell>
          <cell r="B13047" t="str">
            <v>Budget</v>
          </cell>
          <cell r="C13047" t="str">
            <v>Dec</v>
          </cell>
          <cell r="D13047" t="str">
            <v>Chairs</v>
          </cell>
          <cell r="E13047">
            <v>31834.620999999996</v>
          </cell>
          <cell r="F13047">
            <v>12</v>
          </cell>
        </row>
        <row r="13048">
          <cell r="A13048">
            <v>2018</v>
          </cell>
          <cell r="B13048" t="str">
            <v>Actual</v>
          </cell>
          <cell r="C13048" t="str">
            <v>Dec</v>
          </cell>
          <cell r="D13048" t="str">
            <v>Chairs</v>
          </cell>
          <cell r="E13048">
            <v>59958.079999999994</v>
          </cell>
          <cell r="F13048">
            <v>12</v>
          </cell>
        </row>
        <row r="13049">
          <cell r="A13049">
            <v>2018</v>
          </cell>
          <cell r="B13049" t="str">
            <v>Budget</v>
          </cell>
          <cell r="C13049" t="str">
            <v>Dec</v>
          </cell>
          <cell r="D13049" t="str">
            <v>Chairs</v>
          </cell>
          <cell r="E13049">
            <v>134389.948</v>
          </cell>
          <cell r="F13049">
            <v>12</v>
          </cell>
        </row>
        <row r="13050">
          <cell r="A13050">
            <v>2019</v>
          </cell>
          <cell r="B13050" t="str">
            <v>Actual</v>
          </cell>
          <cell r="C13050" t="str">
            <v>Dec</v>
          </cell>
          <cell r="D13050" t="str">
            <v>Chairs</v>
          </cell>
          <cell r="E13050">
            <v>18213.852999999999</v>
          </cell>
          <cell r="F13050">
            <v>12</v>
          </cell>
        </row>
        <row r="13051">
          <cell r="A13051">
            <v>2018</v>
          </cell>
          <cell r="B13051" t="str">
            <v>Budget</v>
          </cell>
          <cell r="C13051" t="str">
            <v>Dec</v>
          </cell>
          <cell r="D13051" t="str">
            <v>Chairs</v>
          </cell>
          <cell r="E13051">
            <v>16659.635999999999</v>
          </cell>
          <cell r="F13051">
            <v>12</v>
          </cell>
        </row>
        <row r="13052">
          <cell r="A13052">
            <v>2019</v>
          </cell>
          <cell r="B13052" t="str">
            <v>Actual</v>
          </cell>
          <cell r="C13052" t="str">
            <v>Dec</v>
          </cell>
          <cell r="D13052" t="str">
            <v>Chairs</v>
          </cell>
          <cell r="E13052">
            <v>1374972.067</v>
          </cell>
          <cell r="F13052">
            <v>12</v>
          </cell>
        </row>
        <row r="13053">
          <cell r="A13053">
            <v>2019</v>
          </cell>
          <cell r="B13053" t="str">
            <v>Budget</v>
          </cell>
          <cell r="C13053" t="str">
            <v>Dec</v>
          </cell>
          <cell r="D13053" t="str">
            <v>Chairs</v>
          </cell>
          <cell r="E13053">
            <v>76922.720000000001</v>
          </cell>
          <cell r="F13053">
            <v>12</v>
          </cell>
        </row>
        <row r="13054">
          <cell r="A13054">
            <v>2018</v>
          </cell>
          <cell r="B13054" t="str">
            <v>Actual</v>
          </cell>
          <cell r="C13054" t="str">
            <v>Dec</v>
          </cell>
          <cell r="D13054" t="str">
            <v>Chairs</v>
          </cell>
          <cell r="E13054">
            <v>316550.40199999994</v>
          </cell>
          <cell r="F13054">
            <v>12</v>
          </cell>
        </row>
        <row r="13055">
          <cell r="A13055">
            <v>2018</v>
          </cell>
          <cell r="B13055" t="str">
            <v>Budget</v>
          </cell>
          <cell r="C13055" t="str">
            <v>Dec</v>
          </cell>
          <cell r="D13055" t="str">
            <v>Chairs</v>
          </cell>
          <cell r="E13055">
            <v>166505.47199999998</v>
          </cell>
          <cell r="F13055">
            <v>12</v>
          </cell>
        </row>
        <row r="13056">
          <cell r="A13056">
            <v>2018</v>
          </cell>
          <cell r="B13056" t="str">
            <v>Actual</v>
          </cell>
          <cell r="C13056" t="str">
            <v>Dec</v>
          </cell>
          <cell r="D13056" t="str">
            <v>Chairs</v>
          </cell>
          <cell r="E13056">
            <v>1483992.3209999998</v>
          </cell>
          <cell r="F13056">
            <v>12</v>
          </cell>
        </row>
        <row r="13057">
          <cell r="A13057">
            <v>2018</v>
          </cell>
          <cell r="B13057" t="str">
            <v>Budget</v>
          </cell>
          <cell r="C13057" t="str">
            <v>Dec</v>
          </cell>
          <cell r="D13057" t="str">
            <v>Chairs</v>
          </cell>
          <cell r="E13057">
            <v>100799.125</v>
          </cell>
          <cell r="F13057">
            <v>12</v>
          </cell>
        </row>
        <row r="13058">
          <cell r="A13058">
            <v>2018</v>
          </cell>
          <cell r="B13058" t="str">
            <v>Actual</v>
          </cell>
          <cell r="C13058" t="str">
            <v>Dec</v>
          </cell>
          <cell r="D13058" t="str">
            <v>Chairs</v>
          </cell>
          <cell r="E13058">
            <v>741701.99599999993</v>
          </cell>
          <cell r="F13058">
            <v>12</v>
          </cell>
        </row>
        <row r="13059">
          <cell r="A13059">
            <v>2019</v>
          </cell>
          <cell r="B13059" t="str">
            <v>Budget</v>
          </cell>
          <cell r="C13059" t="str">
            <v>Dec</v>
          </cell>
          <cell r="D13059" t="str">
            <v>Chairs</v>
          </cell>
          <cell r="E13059">
            <v>3067004.0729999994</v>
          </cell>
          <cell r="F13059">
            <v>12</v>
          </cell>
        </row>
        <row r="13060">
          <cell r="A13060">
            <v>2018</v>
          </cell>
          <cell r="B13060" t="str">
            <v>Actual</v>
          </cell>
          <cell r="C13060" t="str">
            <v>Dec</v>
          </cell>
          <cell r="D13060" t="str">
            <v>Chairs</v>
          </cell>
          <cell r="E13060">
            <v>343041.88099999999</v>
          </cell>
          <cell r="F13060">
            <v>12</v>
          </cell>
        </row>
        <row r="13061">
          <cell r="A13061">
            <v>2018</v>
          </cell>
          <cell r="B13061" t="str">
            <v>Budget</v>
          </cell>
          <cell r="C13061" t="str">
            <v>Dec</v>
          </cell>
          <cell r="D13061" t="str">
            <v>Chairs</v>
          </cell>
          <cell r="E13061">
            <v>1167423.32</v>
          </cell>
          <cell r="F13061">
            <v>12</v>
          </cell>
        </row>
        <row r="13062">
          <cell r="A13062">
            <v>2018</v>
          </cell>
          <cell r="B13062" t="str">
            <v>Actual</v>
          </cell>
          <cell r="C13062" t="str">
            <v>Dec</v>
          </cell>
          <cell r="D13062" t="str">
            <v>Chairs</v>
          </cell>
          <cell r="E13062">
            <v>1573751.4799999997</v>
          </cell>
          <cell r="F13062">
            <v>12</v>
          </cell>
        </row>
        <row r="13063">
          <cell r="A13063">
            <v>2019</v>
          </cell>
          <cell r="B13063" t="str">
            <v>Budget</v>
          </cell>
          <cell r="C13063" t="str">
            <v>Dec</v>
          </cell>
          <cell r="D13063" t="str">
            <v>Chairs</v>
          </cell>
          <cell r="E13063">
            <v>57467.745999999992</v>
          </cell>
          <cell r="F13063">
            <v>12</v>
          </cell>
        </row>
        <row r="13064">
          <cell r="A13064">
            <v>2018</v>
          </cell>
          <cell r="B13064" t="str">
            <v>Actual</v>
          </cell>
          <cell r="C13064" t="str">
            <v>Dec</v>
          </cell>
          <cell r="D13064" t="str">
            <v>Chairs</v>
          </cell>
          <cell r="E13064">
            <v>163790.71100000001</v>
          </cell>
          <cell r="F13064">
            <v>12</v>
          </cell>
        </row>
        <row r="13065">
          <cell r="A13065">
            <v>2019</v>
          </cell>
          <cell r="B13065" t="str">
            <v>Budget</v>
          </cell>
          <cell r="C13065" t="str">
            <v>Dec</v>
          </cell>
          <cell r="D13065" t="str">
            <v>Chairs</v>
          </cell>
          <cell r="E13065">
            <v>344811.15899999999</v>
          </cell>
          <cell r="F13065">
            <v>12</v>
          </cell>
        </row>
        <row r="13066">
          <cell r="A13066">
            <v>2018</v>
          </cell>
          <cell r="B13066" t="str">
            <v>Actual</v>
          </cell>
          <cell r="C13066" t="str">
            <v>Dec</v>
          </cell>
          <cell r="D13066" t="str">
            <v>Chairs</v>
          </cell>
          <cell r="E13066">
            <v>807204.34199999995</v>
          </cell>
          <cell r="F13066">
            <v>12</v>
          </cell>
        </row>
        <row r="13067">
          <cell r="A13067">
            <v>2019</v>
          </cell>
          <cell r="B13067" t="str">
            <v>Budget</v>
          </cell>
          <cell r="C13067" t="str">
            <v>Dec</v>
          </cell>
          <cell r="D13067" t="str">
            <v>Chairs</v>
          </cell>
          <cell r="E13067">
            <v>1289058.96</v>
          </cell>
          <cell r="F13067">
            <v>12</v>
          </cell>
        </row>
        <row r="13068">
          <cell r="A13068">
            <v>2019</v>
          </cell>
          <cell r="B13068" t="str">
            <v>Actual</v>
          </cell>
          <cell r="C13068" t="str">
            <v>Dec</v>
          </cell>
          <cell r="D13068" t="str">
            <v>Chairs</v>
          </cell>
          <cell r="E13068">
            <v>86810.107999999993</v>
          </cell>
          <cell r="F13068">
            <v>12</v>
          </cell>
        </row>
        <row r="13069">
          <cell r="A13069">
            <v>2018</v>
          </cell>
          <cell r="B13069" t="str">
            <v>Budget</v>
          </cell>
          <cell r="C13069" t="str">
            <v>Dec</v>
          </cell>
          <cell r="D13069" t="str">
            <v>Chairs</v>
          </cell>
          <cell r="E13069">
            <v>261021.41799999998</v>
          </cell>
          <cell r="F13069">
            <v>12</v>
          </cell>
        </row>
        <row r="13070">
          <cell r="A13070">
            <v>2019</v>
          </cell>
          <cell r="B13070" t="str">
            <v>Actual</v>
          </cell>
          <cell r="C13070" t="str">
            <v>Dec</v>
          </cell>
          <cell r="D13070" t="str">
            <v>Chairs</v>
          </cell>
          <cell r="E13070">
            <v>348420.70899999997</v>
          </cell>
          <cell r="F13070">
            <v>12</v>
          </cell>
        </row>
        <row r="13071">
          <cell r="A13071">
            <v>2019</v>
          </cell>
          <cell r="B13071" t="str">
            <v>Budget</v>
          </cell>
          <cell r="C13071" t="str">
            <v>Dec</v>
          </cell>
          <cell r="D13071" t="str">
            <v>Chairs</v>
          </cell>
          <cell r="E13071">
            <v>96394.703999999998</v>
          </cell>
          <cell r="F13071">
            <v>12</v>
          </cell>
        </row>
        <row r="13072">
          <cell r="A13072">
            <v>2019</v>
          </cell>
          <cell r="B13072" t="str">
            <v>Actual</v>
          </cell>
          <cell r="C13072" t="str">
            <v>Dec</v>
          </cell>
          <cell r="D13072" t="str">
            <v>Chairs</v>
          </cell>
          <cell r="E13072">
            <v>74190.815999999992</v>
          </cell>
          <cell r="F13072">
            <v>12</v>
          </cell>
        </row>
        <row r="13073">
          <cell r="A13073">
            <v>2019</v>
          </cell>
          <cell r="B13073" t="str">
            <v>Budget</v>
          </cell>
          <cell r="C13073" t="str">
            <v>Dec</v>
          </cell>
          <cell r="D13073" t="str">
            <v>Tables</v>
          </cell>
          <cell r="E13073">
            <v>181350.09199999998</v>
          </cell>
          <cell r="F13073">
            <v>12</v>
          </cell>
        </row>
        <row r="13074">
          <cell r="A13074">
            <v>2018</v>
          </cell>
          <cell r="B13074" t="str">
            <v>Actual</v>
          </cell>
          <cell r="C13074" t="str">
            <v>Dec</v>
          </cell>
          <cell r="D13074" t="str">
            <v>Kitchen</v>
          </cell>
          <cell r="E13074">
            <v>336610.24599999998</v>
          </cell>
          <cell r="F13074">
            <v>12</v>
          </cell>
        </row>
        <row r="13075">
          <cell r="A13075">
            <v>2019</v>
          </cell>
          <cell r="B13075" t="str">
            <v>Budget</v>
          </cell>
          <cell r="C13075" t="str">
            <v>Dec</v>
          </cell>
          <cell r="D13075" t="str">
            <v>Chairs</v>
          </cell>
          <cell r="E13075">
            <v>143198.986</v>
          </cell>
          <cell r="F13075">
            <v>12</v>
          </cell>
        </row>
        <row r="13076">
          <cell r="A13076">
            <v>2019</v>
          </cell>
          <cell r="B13076" t="str">
            <v>Actual</v>
          </cell>
          <cell r="C13076" t="str">
            <v>Dec</v>
          </cell>
          <cell r="D13076" t="str">
            <v>Chairs</v>
          </cell>
          <cell r="E13076">
            <v>159501.54499999998</v>
          </cell>
          <cell r="F13076">
            <v>12</v>
          </cell>
        </row>
        <row r="13077">
          <cell r="A13077">
            <v>2018</v>
          </cell>
          <cell r="B13077" t="str">
            <v>Budget</v>
          </cell>
          <cell r="C13077" t="str">
            <v>Dec</v>
          </cell>
          <cell r="D13077" t="str">
            <v>Chairs</v>
          </cell>
          <cell r="E13077">
            <v>222625.88599999997</v>
          </cell>
          <cell r="F13077">
            <v>12</v>
          </cell>
        </row>
        <row r="13078">
          <cell r="A13078">
            <v>2018</v>
          </cell>
          <cell r="B13078" t="str">
            <v>Actual</v>
          </cell>
          <cell r="C13078" t="str">
            <v>Dec</v>
          </cell>
          <cell r="D13078" t="str">
            <v>Chairs</v>
          </cell>
          <cell r="E13078">
            <v>59624.124000000003</v>
          </cell>
          <cell r="F13078">
            <v>12</v>
          </cell>
        </row>
        <row r="13079">
          <cell r="A13079">
            <v>2019</v>
          </cell>
          <cell r="B13079" t="str">
            <v>Budget</v>
          </cell>
          <cell r="C13079" t="str">
            <v>Dec</v>
          </cell>
          <cell r="D13079" t="str">
            <v>Chairs</v>
          </cell>
          <cell r="E13079">
            <v>227348.58299999998</v>
          </cell>
          <cell r="F13079">
            <v>12</v>
          </cell>
        </row>
        <row r="13080">
          <cell r="A13080">
            <v>2019</v>
          </cell>
          <cell r="B13080" t="str">
            <v>Actual</v>
          </cell>
          <cell r="C13080" t="str">
            <v>Dec</v>
          </cell>
          <cell r="D13080" t="str">
            <v>Tables</v>
          </cell>
          <cell r="E13080">
            <v>79426.739000000001</v>
          </cell>
          <cell r="F13080">
            <v>12</v>
          </cell>
        </row>
        <row r="13081">
          <cell r="A13081">
            <v>2019</v>
          </cell>
          <cell r="B13081" t="str">
            <v>Budget</v>
          </cell>
          <cell r="C13081" t="str">
            <v>Dec</v>
          </cell>
          <cell r="D13081" t="str">
            <v>Kitchen</v>
          </cell>
          <cell r="E13081">
            <v>90091.896999999997</v>
          </cell>
          <cell r="F13081">
            <v>12</v>
          </cell>
        </row>
        <row r="13082">
          <cell r="A13082">
            <v>2019</v>
          </cell>
          <cell r="B13082" t="str">
            <v>Actual</v>
          </cell>
          <cell r="C13082" t="str">
            <v>Dec</v>
          </cell>
          <cell r="D13082" t="str">
            <v>Chairs</v>
          </cell>
          <cell r="E13082">
            <v>97029.036999999997</v>
          </cell>
          <cell r="F13082">
            <v>12</v>
          </cell>
        </row>
        <row r="13083">
          <cell r="A13083">
            <v>2018</v>
          </cell>
          <cell r="B13083" t="str">
            <v>Budget</v>
          </cell>
          <cell r="C13083" t="str">
            <v>Dec</v>
          </cell>
          <cell r="D13083" t="str">
            <v>Chairs</v>
          </cell>
          <cell r="E13083">
            <v>91237.614999999991</v>
          </cell>
          <cell r="F13083">
            <v>12</v>
          </cell>
        </row>
        <row r="13084">
          <cell r="A13084">
            <v>2019</v>
          </cell>
          <cell r="B13084" t="str">
            <v>Actual</v>
          </cell>
          <cell r="C13084" t="str">
            <v>Dec</v>
          </cell>
          <cell r="D13084" t="str">
            <v>Chairs</v>
          </cell>
          <cell r="E13084">
            <v>66610.46699999999</v>
          </cell>
          <cell r="F13084">
            <v>12</v>
          </cell>
        </row>
        <row r="13085">
          <cell r="A13085">
            <v>2018</v>
          </cell>
          <cell r="B13085" t="str">
            <v>Budget</v>
          </cell>
          <cell r="C13085" t="str">
            <v>Dec</v>
          </cell>
          <cell r="D13085" t="str">
            <v>Tables</v>
          </cell>
          <cell r="E13085">
            <v>24437.252</v>
          </cell>
          <cell r="F13085">
            <v>12</v>
          </cell>
        </row>
        <row r="13086">
          <cell r="A13086">
            <v>2018</v>
          </cell>
          <cell r="B13086" t="str">
            <v>Actual</v>
          </cell>
          <cell r="C13086" t="str">
            <v>Dec</v>
          </cell>
          <cell r="D13086" t="str">
            <v>Kitchen</v>
          </cell>
          <cell r="E13086">
            <v>85821.918000000005</v>
          </cell>
          <cell r="F13086">
            <v>12</v>
          </cell>
        </row>
        <row r="13087">
          <cell r="A13087">
            <v>2018</v>
          </cell>
          <cell r="B13087" t="str">
            <v>Budget</v>
          </cell>
          <cell r="C13087" t="str">
            <v>Dec</v>
          </cell>
          <cell r="D13087" t="str">
            <v>Chairs</v>
          </cell>
          <cell r="E13087">
            <v>264737.33999999997</v>
          </cell>
          <cell r="F13087">
            <v>12</v>
          </cell>
        </row>
        <row r="13088">
          <cell r="A13088">
            <v>2018</v>
          </cell>
          <cell r="B13088" t="str">
            <v>Actual</v>
          </cell>
          <cell r="C13088" t="str">
            <v>Dec</v>
          </cell>
          <cell r="D13088" t="str">
            <v>Chairs</v>
          </cell>
          <cell r="E13088">
            <v>91419.362999999998</v>
          </cell>
          <cell r="F13088">
            <v>12</v>
          </cell>
        </row>
        <row r="13089">
          <cell r="A13089">
            <v>2018</v>
          </cell>
          <cell r="B13089" t="str">
            <v>Budget</v>
          </cell>
          <cell r="C13089" t="str">
            <v>Dec</v>
          </cell>
          <cell r="D13089" t="str">
            <v>Tables</v>
          </cell>
          <cell r="E13089">
            <v>470757.48999999993</v>
          </cell>
          <cell r="F13089">
            <v>12</v>
          </cell>
        </row>
        <row r="13090">
          <cell r="A13090">
            <v>2018</v>
          </cell>
          <cell r="B13090" t="str">
            <v>Actual</v>
          </cell>
          <cell r="C13090" t="str">
            <v>Dec</v>
          </cell>
          <cell r="D13090" t="str">
            <v>Kitchen</v>
          </cell>
          <cell r="E13090">
            <v>148521.79299999998</v>
          </cell>
          <cell r="F13090">
            <v>12</v>
          </cell>
        </row>
        <row r="13091">
          <cell r="A13091">
            <v>2019</v>
          </cell>
          <cell r="B13091" t="str">
            <v>Budget</v>
          </cell>
          <cell r="C13091" t="str">
            <v>Dec</v>
          </cell>
          <cell r="D13091" t="str">
            <v>Chairs</v>
          </cell>
          <cell r="E13091">
            <v>145186.18799999999</v>
          </cell>
          <cell r="F13091">
            <v>12</v>
          </cell>
        </row>
        <row r="13092">
          <cell r="A13092">
            <v>2019</v>
          </cell>
          <cell r="B13092" t="str">
            <v>Actual</v>
          </cell>
          <cell r="C13092" t="str">
            <v>Dec</v>
          </cell>
          <cell r="D13092" t="str">
            <v>Chairs</v>
          </cell>
          <cell r="E13092">
            <v>769109.11</v>
          </cell>
          <cell r="F13092">
            <v>12</v>
          </cell>
        </row>
        <row r="13093">
          <cell r="A13093">
            <v>2019</v>
          </cell>
          <cell r="B13093" t="str">
            <v>Budget</v>
          </cell>
          <cell r="C13093" t="str">
            <v>Dec</v>
          </cell>
          <cell r="D13093" t="str">
            <v>Chairs</v>
          </cell>
          <cell r="E13093">
            <v>360021.375</v>
          </cell>
          <cell r="F13093">
            <v>12</v>
          </cell>
        </row>
        <row r="13094">
          <cell r="A13094">
            <v>2018</v>
          </cell>
          <cell r="B13094" t="str">
            <v>Actual</v>
          </cell>
          <cell r="C13094" t="str">
            <v>Dec</v>
          </cell>
          <cell r="D13094" t="str">
            <v>Tables</v>
          </cell>
          <cell r="E13094">
            <v>297941.54599999997</v>
          </cell>
          <cell r="F13094">
            <v>12</v>
          </cell>
        </row>
        <row r="13095">
          <cell r="A13095">
            <v>2019</v>
          </cell>
          <cell r="B13095" t="str">
            <v>Budget</v>
          </cell>
          <cell r="C13095" t="str">
            <v>Dec</v>
          </cell>
          <cell r="D13095" t="str">
            <v>Kitchen</v>
          </cell>
          <cell r="E13095">
            <v>37345.832999999999</v>
          </cell>
          <cell r="F13095">
            <v>12</v>
          </cell>
        </row>
        <row r="13096">
          <cell r="A13096">
            <v>2019</v>
          </cell>
          <cell r="B13096" t="str">
            <v>Actual</v>
          </cell>
          <cell r="C13096" t="str">
            <v>Dec</v>
          </cell>
          <cell r="D13096" t="str">
            <v>Accessories</v>
          </cell>
          <cell r="E13096">
            <v>373287.103</v>
          </cell>
          <cell r="F13096">
            <v>12</v>
          </cell>
        </row>
        <row r="13097">
          <cell r="A13097">
            <v>2018</v>
          </cell>
          <cell r="B13097" t="str">
            <v>Budget</v>
          </cell>
          <cell r="C13097" t="str">
            <v>Dec</v>
          </cell>
          <cell r="D13097" t="str">
            <v>Chairs</v>
          </cell>
          <cell r="E13097">
            <v>104549.886</v>
          </cell>
          <cell r="F13097">
            <v>12</v>
          </cell>
        </row>
        <row r="13098">
          <cell r="A13098">
            <v>2018</v>
          </cell>
          <cell r="B13098" t="str">
            <v>Actual</v>
          </cell>
          <cell r="C13098" t="str">
            <v>Dec</v>
          </cell>
          <cell r="D13098" t="str">
            <v>Tables</v>
          </cell>
          <cell r="E13098">
            <v>254233.049</v>
          </cell>
          <cell r="F13098">
            <v>12</v>
          </cell>
        </row>
        <row r="13099">
          <cell r="A13099">
            <v>2019</v>
          </cell>
          <cell r="B13099" t="str">
            <v>Budget</v>
          </cell>
          <cell r="C13099" t="str">
            <v>Dec</v>
          </cell>
          <cell r="D13099" t="str">
            <v>Kitchen</v>
          </cell>
          <cell r="E13099">
            <v>565803.04899999988</v>
          </cell>
          <cell r="F13099">
            <v>12</v>
          </cell>
        </row>
        <row r="13100">
          <cell r="A13100">
            <v>2018</v>
          </cell>
          <cell r="B13100" t="str">
            <v>Actual</v>
          </cell>
          <cell r="C13100" t="str">
            <v>Dec</v>
          </cell>
          <cell r="D13100" t="str">
            <v>Accessories</v>
          </cell>
          <cell r="E13100">
            <v>812755.97899999993</v>
          </cell>
          <cell r="F13100">
            <v>12</v>
          </cell>
        </row>
        <row r="13101">
          <cell r="A13101">
            <v>2018</v>
          </cell>
          <cell r="B13101" t="str">
            <v>Budget</v>
          </cell>
          <cell r="C13101" t="str">
            <v>Dec</v>
          </cell>
          <cell r="D13101" t="str">
            <v>Chairs</v>
          </cell>
          <cell r="E13101">
            <v>610864.46399999992</v>
          </cell>
          <cell r="F13101">
            <v>12</v>
          </cell>
        </row>
        <row r="13102">
          <cell r="A13102">
            <v>2018</v>
          </cell>
          <cell r="B13102" t="str">
            <v>Actual</v>
          </cell>
          <cell r="C13102" t="str">
            <v>Dec</v>
          </cell>
          <cell r="D13102" t="str">
            <v>Tables</v>
          </cell>
          <cell r="E13102">
            <v>2621576.0759999999</v>
          </cell>
          <cell r="F13102">
            <v>12</v>
          </cell>
        </row>
        <row r="13103">
          <cell r="A13103">
            <v>2018</v>
          </cell>
          <cell r="B13103" t="str">
            <v>Budget</v>
          </cell>
          <cell r="C13103" t="str">
            <v>Dec</v>
          </cell>
          <cell r="D13103" t="str">
            <v>Kitchen</v>
          </cell>
          <cell r="E13103">
            <v>2861894.784</v>
          </cell>
          <cell r="F13103">
            <v>12</v>
          </cell>
        </row>
        <row r="13104">
          <cell r="A13104">
            <v>2018</v>
          </cell>
          <cell r="B13104" t="str">
            <v>Actual</v>
          </cell>
          <cell r="C13104" t="str">
            <v>Dec</v>
          </cell>
          <cell r="D13104" t="str">
            <v>Accessories</v>
          </cell>
          <cell r="E13104">
            <v>149209.53599999999</v>
          </cell>
          <cell r="F13104">
            <v>12</v>
          </cell>
        </row>
        <row r="13105">
          <cell r="A13105">
            <v>2019</v>
          </cell>
          <cell r="B13105" t="str">
            <v>Budget</v>
          </cell>
          <cell r="C13105" t="str">
            <v>Dec</v>
          </cell>
          <cell r="D13105" t="str">
            <v>Chairs</v>
          </cell>
          <cell r="E13105">
            <v>6470871.5889999997</v>
          </cell>
          <cell r="F13105">
            <v>12</v>
          </cell>
        </row>
        <row r="13106">
          <cell r="A13106">
            <v>2018</v>
          </cell>
          <cell r="B13106" t="str">
            <v>Actual</v>
          </cell>
          <cell r="C13106" t="str">
            <v>Dec</v>
          </cell>
          <cell r="D13106" t="str">
            <v>Tables</v>
          </cell>
          <cell r="E13106">
            <v>32601.512999999995</v>
          </cell>
          <cell r="F13106">
            <v>12</v>
          </cell>
        </row>
        <row r="13107">
          <cell r="A13107">
            <v>2018</v>
          </cell>
          <cell r="B13107" t="str">
            <v>Budget</v>
          </cell>
          <cell r="C13107" t="str">
            <v>Dec</v>
          </cell>
          <cell r="D13107" t="str">
            <v>Kitchen</v>
          </cell>
          <cell r="E13107">
            <v>318279.84299999999</v>
          </cell>
          <cell r="F13107">
            <v>12</v>
          </cell>
        </row>
        <row r="13108">
          <cell r="A13108">
            <v>2019</v>
          </cell>
          <cell r="B13108" t="str">
            <v>Actual</v>
          </cell>
          <cell r="C13108" t="str">
            <v>Dec</v>
          </cell>
          <cell r="D13108" t="str">
            <v>Accessories</v>
          </cell>
          <cell r="E13108">
            <v>3005877.6370000001</v>
          </cell>
          <cell r="F13108">
            <v>12</v>
          </cell>
        </row>
        <row r="13109">
          <cell r="A13109">
            <v>2019</v>
          </cell>
          <cell r="B13109" t="str">
            <v>Budget</v>
          </cell>
          <cell r="C13109" t="str">
            <v>Dec</v>
          </cell>
          <cell r="D13109" t="str">
            <v>Chairs</v>
          </cell>
          <cell r="E13109">
            <v>2121228.1719999998</v>
          </cell>
          <cell r="F13109">
            <v>12</v>
          </cell>
        </row>
        <row r="13110">
          <cell r="A13110">
            <v>2019</v>
          </cell>
          <cell r="B13110" t="str">
            <v>Actual</v>
          </cell>
          <cell r="C13110" t="str">
            <v>Dec</v>
          </cell>
          <cell r="D13110" t="str">
            <v>Chairs</v>
          </cell>
          <cell r="E13110">
            <v>255143.63</v>
          </cell>
          <cell r="F13110">
            <v>12</v>
          </cell>
        </row>
        <row r="13111">
          <cell r="A13111">
            <v>2019</v>
          </cell>
          <cell r="B13111" t="str">
            <v>Budget</v>
          </cell>
          <cell r="C13111" t="str">
            <v>Dec</v>
          </cell>
          <cell r="D13111" t="str">
            <v>Tables</v>
          </cell>
          <cell r="E13111">
            <v>506923.29799999995</v>
          </cell>
          <cell r="F13111">
            <v>12</v>
          </cell>
        </row>
        <row r="13112">
          <cell r="A13112">
            <v>2018</v>
          </cell>
          <cell r="B13112" t="str">
            <v>Actual</v>
          </cell>
          <cell r="C13112" t="str">
            <v>Dec</v>
          </cell>
          <cell r="D13112" t="str">
            <v>Kitchen</v>
          </cell>
          <cell r="E13112">
            <v>21.167999999999999</v>
          </cell>
          <cell r="F13112">
            <v>12</v>
          </cell>
        </row>
        <row r="13113">
          <cell r="A13113">
            <v>2018</v>
          </cell>
          <cell r="B13113" t="str">
            <v>Budget</v>
          </cell>
          <cell r="C13113" t="str">
            <v>Dec</v>
          </cell>
          <cell r="D13113" t="str">
            <v>Chairs</v>
          </cell>
          <cell r="E13113">
            <v>1195.2639999999999</v>
          </cell>
          <cell r="F13113">
            <v>12</v>
          </cell>
        </row>
        <row r="13114">
          <cell r="A13114">
            <v>2018</v>
          </cell>
          <cell r="B13114" t="str">
            <v>Actual</v>
          </cell>
          <cell r="C13114" t="str">
            <v>Dec</v>
          </cell>
          <cell r="D13114" t="str">
            <v>Tables</v>
          </cell>
          <cell r="E13114">
            <v>311209.56300000002</v>
          </cell>
          <cell r="F13114">
            <v>12</v>
          </cell>
        </row>
        <row r="13115">
          <cell r="A13115">
            <v>2018</v>
          </cell>
          <cell r="B13115" t="str">
            <v>Budget</v>
          </cell>
          <cell r="C13115" t="str">
            <v>Dec</v>
          </cell>
          <cell r="D13115" t="str">
            <v>Kitchen</v>
          </cell>
          <cell r="E13115">
            <v>1955849.8329999999</v>
          </cell>
          <cell r="F13115">
            <v>12</v>
          </cell>
        </row>
        <row r="13116">
          <cell r="A13116">
            <v>2018</v>
          </cell>
          <cell r="B13116" t="str">
            <v>Actual</v>
          </cell>
          <cell r="C13116" t="str">
            <v>Dec</v>
          </cell>
          <cell r="D13116" t="str">
            <v>Chairs</v>
          </cell>
          <cell r="E13116">
            <v>2513183.7569999998</v>
          </cell>
          <cell r="F13116">
            <v>12</v>
          </cell>
        </row>
        <row r="13117">
          <cell r="A13117">
            <v>2019</v>
          </cell>
          <cell r="B13117" t="str">
            <v>Budget</v>
          </cell>
          <cell r="C13117" t="str">
            <v>Dec</v>
          </cell>
          <cell r="D13117" t="str">
            <v>Tables</v>
          </cell>
          <cell r="E13117">
            <v>7915053.9649999989</v>
          </cell>
          <cell r="F13117">
            <v>12</v>
          </cell>
        </row>
        <row r="13118">
          <cell r="A13118">
            <v>2018</v>
          </cell>
          <cell r="B13118" t="str">
            <v>Actual</v>
          </cell>
          <cell r="C13118" t="str">
            <v>Dec</v>
          </cell>
          <cell r="D13118" t="str">
            <v>Kitchen</v>
          </cell>
          <cell r="E13118">
            <v>414470.02799999999</v>
          </cell>
          <cell r="F13118">
            <v>12</v>
          </cell>
        </row>
        <row r="13119">
          <cell r="A13119">
            <v>2019</v>
          </cell>
          <cell r="B13119" t="str">
            <v>Budget</v>
          </cell>
          <cell r="C13119" t="str">
            <v>Dec</v>
          </cell>
          <cell r="D13119" t="str">
            <v>Chairs</v>
          </cell>
          <cell r="E13119">
            <v>505716.87599999999</v>
          </cell>
          <cell r="F13119">
            <v>12</v>
          </cell>
        </row>
        <row r="13120">
          <cell r="A13120">
            <v>2018</v>
          </cell>
          <cell r="B13120" t="str">
            <v>Actual</v>
          </cell>
          <cell r="C13120" t="str">
            <v>Dec</v>
          </cell>
          <cell r="D13120" t="str">
            <v>Chairs</v>
          </cell>
          <cell r="E13120">
            <v>378808.68900000001</v>
          </cell>
          <cell r="F13120">
            <v>12</v>
          </cell>
        </row>
        <row r="13121">
          <cell r="A13121">
            <v>2019</v>
          </cell>
          <cell r="B13121" t="str">
            <v>Budget</v>
          </cell>
          <cell r="C13121" t="str">
            <v>Dec</v>
          </cell>
          <cell r="D13121" t="str">
            <v>Chairs</v>
          </cell>
          <cell r="E13121">
            <v>391585.005</v>
          </cell>
          <cell r="F13121">
            <v>12</v>
          </cell>
        </row>
        <row r="13122">
          <cell r="A13122">
            <v>2018</v>
          </cell>
          <cell r="B13122" t="str">
            <v>Actual</v>
          </cell>
          <cell r="C13122" t="str">
            <v>Dec</v>
          </cell>
          <cell r="D13122" t="str">
            <v>Chairs</v>
          </cell>
          <cell r="E13122">
            <v>103922.88899999998</v>
          </cell>
          <cell r="F13122">
            <v>12</v>
          </cell>
        </row>
        <row r="13123">
          <cell r="A13123">
            <v>2019</v>
          </cell>
          <cell r="B13123" t="str">
            <v>Budget</v>
          </cell>
          <cell r="C13123" t="str">
            <v>Dec</v>
          </cell>
          <cell r="D13123" t="str">
            <v>Chairs</v>
          </cell>
          <cell r="E13123">
            <v>295276.20500000002</v>
          </cell>
          <cell r="F13123">
            <v>12</v>
          </cell>
        </row>
        <row r="13124">
          <cell r="A13124">
            <v>2018</v>
          </cell>
          <cell r="B13124" t="str">
            <v>Actual</v>
          </cell>
          <cell r="C13124" t="str">
            <v>Dec</v>
          </cell>
          <cell r="D13124" t="str">
            <v>Chairs</v>
          </cell>
          <cell r="E13124">
            <v>6801109.9379999992</v>
          </cell>
          <cell r="F13124">
            <v>12</v>
          </cell>
        </row>
        <row r="13125">
          <cell r="A13125">
            <v>2018</v>
          </cell>
          <cell r="B13125" t="str">
            <v>Budget</v>
          </cell>
          <cell r="C13125" t="str">
            <v>Dec</v>
          </cell>
          <cell r="D13125" t="str">
            <v>Chairs</v>
          </cell>
          <cell r="E13125">
            <v>606288.16499999992</v>
          </cell>
          <cell r="F13125">
            <v>12</v>
          </cell>
        </row>
        <row r="13126">
          <cell r="A13126">
            <v>2018</v>
          </cell>
          <cell r="B13126" t="str">
            <v>Actual</v>
          </cell>
          <cell r="C13126" t="str">
            <v>Dec</v>
          </cell>
          <cell r="D13126" t="str">
            <v>Chairs</v>
          </cell>
          <cell r="E13126">
            <v>1721108.2489999998</v>
          </cell>
          <cell r="F13126">
            <v>12</v>
          </cell>
        </row>
        <row r="13127">
          <cell r="A13127">
            <v>2018</v>
          </cell>
          <cell r="B13127" t="str">
            <v>Budget</v>
          </cell>
          <cell r="C13127" t="str">
            <v>Dec</v>
          </cell>
          <cell r="D13127" t="str">
            <v>Chairs</v>
          </cell>
          <cell r="E13127">
            <v>3578761.662</v>
          </cell>
          <cell r="F13127">
            <v>12</v>
          </cell>
        </row>
        <row r="13128">
          <cell r="A13128">
            <v>2019</v>
          </cell>
          <cell r="B13128" t="str">
            <v>Actual</v>
          </cell>
          <cell r="C13128" t="str">
            <v>Dec</v>
          </cell>
          <cell r="D13128" t="str">
            <v>Chairs</v>
          </cell>
          <cell r="E13128">
            <v>488433.946</v>
          </cell>
          <cell r="F13128">
            <v>12</v>
          </cell>
        </row>
        <row r="13129">
          <cell r="A13129">
            <v>2019</v>
          </cell>
          <cell r="B13129" t="str">
            <v>Budget</v>
          </cell>
          <cell r="C13129" t="str">
            <v>Dec</v>
          </cell>
          <cell r="D13129" t="str">
            <v>Chairs</v>
          </cell>
          <cell r="E13129">
            <v>720515.103</v>
          </cell>
          <cell r="F13129">
            <v>12</v>
          </cell>
        </row>
        <row r="13130">
          <cell r="A13130">
            <v>2019</v>
          </cell>
          <cell r="B13130" t="str">
            <v>Actual</v>
          </cell>
          <cell r="C13130" t="str">
            <v>Dec</v>
          </cell>
          <cell r="D13130" t="str">
            <v>Chairs</v>
          </cell>
          <cell r="E13130">
            <v>3566027.43</v>
          </cell>
          <cell r="F13130">
            <v>12</v>
          </cell>
        </row>
        <row r="13131">
          <cell r="A13131">
            <v>2019</v>
          </cell>
          <cell r="B13131" t="str">
            <v>Budget</v>
          </cell>
          <cell r="C13131" t="str">
            <v>Dec</v>
          </cell>
          <cell r="D13131" t="str">
            <v>Chairs</v>
          </cell>
          <cell r="E13131">
            <v>1058670.8929999999</v>
          </cell>
          <cell r="F13131">
            <v>12</v>
          </cell>
        </row>
        <row r="13132">
          <cell r="A13132">
            <v>2018</v>
          </cell>
          <cell r="B13132" t="str">
            <v>Actual</v>
          </cell>
          <cell r="C13132" t="str">
            <v>Dec</v>
          </cell>
          <cell r="D13132" t="str">
            <v>Chairs</v>
          </cell>
          <cell r="E13132">
            <v>639385.11</v>
          </cell>
          <cell r="F13132">
            <v>12</v>
          </cell>
        </row>
        <row r="13133">
          <cell r="A13133">
            <v>2018</v>
          </cell>
          <cell r="B13133" t="str">
            <v>Budget</v>
          </cell>
          <cell r="C13133" t="str">
            <v>Dec</v>
          </cell>
          <cell r="D13133" t="str">
            <v>Chairs</v>
          </cell>
          <cell r="E13133">
            <v>132948.28399999999</v>
          </cell>
          <cell r="F13133">
            <v>12</v>
          </cell>
        </row>
        <row r="13134">
          <cell r="A13134">
            <v>2019</v>
          </cell>
          <cell r="B13134" t="str">
            <v>Actual</v>
          </cell>
          <cell r="C13134" t="str">
            <v>Dec</v>
          </cell>
          <cell r="D13134" t="str">
            <v>Chairs</v>
          </cell>
          <cell r="E13134">
            <v>2718263.6879999996</v>
          </cell>
          <cell r="F13134">
            <v>12</v>
          </cell>
        </row>
        <row r="13135">
          <cell r="A13135">
            <v>2018</v>
          </cell>
          <cell r="B13135" t="str">
            <v>Budget</v>
          </cell>
          <cell r="C13135" t="str">
            <v>Dec</v>
          </cell>
          <cell r="D13135" t="str">
            <v>Chairs</v>
          </cell>
          <cell r="E13135">
            <v>316459.815</v>
          </cell>
          <cell r="F13135">
            <v>12</v>
          </cell>
        </row>
        <row r="13136">
          <cell r="A13136">
            <v>2019</v>
          </cell>
          <cell r="B13136" t="str">
            <v>Actual</v>
          </cell>
          <cell r="C13136" t="str">
            <v>Dec</v>
          </cell>
          <cell r="D13136" t="str">
            <v>Chairs</v>
          </cell>
          <cell r="E13136">
            <v>575645.826</v>
          </cell>
          <cell r="F13136">
            <v>12</v>
          </cell>
        </row>
        <row r="13137">
          <cell r="A13137">
            <v>2018</v>
          </cell>
          <cell r="B13137" t="str">
            <v>Budget</v>
          </cell>
          <cell r="C13137" t="str">
            <v>Dec</v>
          </cell>
          <cell r="D13137" t="str">
            <v>Chairs</v>
          </cell>
          <cell r="E13137">
            <v>1225776.3909999998</v>
          </cell>
          <cell r="F13137">
            <v>12</v>
          </cell>
        </row>
        <row r="13138">
          <cell r="A13138">
            <v>2018</v>
          </cell>
          <cell r="B13138" t="str">
            <v>Actual</v>
          </cell>
          <cell r="C13138" t="str">
            <v>Dec</v>
          </cell>
          <cell r="D13138" t="str">
            <v>Chairs</v>
          </cell>
          <cell r="E13138">
            <v>1463796.6909999999</v>
          </cell>
          <cell r="F13138">
            <v>12</v>
          </cell>
        </row>
        <row r="13139">
          <cell r="A13139">
            <v>2019</v>
          </cell>
          <cell r="B13139" t="str">
            <v>Budget</v>
          </cell>
          <cell r="C13139" t="str">
            <v>Dec</v>
          </cell>
          <cell r="D13139" t="str">
            <v>Chairs</v>
          </cell>
          <cell r="E13139">
            <v>110636.16900000001</v>
          </cell>
          <cell r="F13139">
            <v>12</v>
          </cell>
        </row>
        <row r="13140">
          <cell r="A13140">
            <v>2019</v>
          </cell>
          <cell r="B13140" t="str">
            <v>Actual</v>
          </cell>
          <cell r="C13140" t="str">
            <v>Dec</v>
          </cell>
          <cell r="D13140" t="str">
            <v>Chairs</v>
          </cell>
          <cell r="E13140">
            <v>612053.09199999995</v>
          </cell>
          <cell r="F13140">
            <v>12</v>
          </cell>
        </row>
        <row r="13141">
          <cell r="A13141">
            <v>2019</v>
          </cell>
          <cell r="B13141" t="str">
            <v>Budget</v>
          </cell>
          <cell r="C13141" t="str">
            <v>Dec</v>
          </cell>
          <cell r="D13141" t="str">
            <v>Chairs</v>
          </cell>
          <cell r="E13141">
            <v>367328.85699999996</v>
          </cell>
          <cell r="F13141">
            <v>12</v>
          </cell>
        </row>
        <row r="13142">
          <cell r="A13142">
            <v>2019</v>
          </cell>
          <cell r="B13142" t="str">
            <v>Actual</v>
          </cell>
          <cell r="C13142" t="str">
            <v>Dec</v>
          </cell>
          <cell r="D13142" t="str">
            <v>Chairs</v>
          </cell>
          <cell r="E13142">
            <v>458632.65700000001</v>
          </cell>
          <cell r="F13142">
            <v>12</v>
          </cell>
        </row>
        <row r="13143">
          <cell r="A13143">
            <v>2019</v>
          </cell>
          <cell r="B13143" t="str">
            <v>Budget</v>
          </cell>
          <cell r="C13143" t="str">
            <v>Dec</v>
          </cell>
          <cell r="D13143" t="str">
            <v>Chairs</v>
          </cell>
          <cell r="E13143">
            <v>656976.02599999995</v>
          </cell>
          <cell r="F13143">
            <v>12</v>
          </cell>
        </row>
        <row r="13144">
          <cell r="A13144">
            <v>2018</v>
          </cell>
          <cell r="B13144" t="str">
            <v>Actual</v>
          </cell>
          <cell r="C13144" t="str">
            <v>Dec</v>
          </cell>
          <cell r="D13144" t="str">
            <v>Chairs</v>
          </cell>
          <cell r="E13144">
            <v>494703.67099999997</v>
          </cell>
          <cell r="F13144">
            <v>12</v>
          </cell>
        </row>
        <row r="13145">
          <cell r="A13145">
            <v>2019</v>
          </cell>
          <cell r="B13145" t="str">
            <v>Budget</v>
          </cell>
          <cell r="C13145" t="str">
            <v>Dec</v>
          </cell>
          <cell r="D13145" t="str">
            <v>Tables</v>
          </cell>
          <cell r="E13145">
            <v>326704.70699999999</v>
          </cell>
          <cell r="F13145">
            <v>12</v>
          </cell>
        </row>
        <row r="13146">
          <cell r="A13146">
            <v>2018</v>
          </cell>
          <cell r="B13146" t="str">
            <v>Actual</v>
          </cell>
          <cell r="C13146" t="str">
            <v>Dec</v>
          </cell>
          <cell r="D13146" t="str">
            <v>Kitchen</v>
          </cell>
          <cell r="E13146">
            <v>167575.77899999998</v>
          </cell>
          <cell r="F13146">
            <v>12</v>
          </cell>
        </row>
        <row r="13147">
          <cell r="A13147">
            <v>2019</v>
          </cell>
          <cell r="B13147" t="str">
            <v>Budget</v>
          </cell>
          <cell r="C13147" t="str">
            <v>Dec</v>
          </cell>
          <cell r="D13147" t="str">
            <v>Chairs</v>
          </cell>
          <cell r="E13147">
            <v>372683.52799999999</v>
          </cell>
          <cell r="F13147">
            <v>12</v>
          </cell>
        </row>
        <row r="13148">
          <cell r="A13148">
            <v>2018</v>
          </cell>
          <cell r="B13148" t="str">
            <v>Actual</v>
          </cell>
          <cell r="C13148" t="str">
            <v>Dec</v>
          </cell>
          <cell r="D13148" t="str">
            <v>Chairs</v>
          </cell>
          <cell r="E13148">
            <v>151384.00899999999</v>
          </cell>
          <cell r="F13148">
            <v>12</v>
          </cell>
        </row>
        <row r="13149">
          <cell r="A13149">
            <v>2019</v>
          </cell>
          <cell r="B13149" t="str">
            <v>Budget</v>
          </cell>
          <cell r="C13149" t="str">
            <v>Dec</v>
          </cell>
          <cell r="D13149" t="str">
            <v>Chairs</v>
          </cell>
          <cell r="E13149">
            <v>49021.174999999996</v>
          </cell>
          <cell r="F13149">
            <v>12</v>
          </cell>
        </row>
        <row r="13150">
          <cell r="A13150">
            <v>2019</v>
          </cell>
          <cell r="B13150" t="str">
            <v>Actual</v>
          </cell>
          <cell r="C13150" t="str">
            <v>Dec</v>
          </cell>
          <cell r="D13150" t="str">
            <v>Chairs</v>
          </cell>
          <cell r="E13150">
            <v>321225.891</v>
          </cell>
          <cell r="F13150">
            <v>12</v>
          </cell>
        </row>
        <row r="13151">
          <cell r="A13151">
            <v>2019</v>
          </cell>
          <cell r="B13151" t="str">
            <v>Budget</v>
          </cell>
          <cell r="C13151" t="str">
            <v>Dec</v>
          </cell>
          <cell r="D13151" t="str">
            <v>Chairs</v>
          </cell>
          <cell r="E13151">
            <v>306790.17599999998</v>
          </cell>
          <cell r="F13151">
            <v>12</v>
          </cell>
        </row>
        <row r="13152">
          <cell r="A13152">
            <v>2019</v>
          </cell>
          <cell r="B13152" t="str">
            <v>Actual</v>
          </cell>
          <cell r="C13152" t="str">
            <v>Dec</v>
          </cell>
          <cell r="D13152" t="str">
            <v>Tables</v>
          </cell>
          <cell r="E13152">
            <v>155649.753</v>
          </cell>
          <cell r="F13152">
            <v>12</v>
          </cell>
        </row>
        <row r="13153">
          <cell r="A13153">
            <v>2019</v>
          </cell>
          <cell r="B13153" t="str">
            <v>Budget</v>
          </cell>
          <cell r="C13153" t="str">
            <v>Dec</v>
          </cell>
          <cell r="D13153" t="str">
            <v>Kitchen</v>
          </cell>
          <cell r="E13153">
            <v>244623.84099999999</v>
          </cell>
          <cell r="F13153">
            <v>12</v>
          </cell>
        </row>
        <row r="13154">
          <cell r="A13154">
            <v>2018</v>
          </cell>
          <cell r="B13154" t="str">
            <v>Actual</v>
          </cell>
          <cell r="C13154" t="str">
            <v>Dec</v>
          </cell>
          <cell r="D13154" t="str">
            <v>Chairs</v>
          </cell>
          <cell r="E13154">
            <v>53930.485000000001</v>
          </cell>
          <cell r="F13154">
            <v>12</v>
          </cell>
        </row>
        <row r="13155">
          <cell r="A13155">
            <v>2018</v>
          </cell>
          <cell r="B13155" t="str">
            <v>Budget</v>
          </cell>
          <cell r="C13155" t="str">
            <v>Dec</v>
          </cell>
          <cell r="D13155" t="str">
            <v>Chairs</v>
          </cell>
          <cell r="E13155">
            <v>345524.11599999998</v>
          </cell>
          <cell r="F13155">
            <v>12</v>
          </cell>
        </row>
        <row r="13156">
          <cell r="A13156">
            <v>2018</v>
          </cell>
          <cell r="B13156" t="str">
            <v>Actual</v>
          </cell>
          <cell r="C13156" t="str">
            <v>Dec</v>
          </cell>
          <cell r="D13156" t="str">
            <v>Chairs</v>
          </cell>
          <cell r="E13156">
            <v>154388.56299999999</v>
          </cell>
          <cell r="F13156">
            <v>12</v>
          </cell>
        </row>
        <row r="13157">
          <cell r="A13157">
            <v>2018</v>
          </cell>
          <cell r="B13157" t="str">
            <v>Budget</v>
          </cell>
          <cell r="C13157" t="str">
            <v>Dec</v>
          </cell>
          <cell r="D13157" t="str">
            <v>Tables</v>
          </cell>
          <cell r="E13157">
            <v>80771.445999999996</v>
          </cell>
          <cell r="F13157">
            <v>12</v>
          </cell>
        </row>
        <row r="13158">
          <cell r="A13158">
            <v>2018</v>
          </cell>
          <cell r="B13158" t="str">
            <v>Actual</v>
          </cell>
          <cell r="C13158" t="str">
            <v>Dec</v>
          </cell>
          <cell r="D13158" t="str">
            <v>Kitchen</v>
          </cell>
          <cell r="E13158">
            <v>261035.11</v>
          </cell>
          <cell r="F13158">
            <v>12</v>
          </cell>
        </row>
        <row r="13159">
          <cell r="A13159">
            <v>2019</v>
          </cell>
          <cell r="B13159" t="str">
            <v>Budget</v>
          </cell>
          <cell r="C13159" t="str">
            <v>Dec</v>
          </cell>
          <cell r="D13159" t="str">
            <v>Chairs</v>
          </cell>
          <cell r="E13159">
            <v>2194759.6510000001</v>
          </cell>
          <cell r="F13159">
            <v>12</v>
          </cell>
        </row>
        <row r="13160">
          <cell r="A13160">
            <v>2018</v>
          </cell>
          <cell r="B13160" t="str">
            <v>Actual</v>
          </cell>
          <cell r="C13160" t="str">
            <v>Dec</v>
          </cell>
          <cell r="D13160" t="str">
            <v>Chairs</v>
          </cell>
          <cell r="E13160">
            <v>777527.33799999999</v>
          </cell>
          <cell r="F13160">
            <v>12</v>
          </cell>
        </row>
        <row r="13161">
          <cell r="A13161">
            <v>2018</v>
          </cell>
          <cell r="B13161" t="str">
            <v>Budget</v>
          </cell>
          <cell r="C13161" t="str">
            <v>Dec</v>
          </cell>
          <cell r="D13161" t="str">
            <v>Tables</v>
          </cell>
          <cell r="E13161">
            <v>761864.12399999995</v>
          </cell>
          <cell r="F13161">
            <v>12</v>
          </cell>
        </row>
        <row r="13162">
          <cell r="A13162">
            <v>2018</v>
          </cell>
          <cell r="B13162" t="str">
            <v>Actual</v>
          </cell>
          <cell r="C13162" t="str">
            <v>Dec</v>
          </cell>
          <cell r="D13162" t="str">
            <v>Kitchen</v>
          </cell>
          <cell r="E13162">
            <v>625401.80499999993</v>
          </cell>
          <cell r="F13162">
            <v>12</v>
          </cell>
        </row>
        <row r="13163">
          <cell r="A13163">
            <v>2018</v>
          </cell>
          <cell r="B13163" t="str">
            <v>Budget</v>
          </cell>
          <cell r="C13163" t="str">
            <v>Dec</v>
          </cell>
          <cell r="D13163" t="str">
            <v>Chairs</v>
          </cell>
          <cell r="E13163">
            <v>93304.519</v>
          </cell>
          <cell r="F13163">
            <v>12</v>
          </cell>
        </row>
        <row r="13164">
          <cell r="A13164">
            <v>2019</v>
          </cell>
          <cell r="B13164" t="str">
            <v>Actual</v>
          </cell>
          <cell r="C13164" t="str">
            <v>Dec</v>
          </cell>
          <cell r="D13164" t="str">
            <v>Chairs</v>
          </cell>
          <cell r="E13164">
            <v>140216.44</v>
          </cell>
          <cell r="F13164">
            <v>12</v>
          </cell>
        </row>
        <row r="13165">
          <cell r="A13165">
            <v>2019</v>
          </cell>
          <cell r="B13165" t="str">
            <v>Budget</v>
          </cell>
          <cell r="C13165" t="str">
            <v>Dec</v>
          </cell>
          <cell r="D13165" t="str">
            <v>Chairs</v>
          </cell>
          <cell r="E13165">
            <v>296258.38199999998</v>
          </cell>
          <cell r="F13165">
            <v>12</v>
          </cell>
        </row>
        <row r="13166">
          <cell r="A13166">
            <v>2019</v>
          </cell>
          <cell r="B13166" t="str">
            <v>Actual</v>
          </cell>
          <cell r="C13166" t="str">
            <v>Dec</v>
          </cell>
          <cell r="D13166" t="str">
            <v>Tables</v>
          </cell>
          <cell r="E13166">
            <v>45502.680999999997</v>
          </cell>
          <cell r="F13166">
            <v>12</v>
          </cell>
        </row>
        <row r="13167">
          <cell r="A13167">
            <v>2019</v>
          </cell>
          <cell r="B13167" t="str">
            <v>Budget</v>
          </cell>
          <cell r="C13167" t="str">
            <v>Dec</v>
          </cell>
          <cell r="D13167" t="str">
            <v>Kitchen</v>
          </cell>
          <cell r="E13167">
            <v>3366749.9949999996</v>
          </cell>
          <cell r="F13167">
            <v>12</v>
          </cell>
        </row>
        <row r="13168">
          <cell r="A13168">
            <v>2019</v>
          </cell>
          <cell r="B13168" t="str">
            <v>Actual</v>
          </cell>
          <cell r="C13168" t="str">
            <v>Dec</v>
          </cell>
          <cell r="D13168" t="str">
            <v>Accessories</v>
          </cell>
          <cell r="E13168">
            <v>9881.0249999999996</v>
          </cell>
          <cell r="F13168">
            <v>12</v>
          </cell>
        </row>
        <row r="13169">
          <cell r="A13169">
            <v>2018</v>
          </cell>
          <cell r="B13169" t="str">
            <v>Budget</v>
          </cell>
          <cell r="C13169" t="str">
            <v>Dec</v>
          </cell>
          <cell r="D13169" t="str">
            <v>Chairs</v>
          </cell>
          <cell r="E13169">
            <v>20383.894999999997</v>
          </cell>
          <cell r="F13169">
            <v>12</v>
          </cell>
        </row>
        <row r="13170">
          <cell r="A13170">
            <v>2019</v>
          </cell>
          <cell r="B13170" t="str">
            <v>Actual</v>
          </cell>
          <cell r="C13170" t="str">
            <v>Dec</v>
          </cell>
          <cell r="D13170" t="str">
            <v>Tables</v>
          </cell>
          <cell r="E13170">
            <v>226712.40199999997</v>
          </cell>
          <cell r="F13170">
            <v>12</v>
          </cell>
        </row>
        <row r="13171">
          <cell r="A13171">
            <v>2018</v>
          </cell>
          <cell r="B13171" t="str">
            <v>Budget</v>
          </cell>
          <cell r="C13171" t="str">
            <v>Dec</v>
          </cell>
          <cell r="D13171" t="str">
            <v>Kitchen</v>
          </cell>
          <cell r="E13171">
            <v>13220.668999999998</v>
          </cell>
          <cell r="F13171">
            <v>12</v>
          </cell>
        </row>
        <row r="13172">
          <cell r="A13172">
            <v>2019</v>
          </cell>
          <cell r="B13172" t="str">
            <v>Actual</v>
          </cell>
          <cell r="C13172" t="str">
            <v>Dec</v>
          </cell>
          <cell r="D13172" t="str">
            <v>Accessories</v>
          </cell>
          <cell r="E13172">
            <v>38551.792999999998</v>
          </cell>
          <cell r="F13172">
            <v>12</v>
          </cell>
        </row>
        <row r="13173">
          <cell r="A13173">
            <v>2018</v>
          </cell>
          <cell r="B13173" t="str">
            <v>Budget</v>
          </cell>
          <cell r="C13173" t="str">
            <v>Dec</v>
          </cell>
          <cell r="D13173" t="str">
            <v>Chairs</v>
          </cell>
          <cell r="E13173">
            <v>418033.70699999999</v>
          </cell>
          <cell r="F13173">
            <v>12</v>
          </cell>
        </row>
        <row r="13174">
          <cell r="A13174">
            <v>2019</v>
          </cell>
          <cell r="B13174" t="str">
            <v>Actual</v>
          </cell>
          <cell r="C13174" t="str">
            <v>Dec</v>
          </cell>
          <cell r="D13174" t="str">
            <v>Tables</v>
          </cell>
          <cell r="E13174">
            <v>157854.291</v>
          </cell>
          <cell r="F13174">
            <v>12</v>
          </cell>
        </row>
        <row r="13175">
          <cell r="A13175">
            <v>2019</v>
          </cell>
          <cell r="B13175" t="str">
            <v>Budget</v>
          </cell>
          <cell r="C13175" t="str">
            <v>Dec</v>
          </cell>
          <cell r="D13175" t="str">
            <v>Kitchen</v>
          </cell>
          <cell r="E13175">
            <v>102801.34199999999</v>
          </cell>
          <cell r="F13175">
            <v>12</v>
          </cell>
        </row>
        <row r="13176">
          <cell r="A13176">
            <v>2018</v>
          </cell>
          <cell r="B13176" t="str">
            <v>Actual</v>
          </cell>
          <cell r="C13176" t="str">
            <v>Dec</v>
          </cell>
          <cell r="D13176" t="str">
            <v>Accessories</v>
          </cell>
          <cell r="E13176">
            <v>131946.948</v>
          </cell>
          <cell r="F13176">
            <v>12</v>
          </cell>
        </row>
        <row r="13177">
          <cell r="A13177">
            <v>2019</v>
          </cell>
          <cell r="B13177" t="str">
            <v>Budget</v>
          </cell>
          <cell r="C13177" t="str">
            <v>Dec</v>
          </cell>
          <cell r="D13177" t="str">
            <v>Chairs</v>
          </cell>
          <cell r="E13177">
            <v>64874.606999999989</v>
          </cell>
          <cell r="F13177">
            <v>12</v>
          </cell>
        </row>
        <row r="13178">
          <cell r="A13178">
            <v>2018</v>
          </cell>
          <cell r="B13178" t="str">
            <v>Actual</v>
          </cell>
          <cell r="C13178" t="str">
            <v>Dec</v>
          </cell>
          <cell r="D13178" t="str">
            <v>Tables</v>
          </cell>
          <cell r="E13178">
            <v>24704.924999999999</v>
          </cell>
          <cell r="F13178">
            <v>12</v>
          </cell>
        </row>
        <row r="13179">
          <cell r="A13179">
            <v>2018</v>
          </cell>
          <cell r="B13179" t="str">
            <v>Budget</v>
          </cell>
          <cell r="C13179" t="str">
            <v>Dec</v>
          </cell>
          <cell r="D13179" t="str">
            <v>Kitchen</v>
          </cell>
          <cell r="E13179">
            <v>465651.82999999996</v>
          </cell>
          <cell r="F13179">
            <v>12</v>
          </cell>
        </row>
        <row r="13180">
          <cell r="A13180">
            <v>2018</v>
          </cell>
          <cell r="B13180" t="str">
            <v>Actual</v>
          </cell>
          <cell r="C13180" t="str">
            <v>Dec</v>
          </cell>
          <cell r="D13180" t="str">
            <v>Accessories</v>
          </cell>
          <cell r="E13180">
            <v>188138.67799999999</v>
          </cell>
          <cell r="F13180">
            <v>12</v>
          </cell>
        </row>
        <row r="13181">
          <cell r="A13181">
            <v>2018</v>
          </cell>
          <cell r="B13181" t="str">
            <v>Budget</v>
          </cell>
          <cell r="C13181" t="str">
            <v>Dec</v>
          </cell>
          <cell r="D13181" t="str">
            <v>Chairs</v>
          </cell>
          <cell r="E13181">
            <v>228699.20500000002</v>
          </cell>
          <cell r="F13181">
            <v>12</v>
          </cell>
        </row>
        <row r="13182">
          <cell r="A13182">
            <v>2019</v>
          </cell>
          <cell r="B13182" t="str">
            <v>Actual</v>
          </cell>
          <cell r="C13182" t="str">
            <v>Dec</v>
          </cell>
          <cell r="D13182" t="str">
            <v>Chairs</v>
          </cell>
          <cell r="E13182">
            <v>66798.689999999988</v>
          </cell>
          <cell r="F13182">
            <v>12</v>
          </cell>
        </row>
        <row r="13183">
          <cell r="A13183">
            <v>2018</v>
          </cell>
          <cell r="B13183" t="str">
            <v>Budget</v>
          </cell>
          <cell r="C13183" t="str">
            <v>Dec</v>
          </cell>
          <cell r="D13183" t="str">
            <v>Tables</v>
          </cell>
          <cell r="E13183">
            <v>592842.26399999997</v>
          </cell>
          <cell r="F13183">
            <v>12</v>
          </cell>
        </row>
        <row r="13184">
          <cell r="A13184">
            <v>2019</v>
          </cell>
          <cell r="B13184" t="str">
            <v>Actual</v>
          </cell>
          <cell r="C13184" t="str">
            <v>Dec</v>
          </cell>
          <cell r="D13184" t="str">
            <v>Kitchen</v>
          </cell>
          <cell r="E13184">
            <v>1115008.139</v>
          </cell>
          <cell r="F13184">
            <v>12</v>
          </cell>
        </row>
        <row r="13185">
          <cell r="A13185">
            <v>2019</v>
          </cell>
          <cell r="B13185" t="str">
            <v>Budget</v>
          </cell>
          <cell r="C13185" t="str">
            <v>Dec</v>
          </cell>
          <cell r="D13185" t="str">
            <v>Chairs</v>
          </cell>
          <cell r="E13185">
            <v>-262456.67</v>
          </cell>
          <cell r="F13185">
            <v>12</v>
          </cell>
        </row>
        <row r="13186">
          <cell r="A13186">
            <v>2018</v>
          </cell>
          <cell r="B13186" t="str">
            <v>Actual</v>
          </cell>
          <cell r="C13186" t="str">
            <v>Dec</v>
          </cell>
          <cell r="D13186" t="str">
            <v>Tables</v>
          </cell>
          <cell r="E13186">
            <v>-689819.73899999994</v>
          </cell>
          <cell r="F13186">
            <v>12</v>
          </cell>
        </row>
        <row r="13187">
          <cell r="A13187">
            <v>2019</v>
          </cell>
          <cell r="B13187" t="str">
            <v>Budget</v>
          </cell>
          <cell r="C13187" t="str">
            <v>Dec</v>
          </cell>
          <cell r="D13187" t="str">
            <v>Kitchen</v>
          </cell>
          <cell r="E13187">
            <v>33890.254999999997</v>
          </cell>
          <cell r="F13187">
            <v>12</v>
          </cell>
        </row>
        <row r="13188">
          <cell r="A13188">
            <v>2019</v>
          </cell>
          <cell r="B13188" t="str">
            <v>Actual</v>
          </cell>
          <cell r="C13188" t="str">
            <v>Dec</v>
          </cell>
          <cell r="D13188" t="str">
            <v>Chairs</v>
          </cell>
          <cell r="E13188">
            <v>768899.46699999995</v>
          </cell>
          <cell r="F13188">
            <v>12</v>
          </cell>
        </row>
        <row r="13189">
          <cell r="A13189">
            <v>2018</v>
          </cell>
          <cell r="B13189" t="str">
            <v>Budget</v>
          </cell>
          <cell r="C13189" t="str">
            <v>Dec</v>
          </cell>
          <cell r="D13189" t="str">
            <v>Tables</v>
          </cell>
          <cell r="E13189">
            <v>183660.96</v>
          </cell>
          <cell r="F13189">
            <v>12</v>
          </cell>
        </row>
        <row r="13190">
          <cell r="A13190">
            <v>2019</v>
          </cell>
          <cell r="B13190" t="str">
            <v>Actual</v>
          </cell>
          <cell r="C13190" t="str">
            <v>Dec</v>
          </cell>
          <cell r="D13190" t="str">
            <v>Kitchen</v>
          </cell>
          <cell r="E13190">
            <v>184079.28</v>
          </cell>
          <cell r="F13190">
            <v>12</v>
          </cell>
        </row>
        <row r="13191">
          <cell r="A13191">
            <v>2018</v>
          </cell>
          <cell r="B13191" t="str">
            <v>Budget</v>
          </cell>
          <cell r="C13191" t="str">
            <v>Dec</v>
          </cell>
          <cell r="D13191" t="str">
            <v>Chairs</v>
          </cell>
          <cell r="E13191">
            <v>182711.75999999998</v>
          </cell>
          <cell r="F13191">
            <v>12</v>
          </cell>
        </row>
        <row r="13192">
          <cell r="A13192">
            <v>2019</v>
          </cell>
          <cell r="B13192" t="str">
            <v>Actual</v>
          </cell>
          <cell r="C13192" t="str">
            <v>Dec</v>
          </cell>
          <cell r="D13192" t="str">
            <v>Chairs</v>
          </cell>
          <cell r="E13192">
            <v>40405.413999999997</v>
          </cell>
          <cell r="F13192">
            <v>12</v>
          </cell>
        </row>
        <row r="13193">
          <cell r="A13193">
            <v>2018</v>
          </cell>
          <cell r="B13193" t="str">
            <v>Budget</v>
          </cell>
          <cell r="C13193" t="str">
            <v>Dec</v>
          </cell>
          <cell r="D13193" t="str">
            <v>Chairs</v>
          </cell>
          <cell r="E13193">
            <v>27082.866999999998</v>
          </cell>
          <cell r="F13193">
            <v>12</v>
          </cell>
        </row>
        <row r="13194">
          <cell r="A13194">
            <v>2018</v>
          </cell>
          <cell r="B13194" t="str">
            <v>Actual</v>
          </cell>
          <cell r="C13194" t="str">
            <v>Dec</v>
          </cell>
          <cell r="D13194" t="str">
            <v>Chairs</v>
          </cell>
          <cell r="E13194">
            <v>9509.226999999999</v>
          </cell>
          <cell r="F13194">
            <v>12</v>
          </cell>
        </row>
        <row r="13195">
          <cell r="A13195">
            <v>2019</v>
          </cell>
          <cell r="B13195" t="str">
            <v>Budget</v>
          </cell>
          <cell r="C13195" t="str">
            <v>Dec</v>
          </cell>
          <cell r="D13195" t="str">
            <v>Chairs</v>
          </cell>
          <cell r="E13195">
            <v>78076.333999999988</v>
          </cell>
          <cell r="F13195">
            <v>12</v>
          </cell>
        </row>
        <row r="13196">
          <cell r="A13196">
            <v>2018</v>
          </cell>
          <cell r="B13196" t="str">
            <v>Actual</v>
          </cell>
          <cell r="C13196" t="str">
            <v>Dec</v>
          </cell>
          <cell r="D13196" t="str">
            <v>Chairs</v>
          </cell>
          <cell r="E13196">
            <v>18466.510999999999</v>
          </cell>
          <cell r="F13196">
            <v>12</v>
          </cell>
        </row>
        <row r="13197">
          <cell r="A13197">
            <v>2018</v>
          </cell>
          <cell r="B13197" t="str">
            <v>Budget</v>
          </cell>
          <cell r="C13197" t="str">
            <v>Dec</v>
          </cell>
          <cell r="D13197" t="str">
            <v>Chairs</v>
          </cell>
          <cell r="E13197">
            <v>295000.321</v>
          </cell>
          <cell r="F13197">
            <v>12</v>
          </cell>
        </row>
        <row r="13198">
          <cell r="A13198">
            <v>2019</v>
          </cell>
          <cell r="B13198" t="str">
            <v>Actual</v>
          </cell>
          <cell r="C13198" t="str">
            <v>Dec</v>
          </cell>
          <cell r="D13198" t="str">
            <v>Chairs</v>
          </cell>
          <cell r="E13198">
            <v>45106.824000000001</v>
          </cell>
          <cell r="F13198">
            <v>12</v>
          </cell>
        </row>
        <row r="13199">
          <cell r="A13199">
            <v>2018</v>
          </cell>
          <cell r="B13199" t="str">
            <v>Budget</v>
          </cell>
          <cell r="C13199" t="str">
            <v>Dec</v>
          </cell>
          <cell r="D13199" t="str">
            <v>Chairs</v>
          </cell>
          <cell r="E13199">
            <v>370356.91700000002</v>
          </cell>
          <cell r="F13199">
            <v>12</v>
          </cell>
        </row>
        <row r="13200">
          <cell r="A13200">
            <v>2018</v>
          </cell>
          <cell r="B13200" t="str">
            <v>Actual</v>
          </cell>
          <cell r="C13200" t="str">
            <v>Dec</v>
          </cell>
          <cell r="D13200" t="str">
            <v>Chairs</v>
          </cell>
          <cell r="E13200">
            <v>39015.094999999994</v>
          </cell>
          <cell r="F13200">
            <v>12</v>
          </cell>
        </row>
        <row r="13201">
          <cell r="A13201">
            <v>2018</v>
          </cell>
          <cell r="B13201" t="str">
            <v>Budget</v>
          </cell>
          <cell r="C13201" t="str">
            <v>Dec</v>
          </cell>
          <cell r="D13201" t="str">
            <v>Chairs</v>
          </cell>
          <cell r="E13201">
            <v>166324.52899999998</v>
          </cell>
          <cell r="F13201">
            <v>12</v>
          </cell>
        </row>
        <row r="13202">
          <cell r="A13202">
            <v>2019</v>
          </cell>
          <cell r="B13202" t="str">
            <v>Actual</v>
          </cell>
          <cell r="C13202" t="str">
            <v>Dec</v>
          </cell>
          <cell r="D13202" t="str">
            <v>Chairs</v>
          </cell>
          <cell r="E13202">
            <v>2066571.5699999998</v>
          </cell>
          <cell r="F13202">
            <v>12</v>
          </cell>
        </row>
        <row r="13203">
          <cell r="A13203">
            <v>2019</v>
          </cell>
          <cell r="B13203" t="str">
            <v>Budget</v>
          </cell>
          <cell r="C13203" t="str">
            <v>Dec</v>
          </cell>
          <cell r="D13203" t="str">
            <v>Chairs</v>
          </cell>
          <cell r="E13203">
            <v>3686809.196</v>
          </cell>
          <cell r="F13203">
            <v>12</v>
          </cell>
        </row>
        <row r="13204">
          <cell r="A13204">
            <v>2018</v>
          </cell>
          <cell r="B13204" t="str">
            <v>Actual</v>
          </cell>
          <cell r="C13204" t="str">
            <v>Dec</v>
          </cell>
          <cell r="D13204" t="str">
            <v>Chairs</v>
          </cell>
          <cell r="E13204">
            <v>19078.821999999996</v>
          </cell>
          <cell r="F13204">
            <v>12</v>
          </cell>
        </row>
        <row r="13205">
          <cell r="A13205">
            <v>2018</v>
          </cell>
          <cell r="B13205" t="str">
            <v>Budget</v>
          </cell>
          <cell r="C13205" t="str">
            <v>Dec</v>
          </cell>
          <cell r="D13205" t="str">
            <v>Chairs</v>
          </cell>
          <cell r="E13205">
            <v>364272.734</v>
          </cell>
          <cell r="F13205">
            <v>12</v>
          </cell>
        </row>
        <row r="13206">
          <cell r="A13206">
            <v>2019</v>
          </cell>
          <cell r="B13206" t="str">
            <v>Actual</v>
          </cell>
          <cell r="C13206" t="str">
            <v>Dec</v>
          </cell>
          <cell r="D13206" t="str">
            <v>Chairs</v>
          </cell>
          <cell r="E13206">
            <v>481140.40799999994</v>
          </cell>
          <cell r="F13206">
            <v>12</v>
          </cell>
        </row>
        <row r="13207">
          <cell r="A13207">
            <v>2018</v>
          </cell>
          <cell r="B13207" t="str">
            <v>Budget</v>
          </cell>
          <cell r="C13207" t="str">
            <v>Dec</v>
          </cell>
          <cell r="D13207" t="str">
            <v>Chairs</v>
          </cell>
          <cell r="E13207">
            <v>488949.59399999998</v>
          </cell>
          <cell r="F13207">
            <v>12</v>
          </cell>
        </row>
        <row r="13208">
          <cell r="A13208">
            <v>2018</v>
          </cell>
          <cell r="B13208" t="str">
            <v>Actual</v>
          </cell>
          <cell r="C13208" t="str">
            <v>Dec</v>
          </cell>
          <cell r="D13208" t="str">
            <v>Chairs</v>
          </cell>
          <cell r="E13208">
            <v>17177.222999999998</v>
          </cell>
          <cell r="F13208">
            <v>12</v>
          </cell>
        </row>
        <row r="13209">
          <cell r="A13209">
            <v>2019</v>
          </cell>
          <cell r="B13209" t="str">
            <v>Budget</v>
          </cell>
          <cell r="C13209" t="str">
            <v>Dec</v>
          </cell>
          <cell r="D13209" t="str">
            <v>Chairs</v>
          </cell>
          <cell r="E13209">
            <v>2205321.6779999998</v>
          </cell>
          <cell r="F13209">
            <v>12</v>
          </cell>
        </row>
        <row r="13210">
          <cell r="A13210">
            <v>2018</v>
          </cell>
          <cell r="B13210" t="str">
            <v>Actual</v>
          </cell>
          <cell r="C13210" t="str">
            <v>Dec</v>
          </cell>
          <cell r="D13210" t="str">
            <v>Chairs</v>
          </cell>
          <cell r="E13210">
            <v>66639.278999999995</v>
          </cell>
          <cell r="F13210">
            <v>12</v>
          </cell>
        </row>
        <row r="13211">
          <cell r="A13211">
            <v>2019</v>
          </cell>
          <cell r="B13211" t="str">
            <v>Budget</v>
          </cell>
          <cell r="C13211" t="str">
            <v>Dec</v>
          </cell>
          <cell r="D13211" t="str">
            <v>Chairs</v>
          </cell>
          <cell r="E13211">
            <v>1932274.575</v>
          </cell>
          <cell r="F13211">
            <v>12</v>
          </cell>
        </row>
        <row r="13212">
          <cell r="A13212">
            <v>2018</v>
          </cell>
          <cell r="B13212" t="str">
            <v>Actual</v>
          </cell>
          <cell r="C13212" t="str">
            <v>Dec</v>
          </cell>
          <cell r="D13212" t="str">
            <v>Chairs</v>
          </cell>
          <cell r="E13212">
            <v>574711.99800000002</v>
          </cell>
          <cell r="F13212">
            <v>12</v>
          </cell>
        </row>
        <row r="13213">
          <cell r="A13213">
            <v>2018</v>
          </cell>
          <cell r="B13213" t="str">
            <v>Budget</v>
          </cell>
          <cell r="C13213" t="str">
            <v>Dec</v>
          </cell>
          <cell r="D13213" t="str">
            <v>Chairs</v>
          </cell>
          <cell r="E13213">
            <v>1439013.9469999999</v>
          </cell>
          <cell r="F13213">
            <v>12</v>
          </cell>
        </row>
        <row r="13214">
          <cell r="A13214">
            <v>2019</v>
          </cell>
          <cell r="B13214" t="str">
            <v>Actual</v>
          </cell>
          <cell r="C13214" t="str">
            <v>Dec</v>
          </cell>
          <cell r="D13214" t="str">
            <v>Chairs</v>
          </cell>
          <cell r="E13214">
            <v>149190.503</v>
          </cell>
          <cell r="F13214">
            <v>12</v>
          </cell>
        </row>
        <row r="13215">
          <cell r="A13215">
            <v>2018</v>
          </cell>
          <cell r="B13215" t="str">
            <v>Budget</v>
          </cell>
          <cell r="C13215" t="str">
            <v>Dec</v>
          </cell>
          <cell r="D13215" t="str">
            <v>Chairs</v>
          </cell>
          <cell r="E13215">
            <v>500849.39099999995</v>
          </cell>
          <cell r="F13215">
            <v>12</v>
          </cell>
        </row>
        <row r="13216">
          <cell r="A13216">
            <v>2018</v>
          </cell>
          <cell r="B13216" t="str">
            <v>Actual</v>
          </cell>
          <cell r="C13216" t="str">
            <v>Dec</v>
          </cell>
          <cell r="D13216" t="str">
            <v>Chairs</v>
          </cell>
          <cell r="E13216">
            <v>251353.48699999996</v>
          </cell>
          <cell r="F13216">
            <v>12</v>
          </cell>
        </row>
        <row r="13217">
          <cell r="A13217">
            <v>2019</v>
          </cell>
          <cell r="B13217" t="str">
            <v>Budget</v>
          </cell>
          <cell r="C13217" t="str">
            <v>Dec</v>
          </cell>
          <cell r="D13217" t="str">
            <v>Tables</v>
          </cell>
          <cell r="E13217">
            <v>163719.71</v>
          </cell>
          <cell r="F13217">
            <v>12</v>
          </cell>
        </row>
        <row r="13218">
          <cell r="A13218">
            <v>2018</v>
          </cell>
          <cell r="B13218" t="str">
            <v>Actual</v>
          </cell>
          <cell r="C13218" t="str">
            <v>Dec</v>
          </cell>
          <cell r="D13218" t="str">
            <v>Kitchen</v>
          </cell>
          <cell r="E13218">
            <v>18309.802</v>
          </cell>
          <cell r="F13218">
            <v>12</v>
          </cell>
        </row>
        <row r="13219">
          <cell r="A13219">
            <v>2018</v>
          </cell>
          <cell r="B13219" t="str">
            <v>Budget</v>
          </cell>
          <cell r="C13219" t="str">
            <v>Dec</v>
          </cell>
          <cell r="D13219" t="str">
            <v>Chairs</v>
          </cell>
          <cell r="E13219">
            <v>26718.425999999999</v>
          </cell>
          <cell r="F13219">
            <v>12</v>
          </cell>
        </row>
        <row r="13220">
          <cell r="A13220">
            <v>2019</v>
          </cell>
          <cell r="B13220" t="str">
            <v>Actual</v>
          </cell>
          <cell r="C13220" t="str">
            <v>Dec</v>
          </cell>
          <cell r="D13220" t="str">
            <v>Chairs</v>
          </cell>
          <cell r="E13220">
            <v>103615.95299999999</v>
          </cell>
          <cell r="F13220">
            <v>12</v>
          </cell>
        </row>
        <row r="13221">
          <cell r="A13221">
            <v>2018</v>
          </cell>
          <cell r="B13221" t="str">
            <v>Budget</v>
          </cell>
          <cell r="C13221" t="str">
            <v>Dec</v>
          </cell>
          <cell r="D13221" t="str">
            <v>Chairs</v>
          </cell>
          <cell r="E13221">
            <v>19084.099999999999</v>
          </cell>
          <cell r="F13221">
            <v>12</v>
          </cell>
        </row>
        <row r="13222">
          <cell r="A13222">
            <v>2018</v>
          </cell>
          <cell r="B13222" t="str">
            <v>Actual</v>
          </cell>
          <cell r="C13222" t="str">
            <v>Dec</v>
          </cell>
          <cell r="D13222" t="str">
            <v>Chairs</v>
          </cell>
          <cell r="E13222">
            <v>103309.62599999999</v>
          </cell>
          <cell r="F13222">
            <v>12</v>
          </cell>
        </row>
        <row r="13223">
          <cell r="A13223">
            <v>2019</v>
          </cell>
          <cell r="B13223" t="str">
            <v>Budget</v>
          </cell>
          <cell r="C13223" t="str">
            <v>Dec</v>
          </cell>
          <cell r="D13223" t="str">
            <v>Chairs</v>
          </cell>
          <cell r="E13223">
            <v>17274.277999999998</v>
          </cell>
          <cell r="F13223">
            <v>12</v>
          </cell>
        </row>
        <row r="13224">
          <cell r="A13224">
            <v>2019</v>
          </cell>
          <cell r="B13224" t="str">
            <v>Actual</v>
          </cell>
          <cell r="C13224" t="str">
            <v>Dec</v>
          </cell>
          <cell r="D13224" t="str">
            <v>Tables</v>
          </cell>
          <cell r="E13224">
            <v>1962.3449999999998</v>
          </cell>
          <cell r="F13224">
            <v>12</v>
          </cell>
        </row>
        <row r="13225">
          <cell r="A13225">
            <v>2018</v>
          </cell>
          <cell r="B13225" t="str">
            <v>Budget</v>
          </cell>
          <cell r="C13225" t="str">
            <v>Dec</v>
          </cell>
          <cell r="D13225" t="str">
            <v>Kitchen</v>
          </cell>
          <cell r="E13225">
            <v>142993.10199999998</v>
          </cell>
          <cell r="F13225">
            <v>12</v>
          </cell>
        </row>
        <row r="13226">
          <cell r="A13226">
            <v>2018</v>
          </cell>
          <cell r="B13226" t="str">
            <v>Actual</v>
          </cell>
          <cell r="C13226" t="str">
            <v>Dec</v>
          </cell>
          <cell r="D13226" t="str">
            <v>Chairs</v>
          </cell>
          <cell r="E13226">
            <v>64190.188999999998</v>
          </cell>
          <cell r="F13226">
            <v>12</v>
          </cell>
        </row>
        <row r="13227">
          <cell r="A13227">
            <v>2018</v>
          </cell>
          <cell r="B13227" t="str">
            <v>Budget</v>
          </cell>
          <cell r="C13227" t="str">
            <v>Dec</v>
          </cell>
          <cell r="D13227" t="str">
            <v>Chairs</v>
          </cell>
          <cell r="E13227">
            <v>65325.98799999999</v>
          </cell>
          <cell r="F13227">
            <v>12</v>
          </cell>
        </row>
        <row r="13228">
          <cell r="A13228">
            <v>2018</v>
          </cell>
          <cell r="B13228" t="str">
            <v>Actual</v>
          </cell>
          <cell r="C13228" t="str">
            <v>Dec</v>
          </cell>
          <cell r="D13228" t="str">
            <v>Chairs</v>
          </cell>
          <cell r="E13228">
            <v>113677.02499999999</v>
          </cell>
          <cell r="F13228">
            <v>12</v>
          </cell>
        </row>
        <row r="13229">
          <cell r="A13229">
            <v>2019</v>
          </cell>
          <cell r="B13229" t="str">
            <v>Budget</v>
          </cell>
          <cell r="C13229" t="str">
            <v>Dec</v>
          </cell>
          <cell r="D13229" t="str">
            <v>Tables</v>
          </cell>
          <cell r="E13229">
            <v>64358.993999999992</v>
          </cell>
          <cell r="F13229">
            <v>12</v>
          </cell>
        </row>
        <row r="13230">
          <cell r="A13230">
            <v>2018</v>
          </cell>
          <cell r="B13230" t="str">
            <v>Actual</v>
          </cell>
          <cell r="C13230" t="str">
            <v>Dec</v>
          </cell>
          <cell r="D13230" t="str">
            <v>Kitchen</v>
          </cell>
          <cell r="E13230">
            <v>134487.61199999999</v>
          </cell>
          <cell r="F13230">
            <v>12</v>
          </cell>
        </row>
        <row r="13231">
          <cell r="A13231">
            <v>2019</v>
          </cell>
          <cell r="B13231" t="str">
            <v>Budget</v>
          </cell>
          <cell r="C13231" t="str">
            <v>Dec</v>
          </cell>
          <cell r="D13231" t="str">
            <v>Chairs</v>
          </cell>
          <cell r="E13231">
            <v>161635.019</v>
          </cell>
          <cell r="F13231">
            <v>12</v>
          </cell>
        </row>
        <row r="13232">
          <cell r="A13232">
            <v>2019</v>
          </cell>
          <cell r="B13232" t="str">
            <v>Actual</v>
          </cell>
          <cell r="C13232" t="str">
            <v>Dec</v>
          </cell>
          <cell r="D13232" t="str">
            <v>Chairs</v>
          </cell>
          <cell r="E13232">
            <v>27403.376</v>
          </cell>
          <cell r="F13232">
            <v>12</v>
          </cell>
        </row>
        <row r="13233">
          <cell r="A13233">
            <v>2018</v>
          </cell>
          <cell r="B13233" t="str">
            <v>Budget</v>
          </cell>
          <cell r="C13233" t="str">
            <v>Dec</v>
          </cell>
          <cell r="D13233" t="str">
            <v>Tables</v>
          </cell>
          <cell r="E13233">
            <v>8963.646999999999</v>
          </cell>
          <cell r="F13233">
            <v>12</v>
          </cell>
        </row>
        <row r="13234">
          <cell r="A13234">
            <v>2019</v>
          </cell>
          <cell r="B13234" t="str">
            <v>Actual</v>
          </cell>
          <cell r="C13234" t="str">
            <v>Dec</v>
          </cell>
          <cell r="D13234" t="str">
            <v>Kitchen</v>
          </cell>
          <cell r="E13234">
            <v>1563484.8319999997</v>
          </cell>
          <cell r="F13234">
            <v>12</v>
          </cell>
        </row>
        <row r="13235">
          <cell r="A13235">
            <v>2018</v>
          </cell>
          <cell r="B13235" t="str">
            <v>Budget</v>
          </cell>
          <cell r="C13235" t="str">
            <v>Dec</v>
          </cell>
          <cell r="D13235" t="str">
            <v>Chairs</v>
          </cell>
          <cell r="E13235">
            <v>181228.32</v>
          </cell>
          <cell r="F13235">
            <v>12</v>
          </cell>
        </row>
        <row r="13236">
          <cell r="A13236">
            <v>2019</v>
          </cell>
          <cell r="B13236" t="str">
            <v>Actual</v>
          </cell>
          <cell r="C13236" t="str">
            <v>Dec</v>
          </cell>
          <cell r="D13236" t="str">
            <v>Chairs</v>
          </cell>
          <cell r="E13236">
            <v>297881.92699999997</v>
          </cell>
          <cell r="F13236">
            <v>12</v>
          </cell>
        </row>
        <row r="13237">
          <cell r="A13237">
            <v>2018</v>
          </cell>
          <cell r="B13237" t="str">
            <v>Budget</v>
          </cell>
          <cell r="C13237" t="str">
            <v>Dec</v>
          </cell>
          <cell r="D13237" t="str">
            <v>Tables</v>
          </cell>
          <cell r="E13237">
            <v>584341.77199999988</v>
          </cell>
          <cell r="F13237">
            <v>12</v>
          </cell>
        </row>
        <row r="13238">
          <cell r="A13238">
            <v>2019</v>
          </cell>
          <cell r="B13238" t="str">
            <v>Actual</v>
          </cell>
          <cell r="C13238" t="str">
            <v>Dec</v>
          </cell>
          <cell r="D13238" t="str">
            <v>Kitchen</v>
          </cell>
          <cell r="E13238">
            <v>10342.276</v>
          </cell>
          <cell r="F13238">
            <v>12</v>
          </cell>
        </row>
        <row r="13239">
          <cell r="A13239">
            <v>2018</v>
          </cell>
          <cell r="B13239" t="str">
            <v>Budget</v>
          </cell>
          <cell r="C13239" t="str">
            <v>Dec</v>
          </cell>
          <cell r="D13239" t="str">
            <v>Accessories</v>
          </cell>
          <cell r="E13239">
            <v>-21820.343999999997</v>
          </cell>
          <cell r="F13239">
            <v>12</v>
          </cell>
        </row>
        <row r="13240">
          <cell r="A13240">
            <v>2019</v>
          </cell>
          <cell r="B13240" t="str">
            <v>Actual</v>
          </cell>
          <cell r="C13240" t="str">
            <v>Dec</v>
          </cell>
          <cell r="D13240" t="str">
            <v>Chairs</v>
          </cell>
          <cell r="E13240">
            <v>2682358.1189999999</v>
          </cell>
          <cell r="F13240">
            <v>12</v>
          </cell>
        </row>
        <row r="13241">
          <cell r="A13241">
            <v>2019</v>
          </cell>
          <cell r="B13241" t="str">
            <v>Budget</v>
          </cell>
          <cell r="C13241" t="str">
            <v>Dec</v>
          </cell>
          <cell r="D13241" t="str">
            <v>Tables</v>
          </cell>
          <cell r="E13241">
            <v>10432521.841</v>
          </cell>
          <cell r="F13241">
            <v>12</v>
          </cell>
        </row>
        <row r="13242">
          <cell r="A13242">
            <v>2018</v>
          </cell>
          <cell r="B13242" t="str">
            <v>Actual</v>
          </cell>
          <cell r="C13242" t="str">
            <v>Dec</v>
          </cell>
          <cell r="D13242" t="str">
            <v>Kitchen</v>
          </cell>
          <cell r="E13242">
            <v>100341.33899999999</v>
          </cell>
          <cell r="F13242">
            <v>12</v>
          </cell>
        </row>
        <row r="13243">
          <cell r="A13243">
            <v>2019</v>
          </cell>
          <cell r="B13243" t="str">
            <v>Budget</v>
          </cell>
          <cell r="C13243" t="str">
            <v>Dec</v>
          </cell>
          <cell r="D13243" t="str">
            <v>Accessories</v>
          </cell>
          <cell r="E13243">
            <v>-44873.590999999993</v>
          </cell>
          <cell r="F13243">
            <v>12</v>
          </cell>
        </row>
        <row r="13244">
          <cell r="A13244">
            <v>2018</v>
          </cell>
          <cell r="B13244" t="str">
            <v>Actual</v>
          </cell>
          <cell r="C13244" t="str">
            <v>Dec</v>
          </cell>
          <cell r="D13244" t="str">
            <v>Chairs</v>
          </cell>
          <cell r="E13244">
            <v>-26575.759000000002</v>
          </cell>
          <cell r="F13244">
            <v>12</v>
          </cell>
        </row>
        <row r="13245">
          <cell r="A13245">
            <v>2019</v>
          </cell>
          <cell r="B13245" t="str">
            <v>Budget</v>
          </cell>
          <cell r="C13245" t="str">
            <v>Dec</v>
          </cell>
          <cell r="D13245" t="str">
            <v>Tables</v>
          </cell>
          <cell r="E13245">
            <v>662635.45599999989</v>
          </cell>
          <cell r="F13245">
            <v>12</v>
          </cell>
        </row>
        <row r="13246">
          <cell r="A13246">
            <v>2019</v>
          </cell>
          <cell r="B13246" t="str">
            <v>Actual</v>
          </cell>
          <cell r="C13246" t="str">
            <v>Dec</v>
          </cell>
          <cell r="D13246" t="str">
            <v>Kitchen</v>
          </cell>
          <cell r="E13246">
            <v>1150658.257</v>
          </cell>
          <cell r="F13246">
            <v>12</v>
          </cell>
        </row>
        <row r="13247">
          <cell r="A13247">
            <v>2018</v>
          </cell>
          <cell r="B13247" t="str">
            <v>Budget</v>
          </cell>
          <cell r="C13247" t="str">
            <v>Dec</v>
          </cell>
          <cell r="D13247" t="str">
            <v>Accessories</v>
          </cell>
          <cell r="E13247">
            <v>3049472.65</v>
          </cell>
          <cell r="F13247">
            <v>12</v>
          </cell>
        </row>
        <row r="13248">
          <cell r="A13248">
            <v>2019</v>
          </cell>
          <cell r="B13248" t="str">
            <v>Actual</v>
          </cell>
          <cell r="C13248" t="str">
            <v>Dec</v>
          </cell>
          <cell r="D13248" t="str">
            <v>Chairs</v>
          </cell>
          <cell r="E13248">
            <v>3474059.5049999999</v>
          </cell>
          <cell r="F13248">
            <v>12</v>
          </cell>
        </row>
        <row r="13249">
          <cell r="A13249">
            <v>2019</v>
          </cell>
          <cell r="B13249" t="str">
            <v>Budget</v>
          </cell>
          <cell r="C13249" t="str">
            <v>Dec</v>
          </cell>
          <cell r="D13249" t="str">
            <v>Tables</v>
          </cell>
          <cell r="E13249">
            <v>581802.45199999993</v>
          </cell>
          <cell r="F13249">
            <v>12</v>
          </cell>
        </row>
        <row r="13250">
          <cell r="A13250">
            <v>2018</v>
          </cell>
          <cell r="B13250" t="str">
            <v>Actual</v>
          </cell>
          <cell r="C13250" t="str">
            <v>Dec</v>
          </cell>
          <cell r="D13250" t="str">
            <v>Kitchen</v>
          </cell>
          <cell r="E13250">
            <v>136760.93899999998</v>
          </cell>
          <cell r="F13250">
            <v>12</v>
          </cell>
        </row>
        <row r="13251">
          <cell r="A13251">
            <v>2019</v>
          </cell>
          <cell r="B13251" t="str">
            <v>Budget</v>
          </cell>
          <cell r="C13251" t="str">
            <v>Dec</v>
          </cell>
          <cell r="D13251" t="str">
            <v>Accessories</v>
          </cell>
          <cell r="E13251">
            <v>127086.44899999999</v>
          </cell>
          <cell r="F13251">
            <v>12</v>
          </cell>
        </row>
        <row r="13252">
          <cell r="A13252">
            <v>2018</v>
          </cell>
          <cell r="B13252" t="str">
            <v>Actual</v>
          </cell>
          <cell r="C13252" t="str">
            <v>Dec</v>
          </cell>
          <cell r="D13252" t="str">
            <v>Chairs</v>
          </cell>
          <cell r="E13252">
            <v>61548.773999999998</v>
          </cell>
          <cell r="F13252">
            <v>12</v>
          </cell>
        </row>
        <row r="13253">
          <cell r="A13253">
            <v>2019</v>
          </cell>
          <cell r="B13253" t="str">
            <v>Budget</v>
          </cell>
          <cell r="C13253" t="str">
            <v>Dec</v>
          </cell>
          <cell r="D13253" t="str">
            <v>Tables</v>
          </cell>
          <cell r="E13253">
            <v>14526.029</v>
          </cell>
          <cell r="F13253">
            <v>12</v>
          </cell>
        </row>
        <row r="13254">
          <cell r="A13254">
            <v>2019</v>
          </cell>
          <cell r="B13254" t="str">
            <v>Actual</v>
          </cell>
          <cell r="C13254" t="str">
            <v>Dec</v>
          </cell>
          <cell r="D13254" t="str">
            <v>Kitchen</v>
          </cell>
          <cell r="E13254">
            <v>25517.617999999999</v>
          </cell>
          <cell r="F13254">
            <v>12</v>
          </cell>
        </row>
        <row r="13255">
          <cell r="A13255">
            <v>2019</v>
          </cell>
          <cell r="B13255" t="str">
            <v>Budget</v>
          </cell>
          <cell r="C13255" t="str">
            <v>Dec</v>
          </cell>
          <cell r="D13255" t="str">
            <v>Accessories</v>
          </cell>
          <cell r="E13255">
            <v>144778.64799999999</v>
          </cell>
          <cell r="F13255">
            <v>12</v>
          </cell>
        </row>
        <row r="13256">
          <cell r="A13256">
            <v>2019</v>
          </cell>
          <cell r="B13256" t="str">
            <v>Actual</v>
          </cell>
          <cell r="C13256" t="str">
            <v>Dec</v>
          </cell>
          <cell r="D13256" t="str">
            <v>Chairs</v>
          </cell>
          <cell r="E13256">
            <v>300672.35099999997</v>
          </cell>
          <cell r="F13256">
            <v>12</v>
          </cell>
        </row>
        <row r="13257">
          <cell r="A13257">
            <v>2019</v>
          </cell>
          <cell r="B13257" t="str">
            <v>Budget</v>
          </cell>
          <cell r="C13257" t="str">
            <v>Dec</v>
          </cell>
          <cell r="D13257" t="str">
            <v>Chairs</v>
          </cell>
          <cell r="E13257">
            <v>46258.45</v>
          </cell>
          <cell r="F13257">
            <v>12</v>
          </cell>
        </row>
        <row r="13258">
          <cell r="A13258">
            <v>2018</v>
          </cell>
          <cell r="B13258" t="str">
            <v>Actual</v>
          </cell>
          <cell r="C13258" t="str">
            <v>Dec</v>
          </cell>
          <cell r="D13258" t="str">
            <v>Tables</v>
          </cell>
          <cell r="E13258">
            <v>218062.397</v>
          </cell>
          <cell r="F13258">
            <v>12</v>
          </cell>
        </row>
        <row r="13259">
          <cell r="A13259">
            <v>2019</v>
          </cell>
          <cell r="B13259" t="str">
            <v>Budget</v>
          </cell>
          <cell r="C13259" t="str">
            <v>Dec</v>
          </cell>
          <cell r="D13259" t="str">
            <v>Kitchen</v>
          </cell>
          <cell r="E13259">
            <v>130829.93699999999</v>
          </cell>
          <cell r="F13259">
            <v>12</v>
          </cell>
        </row>
        <row r="13260">
          <cell r="A13260">
            <v>2018</v>
          </cell>
          <cell r="B13260" t="str">
            <v>Actual</v>
          </cell>
          <cell r="C13260" t="str">
            <v>Dec</v>
          </cell>
          <cell r="D13260" t="str">
            <v>Chairs</v>
          </cell>
          <cell r="E13260">
            <v>69603.281999999992</v>
          </cell>
          <cell r="F13260">
            <v>12</v>
          </cell>
        </row>
        <row r="13261">
          <cell r="A13261">
            <v>2019</v>
          </cell>
          <cell r="B13261" t="str">
            <v>Budget</v>
          </cell>
          <cell r="C13261" t="str">
            <v>Dec</v>
          </cell>
          <cell r="D13261" t="str">
            <v>Tables</v>
          </cell>
          <cell r="E13261">
            <v>179389.36399999997</v>
          </cell>
          <cell r="F13261">
            <v>12</v>
          </cell>
        </row>
        <row r="13262">
          <cell r="A13262">
            <v>2019</v>
          </cell>
          <cell r="B13262" t="str">
            <v>Actual</v>
          </cell>
          <cell r="C13262" t="str">
            <v>Dec</v>
          </cell>
          <cell r="D13262" t="str">
            <v>Kitchen</v>
          </cell>
          <cell r="E13262">
            <v>56818.803999999996</v>
          </cell>
          <cell r="F13262">
            <v>12</v>
          </cell>
        </row>
        <row r="13263">
          <cell r="A13263">
            <v>2018</v>
          </cell>
          <cell r="B13263" t="str">
            <v>Budget</v>
          </cell>
          <cell r="C13263" t="str">
            <v>Dec</v>
          </cell>
          <cell r="D13263" t="str">
            <v>Chairs</v>
          </cell>
          <cell r="E13263">
            <v>85295.895999999993</v>
          </cell>
          <cell r="F13263">
            <v>12</v>
          </cell>
        </row>
        <row r="13264">
          <cell r="A13264">
            <v>2019</v>
          </cell>
          <cell r="B13264" t="str">
            <v>Actual</v>
          </cell>
          <cell r="C13264" t="str">
            <v>Dec</v>
          </cell>
          <cell r="D13264" t="str">
            <v>Tables</v>
          </cell>
          <cell r="E13264">
            <v>244751.13599999997</v>
          </cell>
          <cell r="F13264">
            <v>12</v>
          </cell>
        </row>
        <row r="13265">
          <cell r="A13265">
            <v>2018</v>
          </cell>
          <cell r="B13265" t="str">
            <v>Budget</v>
          </cell>
          <cell r="C13265" t="str">
            <v>Dec</v>
          </cell>
          <cell r="D13265" t="str">
            <v>Kitchen</v>
          </cell>
          <cell r="E13265">
            <v>307401.33199999999</v>
          </cell>
          <cell r="F13265">
            <v>12</v>
          </cell>
        </row>
        <row r="13266">
          <cell r="A13266">
            <v>2018</v>
          </cell>
          <cell r="B13266" t="str">
            <v>Actual</v>
          </cell>
          <cell r="C13266" t="str">
            <v>Dec</v>
          </cell>
          <cell r="D13266" t="str">
            <v>Chairs</v>
          </cell>
          <cell r="E13266">
            <v>799182.36300000001</v>
          </cell>
          <cell r="F13266">
            <v>12</v>
          </cell>
        </row>
        <row r="13267">
          <cell r="A13267">
            <v>2018</v>
          </cell>
          <cell r="B13267" t="str">
            <v>Budget</v>
          </cell>
          <cell r="C13267" t="str">
            <v>Dec</v>
          </cell>
          <cell r="D13267" t="str">
            <v>Chairs</v>
          </cell>
          <cell r="E13267">
            <v>503719.18099999992</v>
          </cell>
          <cell r="F13267">
            <v>12</v>
          </cell>
        </row>
        <row r="13268">
          <cell r="A13268">
            <v>2018</v>
          </cell>
          <cell r="B13268" t="str">
            <v>Actual</v>
          </cell>
          <cell r="C13268" t="str">
            <v>Dec</v>
          </cell>
          <cell r="D13268" t="str">
            <v>Chairs</v>
          </cell>
          <cell r="E13268">
            <v>227322.61999999997</v>
          </cell>
          <cell r="F13268">
            <v>12</v>
          </cell>
        </row>
        <row r="13269">
          <cell r="A13269">
            <v>2019</v>
          </cell>
          <cell r="B13269" t="str">
            <v>Budget</v>
          </cell>
          <cell r="C13269" t="str">
            <v>Dec</v>
          </cell>
          <cell r="D13269" t="str">
            <v>Chairs</v>
          </cell>
          <cell r="E13269">
            <v>443814.59499999997</v>
          </cell>
          <cell r="F13269">
            <v>12</v>
          </cell>
        </row>
        <row r="13270">
          <cell r="A13270">
            <v>2018</v>
          </cell>
          <cell r="B13270" t="str">
            <v>Actual</v>
          </cell>
          <cell r="C13270" t="str">
            <v>Dec</v>
          </cell>
          <cell r="D13270" t="str">
            <v>Chairs</v>
          </cell>
          <cell r="E13270">
            <v>3535965.4889999996</v>
          </cell>
          <cell r="F13270">
            <v>12</v>
          </cell>
        </row>
        <row r="13271">
          <cell r="A13271">
            <v>2019</v>
          </cell>
          <cell r="B13271" t="str">
            <v>Budget</v>
          </cell>
          <cell r="C13271" t="str">
            <v>Dec</v>
          </cell>
          <cell r="D13271" t="str">
            <v>Chairs</v>
          </cell>
          <cell r="E13271">
            <v>886598.2159999999</v>
          </cell>
          <cell r="F13271">
            <v>12</v>
          </cell>
        </row>
        <row r="13272">
          <cell r="A13272">
            <v>2018</v>
          </cell>
          <cell r="B13272" t="str">
            <v>Actual</v>
          </cell>
          <cell r="C13272" t="str">
            <v>Dec</v>
          </cell>
          <cell r="D13272" t="str">
            <v>Chairs</v>
          </cell>
          <cell r="E13272">
            <v>129550.386</v>
          </cell>
          <cell r="F13272">
            <v>12</v>
          </cell>
        </row>
        <row r="13273">
          <cell r="A13273">
            <v>2019</v>
          </cell>
          <cell r="B13273" t="str">
            <v>Budget</v>
          </cell>
          <cell r="C13273" t="str">
            <v>Dec</v>
          </cell>
          <cell r="D13273" t="str">
            <v>Chairs</v>
          </cell>
          <cell r="E13273">
            <v>92417.43</v>
          </cell>
          <cell r="F13273">
            <v>12</v>
          </cell>
        </row>
        <row r="13274">
          <cell r="A13274">
            <v>2019</v>
          </cell>
          <cell r="B13274" t="str">
            <v>Actual</v>
          </cell>
          <cell r="C13274" t="str">
            <v>Dec</v>
          </cell>
          <cell r="D13274" t="str">
            <v>Chairs</v>
          </cell>
          <cell r="E13274">
            <v>22784.894999999997</v>
          </cell>
          <cell r="F13274">
            <v>12</v>
          </cell>
        </row>
        <row r="13275">
          <cell r="A13275">
            <v>2019</v>
          </cell>
          <cell r="B13275" t="str">
            <v>Budget</v>
          </cell>
          <cell r="C13275" t="str">
            <v>Dec</v>
          </cell>
          <cell r="D13275" t="str">
            <v>Chairs</v>
          </cell>
          <cell r="E13275">
            <v>30503.339999999997</v>
          </cell>
          <cell r="F13275">
            <v>12</v>
          </cell>
        </row>
        <row r="13276">
          <cell r="A13276">
            <v>2019</v>
          </cell>
          <cell r="B13276" t="str">
            <v>Actual</v>
          </cell>
          <cell r="C13276" t="str">
            <v>Dec</v>
          </cell>
          <cell r="D13276" t="str">
            <v>Chairs</v>
          </cell>
          <cell r="E13276">
            <v>12744037.957</v>
          </cell>
          <cell r="F13276">
            <v>12</v>
          </cell>
        </row>
        <row r="13277">
          <cell r="A13277">
            <v>2019</v>
          </cell>
          <cell r="B13277" t="str">
            <v>Budget</v>
          </cell>
          <cell r="C13277" t="str">
            <v>Dec</v>
          </cell>
          <cell r="D13277" t="str">
            <v>Chairs</v>
          </cell>
          <cell r="E13277">
            <v>76607.103999999992</v>
          </cell>
          <cell r="F13277">
            <v>12</v>
          </cell>
        </row>
        <row r="13278">
          <cell r="A13278">
            <v>2019</v>
          </cell>
          <cell r="B13278" t="str">
            <v>Actual</v>
          </cell>
          <cell r="C13278" t="str">
            <v>Dec</v>
          </cell>
          <cell r="D13278" t="str">
            <v>Chairs</v>
          </cell>
          <cell r="E13278">
            <v>139442.492</v>
          </cell>
          <cell r="F13278">
            <v>12</v>
          </cell>
        </row>
        <row r="13279">
          <cell r="A13279">
            <v>2019</v>
          </cell>
          <cell r="B13279" t="str">
            <v>Budget</v>
          </cell>
          <cell r="C13279" t="str">
            <v>Dec</v>
          </cell>
          <cell r="D13279" t="str">
            <v>Chairs</v>
          </cell>
          <cell r="E13279">
            <v>16539.424999999999</v>
          </cell>
          <cell r="F13279">
            <v>12</v>
          </cell>
        </row>
        <row r="13280">
          <cell r="A13280">
            <v>2018</v>
          </cell>
          <cell r="B13280" t="str">
            <v>Actual</v>
          </cell>
          <cell r="C13280" t="str">
            <v>Dec</v>
          </cell>
          <cell r="D13280" t="str">
            <v>Chairs</v>
          </cell>
          <cell r="E13280">
            <v>30660.076999999997</v>
          </cell>
          <cell r="F13280">
            <v>12</v>
          </cell>
        </row>
        <row r="13281">
          <cell r="A13281">
            <v>2018</v>
          </cell>
          <cell r="B13281" t="str">
            <v>Budget</v>
          </cell>
          <cell r="C13281" t="str">
            <v>Dec</v>
          </cell>
          <cell r="D13281" t="str">
            <v>Chairs</v>
          </cell>
          <cell r="E13281">
            <v>7256.5150000000003</v>
          </cell>
          <cell r="F13281">
            <v>12</v>
          </cell>
        </row>
        <row r="13282">
          <cell r="A13282">
            <v>2019</v>
          </cell>
          <cell r="B13282" t="str">
            <v>Actual</v>
          </cell>
          <cell r="C13282" t="str">
            <v>Dec</v>
          </cell>
          <cell r="D13282" t="str">
            <v>Chairs</v>
          </cell>
          <cell r="E13282">
            <v>4088.6859999999992</v>
          </cell>
          <cell r="F13282">
            <v>12</v>
          </cell>
        </row>
        <row r="13283">
          <cell r="A13283">
            <v>2018</v>
          </cell>
          <cell r="B13283" t="str">
            <v>Budget</v>
          </cell>
          <cell r="C13283" t="str">
            <v>Dec</v>
          </cell>
          <cell r="D13283" t="str">
            <v>Chairs</v>
          </cell>
          <cell r="E13283">
            <v>1323.5319999999999</v>
          </cell>
          <cell r="F13283">
            <v>12</v>
          </cell>
        </row>
        <row r="13284">
          <cell r="A13284">
            <v>2018</v>
          </cell>
          <cell r="B13284" t="str">
            <v>Actual</v>
          </cell>
          <cell r="C13284" t="str">
            <v>Dec</v>
          </cell>
          <cell r="D13284" t="str">
            <v>Chairs</v>
          </cell>
          <cell r="E13284">
            <v>2249.9399999999996</v>
          </cell>
          <cell r="F13284">
            <v>12</v>
          </cell>
        </row>
        <row r="13285">
          <cell r="A13285">
            <v>2018</v>
          </cell>
          <cell r="B13285" t="str">
            <v>Budget</v>
          </cell>
          <cell r="C13285" t="str">
            <v>Dec</v>
          </cell>
          <cell r="D13285" t="str">
            <v>Chairs</v>
          </cell>
          <cell r="E13285">
            <v>1010.1279999999999</v>
          </cell>
          <cell r="F13285">
            <v>12</v>
          </cell>
        </row>
        <row r="13286">
          <cell r="A13286">
            <v>2018</v>
          </cell>
          <cell r="B13286" t="str">
            <v>Actual</v>
          </cell>
          <cell r="C13286" t="str">
            <v>Dec</v>
          </cell>
          <cell r="D13286" t="str">
            <v>Chairs</v>
          </cell>
          <cell r="E13286">
            <v>19104.343999999997</v>
          </cell>
          <cell r="F13286">
            <v>12</v>
          </cell>
        </row>
        <row r="13287">
          <cell r="A13287">
            <v>2018</v>
          </cell>
          <cell r="B13287" t="str">
            <v>Budget</v>
          </cell>
          <cell r="C13287" t="str">
            <v>Dec</v>
          </cell>
          <cell r="D13287" t="str">
            <v>Chairs</v>
          </cell>
          <cell r="E13287">
            <v>38586.722999999998</v>
          </cell>
          <cell r="F13287">
            <v>12</v>
          </cell>
        </row>
        <row r="13288">
          <cell r="A13288">
            <v>2018</v>
          </cell>
          <cell r="B13288" t="str">
            <v>Actual</v>
          </cell>
          <cell r="C13288" t="str">
            <v>Dec</v>
          </cell>
          <cell r="D13288" t="str">
            <v>Chairs</v>
          </cell>
          <cell r="E13288">
            <v>83557.418000000005</v>
          </cell>
          <cell r="F13288">
            <v>12</v>
          </cell>
        </row>
        <row r="13289">
          <cell r="A13289">
            <v>2018</v>
          </cell>
          <cell r="B13289" t="str">
            <v>Budget</v>
          </cell>
          <cell r="C13289" t="str">
            <v>Dec</v>
          </cell>
          <cell r="D13289" t="str">
            <v>Chairs</v>
          </cell>
          <cell r="E13289">
            <v>53387.151999999995</v>
          </cell>
          <cell r="F13289">
            <v>12</v>
          </cell>
        </row>
        <row r="13290">
          <cell r="A13290">
            <v>2019</v>
          </cell>
          <cell r="B13290" t="str">
            <v>Actual</v>
          </cell>
          <cell r="C13290" t="str">
            <v>Dec</v>
          </cell>
          <cell r="D13290" t="str">
            <v>Chairs</v>
          </cell>
          <cell r="E13290">
            <v>10932607.426999999</v>
          </cell>
          <cell r="F13290">
            <v>12</v>
          </cell>
        </row>
        <row r="13291">
          <cell r="A13291">
            <v>2019</v>
          </cell>
          <cell r="B13291" t="str">
            <v>Budget</v>
          </cell>
          <cell r="C13291" t="str">
            <v>Dec</v>
          </cell>
          <cell r="D13291" t="str">
            <v>Chairs</v>
          </cell>
          <cell r="E13291">
            <v>31855.368999999995</v>
          </cell>
          <cell r="F13291">
            <v>12</v>
          </cell>
        </row>
        <row r="13292">
          <cell r="A13292">
            <v>2019</v>
          </cell>
          <cell r="B13292" t="str">
            <v>Actual</v>
          </cell>
          <cell r="C13292" t="str">
            <v>Dec</v>
          </cell>
          <cell r="D13292" t="str">
            <v>Tables</v>
          </cell>
          <cell r="E13292">
            <v>2327.598</v>
          </cell>
          <cell r="F13292">
            <v>12</v>
          </cell>
        </row>
        <row r="13293">
          <cell r="A13293">
            <v>2018</v>
          </cell>
          <cell r="B13293" t="str">
            <v>Budget</v>
          </cell>
          <cell r="C13293" t="str">
            <v>Dec</v>
          </cell>
          <cell r="D13293" t="str">
            <v>Kitchen</v>
          </cell>
          <cell r="E13293">
            <v>24019.316999999995</v>
          </cell>
          <cell r="F13293">
            <v>12</v>
          </cell>
        </row>
        <row r="13294">
          <cell r="A13294">
            <v>2018</v>
          </cell>
          <cell r="B13294" t="str">
            <v>Actual</v>
          </cell>
          <cell r="C13294" t="str">
            <v>Dec</v>
          </cell>
          <cell r="D13294" t="str">
            <v>Chairs</v>
          </cell>
          <cell r="E13294">
            <v>321346.44499999995</v>
          </cell>
          <cell r="F13294">
            <v>12</v>
          </cell>
        </row>
        <row r="13295">
          <cell r="A13295">
            <v>2018</v>
          </cell>
          <cell r="B13295" t="str">
            <v>Budget</v>
          </cell>
          <cell r="C13295" t="str">
            <v>Dec</v>
          </cell>
          <cell r="D13295" t="str">
            <v>Chairs</v>
          </cell>
          <cell r="E13295">
            <v>921240.69799999986</v>
          </cell>
          <cell r="F13295">
            <v>12</v>
          </cell>
        </row>
        <row r="13296">
          <cell r="A13296">
            <v>2019</v>
          </cell>
          <cell r="B13296" t="str">
            <v>Actual</v>
          </cell>
          <cell r="C13296" t="str">
            <v>Dec</v>
          </cell>
          <cell r="D13296" t="str">
            <v>Chairs</v>
          </cell>
          <cell r="E13296">
            <v>6948.7389999999996</v>
          </cell>
          <cell r="F13296">
            <v>12</v>
          </cell>
        </row>
        <row r="13297">
          <cell r="A13297">
            <v>2019</v>
          </cell>
          <cell r="B13297" t="str">
            <v>Budget</v>
          </cell>
          <cell r="C13297" t="str">
            <v>Dec</v>
          </cell>
          <cell r="D13297" t="str">
            <v>Chairs</v>
          </cell>
          <cell r="E13297">
            <v>44525.131000000001</v>
          </cell>
          <cell r="F13297">
            <v>12</v>
          </cell>
        </row>
        <row r="13298">
          <cell r="A13298">
            <v>2019</v>
          </cell>
          <cell r="B13298" t="str">
            <v>Actual</v>
          </cell>
          <cell r="C13298" t="str">
            <v>Dec</v>
          </cell>
          <cell r="D13298" t="str">
            <v>Chairs</v>
          </cell>
          <cell r="E13298">
            <v>10306.009</v>
          </cell>
          <cell r="F13298">
            <v>12</v>
          </cell>
        </row>
        <row r="13299">
          <cell r="A13299">
            <v>2019</v>
          </cell>
          <cell r="B13299" t="str">
            <v>Budget</v>
          </cell>
          <cell r="C13299" t="str">
            <v>Dec</v>
          </cell>
          <cell r="D13299" t="str">
            <v>Tables</v>
          </cell>
          <cell r="E13299">
            <v>14102.164999999999</v>
          </cell>
          <cell r="F13299">
            <v>12</v>
          </cell>
        </row>
        <row r="13300">
          <cell r="A13300">
            <v>2019</v>
          </cell>
          <cell r="B13300" t="str">
            <v>Actual</v>
          </cell>
          <cell r="C13300" t="str">
            <v>Dec</v>
          </cell>
          <cell r="D13300" t="str">
            <v>Kitchen</v>
          </cell>
          <cell r="E13300">
            <v>44765.483</v>
          </cell>
          <cell r="F13300">
            <v>12</v>
          </cell>
        </row>
        <row r="13301">
          <cell r="A13301">
            <v>2019</v>
          </cell>
          <cell r="B13301" t="str">
            <v>Budget</v>
          </cell>
          <cell r="C13301" t="str">
            <v>Dec</v>
          </cell>
          <cell r="D13301" t="str">
            <v>Chairs</v>
          </cell>
          <cell r="E13301">
            <v>16430.162</v>
          </cell>
          <cell r="F13301">
            <v>12</v>
          </cell>
        </row>
        <row r="13302">
          <cell r="A13302">
            <v>2018</v>
          </cell>
          <cell r="B13302" t="str">
            <v>Actual</v>
          </cell>
          <cell r="C13302" t="str">
            <v>Dec</v>
          </cell>
          <cell r="D13302" t="str">
            <v>Chairs</v>
          </cell>
          <cell r="E13302">
            <v>5242.5519999999997</v>
          </cell>
          <cell r="F13302">
            <v>12</v>
          </cell>
        </row>
        <row r="13303">
          <cell r="A13303">
            <v>2018</v>
          </cell>
          <cell r="B13303" t="str">
            <v>Budget</v>
          </cell>
          <cell r="C13303" t="str">
            <v>Dec</v>
          </cell>
          <cell r="D13303" t="str">
            <v>Chairs</v>
          </cell>
          <cell r="E13303">
            <v>258033.69899999999</v>
          </cell>
          <cell r="F13303">
            <v>12</v>
          </cell>
        </row>
        <row r="13304">
          <cell r="A13304">
            <v>2018</v>
          </cell>
          <cell r="B13304" t="str">
            <v>Actual</v>
          </cell>
          <cell r="C13304" t="str">
            <v>Dec</v>
          </cell>
          <cell r="D13304" t="str">
            <v>Tables</v>
          </cell>
          <cell r="E13304">
            <v>656.20799999999997</v>
          </cell>
          <cell r="F13304">
            <v>12</v>
          </cell>
        </row>
        <row r="13305">
          <cell r="A13305">
            <v>2019</v>
          </cell>
          <cell r="B13305" t="str">
            <v>Budget</v>
          </cell>
          <cell r="C13305" t="str">
            <v>Dec</v>
          </cell>
          <cell r="D13305" t="str">
            <v>Kitchen</v>
          </cell>
          <cell r="E13305">
            <v>1117.9769999999999</v>
          </cell>
          <cell r="F13305">
            <v>12</v>
          </cell>
        </row>
        <row r="13306">
          <cell r="A13306">
            <v>2019</v>
          </cell>
          <cell r="B13306" t="str">
            <v>Actual</v>
          </cell>
          <cell r="C13306" t="str">
            <v>Dec</v>
          </cell>
          <cell r="D13306" t="str">
            <v>Chairs</v>
          </cell>
          <cell r="E13306">
            <v>111.797</v>
          </cell>
          <cell r="F13306">
            <v>12</v>
          </cell>
        </row>
        <row r="13307">
          <cell r="A13307">
            <v>2018</v>
          </cell>
          <cell r="B13307" t="str">
            <v>Budget</v>
          </cell>
          <cell r="C13307" t="str">
            <v>Dec</v>
          </cell>
          <cell r="D13307" t="str">
            <v>Chairs</v>
          </cell>
          <cell r="E13307">
            <v>15428516.312999999</v>
          </cell>
          <cell r="F13307">
            <v>12</v>
          </cell>
        </row>
        <row r="13308">
          <cell r="A13308">
            <v>2018</v>
          </cell>
          <cell r="B13308" t="str">
            <v>Actual</v>
          </cell>
          <cell r="C13308" t="str">
            <v>Dec</v>
          </cell>
          <cell r="D13308" t="str">
            <v>Tables</v>
          </cell>
          <cell r="E13308">
            <v>12500360.145</v>
          </cell>
          <cell r="F13308">
            <v>12</v>
          </cell>
        </row>
        <row r="13309">
          <cell r="A13309">
            <v>2018</v>
          </cell>
          <cell r="B13309" t="str">
            <v>Budget</v>
          </cell>
          <cell r="C13309" t="str">
            <v>Dec</v>
          </cell>
          <cell r="D13309" t="str">
            <v>Kitchen</v>
          </cell>
          <cell r="E13309">
            <v>98017.401999999987</v>
          </cell>
          <cell r="F13309">
            <v>12</v>
          </cell>
        </row>
        <row r="13310">
          <cell r="A13310">
            <v>2018</v>
          </cell>
          <cell r="B13310" t="str">
            <v>Actual</v>
          </cell>
          <cell r="C13310" t="str">
            <v>Dec</v>
          </cell>
          <cell r="D13310" t="str">
            <v>Chairs</v>
          </cell>
          <cell r="E13310">
            <v>51863.847000000002</v>
          </cell>
          <cell r="F13310">
            <v>12</v>
          </cell>
        </row>
        <row r="13311">
          <cell r="A13311">
            <v>2018</v>
          </cell>
          <cell r="B13311" t="str">
            <v>Budget</v>
          </cell>
          <cell r="C13311" t="str">
            <v>Dec</v>
          </cell>
          <cell r="D13311" t="str">
            <v>Chairs</v>
          </cell>
          <cell r="E13311">
            <v>682854.74599999993</v>
          </cell>
          <cell r="F13311">
            <v>12</v>
          </cell>
        </row>
        <row r="13312">
          <cell r="A13312">
            <v>2018</v>
          </cell>
          <cell r="B13312" t="str">
            <v>Actual</v>
          </cell>
          <cell r="C13312" t="str">
            <v>Dec</v>
          </cell>
          <cell r="D13312" t="str">
            <v>Tables</v>
          </cell>
          <cell r="E13312">
            <v>216908.81099999999</v>
          </cell>
          <cell r="F13312">
            <v>12</v>
          </cell>
        </row>
        <row r="13313">
          <cell r="A13313">
            <v>2018</v>
          </cell>
          <cell r="B13313" t="str">
            <v>Budget</v>
          </cell>
          <cell r="C13313" t="str">
            <v>Dec</v>
          </cell>
          <cell r="D13313" t="str">
            <v>Chairs</v>
          </cell>
          <cell r="E13313">
            <v>763610.58199999994</v>
          </cell>
          <cell r="F13313">
            <v>12</v>
          </cell>
        </row>
        <row r="13314">
          <cell r="A13314">
            <v>2019</v>
          </cell>
          <cell r="B13314" t="str">
            <v>Actual</v>
          </cell>
          <cell r="C13314" t="str">
            <v>Dec</v>
          </cell>
          <cell r="D13314" t="str">
            <v>Tables</v>
          </cell>
          <cell r="E13314">
            <v>163755.95599999998</v>
          </cell>
          <cell r="F13314">
            <v>12</v>
          </cell>
        </row>
        <row r="13315">
          <cell r="A13315">
            <v>2019</v>
          </cell>
          <cell r="B13315" t="str">
            <v>Budget</v>
          </cell>
          <cell r="C13315" t="str">
            <v>Dec</v>
          </cell>
          <cell r="D13315" t="str">
            <v>Kitchen</v>
          </cell>
          <cell r="E13315">
            <v>25100.774999999998</v>
          </cell>
          <cell r="F13315">
            <v>12</v>
          </cell>
        </row>
        <row r="13316">
          <cell r="A13316">
            <v>2019</v>
          </cell>
          <cell r="B13316" t="str">
            <v>Actual</v>
          </cell>
          <cell r="C13316" t="str">
            <v>Dec</v>
          </cell>
          <cell r="D13316" t="str">
            <v>Accessories</v>
          </cell>
          <cell r="E13316">
            <v>39852.106</v>
          </cell>
          <cell r="F13316">
            <v>12</v>
          </cell>
        </row>
        <row r="13317">
          <cell r="A13317">
            <v>2018</v>
          </cell>
          <cell r="B13317" t="str">
            <v>Budget</v>
          </cell>
          <cell r="C13317" t="str">
            <v>Dec</v>
          </cell>
          <cell r="D13317" t="str">
            <v>Chairs</v>
          </cell>
          <cell r="E13317">
            <v>-4300.3589999999995</v>
          </cell>
          <cell r="F13317">
            <v>12</v>
          </cell>
        </row>
        <row r="13318">
          <cell r="A13318">
            <v>2019</v>
          </cell>
          <cell r="B13318" t="str">
            <v>Actual</v>
          </cell>
          <cell r="C13318" t="str">
            <v>Dec</v>
          </cell>
          <cell r="D13318" t="str">
            <v>Tables</v>
          </cell>
          <cell r="E13318">
            <v>5745.0679999999993</v>
          </cell>
          <cell r="F13318">
            <v>12</v>
          </cell>
        </row>
        <row r="13319">
          <cell r="A13319">
            <v>2019</v>
          </cell>
          <cell r="B13319" t="str">
            <v>Budget</v>
          </cell>
          <cell r="C13319" t="str">
            <v>Dec</v>
          </cell>
          <cell r="D13319" t="str">
            <v>Kitchen</v>
          </cell>
          <cell r="E13319">
            <v>525640.07999999996</v>
          </cell>
          <cell r="F13319">
            <v>12</v>
          </cell>
        </row>
        <row r="13320">
          <cell r="A13320">
            <v>2018</v>
          </cell>
          <cell r="B13320" t="str">
            <v>Actual</v>
          </cell>
          <cell r="C13320" t="str">
            <v>Dec</v>
          </cell>
          <cell r="D13320" t="str">
            <v>Accessories</v>
          </cell>
          <cell r="E13320">
            <v>12266.862999999999</v>
          </cell>
          <cell r="F13320">
            <v>12</v>
          </cell>
        </row>
        <row r="13321">
          <cell r="A13321">
            <v>2019</v>
          </cell>
          <cell r="B13321" t="str">
            <v>Budget</v>
          </cell>
          <cell r="C13321" t="str">
            <v>Dec</v>
          </cell>
          <cell r="D13321" t="str">
            <v>Chairs</v>
          </cell>
          <cell r="E13321">
            <v>496158.83799999993</v>
          </cell>
          <cell r="F13321">
            <v>12</v>
          </cell>
        </row>
        <row r="13322">
          <cell r="A13322">
            <v>2018</v>
          </cell>
          <cell r="B13322" t="str">
            <v>Actual</v>
          </cell>
          <cell r="C13322" t="str">
            <v>Dec</v>
          </cell>
          <cell r="D13322" t="str">
            <v>Tables</v>
          </cell>
          <cell r="E13322">
            <v>-3252.8579999999997</v>
          </cell>
          <cell r="F13322">
            <v>12</v>
          </cell>
        </row>
        <row r="13323">
          <cell r="A13323">
            <v>2019</v>
          </cell>
          <cell r="B13323" t="str">
            <v>Budget</v>
          </cell>
          <cell r="C13323" t="str">
            <v>Dec</v>
          </cell>
          <cell r="D13323" t="str">
            <v>Kitchen</v>
          </cell>
          <cell r="E13323">
            <v>54770.050999999992</v>
          </cell>
          <cell r="F13323">
            <v>12</v>
          </cell>
        </row>
        <row r="13324">
          <cell r="A13324">
            <v>2019</v>
          </cell>
          <cell r="B13324" t="str">
            <v>Actual</v>
          </cell>
          <cell r="C13324" t="str">
            <v>Dec</v>
          </cell>
          <cell r="D13324" t="str">
            <v>Accessories</v>
          </cell>
          <cell r="E13324">
            <v>39440.457000000002</v>
          </cell>
          <cell r="F13324">
            <v>12</v>
          </cell>
        </row>
        <row r="13325">
          <cell r="A13325">
            <v>2018</v>
          </cell>
          <cell r="B13325" t="str">
            <v>Budget</v>
          </cell>
          <cell r="C13325" t="str">
            <v>Dec</v>
          </cell>
          <cell r="D13325" t="str">
            <v>Chairs</v>
          </cell>
          <cell r="E13325">
            <v>20734.776999999998</v>
          </cell>
          <cell r="F13325">
            <v>12</v>
          </cell>
        </row>
        <row r="13326">
          <cell r="A13326">
            <v>2018</v>
          </cell>
          <cell r="B13326" t="str">
            <v>Actual</v>
          </cell>
          <cell r="C13326" t="str">
            <v>Dec</v>
          </cell>
          <cell r="D13326" t="str">
            <v>Tables</v>
          </cell>
          <cell r="E13326">
            <v>22852.501</v>
          </cell>
          <cell r="F13326">
            <v>12</v>
          </cell>
        </row>
        <row r="13327">
          <cell r="A13327">
            <v>2018</v>
          </cell>
          <cell r="B13327" t="str">
            <v>Budget</v>
          </cell>
          <cell r="C13327" t="str">
            <v>Dec</v>
          </cell>
          <cell r="D13327" t="str">
            <v>Kitchen</v>
          </cell>
          <cell r="E13327">
            <v>33439.510999999999</v>
          </cell>
          <cell r="F13327">
            <v>12</v>
          </cell>
        </row>
        <row r="13328">
          <cell r="A13328">
            <v>2019</v>
          </cell>
          <cell r="B13328" t="str">
            <v>Actual</v>
          </cell>
          <cell r="C13328" t="str">
            <v>Dec</v>
          </cell>
          <cell r="D13328" t="str">
            <v>Accessories</v>
          </cell>
          <cell r="E13328">
            <v>101537.891</v>
          </cell>
          <cell r="F13328">
            <v>12</v>
          </cell>
        </row>
        <row r="13329">
          <cell r="A13329">
            <v>2019</v>
          </cell>
          <cell r="B13329" t="str">
            <v>Budget</v>
          </cell>
          <cell r="C13329" t="str">
            <v>Dec</v>
          </cell>
          <cell r="D13329" t="str">
            <v>Chairs</v>
          </cell>
          <cell r="E13329">
            <v>145366.59899999999</v>
          </cell>
          <cell r="F13329">
            <v>12</v>
          </cell>
        </row>
        <row r="13330">
          <cell r="A13330">
            <v>2019</v>
          </cell>
          <cell r="B13330" t="str">
            <v>Actual</v>
          </cell>
          <cell r="C13330" t="str">
            <v>Dec</v>
          </cell>
          <cell r="D13330" t="str">
            <v>Chairs</v>
          </cell>
          <cell r="E13330">
            <v>371263.63399999996</v>
          </cell>
          <cell r="F13330">
            <v>12</v>
          </cell>
        </row>
        <row r="13331">
          <cell r="A13331">
            <v>2019</v>
          </cell>
          <cell r="B13331" t="str">
            <v>Budget</v>
          </cell>
          <cell r="C13331" t="str">
            <v>Dec</v>
          </cell>
          <cell r="D13331" t="str">
            <v>Tables</v>
          </cell>
          <cell r="E13331">
            <v>1184121.5189999999</v>
          </cell>
          <cell r="F13331">
            <v>12</v>
          </cell>
        </row>
        <row r="13332">
          <cell r="A13332">
            <v>2018</v>
          </cell>
          <cell r="B13332" t="str">
            <v>Actual</v>
          </cell>
          <cell r="C13332" t="str">
            <v>Dec</v>
          </cell>
          <cell r="D13332" t="str">
            <v>Kitchen</v>
          </cell>
          <cell r="E13332">
            <v>199588.96300000002</v>
          </cell>
          <cell r="F13332">
            <v>12</v>
          </cell>
        </row>
        <row r="13333">
          <cell r="A13333">
            <v>2019</v>
          </cell>
          <cell r="B13333" t="str">
            <v>Budget</v>
          </cell>
          <cell r="C13333" t="str">
            <v>Dec</v>
          </cell>
          <cell r="D13333" t="str">
            <v>Chairs</v>
          </cell>
          <cell r="E13333">
            <v>126368.648</v>
          </cell>
          <cell r="F13333">
            <v>12</v>
          </cell>
        </row>
        <row r="13334">
          <cell r="A13334">
            <v>2018</v>
          </cell>
          <cell r="B13334" t="str">
            <v>Actual</v>
          </cell>
          <cell r="C13334" t="str">
            <v>Dec</v>
          </cell>
          <cell r="D13334" t="str">
            <v>Tables</v>
          </cell>
          <cell r="E13334">
            <v>70786.498999999996</v>
          </cell>
          <cell r="F13334">
            <v>12</v>
          </cell>
        </row>
        <row r="13335">
          <cell r="A13335">
            <v>2018</v>
          </cell>
          <cell r="B13335" t="str">
            <v>Budget</v>
          </cell>
          <cell r="C13335" t="str">
            <v>Dec</v>
          </cell>
          <cell r="D13335" t="str">
            <v>Kitchen</v>
          </cell>
          <cell r="E13335">
            <v>20445.508999999998</v>
          </cell>
          <cell r="F13335">
            <v>12</v>
          </cell>
        </row>
        <row r="13336">
          <cell r="A13336">
            <v>2018</v>
          </cell>
          <cell r="B13336" t="str">
            <v>Actual</v>
          </cell>
          <cell r="C13336" t="str">
            <v>Dec</v>
          </cell>
          <cell r="D13336" t="str">
            <v>Chairs</v>
          </cell>
          <cell r="E13336">
            <v>108199.30799999999</v>
          </cell>
          <cell r="F13336">
            <v>12</v>
          </cell>
        </row>
        <row r="13337">
          <cell r="A13337">
            <v>2018</v>
          </cell>
          <cell r="B13337" t="str">
            <v>Budget</v>
          </cell>
          <cell r="C13337" t="str">
            <v>Dec</v>
          </cell>
          <cell r="D13337" t="str">
            <v>Tables</v>
          </cell>
          <cell r="E13337">
            <v>152720.932</v>
          </cell>
          <cell r="F13337">
            <v>12</v>
          </cell>
        </row>
        <row r="13338">
          <cell r="A13338">
            <v>2019</v>
          </cell>
          <cell r="B13338" t="str">
            <v>Actual</v>
          </cell>
          <cell r="C13338" t="str">
            <v>Dec</v>
          </cell>
          <cell r="D13338" t="str">
            <v>Kitchen</v>
          </cell>
          <cell r="E13338">
            <v>41994.512000000002</v>
          </cell>
          <cell r="F13338">
            <v>12</v>
          </cell>
        </row>
        <row r="13339">
          <cell r="A13339">
            <v>2018</v>
          </cell>
          <cell r="B13339" t="str">
            <v>Budget</v>
          </cell>
          <cell r="C13339" t="str">
            <v>Dec</v>
          </cell>
          <cell r="D13339" t="str">
            <v>Chairs</v>
          </cell>
          <cell r="E13339">
            <v>131075.53899999999</v>
          </cell>
          <cell r="F13339">
            <v>12</v>
          </cell>
        </row>
        <row r="13340">
          <cell r="A13340">
            <v>2018</v>
          </cell>
          <cell r="B13340" t="str">
            <v>Actual</v>
          </cell>
          <cell r="C13340" t="str">
            <v>Dec</v>
          </cell>
          <cell r="D13340" t="str">
            <v>Chairs</v>
          </cell>
          <cell r="E13340">
            <v>86435.040999999997</v>
          </cell>
          <cell r="F13340">
            <v>12</v>
          </cell>
        </row>
        <row r="13341">
          <cell r="A13341">
            <v>2019</v>
          </cell>
          <cell r="B13341" t="str">
            <v>Budget</v>
          </cell>
          <cell r="C13341" t="str">
            <v>Dec</v>
          </cell>
          <cell r="D13341" t="str">
            <v>Chairs</v>
          </cell>
          <cell r="E13341">
            <v>22743.413</v>
          </cell>
          <cell r="F13341">
            <v>12</v>
          </cell>
        </row>
        <row r="13342">
          <cell r="A13342">
            <v>2019</v>
          </cell>
          <cell r="B13342" t="str">
            <v>Actual</v>
          </cell>
          <cell r="C13342" t="str">
            <v>Dec</v>
          </cell>
          <cell r="D13342" t="str">
            <v>Chairs</v>
          </cell>
          <cell r="E13342">
            <v>811947.46499999997</v>
          </cell>
          <cell r="F13342">
            <v>12</v>
          </cell>
        </row>
        <row r="13343">
          <cell r="A13343">
            <v>2018</v>
          </cell>
          <cell r="B13343" t="str">
            <v>Budget</v>
          </cell>
          <cell r="C13343" t="str">
            <v>Dec</v>
          </cell>
          <cell r="D13343" t="str">
            <v>Chairs</v>
          </cell>
          <cell r="E13343">
            <v>782183.19900000002</v>
          </cell>
          <cell r="F13343">
            <v>12</v>
          </cell>
        </row>
        <row r="13344">
          <cell r="A13344">
            <v>2019</v>
          </cell>
          <cell r="B13344" t="str">
            <v>Actual</v>
          </cell>
          <cell r="C13344" t="str">
            <v>Dec</v>
          </cell>
          <cell r="D13344" t="str">
            <v>Chairs</v>
          </cell>
          <cell r="E13344">
            <v>3156870.15</v>
          </cell>
          <cell r="F13344">
            <v>12</v>
          </cell>
        </row>
        <row r="13345">
          <cell r="A13345">
            <v>2018</v>
          </cell>
          <cell r="B13345" t="str">
            <v>Budget</v>
          </cell>
          <cell r="C13345" t="str">
            <v>Dec</v>
          </cell>
          <cell r="D13345" t="str">
            <v>Chairs</v>
          </cell>
          <cell r="E13345">
            <v>-3025614.7110000001</v>
          </cell>
          <cell r="F13345">
            <v>12</v>
          </cell>
        </row>
        <row r="13346">
          <cell r="A13346">
            <v>2018</v>
          </cell>
          <cell r="B13346" t="str">
            <v>Actual</v>
          </cell>
          <cell r="C13346" t="str">
            <v>Dec</v>
          </cell>
          <cell r="D13346" t="str">
            <v>Chairs</v>
          </cell>
          <cell r="E13346">
            <v>75120.864000000001</v>
          </cell>
          <cell r="F13346">
            <v>12</v>
          </cell>
        </row>
        <row r="13347">
          <cell r="A13347">
            <v>2018</v>
          </cell>
          <cell r="B13347" t="str">
            <v>Budget</v>
          </cell>
          <cell r="C13347" t="str">
            <v>Dec</v>
          </cell>
          <cell r="D13347" t="str">
            <v>Chairs</v>
          </cell>
          <cell r="E13347">
            <v>24292142.104999997</v>
          </cell>
          <cell r="F13347">
            <v>12</v>
          </cell>
        </row>
        <row r="13348">
          <cell r="A13348">
            <v>2018</v>
          </cell>
          <cell r="B13348" t="str">
            <v>Actual</v>
          </cell>
          <cell r="C13348" t="str">
            <v>Dec</v>
          </cell>
          <cell r="D13348" t="str">
            <v>Chairs</v>
          </cell>
          <cell r="E13348">
            <v>25904970.077</v>
          </cell>
          <cell r="F13348">
            <v>12</v>
          </cell>
        </row>
        <row r="13349">
          <cell r="A13349">
            <v>2018</v>
          </cell>
          <cell r="B13349" t="str">
            <v>Budget</v>
          </cell>
          <cell r="C13349" t="str">
            <v>Dec</v>
          </cell>
          <cell r="D13349" t="str">
            <v>Chairs</v>
          </cell>
          <cell r="E13349">
            <v>5929593.095999999</v>
          </cell>
          <cell r="F13349">
            <v>12</v>
          </cell>
        </row>
        <row r="13350">
          <cell r="A13350">
            <v>2019</v>
          </cell>
          <cell r="B13350" t="str">
            <v>Actual</v>
          </cell>
          <cell r="C13350" t="str">
            <v>Dec</v>
          </cell>
          <cell r="D13350" t="str">
            <v>Chairs</v>
          </cell>
          <cell r="E13350">
            <v>12258059.947000001</v>
          </cell>
          <cell r="F13350">
            <v>12</v>
          </cell>
        </row>
        <row r="13351">
          <cell r="A13351">
            <v>2018</v>
          </cell>
          <cell r="B13351" t="str">
            <v>Budget</v>
          </cell>
          <cell r="C13351" t="str">
            <v>Dec</v>
          </cell>
          <cell r="D13351" t="str">
            <v>Chairs</v>
          </cell>
          <cell r="E13351">
            <v>2553064.9759999998</v>
          </cell>
          <cell r="F13351">
            <v>12</v>
          </cell>
        </row>
        <row r="13352">
          <cell r="A13352">
            <v>2019</v>
          </cell>
          <cell r="B13352" t="str">
            <v>Actual</v>
          </cell>
          <cell r="C13352" t="str">
            <v>Dec</v>
          </cell>
          <cell r="D13352" t="str">
            <v>Chairs</v>
          </cell>
          <cell r="E13352">
            <v>2658107.5989999999</v>
          </cell>
          <cell r="F13352">
            <v>12</v>
          </cell>
        </row>
        <row r="13353">
          <cell r="A13353">
            <v>2018</v>
          </cell>
          <cell r="B13353" t="str">
            <v>Budget</v>
          </cell>
          <cell r="C13353" t="str">
            <v>Dec</v>
          </cell>
          <cell r="D13353" t="str">
            <v>Chairs</v>
          </cell>
          <cell r="E13353">
            <v>15424720.619000001</v>
          </cell>
          <cell r="F13353">
            <v>12</v>
          </cell>
        </row>
        <row r="13354">
          <cell r="A13354">
            <v>2018</v>
          </cell>
          <cell r="B13354" t="str">
            <v>Actual</v>
          </cell>
          <cell r="C13354" t="str">
            <v>Dec</v>
          </cell>
          <cell r="D13354" t="str">
            <v>Chairs</v>
          </cell>
          <cell r="E13354">
            <v>10279792.229</v>
          </cell>
          <cell r="F13354">
            <v>12</v>
          </cell>
        </row>
        <row r="13355">
          <cell r="A13355">
            <v>2019</v>
          </cell>
          <cell r="B13355" t="str">
            <v>Budget</v>
          </cell>
          <cell r="C13355" t="str">
            <v>Dec</v>
          </cell>
          <cell r="D13355" t="str">
            <v>Chairs</v>
          </cell>
          <cell r="E13355">
            <v>7385392.601999999</v>
          </cell>
          <cell r="F13355">
            <v>12</v>
          </cell>
        </row>
        <row r="13356">
          <cell r="A13356">
            <v>2018</v>
          </cell>
          <cell r="B13356" t="str">
            <v>Actual</v>
          </cell>
          <cell r="C13356" t="str">
            <v>Dec</v>
          </cell>
          <cell r="D13356" t="str">
            <v>Chairs</v>
          </cell>
          <cell r="E13356">
            <v>388861.94200000004</v>
          </cell>
          <cell r="F13356">
            <v>12</v>
          </cell>
        </row>
        <row r="13357">
          <cell r="A13357">
            <v>2018</v>
          </cell>
          <cell r="B13357" t="str">
            <v>Budget</v>
          </cell>
          <cell r="C13357" t="str">
            <v>Dec</v>
          </cell>
          <cell r="D13357" t="str">
            <v>Chairs</v>
          </cell>
          <cell r="E13357">
            <v>514282.77600000001</v>
          </cell>
          <cell r="F13357">
            <v>12</v>
          </cell>
        </row>
        <row r="13358">
          <cell r="A13358">
            <v>2019</v>
          </cell>
          <cell r="B13358" t="str">
            <v>Actual</v>
          </cell>
          <cell r="C13358" t="str">
            <v>Dec</v>
          </cell>
          <cell r="D13358" t="str">
            <v>Chairs</v>
          </cell>
          <cell r="E13358">
            <v>761083.071</v>
          </cell>
          <cell r="F13358">
            <v>12</v>
          </cell>
        </row>
        <row r="13359">
          <cell r="A13359">
            <v>2019</v>
          </cell>
          <cell r="B13359" t="str">
            <v>Budget</v>
          </cell>
          <cell r="C13359" t="str">
            <v>Dec</v>
          </cell>
          <cell r="D13359" t="str">
            <v>Chairs</v>
          </cell>
          <cell r="E13359">
            <v>16164517.446</v>
          </cell>
          <cell r="F13359">
            <v>12</v>
          </cell>
        </row>
        <row r="13360">
          <cell r="A13360">
            <v>2019</v>
          </cell>
          <cell r="B13360" t="str">
            <v>Actual</v>
          </cell>
          <cell r="C13360" t="str">
            <v>Dec</v>
          </cell>
          <cell r="D13360" t="str">
            <v>Chairs</v>
          </cell>
          <cell r="E13360">
            <v>2462995.2339999997</v>
          </cell>
          <cell r="F13360">
            <v>12</v>
          </cell>
        </row>
        <row r="13361">
          <cell r="A13361">
            <v>2018</v>
          </cell>
          <cell r="B13361" t="str">
            <v>Budget</v>
          </cell>
          <cell r="C13361" t="str">
            <v>Dec</v>
          </cell>
          <cell r="D13361" t="str">
            <v>Chairs</v>
          </cell>
          <cell r="E13361">
            <v>12654387.577999998</v>
          </cell>
          <cell r="F13361">
            <v>12</v>
          </cell>
        </row>
        <row r="13362">
          <cell r="A13362">
            <v>2018</v>
          </cell>
          <cell r="B13362" t="str">
            <v>Actual</v>
          </cell>
          <cell r="C13362" t="str">
            <v>Dec</v>
          </cell>
          <cell r="D13362" t="str">
            <v>Chairs</v>
          </cell>
          <cell r="E13362">
            <v>1099110.5789999999</v>
          </cell>
          <cell r="F13362">
            <v>12</v>
          </cell>
        </row>
        <row r="13363">
          <cell r="A13363">
            <v>2018</v>
          </cell>
          <cell r="B13363" t="str">
            <v>Budget</v>
          </cell>
          <cell r="C13363" t="str">
            <v>Dec</v>
          </cell>
          <cell r="D13363" t="str">
            <v>Chairs</v>
          </cell>
          <cell r="E13363">
            <v>9897438.8519999981</v>
          </cell>
          <cell r="F13363">
            <v>12</v>
          </cell>
        </row>
        <row r="13364">
          <cell r="A13364">
            <v>2018</v>
          </cell>
          <cell r="B13364" t="str">
            <v>Actual</v>
          </cell>
          <cell r="C13364" t="str">
            <v>Dec</v>
          </cell>
          <cell r="D13364" t="str">
            <v>Chairs</v>
          </cell>
          <cell r="E13364">
            <v>118598.473</v>
          </cell>
          <cell r="F13364">
            <v>12</v>
          </cell>
        </row>
        <row r="13365">
          <cell r="A13365">
            <v>2018</v>
          </cell>
          <cell r="B13365" t="str">
            <v>Budget</v>
          </cell>
          <cell r="C13365" t="str">
            <v>Dec</v>
          </cell>
          <cell r="D13365" t="str">
            <v>Tables</v>
          </cell>
          <cell r="E13365">
            <v>16031.043</v>
          </cell>
          <cell r="F13365">
            <v>12</v>
          </cell>
        </row>
        <row r="13366">
          <cell r="A13366">
            <v>2019</v>
          </cell>
          <cell r="B13366" t="str">
            <v>Actual</v>
          </cell>
          <cell r="C13366" t="str">
            <v>Dec</v>
          </cell>
          <cell r="D13366" t="str">
            <v>Kitchen</v>
          </cell>
          <cell r="E13366">
            <v>109.62700000000001</v>
          </cell>
          <cell r="F13366">
            <v>12</v>
          </cell>
        </row>
        <row r="13367">
          <cell r="A13367">
            <v>2018</v>
          </cell>
          <cell r="B13367" t="str">
            <v>Budget</v>
          </cell>
          <cell r="C13367" t="str">
            <v>Dec</v>
          </cell>
          <cell r="D13367" t="str">
            <v>Chairs</v>
          </cell>
          <cell r="E13367">
            <v>437868.52899999998</v>
          </cell>
          <cell r="F13367">
            <v>12</v>
          </cell>
        </row>
        <row r="13368">
          <cell r="A13368">
            <v>2018</v>
          </cell>
          <cell r="B13368" t="str">
            <v>Actual</v>
          </cell>
          <cell r="C13368" t="str">
            <v>Dec</v>
          </cell>
          <cell r="D13368" t="str">
            <v>Chairs</v>
          </cell>
          <cell r="E13368">
            <v>1698570.517</v>
          </cell>
          <cell r="F13368">
            <v>12</v>
          </cell>
        </row>
        <row r="13369">
          <cell r="A13369">
            <v>2018</v>
          </cell>
          <cell r="B13369" t="str">
            <v>Budget</v>
          </cell>
          <cell r="C13369" t="str">
            <v>Dec</v>
          </cell>
          <cell r="D13369" t="str">
            <v>Chairs</v>
          </cell>
          <cell r="E13369">
            <v>191304.288</v>
          </cell>
          <cell r="F13369">
            <v>12</v>
          </cell>
        </row>
        <row r="13370">
          <cell r="A13370">
            <v>2018</v>
          </cell>
          <cell r="B13370" t="str">
            <v>Actual</v>
          </cell>
          <cell r="C13370" t="str">
            <v>Dec</v>
          </cell>
          <cell r="D13370" t="str">
            <v>Chairs</v>
          </cell>
          <cell r="E13370">
            <v>34102.025999999998</v>
          </cell>
          <cell r="F13370">
            <v>12</v>
          </cell>
        </row>
        <row r="13371">
          <cell r="A13371">
            <v>2018</v>
          </cell>
          <cell r="B13371" t="str">
            <v>Budget</v>
          </cell>
          <cell r="C13371" t="str">
            <v>Dec</v>
          </cell>
          <cell r="D13371" t="str">
            <v>Chairs</v>
          </cell>
          <cell r="E13371">
            <v>603078.09100000001</v>
          </cell>
          <cell r="F13371">
            <v>12</v>
          </cell>
        </row>
        <row r="13372">
          <cell r="A13372">
            <v>2019</v>
          </cell>
          <cell r="B13372" t="str">
            <v>Actual</v>
          </cell>
          <cell r="C13372" t="str">
            <v>Dec</v>
          </cell>
          <cell r="D13372" t="str">
            <v>Tables</v>
          </cell>
          <cell r="E13372">
            <v>7190020.8799999999</v>
          </cell>
          <cell r="F13372">
            <v>12</v>
          </cell>
        </row>
        <row r="13373">
          <cell r="A13373">
            <v>2019</v>
          </cell>
          <cell r="B13373" t="str">
            <v>Budget</v>
          </cell>
          <cell r="C13373" t="str">
            <v>Dec</v>
          </cell>
          <cell r="D13373" t="str">
            <v>Kitchen</v>
          </cell>
          <cell r="E13373">
            <v>3986824.9889999996</v>
          </cell>
          <cell r="F13373">
            <v>12</v>
          </cell>
        </row>
        <row r="13374">
          <cell r="A13374">
            <v>2019</v>
          </cell>
          <cell r="B13374" t="str">
            <v>Actual</v>
          </cell>
          <cell r="C13374" t="str">
            <v>Dec</v>
          </cell>
          <cell r="D13374" t="str">
            <v>Chairs</v>
          </cell>
          <cell r="E13374">
            <v>59600236.940999992</v>
          </cell>
          <cell r="F13374">
            <v>12</v>
          </cell>
        </row>
        <row r="13375">
          <cell r="A13375">
            <v>2019</v>
          </cell>
          <cell r="B13375" t="str">
            <v>Budget</v>
          </cell>
          <cell r="C13375" t="str">
            <v>Dec</v>
          </cell>
          <cell r="D13375" t="str">
            <v>Chairs</v>
          </cell>
          <cell r="E13375">
            <v>2219643.8389999997</v>
          </cell>
          <cell r="F13375">
            <v>12</v>
          </cell>
        </row>
        <row r="13376">
          <cell r="A13376">
            <v>2018</v>
          </cell>
          <cell r="B13376" t="str">
            <v>Actual</v>
          </cell>
          <cell r="C13376" t="str">
            <v>Dec</v>
          </cell>
          <cell r="D13376" t="str">
            <v>Chairs</v>
          </cell>
          <cell r="E13376">
            <v>1131948.9859999998</v>
          </cell>
          <cell r="F13376">
            <v>12</v>
          </cell>
        </row>
        <row r="13377">
          <cell r="A13377">
            <v>2019</v>
          </cell>
          <cell r="B13377" t="str">
            <v>Budget</v>
          </cell>
          <cell r="C13377" t="str">
            <v>Dec</v>
          </cell>
          <cell r="D13377" t="str">
            <v>Tables</v>
          </cell>
          <cell r="E13377">
            <v>15576225.027999999</v>
          </cell>
          <cell r="F13377">
            <v>12</v>
          </cell>
        </row>
        <row r="13378">
          <cell r="A13378">
            <v>2018</v>
          </cell>
          <cell r="B13378" t="str">
            <v>Actual</v>
          </cell>
          <cell r="C13378" t="str">
            <v>Dec</v>
          </cell>
          <cell r="D13378" t="str">
            <v>Kitchen</v>
          </cell>
          <cell r="E13378">
            <v>644231.10499999998</v>
          </cell>
          <cell r="F13378">
            <v>12</v>
          </cell>
        </row>
        <row r="13379">
          <cell r="A13379">
            <v>2018</v>
          </cell>
          <cell r="B13379" t="str">
            <v>Budget</v>
          </cell>
          <cell r="C13379" t="str">
            <v>Dec</v>
          </cell>
          <cell r="D13379" t="str">
            <v>Chairs</v>
          </cell>
          <cell r="E13379">
            <v>72251.703999999998</v>
          </cell>
          <cell r="F13379">
            <v>12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01_Novartis">
      <a:dk1>
        <a:srgbClr val="000000"/>
      </a:dk1>
      <a:lt1>
        <a:srgbClr val="FFFFFF"/>
      </a:lt1>
      <a:dk2>
        <a:srgbClr val="404040"/>
      </a:dk2>
      <a:lt2>
        <a:srgbClr val="CCCCCC"/>
      </a:lt2>
      <a:accent1>
        <a:srgbClr val="0460A9"/>
      </a:accent1>
      <a:accent2>
        <a:srgbClr val="E74A21"/>
      </a:accent2>
      <a:accent3>
        <a:srgbClr val="EC9A1E"/>
      </a:accent3>
      <a:accent4>
        <a:srgbClr val="8D1F1B"/>
      </a:accent4>
      <a:accent5>
        <a:srgbClr val="7F7F7F"/>
      </a:accent5>
      <a:accent6>
        <a:srgbClr val="404040"/>
      </a:accent6>
      <a:hlink>
        <a:srgbClr val="0460A9"/>
      </a:hlink>
      <a:folHlink>
        <a:srgbClr val="0460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5.emf"/><Relationship Id="rId3" Type="http://schemas.openxmlformats.org/officeDocument/2006/relationships/customProperty" Target="../customProperty6.bin"/><Relationship Id="rId7" Type="http://schemas.openxmlformats.org/officeDocument/2006/relationships/image" Target="../media/image2.emf"/><Relationship Id="rId12" Type="http://schemas.openxmlformats.org/officeDocument/2006/relationships/control" Target="../activeX/activeX4.xml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Relationship Id="rId6" Type="http://schemas.openxmlformats.org/officeDocument/2006/relationships/control" Target="../activeX/activeX1.xml"/><Relationship Id="rId11" Type="http://schemas.openxmlformats.org/officeDocument/2006/relationships/image" Target="../media/image4.emf"/><Relationship Id="rId5" Type="http://schemas.openxmlformats.org/officeDocument/2006/relationships/vmlDrawing" Target="../drawings/vmlDrawing1.vml"/><Relationship Id="rId10" Type="http://schemas.openxmlformats.org/officeDocument/2006/relationships/control" Target="../activeX/activeX3.xml"/><Relationship Id="rId4" Type="http://schemas.openxmlformats.org/officeDocument/2006/relationships/drawing" Target="../drawings/drawing2.xml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13" Type="http://schemas.openxmlformats.org/officeDocument/2006/relationships/image" Target="../media/image9.emf"/><Relationship Id="rId3" Type="http://schemas.openxmlformats.org/officeDocument/2006/relationships/customProperty" Target="../customProperty9.bin"/><Relationship Id="rId7" Type="http://schemas.openxmlformats.org/officeDocument/2006/relationships/image" Target="../media/image6.emf"/><Relationship Id="rId12" Type="http://schemas.openxmlformats.org/officeDocument/2006/relationships/control" Target="../activeX/activeX8.xml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Relationship Id="rId6" Type="http://schemas.openxmlformats.org/officeDocument/2006/relationships/control" Target="../activeX/activeX5.xml"/><Relationship Id="rId11" Type="http://schemas.openxmlformats.org/officeDocument/2006/relationships/image" Target="../media/image8.emf"/><Relationship Id="rId5" Type="http://schemas.openxmlformats.org/officeDocument/2006/relationships/vmlDrawing" Target="../drawings/vmlDrawing2.vml"/><Relationship Id="rId10" Type="http://schemas.openxmlformats.org/officeDocument/2006/relationships/control" Target="../activeX/activeX7.xml"/><Relationship Id="rId4" Type="http://schemas.openxmlformats.org/officeDocument/2006/relationships/drawing" Target="../drawings/drawing3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control" Target="../activeX/activeX12.xml"/><Relationship Id="rId3" Type="http://schemas.openxmlformats.org/officeDocument/2006/relationships/customProperty" Target="../customProperty11.bin"/><Relationship Id="rId7" Type="http://schemas.openxmlformats.org/officeDocument/2006/relationships/control" Target="../activeX/activeX9.xml"/><Relationship Id="rId12" Type="http://schemas.openxmlformats.org/officeDocument/2006/relationships/image" Target="../media/image12.emf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3.vml"/><Relationship Id="rId11" Type="http://schemas.openxmlformats.org/officeDocument/2006/relationships/control" Target="../activeX/activeX11.xml"/><Relationship Id="rId5" Type="http://schemas.openxmlformats.org/officeDocument/2006/relationships/drawing" Target="../drawings/drawing4.xml"/><Relationship Id="rId10" Type="http://schemas.openxmlformats.org/officeDocument/2006/relationships/image" Target="../media/image11.emf"/><Relationship Id="rId4" Type="http://schemas.openxmlformats.org/officeDocument/2006/relationships/customProperty" Target="../customProperty12.bin"/><Relationship Id="rId9" Type="http://schemas.openxmlformats.org/officeDocument/2006/relationships/control" Target="../activeX/activeX10.xml"/><Relationship Id="rId14" Type="http://schemas.openxmlformats.org/officeDocument/2006/relationships/image" Target="../media/image13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6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drawing" Target="../drawings/drawing7.xml"/><Relationship Id="rId7" Type="http://schemas.openxmlformats.org/officeDocument/2006/relationships/control" Target="../activeX/activeX18.xml"/><Relationship Id="rId12" Type="http://schemas.openxmlformats.org/officeDocument/2006/relationships/image" Target="../media/image21.emf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4.bin"/><Relationship Id="rId6" Type="http://schemas.openxmlformats.org/officeDocument/2006/relationships/image" Target="../media/image18.emf"/><Relationship Id="rId11" Type="http://schemas.openxmlformats.org/officeDocument/2006/relationships/control" Target="../activeX/activeX20.xml"/><Relationship Id="rId5" Type="http://schemas.openxmlformats.org/officeDocument/2006/relationships/control" Target="../activeX/activeX17.xml"/><Relationship Id="rId10" Type="http://schemas.openxmlformats.org/officeDocument/2006/relationships/image" Target="../media/image20.emf"/><Relationship Id="rId4" Type="http://schemas.openxmlformats.org/officeDocument/2006/relationships/vmlDrawing" Target="../drawings/vmlDrawing5.vml"/><Relationship Id="rId9" Type="http://schemas.openxmlformats.org/officeDocument/2006/relationships/control" Target="../activeX/activeX1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3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4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7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27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6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8.xml"/><Relationship Id="rId4" Type="http://schemas.openxmlformats.org/officeDocument/2006/relationships/control" Target="../activeX/activeX25.xml"/><Relationship Id="rId9" Type="http://schemas.openxmlformats.org/officeDocument/2006/relationships/image" Target="../media/image28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076B-CFEA-49DC-8B02-3D45B5D0AD9D}">
  <sheetPr>
    <tabColor rgb="FFC00000"/>
  </sheetPr>
  <dimension ref="A1:D28"/>
  <sheetViews>
    <sheetView showGridLines="0" tabSelected="1" zoomScale="115" zoomScaleNormal="115" workbookViewId="0">
      <selection activeCell="C13" sqref="C13"/>
    </sheetView>
  </sheetViews>
  <sheetFormatPr defaultColWidth="10" defaultRowHeight="15.75" x14ac:dyDescent="0.25"/>
  <cols>
    <col min="1" max="1" width="19.140625" style="212" customWidth="1"/>
    <col min="2" max="2" width="22.85546875" style="211" customWidth="1"/>
    <col min="3" max="3" width="25.140625" style="211" customWidth="1"/>
    <col min="4" max="16384" width="10" style="211"/>
  </cols>
  <sheetData>
    <row r="1" spans="1:4" x14ac:dyDescent="0.25">
      <c r="A1" s="210"/>
    </row>
    <row r="2" spans="1:4" x14ac:dyDescent="0.25">
      <c r="A2" s="210"/>
    </row>
    <row r="3" spans="1:4" x14ac:dyDescent="0.25">
      <c r="A3" s="210"/>
    </row>
    <row r="4" spans="1:4" ht="3.4" customHeight="1" x14ac:dyDescent="0.25">
      <c r="A4" s="210"/>
    </row>
    <row r="5" spans="1:4" x14ac:dyDescent="0.25">
      <c r="B5" s="213" t="s">
        <v>132</v>
      </c>
      <c r="D5" s="213" t="s">
        <v>150</v>
      </c>
    </row>
    <row r="7" spans="1:4" ht="12.75" x14ac:dyDescent="0.2">
      <c r="A7" s="214" t="s">
        <v>133</v>
      </c>
      <c r="B7" s="213" t="s">
        <v>134</v>
      </c>
      <c r="D7" s="211" t="s">
        <v>151</v>
      </c>
    </row>
    <row r="8" spans="1:4" ht="12.75" x14ac:dyDescent="0.2">
      <c r="A8" s="215" t="s">
        <v>135</v>
      </c>
      <c r="D8" s="211" t="s">
        <v>152</v>
      </c>
    </row>
    <row r="9" spans="1:4" ht="12.75" x14ac:dyDescent="0.2">
      <c r="A9" s="215" t="s">
        <v>170</v>
      </c>
      <c r="D9" s="211" t="s">
        <v>153</v>
      </c>
    </row>
    <row r="10" spans="1:4" ht="12.75" x14ac:dyDescent="0.2">
      <c r="A10" s="215"/>
      <c r="D10" s="211" t="s">
        <v>136</v>
      </c>
    </row>
    <row r="11" spans="1:4" ht="12.75" x14ac:dyDescent="0.2">
      <c r="A11" s="215" t="s">
        <v>168</v>
      </c>
    </row>
    <row r="12" spans="1:4" ht="12.75" x14ac:dyDescent="0.2">
      <c r="A12" s="215" t="s">
        <v>169</v>
      </c>
      <c r="D12" s="211" t="s">
        <v>137</v>
      </c>
    </row>
    <row r="13" spans="1:4" ht="12.75" x14ac:dyDescent="0.2">
      <c r="A13" s="215"/>
      <c r="D13" s="211" t="s">
        <v>138</v>
      </c>
    </row>
    <row r="14" spans="1:4" ht="12.75" x14ac:dyDescent="0.2">
      <c r="A14" s="215" t="s">
        <v>171</v>
      </c>
    </row>
    <row r="15" spans="1:4" ht="12.75" x14ac:dyDescent="0.2">
      <c r="A15" s="215"/>
      <c r="B15" s="213" t="s">
        <v>139</v>
      </c>
      <c r="D15" s="213">
        <v>2</v>
      </c>
    </row>
    <row r="16" spans="1:4" ht="12.75" x14ac:dyDescent="0.2">
      <c r="A16" s="215" t="s">
        <v>93</v>
      </c>
    </row>
    <row r="17" spans="1:4" ht="12.75" x14ac:dyDescent="0.2">
      <c r="A17" s="215" t="s">
        <v>96</v>
      </c>
      <c r="B17" s="213" t="s">
        <v>140</v>
      </c>
      <c r="C17" s="216" t="s">
        <v>141</v>
      </c>
      <c r="D17" s="211" t="s">
        <v>155</v>
      </c>
    </row>
    <row r="18" spans="1:4" ht="12.75" x14ac:dyDescent="0.2">
      <c r="A18" s="215" t="s">
        <v>94</v>
      </c>
      <c r="C18" s="217" t="s">
        <v>154</v>
      </c>
      <c r="D18" s="211" t="s">
        <v>159</v>
      </c>
    </row>
    <row r="19" spans="1:4" ht="12.75" x14ac:dyDescent="0.2">
      <c r="A19" s="215" t="s">
        <v>95</v>
      </c>
      <c r="C19" s="217" t="s">
        <v>156</v>
      </c>
      <c r="D19" s="211" t="s">
        <v>157</v>
      </c>
    </row>
    <row r="20" spans="1:4" x14ac:dyDescent="0.25">
      <c r="C20" s="217" t="s">
        <v>158</v>
      </c>
      <c r="D20" s="211" t="s">
        <v>160</v>
      </c>
    </row>
    <row r="21" spans="1:4" x14ac:dyDescent="0.25">
      <c r="C21" s="217" t="s">
        <v>161</v>
      </c>
      <c r="D21" s="211" t="s">
        <v>162</v>
      </c>
    </row>
    <row r="23" spans="1:4" x14ac:dyDescent="0.25">
      <c r="B23" s="213" t="s">
        <v>142</v>
      </c>
      <c r="C23" s="218" t="s">
        <v>143</v>
      </c>
      <c r="D23" s="211" t="s">
        <v>163</v>
      </c>
    </row>
    <row r="24" spans="1:4" x14ac:dyDescent="0.25">
      <c r="C24" s="218" t="s">
        <v>144</v>
      </c>
      <c r="D24" s="211" t="s">
        <v>164</v>
      </c>
    </row>
    <row r="25" spans="1:4" x14ac:dyDescent="0.25">
      <c r="C25" s="218" t="s">
        <v>145</v>
      </c>
      <c r="D25" s="211" t="s">
        <v>165</v>
      </c>
    </row>
    <row r="26" spans="1:4" x14ac:dyDescent="0.25">
      <c r="C26" s="218" t="s">
        <v>146</v>
      </c>
      <c r="D26" s="211" t="s">
        <v>149</v>
      </c>
    </row>
    <row r="27" spans="1:4" x14ac:dyDescent="0.25">
      <c r="C27" s="218" t="s">
        <v>147</v>
      </c>
      <c r="D27" s="211" t="s">
        <v>166</v>
      </c>
    </row>
    <row r="28" spans="1:4" x14ac:dyDescent="0.25">
      <c r="C28" s="218" t="s">
        <v>148</v>
      </c>
      <c r="D28" s="211" t="s">
        <v>167</v>
      </c>
    </row>
  </sheetData>
  <conditionalFormatting sqref="D15">
    <cfRule type="iconSet" priority="1">
      <iconSet reverse="1">
        <cfvo type="percent" val="0"/>
        <cfvo type="num" val="1" gte="0"/>
        <cfvo type="num" val="2" gte="0"/>
      </iconSet>
    </cfRule>
  </conditionalFormatting>
  <hyperlinks>
    <hyperlink ref="A8" location="Mapping!A1" display="Mapping" xr:uid="{1D0E9443-E806-43A0-8290-8769E76BE855}"/>
    <hyperlink ref="A11" location="'Sales Data'!A1" display="Sales Data" xr:uid="{7D66AF0E-9AAF-4AFA-B629-B229DC70B1C7}"/>
    <hyperlink ref="A14" location="Summary!A1" display="Summary" xr:uid="{307E623C-EDF8-47FB-AD6C-715656A89BD3}"/>
    <hyperlink ref="A16" location="Chairs!A1" display="Chairs" xr:uid="{75ED57E3-11EC-46D7-86E6-D0807D839B2B}"/>
    <hyperlink ref="A17" location="Tables!A1" display="Tables" xr:uid="{E294D6DF-794A-4B85-9B12-36AF190F194F}"/>
    <hyperlink ref="A12" location="'Units sold'!A1" display="Units sold" xr:uid="{8EABB13D-476E-4D3B-999E-5A250DA75C1C}"/>
    <hyperlink ref="A9" location="'Bridges for Trends'!A1" display="Bridges for Trends" xr:uid="{03B4C693-F9A6-46F6-AF44-FD5F3D2BAD6A}"/>
    <hyperlink ref="A18" location="Kitchen!A1" display="Kitchen" xr:uid="{C534A09C-90BD-4A5F-940E-B85B1D43644E}"/>
    <hyperlink ref="A19" location="Accessories!A1" display="Accessories" xr:uid="{490AE4F6-ADCC-4FE8-BBB1-2B425420CA75}"/>
  </hyperlinks>
  <pageMargins left="0.7" right="0.7" top="0.75" bottom="0.75" header="0.3" footer="0.3"/>
  <pageSetup paperSize="9" orientation="portrait" horizontalDpi="200" verticalDpi="200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AF7B-447A-4855-8096-1019E061C7E7}">
  <sheetPr>
    <tabColor rgb="FF8FCFAD"/>
  </sheetPr>
  <dimension ref="A1:D50"/>
  <sheetViews>
    <sheetView showGridLines="0" zoomScale="130" zoomScaleNormal="130" workbookViewId="0">
      <selection activeCell="C2" sqref="C2"/>
    </sheetView>
  </sheetViews>
  <sheetFormatPr defaultRowHeight="15" x14ac:dyDescent="0.25"/>
  <cols>
    <col min="1" max="1" width="17.7109375" style="58" bestFit="1" customWidth="1"/>
    <col min="2" max="2" width="19.140625" style="58" customWidth="1"/>
    <col min="3" max="3" width="23.42578125" style="58" customWidth="1"/>
    <col min="4" max="16384" width="9.140625" style="58"/>
  </cols>
  <sheetData>
    <row r="1" spans="1:4" x14ac:dyDescent="0.25">
      <c r="A1" s="68" t="s">
        <v>104</v>
      </c>
      <c r="B1" s="68" t="s">
        <v>121</v>
      </c>
      <c r="C1" s="68" t="s">
        <v>105</v>
      </c>
      <c r="D1" s="68" t="s">
        <v>122</v>
      </c>
    </row>
    <row r="2" spans="1:4" x14ac:dyDescent="0.25">
      <c r="A2" s="69" t="s">
        <v>96</v>
      </c>
      <c r="B2" s="69" t="s">
        <v>0</v>
      </c>
      <c r="C2" s="69">
        <v>1000</v>
      </c>
      <c r="D2" s="69" t="s">
        <v>2</v>
      </c>
    </row>
    <row r="3" spans="1:4" x14ac:dyDescent="0.25">
      <c r="A3" s="69" t="s">
        <v>94</v>
      </c>
      <c r="B3" s="69" t="s">
        <v>1</v>
      </c>
      <c r="D3" s="69" t="s">
        <v>3</v>
      </c>
    </row>
    <row r="4" spans="1:4" x14ac:dyDescent="0.25">
      <c r="A4" s="69" t="s">
        <v>93</v>
      </c>
      <c r="D4" s="69" t="s">
        <v>4</v>
      </c>
    </row>
    <row r="5" spans="1:4" x14ac:dyDescent="0.25">
      <c r="A5" s="69" t="s">
        <v>95</v>
      </c>
      <c r="D5" s="69" t="s">
        <v>5</v>
      </c>
    </row>
    <row r="6" spans="1:4" x14ac:dyDescent="0.25">
      <c r="A6" s="69" t="s">
        <v>106</v>
      </c>
      <c r="D6" s="69" t="s">
        <v>6</v>
      </c>
    </row>
    <row r="7" spans="1:4" x14ac:dyDescent="0.25">
      <c r="A7" s="69" t="s">
        <v>107</v>
      </c>
      <c r="D7" s="69" t="s">
        <v>7</v>
      </c>
    </row>
    <row r="8" spans="1:4" x14ac:dyDescent="0.25">
      <c r="A8" s="69" t="s">
        <v>108</v>
      </c>
      <c r="D8" s="69" t="s">
        <v>8</v>
      </c>
    </row>
    <row r="9" spans="1:4" x14ac:dyDescent="0.25">
      <c r="A9" s="69" t="s">
        <v>109</v>
      </c>
      <c r="C9" s="70"/>
      <c r="D9" s="69" t="s">
        <v>9</v>
      </c>
    </row>
    <row r="10" spans="1:4" x14ac:dyDescent="0.25">
      <c r="A10" s="69" t="s">
        <v>110</v>
      </c>
      <c r="C10" s="70"/>
      <c r="D10" s="69" t="s">
        <v>10</v>
      </c>
    </row>
    <row r="11" spans="1:4" x14ac:dyDescent="0.25">
      <c r="A11" s="69" t="s">
        <v>111</v>
      </c>
      <c r="C11" s="70"/>
      <c r="D11" s="69" t="s">
        <v>11</v>
      </c>
    </row>
    <row r="12" spans="1:4" x14ac:dyDescent="0.25">
      <c r="A12" s="69" t="s">
        <v>112</v>
      </c>
      <c r="C12" s="70"/>
      <c r="D12" s="69" t="s">
        <v>12</v>
      </c>
    </row>
    <row r="13" spans="1:4" x14ac:dyDescent="0.25">
      <c r="A13" s="69" t="s">
        <v>113</v>
      </c>
      <c r="C13" s="70"/>
      <c r="D13" s="69" t="s">
        <v>13</v>
      </c>
    </row>
    <row r="14" spans="1:4" x14ac:dyDescent="0.25">
      <c r="A14" s="69" t="s">
        <v>114</v>
      </c>
      <c r="C14" s="70"/>
    </row>
    <row r="15" spans="1:4" x14ac:dyDescent="0.25">
      <c r="A15" s="69" t="s">
        <v>115</v>
      </c>
      <c r="C15" s="70"/>
    </row>
    <row r="16" spans="1:4" x14ac:dyDescent="0.25">
      <c r="A16" s="69" t="s">
        <v>116</v>
      </c>
      <c r="C16" s="70"/>
    </row>
    <row r="17" spans="1:3" x14ac:dyDescent="0.25">
      <c r="A17" s="69" t="s">
        <v>117</v>
      </c>
      <c r="C17" s="70"/>
    </row>
    <row r="18" spans="1:3" x14ac:dyDescent="0.25">
      <c r="A18" s="69" t="s">
        <v>118</v>
      </c>
      <c r="C18" s="70"/>
    </row>
    <row r="19" spans="1:3" x14ac:dyDescent="0.25">
      <c r="A19" s="69" t="s">
        <v>119</v>
      </c>
      <c r="C19" s="70"/>
    </row>
    <row r="20" spans="1:3" x14ac:dyDescent="0.25">
      <c r="C20" s="70"/>
    </row>
    <row r="21" spans="1:3" x14ac:dyDescent="0.25">
      <c r="C21" s="70"/>
    </row>
    <row r="22" spans="1:3" x14ac:dyDescent="0.25">
      <c r="C22" s="70"/>
    </row>
    <row r="23" spans="1:3" x14ac:dyDescent="0.25">
      <c r="C23" s="70"/>
    </row>
    <row r="24" spans="1:3" x14ac:dyDescent="0.25">
      <c r="C24" s="70"/>
    </row>
    <row r="25" spans="1:3" x14ac:dyDescent="0.25">
      <c r="C25" s="70"/>
    </row>
    <row r="26" spans="1:3" x14ac:dyDescent="0.25">
      <c r="C26" s="70"/>
    </row>
    <row r="27" spans="1:3" x14ac:dyDescent="0.25">
      <c r="C27" s="70"/>
    </row>
    <row r="28" spans="1:3" x14ac:dyDescent="0.25">
      <c r="C28" s="70"/>
    </row>
    <row r="29" spans="1:3" x14ac:dyDescent="0.25">
      <c r="C29" s="70"/>
    </row>
    <row r="30" spans="1:3" x14ac:dyDescent="0.25">
      <c r="C30" s="70"/>
    </row>
    <row r="31" spans="1:3" x14ac:dyDescent="0.25">
      <c r="C31" s="70"/>
    </row>
    <row r="32" spans="1:3" x14ac:dyDescent="0.25">
      <c r="C32" s="70"/>
    </row>
    <row r="33" spans="3:3" x14ac:dyDescent="0.25">
      <c r="C33" s="70"/>
    </row>
    <row r="34" spans="3:3" x14ac:dyDescent="0.25">
      <c r="C34" s="70"/>
    </row>
    <row r="35" spans="3:3" x14ac:dyDescent="0.25">
      <c r="C35" s="70"/>
    </row>
    <row r="36" spans="3:3" x14ac:dyDescent="0.25">
      <c r="C36" s="70"/>
    </row>
    <row r="37" spans="3:3" x14ac:dyDescent="0.25">
      <c r="C37" s="70"/>
    </row>
    <row r="38" spans="3:3" x14ac:dyDescent="0.25">
      <c r="C38" s="70"/>
    </row>
    <row r="39" spans="3:3" x14ac:dyDescent="0.25">
      <c r="C39" s="70"/>
    </row>
    <row r="40" spans="3:3" x14ac:dyDescent="0.25">
      <c r="C40" s="70"/>
    </row>
    <row r="41" spans="3:3" x14ac:dyDescent="0.25">
      <c r="C41" s="70"/>
    </row>
    <row r="42" spans="3:3" x14ac:dyDescent="0.25">
      <c r="C42" s="70"/>
    </row>
    <row r="43" spans="3:3" x14ac:dyDescent="0.25">
      <c r="C43" s="70"/>
    </row>
    <row r="44" spans="3:3" x14ac:dyDescent="0.25">
      <c r="C44" s="70"/>
    </row>
    <row r="45" spans="3:3" x14ac:dyDescent="0.25">
      <c r="C45" s="70"/>
    </row>
    <row r="46" spans="3:3" x14ac:dyDescent="0.25">
      <c r="C46" s="70"/>
    </row>
    <row r="47" spans="3:3" x14ac:dyDescent="0.25">
      <c r="C47" s="70"/>
    </row>
    <row r="49" spans="3:3" x14ac:dyDescent="0.25">
      <c r="C49" s="71"/>
    </row>
    <row r="50" spans="3:3" x14ac:dyDescent="0.25">
      <c r="C50" s="71"/>
    </row>
  </sheetData>
  <phoneticPr fontId="13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56D0-934F-4CA8-832F-0EE6E1FCAED8}">
  <sheetPr>
    <tabColor theme="0" tint="-0.14999847407452621"/>
  </sheetPr>
  <dimension ref="A1:Y17"/>
  <sheetViews>
    <sheetView showGridLines="0" workbookViewId="0">
      <selection activeCell="D11" sqref="D11"/>
    </sheetView>
  </sheetViews>
  <sheetFormatPr defaultRowHeight="15" x14ac:dyDescent="0.25"/>
  <cols>
    <col min="1" max="1" width="15.28515625" style="58" customWidth="1"/>
    <col min="2" max="2" width="19.140625" style="58" customWidth="1"/>
    <col min="3" max="25" width="12.140625" style="58" customWidth="1"/>
    <col min="26" max="16384" width="9.140625" style="58"/>
  </cols>
  <sheetData>
    <row r="1" spans="1:25" x14ac:dyDescent="0.25">
      <c r="A1" s="72"/>
      <c r="B1" s="72"/>
      <c r="C1" s="72"/>
      <c r="D1" s="72"/>
      <c r="F1" s="72"/>
      <c r="G1" s="72"/>
    </row>
    <row r="3" spans="1:25" x14ac:dyDescent="0.25">
      <c r="A3" s="73" t="s">
        <v>83</v>
      </c>
      <c r="B3" s="73">
        <v>-1</v>
      </c>
      <c r="C3" s="73">
        <v>-2</v>
      </c>
      <c r="D3" s="73">
        <v>-3</v>
      </c>
      <c r="E3" s="73">
        <v>-4</v>
      </c>
      <c r="F3" s="73">
        <v>-5</v>
      </c>
      <c r="G3" s="73">
        <v>-6</v>
      </c>
      <c r="H3" s="73">
        <v>-7</v>
      </c>
      <c r="I3" s="73">
        <v>-8</v>
      </c>
      <c r="J3" s="73">
        <v>-9</v>
      </c>
      <c r="K3" s="73">
        <v>-10</v>
      </c>
      <c r="L3" s="73">
        <v>-11</v>
      </c>
      <c r="M3" s="73">
        <v>-12</v>
      </c>
      <c r="N3" s="73">
        <v>-13</v>
      </c>
      <c r="O3" s="73">
        <v>-14</v>
      </c>
      <c r="P3" s="73">
        <v>-15</v>
      </c>
      <c r="Q3" s="73">
        <v>-16</v>
      </c>
      <c r="R3" s="73">
        <v>-17</v>
      </c>
      <c r="S3" s="73">
        <v>-18</v>
      </c>
      <c r="T3" s="73">
        <v>-19</v>
      </c>
      <c r="U3" s="73">
        <v>-20</v>
      </c>
      <c r="V3" s="73">
        <v>-21</v>
      </c>
      <c r="W3" s="73">
        <v>-22</v>
      </c>
      <c r="X3" s="73">
        <v>-23</v>
      </c>
      <c r="Y3" s="73">
        <v>-24</v>
      </c>
    </row>
    <row r="4" spans="1:25" x14ac:dyDescent="0.25">
      <c r="A4" s="207" t="str">
        <f>"Jan "&amp;Summary!$C$2</f>
        <v>Jan 2020</v>
      </c>
      <c r="B4" s="207" t="str">
        <f>"Dec "&amp;Summary!$C$2-1</f>
        <v>Dec 2019</v>
      </c>
      <c r="C4" s="207" t="str">
        <f>"Nov "&amp;Summary!$C$2-1</f>
        <v>Nov 2019</v>
      </c>
      <c r="D4" s="207" t="str">
        <f>"Oct "&amp;Summary!$C$2-1</f>
        <v>Oct 2019</v>
      </c>
      <c r="E4" s="207" t="str">
        <f>"Sep "&amp;Summary!$C$2-1</f>
        <v>Sep 2019</v>
      </c>
      <c r="F4" s="207" t="str">
        <f>"Aug "&amp;Summary!$C$2-1</f>
        <v>Aug 2019</v>
      </c>
      <c r="G4" s="207" t="str">
        <f>"Jul "&amp;Summary!$C$2-1</f>
        <v>Jul 2019</v>
      </c>
      <c r="H4" s="207" t="str">
        <f>"Jun "&amp;Summary!$C$2-1</f>
        <v>Jun 2019</v>
      </c>
      <c r="I4" s="207" t="str">
        <f>"May "&amp;Summary!$C$2-1</f>
        <v>May 2019</v>
      </c>
      <c r="J4" s="207" t="str">
        <f>"Apr "&amp;Summary!$C$2-1</f>
        <v>Apr 2019</v>
      </c>
      <c r="K4" s="207" t="str">
        <f>"Mar "&amp;Summary!$C$2-1</f>
        <v>Mar 2019</v>
      </c>
      <c r="L4" s="207" t="str">
        <f>"Feb "&amp;Summary!$C$2-1</f>
        <v>Feb 2019</v>
      </c>
      <c r="M4" s="207" t="str">
        <f>"Jan "&amp;Summary!$C$2-1</f>
        <v>Jan 2019</v>
      </c>
      <c r="N4" s="207" t="str">
        <f>"Dec "&amp;Summary!$C$2-2</f>
        <v>Dec 2018</v>
      </c>
      <c r="O4" s="207" t="str">
        <f>"Nov "&amp;Summary!$C$2-2</f>
        <v>Nov 2018</v>
      </c>
      <c r="P4" s="207" t="str">
        <f>"Oct "&amp;Summary!$C$2-2</f>
        <v>Oct 2018</v>
      </c>
      <c r="Q4" s="207" t="str">
        <f>"Sep "&amp;Summary!$C$2-2</f>
        <v>Sep 2018</v>
      </c>
      <c r="R4" s="207" t="str">
        <f>"Aug "&amp;Summary!$C$2-2</f>
        <v>Aug 2018</v>
      </c>
      <c r="S4" s="207" t="str">
        <f>"Jul "&amp;Summary!$C$2-2</f>
        <v>Jul 2018</v>
      </c>
      <c r="T4" s="207" t="str">
        <f>"Jun "&amp;Summary!$C$2-2</f>
        <v>Jun 2018</v>
      </c>
      <c r="U4" s="207" t="str">
        <f>"May "&amp;Summary!$C$2-2</f>
        <v>May 2018</v>
      </c>
      <c r="V4" s="207" t="str">
        <f>"Apr "&amp;Summary!$C$2-2</f>
        <v>Apr 2018</v>
      </c>
      <c r="W4" s="207" t="str">
        <f>"Mar "&amp;Summary!$C$2-2</f>
        <v>Mar 2018</v>
      </c>
      <c r="X4" s="207" t="str">
        <f>"Feb "&amp;Summary!$C$2-2</f>
        <v>Feb 2018</v>
      </c>
      <c r="Y4" s="207" t="str">
        <f>"Jan "&amp;Summary!$C$2-2</f>
        <v>Jan 2018</v>
      </c>
    </row>
    <row r="5" spans="1:25" x14ac:dyDescent="0.25">
      <c r="A5" s="207" t="str">
        <f>"Feb "&amp;Summary!$C$2</f>
        <v>Feb 2020</v>
      </c>
      <c r="B5" s="207" t="str">
        <f>"Jan "&amp;Summary!$C$2</f>
        <v>Jan 2020</v>
      </c>
      <c r="C5" s="207" t="str">
        <f>"Dec "&amp;Summary!$C$2-1</f>
        <v>Dec 2019</v>
      </c>
      <c r="D5" s="207" t="str">
        <f>"Nov "&amp;Summary!$C$2-1</f>
        <v>Nov 2019</v>
      </c>
      <c r="E5" s="99" t="s">
        <v>44</v>
      </c>
      <c r="F5" s="99" t="s">
        <v>43</v>
      </c>
      <c r="G5" s="99" t="s">
        <v>42</v>
      </c>
      <c r="H5" s="99" t="s">
        <v>41</v>
      </c>
      <c r="I5" s="207" t="str">
        <f>"Jun "&amp;Summary!$C$2-1</f>
        <v>Jun 2019</v>
      </c>
      <c r="J5" s="207" t="str">
        <f>"May "&amp;Summary!$C$2-1</f>
        <v>May 2019</v>
      </c>
      <c r="K5" s="207" t="str">
        <f>"Apr "&amp;Summary!$C$2-1</f>
        <v>Apr 2019</v>
      </c>
      <c r="L5" s="207" t="str">
        <f>"Mar "&amp;Summary!$C$2-1</f>
        <v>Mar 2019</v>
      </c>
      <c r="M5" s="207" t="str">
        <f>"Feb "&amp;Summary!$C$2-1</f>
        <v>Feb 2019</v>
      </c>
      <c r="N5" s="207" t="str">
        <f>"Jan "&amp;Summary!$C$2-1</f>
        <v>Jan 2019</v>
      </c>
      <c r="O5" s="99" t="s">
        <v>68</v>
      </c>
      <c r="P5" s="99" t="s">
        <v>67</v>
      </c>
      <c r="Q5" s="99" t="s">
        <v>66</v>
      </c>
      <c r="R5" s="99" t="s">
        <v>65</v>
      </c>
      <c r="S5" s="99" t="s">
        <v>64</v>
      </c>
      <c r="T5" s="99" t="s">
        <v>63</v>
      </c>
      <c r="U5" s="99" t="s">
        <v>62</v>
      </c>
      <c r="V5" s="99" t="s">
        <v>61</v>
      </c>
      <c r="W5" s="99" t="s">
        <v>60</v>
      </c>
      <c r="X5" s="99" t="s">
        <v>59</v>
      </c>
      <c r="Y5" s="99" t="s">
        <v>58</v>
      </c>
    </row>
    <row r="6" spans="1:25" x14ac:dyDescent="0.25">
      <c r="A6" s="207" t="str">
        <f>"Mar "&amp;Summary!$C$2</f>
        <v>Mar 2020</v>
      </c>
      <c r="B6" s="207" t="str">
        <f>"Feb "&amp;Summary!$C$2</f>
        <v>Feb 2020</v>
      </c>
      <c r="C6" s="207" t="str">
        <f>"Jan "&amp;Summary!$C$2</f>
        <v>Jan 2020</v>
      </c>
      <c r="D6" s="207" t="str">
        <f>"Dec "&amp;Summary!$C$2-1</f>
        <v>Dec 2019</v>
      </c>
      <c r="E6" s="99" t="s">
        <v>45</v>
      </c>
      <c r="F6" s="99" t="s">
        <v>44</v>
      </c>
      <c r="G6" s="99" t="s">
        <v>43</v>
      </c>
      <c r="H6" s="99" t="s">
        <v>42</v>
      </c>
      <c r="I6" s="99" t="s">
        <v>41</v>
      </c>
      <c r="J6" s="207" t="str">
        <f>"Jun "&amp;Summary!$C$2-1</f>
        <v>Jun 2019</v>
      </c>
      <c r="K6" s="207" t="str">
        <f>"May "&amp;Summary!$C$2-1</f>
        <v>May 2019</v>
      </c>
      <c r="L6" s="207" t="str">
        <f>"Apr "&amp;Summary!$C$2-1</f>
        <v>Apr 2019</v>
      </c>
      <c r="M6" s="207" t="str">
        <f>"Mar "&amp;Summary!$C$2-1</f>
        <v>Mar 2019</v>
      </c>
      <c r="N6" s="207" t="str">
        <f>"Feb "&amp;Summary!$C$2-1</f>
        <v>Feb 2019</v>
      </c>
      <c r="O6" s="99" t="s">
        <v>35</v>
      </c>
      <c r="P6" s="99" t="s">
        <v>68</v>
      </c>
      <c r="Q6" s="99" t="s">
        <v>67</v>
      </c>
      <c r="R6" s="99" t="s">
        <v>66</v>
      </c>
      <c r="S6" s="99" t="s">
        <v>65</v>
      </c>
      <c r="T6" s="99" t="s">
        <v>64</v>
      </c>
      <c r="U6" s="99" t="s">
        <v>63</v>
      </c>
      <c r="V6" s="99" t="s">
        <v>62</v>
      </c>
      <c r="W6" s="99" t="s">
        <v>61</v>
      </c>
      <c r="X6" s="99" t="s">
        <v>60</v>
      </c>
      <c r="Y6" s="99" t="s">
        <v>59</v>
      </c>
    </row>
    <row r="7" spans="1:25" x14ac:dyDescent="0.25">
      <c r="A7" s="207" t="str">
        <f>"Apr "&amp;Summary!$C$2</f>
        <v>Apr 2020</v>
      </c>
      <c r="B7" s="207" t="str">
        <f>"Mar "&amp;Summary!$C$2</f>
        <v>Mar 2020</v>
      </c>
      <c r="C7" s="207" t="str">
        <f>"Feb "&amp;Summary!$C$2</f>
        <v>Feb 2020</v>
      </c>
      <c r="D7" s="207" t="str">
        <f>"Jan "&amp;Summary!$C$2</f>
        <v>Jan 2020</v>
      </c>
      <c r="E7" s="99" t="s">
        <v>46</v>
      </c>
      <c r="F7" s="99" t="s">
        <v>45</v>
      </c>
      <c r="G7" s="99" t="s">
        <v>44</v>
      </c>
      <c r="H7" s="99" t="s">
        <v>43</v>
      </c>
      <c r="I7" s="99" t="s">
        <v>42</v>
      </c>
      <c r="J7" s="99" t="s">
        <v>41</v>
      </c>
      <c r="K7" s="207" t="str">
        <f>"Jun "&amp;Summary!$C$2-1</f>
        <v>Jun 2019</v>
      </c>
      <c r="L7" s="207" t="str">
        <f>"May "&amp;Summary!$C$2-1</f>
        <v>May 2019</v>
      </c>
      <c r="M7" s="207" t="str">
        <f>"Apr "&amp;Summary!$C$2-1</f>
        <v>Apr 2019</v>
      </c>
      <c r="N7" s="207" t="str">
        <f>"Mar "&amp;Summary!$C$2-1</f>
        <v>Mar 2019</v>
      </c>
      <c r="O7" s="99" t="s">
        <v>36</v>
      </c>
      <c r="P7" s="99" t="s">
        <v>35</v>
      </c>
      <c r="Q7" s="99" t="s">
        <v>68</v>
      </c>
      <c r="R7" s="99" t="s">
        <v>67</v>
      </c>
      <c r="S7" s="99" t="s">
        <v>66</v>
      </c>
      <c r="T7" s="99" t="s">
        <v>65</v>
      </c>
      <c r="U7" s="99" t="s">
        <v>64</v>
      </c>
      <c r="V7" s="99" t="s">
        <v>63</v>
      </c>
      <c r="W7" s="99" t="s">
        <v>62</v>
      </c>
      <c r="X7" s="99" t="s">
        <v>61</v>
      </c>
      <c r="Y7" s="99" t="s">
        <v>60</v>
      </c>
    </row>
    <row r="8" spans="1:25" x14ac:dyDescent="0.25">
      <c r="A8" s="207" t="str">
        <f>"May "&amp;Summary!$C$2</f>
        <v>May 2020</v>
      </c>
      <c r="B8" s="207" t="str">
        <f>"Apr "&amp;Summary!$C$2</f>
        <v>Apr 2020</v>
      </c>
      <c r="C8" s="207" t="str">
        <f>"Mar "&amp;Summary!$C$2</f>
        <v>Mar 2020</v>
      </c>
      <c r="D8" s="207" t="str">
        <f>"Feb "&amp;Summary!$C$2</f>
        <v>Feb 2020</v>
      </c>
      <c r="E8" s="99" t="s">
        <v>69</v>
      </c>
      <c r="F8" s="99" t="s">
        <v>46</v>
      </c>
      <c r="G8" s="99" t="s">
        <v>45</v>
      </c>
      <c r="H8" s="99" t="s">
        <v>44</v>
      </c>
      <c r="I8" s="99" t="s">
        <v>43</v>
      </c>
      <c r="J8" s="99" t="s">
        <v>42</v>
      </c>
      <c r="K8" s="99" t="s">
        <v>41</v>
      </c>
      <c r="L8" s="207" t="str">
        <f>"Jun "&amp;Summary!$C$2-1</f>
        <v>Jun 2019</v>
      </c>
      <c r="M8" s="207" t="str">
        <f>"May "&amp;Summary!$C$2-1</f>
        <v>May 2019</v>
      </c>
      <c r="N8" s="207" t="str">
        <f>"Apr "&amp;Summary!$C$2-1</f>
        <v>Apr 2019</v>
      </c>
      <c r="O8" s="99" t="s">
        <v>37</v>
      </c>
      <c r="P8" s="99" t="s">
        <v>36</v>
      </c>
      <c r="Q8" s="99" t="s">
        <v>35</v>
      </c>
      <c r="R8" s="99" t="s">
        <v>68</v>
      </c>
      <c r="S8" s="99" t="s">
        <v>67</v>
      </c>
      <c r="T8" s="99" t="s">
        <v>66</v>
      </c>
      <c r="U8" s="99" t="s">
        <v>65</v>
      </c>
      <c r="V8" s="99" t="s">
        <v>64</v>
      </c>
      <c r="W8" s="99" t="s">
        <v>63</v>
      </c>
      <c r="X8" s="99" t="s">
        <v>62</v>
      </c>
      <c r="Y8" s="99" t="s">
        <v>61</v>
      </c>
    </row>
    <row r="9" spans="1:25" x14ac:dyDescent="0.25">
      <c r="A9" s="207" t="str">
        <f>"Jun "&amp;Summary!$C$2</f>
        <v>Jun 2020</v>
      </c>
      <c r="B9" s="207" t="str">
        <f>"May "&amp;Summary!$C$2</f>
        <v>May 2020</v>
      </c>
      <c r="C9" s="207" t="str">
        <f>"Apr "&amp;Summary!$C$2</f>
        <v>Apr 2020</v>
      </c>
      <c r="D9" s="207" t="str">
        <f>"Mar "&amp;Summary!$C$2</f>
        <v>Mar 2020</v>
      </c>
      <c r="E9" s="99" t="s">
        <v>70</v>
      </c>
      <c r="F9" s="99" t="s">
        <v>69</v>
      </c>
      <c r="G9" s="99" t="s">
        <v>46</v>
      </c>
      <c r="H9" s="99" t="s">
        <v>45</v>
      </c>
      <c r="I9" s="99" t="s">
        <v>44</v>
      </c>
      <c r="J9" s="99" t="s">
        <v>43</v>
      </c>
      <c r="K9" s="99" t="s">
        <v>42</v>
      </c>
      <c r="L9" s="99" t="s">
        <v>41</v>
      </c>
      <c r="M9" s="207" t="str">
        <f>"Jun "&amp;Summary!$C$2-1</f>
        <v>Jun 2019</v>
      </c>
      <c r="N9" s="207" t="str">
        <f>"May "&amp;Summary!$C$2-1</f>
        <v>May 2019</v>
      </c>
      <c r="O9" s="99" t="s">
        <v>38</v>
      </c>
      <c r="P9" s="99" t="s">
        <v>37</v>
      </c>
      <c r="Q9" s="99" t="s">
        <v>36</v>
      </c>
      <c r="R9" s="99" t="s">
        <v>35</v>
      </c>
      <c r="S9" s="99" t="s">
        <v>68</v>
      </c>
      <c r="T9" s="99" t="s">
        <v>67</v>
      </c>
      <c r="U9" s="99" t="s">
        <v>66</v>
      </c>
      <c r="V9" s="99" t="s">
        <v>65</v>
      </c>
      <c r="W9" s="99" t="s">
        <v>64</v>
      </c>
      <c r="X9" s="99" t="s">
        <v>63</v>
      </c>
      <c r="Y9" s="99" t="s">
        <v>62</v>
      </c>
    </row>
    <row r="10" spans="1:25" x14ac:dyDescent="0.25">
      <c r="A10" s="207" t="str">
        <f>"Jul "&amp;Summary!$C$2</f>
        <v>Jul 2020</v>
      </c>
      <c r="B10" s="207" t="str">
        <f>"Jun "&amp;Summary!$C$2</f>
        <v>Jun 2020</v>
      </c>
      <c r="C10" s="207" t="str">
        <f>"May "&amp;Summary!$C$2</f>
        <v>May 2020</v>
      </c>
      <c r="D10" s="207" t="str">
        <f>"Apr "&amp;Summary!$C$2</f>
        <v>Apr 2020</v>
      </c>
      <c r="E10" s="99" t="s">
        <v>71</v>
      </c>
      <c r="F10" s="99" t="s">
        <v>70</v>
      </c>
      <c r="G10" s="99" t="s">
        <v>69</v>
      </c>
      <c r="H10" s="99" t="s">
        <v>46</v>
      </c>
      <c r="I10" s="99" t="s">
        <v>45</v>
      </c>
      <c r="J10" s="99" t="s">
        <v>44</v>
      </c>
      <c r="K10" s="99" t="s">
        <v>43</v>
      </c>
      <c r="L10" s="99" t="s">
        <v>42</v>
      </c>
      <c r="M10" s="99" t="s">
        <v>41</v>
      </c>
      <c r="N10" s="207" t="str">
        <f>"Jun "&amp;Summary!$C$2-1</f>
        <v>Jun 2019</v>
      </c>
      <c r="O10" s="99" t="s">
        <v>39</v>
      </c>
      <c r="P10" s="99" t="s">
        <v>38</v>
      </c>
      <c r="Q10" s="99" t="s">
        <v>37</v>
      </c>
      <c r="R10" s="99" t="s">
        <v>36</v>
      </c>
      <c r="S10" s="99" t="s">
        <v>35</v>
      </c>
      <c r="T10" s="99" t="s">
        <v>68</v>
      </c>
      <c r="U10" s="99" t="s">
        <v>67</v>
      </c>
      <c r="V10" s="99" t="s">
        <v>66</v>
      </c>
      <c r="W10" s="99" t="s">
        <v>65</v>
      </c>
      <c r="X10" s="99" t="s">
        <v>64</v>
      </c>
      <c r="Y10" s="99" t="s">
        <v>63</v>
      </c>
    </row>
    <row r="11" spans="1:25" x14ac:dyDescent="0.25">
      <c r="A11" s="207" t="str">
        <f>"Aug "&amp;Summary!$C$2</f>
        <v>Aug 2020</v>
      </c>
      <c r="B11" s="207" t="str">
        <f>"Jul "&amp;Summary!$C$2</f>
        <v>Jul 2020</v>
      </c>
      <c r="C11" s="207" t="str">
        <f>"Jun "&amp;Summary!$C$2</f>
        <v>Jun 2020</v>
      </c>
      <c r="D11" s="207" t="str">
        <f>"May "&amp;Summary!$C$2</f>
        <v>May 2020</v>
      </c>
      <c r="E11" s="99" t="s">
        <v>72</v>
      </c>
      <c r="F11" s="99" t="s">
        <v>71</v>
      </c>
      <c r="G11" s="99" t="s">
        <v>70</v>
      </c>
      <c r="H11" s="99" t="s">
        <v>69</v>
      </c>
      <c r="I11" s="99" t="s">
        <v>46</v>
      </c>
      <c r="J11" s="99" t="s">
        <v>45</v>
      </c>
      <c r="K11" s="99" t="s">
        <v>44</v>
      </c>
      <c r="L11" s="99" t="s">
        <v>43</v>
      </c>
      <c r="M11" s="99" t="s">
        <v>42</v>
      </c>
      <c r="N11" s="99" t="s">
        <v>41</v>
      </c>
      <c r="O11" s="99" t="s">
        <v>40</v>
      </c>
      <c r="P11" s="99" t="s">
        <v>39</v>
      </c>
      <c r="Q11" s="99" t="s">
        <v>38</v>
      </c>
      <c r="R11" s="99" t="s">
        <v>37</v>
      </c>
      <c r="S11" s="99" t="s">
        <v>36</v>
      </c>
      <c r="T11" s="99" t="s">
        <v>35</v>
      </c>
      <c r="U11" s="99" t="s">
        <v>68</v>
      </c>
      <c r="V11" s="99" t="s">
        <v>67</v>
      </c>
      <c r="W11" s="99" t="s">
        <v>66</v>
      </c>
      <c r="X11" s="99" t="s">
        <v>65</v>
      </c>
      <c r="Y11" s="99" t="s">
        <v>64</v>
      </c>
    </row>
    <row r="12" spans="1:25" x14ac:dyDescent="0.25">
      <c r="A12" s="207" t="str">
        <f>"Sep "&amp;Summary!$C$2</f>
        <v>Sep 2020</v>
      </c>
      <c r="B12" s="207" t="str">
        <f>"Aug "&amp;Summary!$C$2</f>
        <v>Aug 2020</v>
      </c>
      <c r="C12" s="207" t="str">
        <f>"Jul "&amp;Summary!$C$2</f>
        <v>Jul 2020</v>
      </c>
      <c r="D12" s="207" t="str">
        <f>"Jun "&amp;Summary!$C$2</f>
        <v>Jun 2020</v>
      </c>
      <c r="E12" s="99" t="s">
        <v>73</v>
      </c>
      <c r="F12" s="99" t="s">
        <v>72</v>
      </c>
      <c r="G12" s="99" t="s">
        <v>71</v>
      </c>
      <c r="H12" s="99" t="s">
        <v>70</v>
      </c>
      <c r="I12" s="99" t="s">
        <v>69</v>
      </c>
      <c r="J12" s="99" t="s">
        <v>46</v>
      </c>
      <c r="K12" s="99" t="s">
        <v>45</v>
      </c>
      <c r="L12" s="99" t="s">
        <v>44</v>
      </c>
      <c r="M12" s="99" t="s">
        <v>43</v>
      </c>
      <c r="N12" s="99" t="s">
        <v>42</v>
      </c>
      <c r="O12" s="99" t="s">
        <v>41</v>
      </c>
      <c r="P12" s="99" t="s">
        <v>40</v>
      </c>
      <c r="Q12" s="99" t="s">
        <v>39</v>
      </c>
      <c r="R12" s="99" t="s">
        <v>38</v>
      </c>
      <c r="S12" s="99" t="s">
        <v>37</v>
      </c>
      <c r="T12" s="99" t="s">
        <v>36</v>
      </c>
      <c r="U12" s="99" t="s">
        <v>35</v>
      </c>
      <c r="V12" s="99" t="s">
        <v>68</v>
      </c>
      <c r="W12" s="99" t="s">
        <v>67</v>
      </c>
      <c r="X12" s="99" t="s">
        <v>66</v>
      </c>
      <c r="Y12" s="99" t="s">
        <v>65</v>
      </c>
    </row>
    <row r="13" spans="1:25" x14ac:dyDescent="0.25">
      <c r="A13" s="207" t="str">
        <f>"Oct "&amp;Summary!$C$2</f>
        <v>Oct 2020</v>
      </c>
      <c r="B13" s="207" t="str">
        <f>"Sep "&amp;Summary!$C$2</f>
        <v>Sep 2020</v>
      </c>
      <c r="C13" s="207" t="str">
        <f>"Aug "&amp;Summary!$C$2</f>
        <v>Aug 2020</v>
      </c>
      <c r="D13" s="207" t="str">
        <f>"Jul "&amp;Summary!$C$2</f>
        <v>Jul 2020</v>
      </c>
      <c r="E13" s="99" t="s">
        <v>74</v>
      </c>
      <c r="F13" s="99" t="s">
        <v>73</v>
      </c>
      <c r="G13" s="99" t="s">
        <v>72</v>
      </c>
      <c r="H13" s="99" t="s">
        <v>71</v>
      </c>
      <c r="I13" s="99" t="s">
        <v>70</v>
      </c>
      <c r="J13" s="99" t="s">
        <v>69</v>
      </c>
      <c r="K13" s="99" t="s">
        <v>46</v>
      </c>
      <c r="L13" s="99" t="s">
        <v>45</v>
      </c>
      <c r="M13" s="99" t="s">
        <v>44</v>
      </c>
      <c r="N13" s="99" t="s">
        <v>43</v>
      </c>
      <c r="O13" s="99" t="s">
        <v>42</v>
      </c>
      <c r="P13" s="99" t="s">
        <v>41</v>
      </c>
      <c r="Q13" s="99" t="s">
        <v>40</v>
      </c>
      <c r="R13" s="99" t="s">
        <v>39</v>
      </c>
      <c r="S13" s="99" t="s">
        <v>38</v>
      </c>
      <c r="T13" s="99" t="s">
        <v>37</v>
      </c>
      <c r="U13" s="99" t="s">
        <v>36</v>
      </c>
      <c r="V13" s="99" t="s">
        <v>35</v>
      </c>
      <c r="W13" s="99" t="s">
        <v>68</v>
      </c>
      <c r="X13" s="99" t="s">
        <v>67</v>
      </c>
      <c r="Y13" s="99" t="s">
        <v>66</v>
      </c>
    </row>
    <row r="14" spans="1:25" x14ac:dyDescent="0.25">
      <c r="A14" s="207" t="str">
        <f>"Nov "&amp;Summary!$C$2</f>
        <v>Nov 2020</v>
      </c>
      <c r="B14" s="207" t="str">
        <f>"Oct "&amp;Summary!$C$2</f>
        <v>Oct 2020</v>
      </c>
      <c r="C14" s="207" t="str">
        <f>"Sep "&amp;Summary!$C$2</f>
        <v>Sep 2020</v>
      </c>
      <c r="D14" s="207" t="str">
        <f>"Aug "&amp;Summary!$C$2</f>
        <v>Aug 2020</v>
      </c>
      <c r="E14" s="99" t="s">
        <v>75</v>
      </c>
      <c r="F14" s="99" t="s">
        <v>74</v>
      </c>
      <c r="G14" s="99" t="s">
        <v>73</v>
      </c>
      <c r="H14" s="99" t="s">
        <v>72</v>
      </c>
      <c r="I14" s="99" t="s">
        <v>71</v>
      </c>
      <c r="J14" s="99" t="s">
        <v>70</v>
      </c>
      <c r="K14" s="99" t="s">
        <v>69</v>
      </c>
      <c r="L14" s="99" t="s">
        <v>46</v>
      </c>
      <c r="M14" s="99" t="s">
        <v>45</v>
      </c>
      <c r="N14" s="99" t="s">
        <v>44</v>
      </c>
      <c r="O14" s="99" t="s">
        <v>43</v>
      </c>
      <c r="P14" s="99" t="s">
        <v>42</v>
      </c>
      <c r="Q14" s="99" t="s">
        <v>41</v>
      </c>
      <c r="R14" s="99" t="s">
        <v>40</v>
      </c>
      <c r="S14" s="99" t="s">
        <v>39</v>
      </c>
      <c r="T14" s="99" t="s">
        <v>38</v>
      </c>
      <c r="U14" s="99" t="s">
        <v>37</v>
      </c>
      <c r="V14" s="99" t="s">
        <v>36</v>
      </c>
      <c r="W14" s="99" t="s">
        <v>35</v>
      </c>
      <c r="X14" s="99" t="s">
        <v>68</v>
      </c>
      <c r="Y14" s="99" t="s">
        <v>67</v>
      </c>
    </row>
    <row r="15" spans="1:25" x14ac:dyDescent="0.25">
      <c r="A15" s="207" t="str">
        <f>"Dec "&amp;Summary!$C$2</f>
        <v>Dec 2020</v>
      </c>
      <c r="B15" s="207" t="str">
        <f>"Nov "&amp;Summary!$C$2</f>
        <v>Nov 2020</v>
      </c>
      <c r="C15" s="207" t="str">
        <f>"Oct "&amp;Summary!$C$2</f>
        <v>Oct 2020</v>
      </c>
      <c r="D15" s="207" t="str">
        <f>"Sep "&amp;Summary!$C$2</f>
        <v>Sep 2020</v>
      </c>
      <c r="E15" s="99" t="s">
        <v>76</v>
      </c>
      <c r="F15" s="99" t="s">
        <v>75</v>
      </c>
      <c r="G15" s="99" t="s">
        <v>74</v>
      </c>
      <c r="H15" s="99" t="s">
        <v>73</v>
      </c>
      <c r="I15" s="99" t="s">
        <v>72</v>
      </c>
      <c r="J15" s="99" t="s">
        <v>71</v>
      </c>
      <c r="K15" s="99" t="s">
        <v>70</v>
      </c>
      <c r="L15" s="99" t="s">
        <v>69</v>
      </c>
      <c r="M15" s="99" t="s">
        <v>46</v>
      </c>
      <c r="N15" s="99" t="s">
        <v>45</v>
      </c>
      <c r="O15" s="99" t="s">
        <v>44</v>
      </c>
      <c r="P15" s="99" t="s">
        <v>43</v>
      </c>
      <c r="Q15" s="99" t="s">
        <v>42</v>
      </c>
      <c r="R15" s="99" t="s">
        <v>41</v>
      </c>
      <c r="S15" s="99" t="s">
        <v>40</v>
      </c>
      <c r="T15" s="99" t="s">
        <v>39</v>
      </c>
      <c r="U15" s="99" t="s">
        <v>38</v>
      </c>
      <c r="V15" s="99" t="s">
        <v>37</v>
      </c>
      <c r="W15" s="99" t="s">
        <v>36</v>
      </c>
      <c r="X15" s="99" t="s">
        <v>35</v>
      </c>
      <c r="Y15" s="99" t="s">
        <v>68</v>
      </c>
    </row>
    <row r="16" spans="1:25" x14ac:dyDescent="0.25">
      <c r="C16" s="74"/>
      <c r="I16" s="62"/>
      <c r="J16" s="62"/>
      <c r="K16" s="62"/>
      <c r="L16" s="62"/>
      <c r="M16" s="62"/>
      <c r="N16" s="62"/>
    </row>
    <row r="17" spans="11:13" x14ac:dyDescent="0.25">
      <c r="K17" s="62"/>
      <c r="M17" s="62"/>
    </row>
  </sheetData>
  <phoneticPr fontId="13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1789-D392-45AF-985A-ECF2C9FA18AD}">
  <sheetPr codeName="Sheet8">
    <tabColor rgb="FF8FCFAD"/>
  </sheetPr>
  <dimension ref="A1:G205"/>
  <sheetViews>
    <sheetView showGridLines="0" topLeftCell="A111" zoomScale="115" zoomScaleNormal="115" workbookViewId="0">
      <selection activeCell="G145" sqref="G145"/>
    </sheetView>
  </sheetViews>
  <sheetFormatPr defaultRowHeight="12.75" x14ac:dyDescent="0.2"/>
  <cols>
    <col min="1" max="1" width="15.85546875" customWidth="1"/>
    <col min="2" max="2" width="19.140625" customWidth="1"/>
    <col min="4" max="4" width="19.85546875" bestFit="1" customWidth="1"/>
    <col min="5" max="5" width="10" customWidth="1"/>
  </cols>
  <sheetData>
    <row r="1" spans="1:7" x14ac:dyDescent="0.2">
      <c r="A1" s="5" t="s">
        <v>123</v>
      </c>
      <c r="B1" s="5" t="s">
        <v>55</v>
      </c>
      <c r="C1" s="5" t="s">
        <v>56</v>
      </c>
      <c r="D1" s="5" t="str">
        <f>Mapping!B3</f>
        <v>Budget</v>
      </c>
      <c r="E1" s="5" t="str">
        <f>Mapping!B2</f>
        <v>Actual</v>
      </c>
      <c r="F1" s="5" t="s">
        <v>173</v>
      </c>
      <c r="G1" s="5" t="s">
        <v>172</v>
      </c>
    </row>
    <row r="2" spans="1:7" x14ac:dyDescent="0.2">
      <c r="A2" t="s">
        <v>93</v>
      </c>
      <c r="B2" t="s">
        <v>60</v>
      </c>
      <c r="C2" t="s">
        <v>81</v>
      </c>
      <c r="D2" s="2">
        <v>0</v>
      </c>
      <c r="E2" s="2">
        <v>207079.926033</v>
      </c>
      <c r="F2" s="219">
        <f>YEAR(B2)</f>
        <v>2018</v>
      </c>
      <c r="G2" s="219">
        <f t="shared" ref="G2:G33" si="0">MONTH(DATEVALUE(LEFT(B2,3)&amp;"1"))</f>
        <v>4</v>
      </c>
    </row>
    <row r="3" spans="1:7" x14ac:dyDescent="0.2">
      <c r="A3" t="s">
        <v>95</v>
      </c>
      <c r="B3" t="s">
        <v>60</v>
      </c>
      <c r="C3" t="s">
        <v>81</v>
      </c>
      <c r="D3" s="2">
        <v>1397148.283365</v>
      </c>
      <c r="E3" s="2">
        <v>1527716.3257320002</v>
      </c>
      <c r="F3" s="219">
        <f t="shared" ref="F3:F66" si="1">YEAR(B3)</f>
        <v>2018</v>
      </c>
      <c r="G3" s="219">
        <f t="shared" si="0"/>
        <v>4</v>
      </c>
    </row>
    <row r="4" spans="1:7" x14ac:dyDescent="0.2">
      <c r="A4" t="s">
        <v>94</v>
      </c>
      <c r="B4" t="s">
        <v>60</v>
      </c>
      <c r="C4" t="s">
        <v>81</v>
      </c>
      <c r="D4" s="2">
        <v>0</v>
      </c>
      <c r="E4" s="2">
        <v>50651.194191000002</v>
      </c>
      <c r="F4" s="219">
        <f t="shared" si="1"/>
        <v>2018</v>
      </c>
      <c r="G4" s="219">
        <f t="shared" si="0"/>
        <v>4</v>
      </c>
    </row>
    <row r="5" spans="1:7" x14ac:dyDescent="0.2">
      <c r="A5" t="s">
        <v>96</v>
      </c>
      <c r="B5" t="s">
        <v>60</v>
      </c>
      <c r="C5" t="s">
        <v>81</v>
      </c>
      <c r="D5" s="2">
        <v>248821.32057899999</v>
      </c>
      <c r="E5" s="2">
        <v>334043.48918999999</v>
      </c>
      <c r="F5" s="219">
        <f t="shared" si="1"/>
        <v>2018</v>
      </c>
      <c r="G5" s="219">
        <f t="shared" si="0"/>
        <v>4</v>
      </c>
    </row>
    <row r="6" spans="1:7" x14ac:dyDescent="0.2">
      <c r="A6" t="s">
        <v>93</v>
      </c>
      <c r="B6" t="s">
        <v>39</v>
      </c>
      <c r="C6" t="s">
        <v>81</v>
      </c>
      <c r="D6" s="2">
        <v>244543.69308098158</v>
      </c>
      <c r="E6" s="2">
        <v>370877.7373063392</v>
      </c>
      <c r="F6" s="219">
        <f t="shared" si="1"/>
        <v>2019</v>
      </c>
      <c r="G6" s="219">
        <f t="shared" si="0"/>
        <v>5</v>
      </c>
    </row>
    <row r="7" spans="1:7" x14ac:dyDescent="0.2">
      <c r="A7" t="s">
        <v>95</v>
      </c>
      <c r="B7" t="s">
        <v>39</v>
      </c>
      <c r="C7" t="s">
        <v>81</v>
      </c>
      <c r="D7" s="2">
        <v>1814703.9605883784</v>
      </c>
      <c r="E7" s="2">
        <v>1970303.8874724661</v>
      </c>
      <c r="F7" s="219">
        <f t="shared" si="1"/>
        <v>2019</v>
      </c>
      <c r="G7" s="219">
        <f t="shared" si="0"/>
        <v>5</v>
      </c>
    </row>
    <row r="8" spans="1:7" x14ac:dyDescent="0.2">
      <c r="A8" t="s">
        <v>94</v>
      </c>
      <c r="B8" t="s">
        <v>39</v>
      </c>
      <c r="C8" t="s">
        <v>81</v>
      </c>
      <c r="D8" s="2">
        <v>103896.20040025911</v>
      </c>
      <c r="E8" s="2">
        <v>99382.012036533444</v>
      </c>
      <c r="F8" s="219">
        <f t="shared" si="1"/>
        <v>2019</v>
      </c>
      <c r="G8" s="219">
        <f t="shared" si="0"/>
        <v>5</v>
      </c>
    </row>
    <row r="9" spans="1:7" x14ac:dyDescent="0.2">
      <c r="A9" t="s">
        <v>96</v>
      </c>
      <c r="B9" t="s">
        <v>39</v>
      </c>
      <c r="C9" t="s">
        <v>81</v>
      </c>
      <c r="D9" s="2">
        <v>444389.10441902641</v>
      </c>
      <c r="E9" s="2">
        <v>473905.03862800013</v>
      </c>
      <c r="F9" s="219">
        <f t="shared" si="1"/>
        <v>2019</v>
      </c>
      <c r="G9" s="219">
        <f t="shared" si="0"/>
        <v>5</v>
      </c>
    </row>
    <row r="10" spans="1:7" x14ac:dyDescent="0.2">
      <c r="A10" t="s">
        <v>93</v>
      </c>
      <c r="B10" t="s">
        <v>72</v>
      </c>
      <c r="C10" t="s">
        <v>81</v>
      </c>
      <c r="D10" s="2">
        <v>314809.77038710186</v>
      </c>
      <c r="E10" s="2">
        <v>268370.60003700003</v>
      </c>
      <c r="F10" s="219">
        <f t="shared" si="1"/>
        <v>2020</v>
      </c>
      <c r="G10" s="219">
        <f t="shared" si="0"/>
        <v>4</v>
      </c>
    </row>
    <row r="11" spans="1:7" x14ac:dyDescent="0.2">
      <c r="A11" t="s">
        <v>95</v>
      </c>
      <c r="B11" t="s">
        <v>72</v>
      </c>
      <c r="C11" t="s">
        <v>81</v>
      </c>
      <c r="D11" s="2">
        <v>2263168.4271844379</v>
      </c>
      <c r="E11" s="2">
        <v>1927719.677037</v>
      </c>
      <c r="F11" s="219">
        <f t="shared" si="1"/>
        <v>2020</v>
      </c>
      <c r="G11" s="219">
        <f t="shared" si="0"/>
        <v>4</v>
      </c>
    </row>
    <row r="12" spans="1:7" x14ac:dyDescent="0.2">
      <c r="A12" t="s">
        <v>94</v>
      </c>
      <c r="B12" t="s">
        <v>72</v>
      </c>
      <c r="C12" t="s">
        <v>81</v>
      </c>
      <c r="D12" s="2">
        <v>311976.86332657957</v>
      </c>
      <c r="E12" s="2">
        <v>206040.264432</v>
      </c>
      <c r="F12" s="219">
        <f t="shared" si="1"/>
        <v>2020</v>
      </c>
      <c r="G12" s="219">
        <f t="shared" si="0"/>
        <v>4</v>
      </c>
    </row>
    <row r="13" spans="1:7" x14ac:dyDescent="0.2">
      <c r="A13" t="s">
        <v>96</v>
      </c>
      <c r="B13" t="s">
        <v>72</v>
      </c>
      <c r="C13" t="s">
        <v>81</v>
      </c>
      <c r="D13" s="2">
        <v>523327.31507337891</v>
      </c>
      <c r="E13" s="2">
        <v>309662.81012400001</v>
      </c>
      <c r="F13" s="219">
        <f t="shared" si="1"/>
        <v>2020</v>
      </c>
      <c r="G13" s="219">
        <f t="shared" si="0"/>
        <v>4</v>
      </c>
    </row>
    <row r="14" spans="1:7" x14ac:dyDescent="0.2">
      <c r="A14" t="s">
        <v>93</v>
      </c>
      <c r="B14" t="s">
        <v>64</v>
      </c>
      <c r="C14" t="s">
        <v>81</v>
      </c>
      <c r="D14" s="2">
        <v>0</v>
      </c>
      <c r="E14" s="2">
        <v>243980.99895000001</v>
      </c>
      <c r="F14" s="219">
        <f t="shared" si="1"/>
        <v>2018</v>
      </c>
      <c r="G14" s="219">
        <f t="shared" si="0"/>
        <v>8</v>
      </c>
    </row>
    <row r="15" spans="1:7" x14ac:dyDescent="0.2">
      <c r="A15" t="s">
        <v>95</v>
      </c>
      <c r="B15" t="s">
        <v>64</v>
      </c>
      <c r="C15" t="s">
        <v>81</v>
      </c>
      <c r="D15" s="2">
        <v>1436998.2440070002</v>
      </c>
      <c r="E15" s="2">
        <v>1830439.6000140002</v>
      </c>
      <c r="F15" s="219">
        <f t="shared" si="1"/>
        <v>2018</v>
      </c>
      <c r="G15" s="219">
        <f t="shared" si="0"/>
        <v>8</v>
      </c>
    </row>
    <row r="16" spans="1:7" x14ac:dyDescent="0.2">
      <c r="A16" t="s">
        <v>94</v>
      </c>
      <c r="B16" t="s">
        <v>64</v>
      </c>
      <c r="C16" t="s">
        <v>81</v>
      </c>
      <c r="D16" s="2">
        <v>0</v>
      </c>
      <c r="E16" s="2">
        <v>54933.064674000001</v>
      </c>
      <c r="F16" s="219">
        <f t="shared" si="1"/>
        <v>2018</v>
      </c>
      <c r="G16" s="219">
        <f t="shared" si="0"/>
        <v>8</v>
      </c>
    </row>
    <row r="17" spans="1:7" x14ac:dyDescent="0.2">
      <c r="A17" t="s">
        <v>96</v>
      </c>
      <c r="B17" t="s">
        <v>64</v>
      </c>
      <c r="C17" t="s">
        <v>81</v>
      </c>
      <c r="D17" s="2">
        <v>319376.109879</v>
      </c>
      <c r="E17" s="2">
        <v>346772.63069399999</v>
      </c>
      <c r="F17" s="219">
        <f t="shared" si="1"/>
        <v>2018</v>
      </c>
      <c r="G17" s="219">
        <f t="shared" si="0"/>
        <v>8</v>
      </c>
    </row>
    <row r="18" spans="1:7" x14ac:dyDescent="0.2">
      <c r="A18" t="s">
        <v>93</v>
      </c>
      <c r="B18" t="s">
        <v>42</v>
      </c>
      <c r="C18" t="s">
        <v>81</v>
      </c>
      <c r="D18" s="2">
        <v>280097.23833333061</v>
      </c>
      <c r="E18" s="2">
        <v>207343.83916267057</v>
      </c>
      <c r="F18" s="219">
        <f t="shared" si="1"/>
        <v>2019</v>
      </c>
      <c r="G18" s="219">
        <f t="shared" si="0"/>
        <v>8</v>
      </c>
    </row>
    <row r="19" spans="1:7" x14ac:dyDescent="0.2">
      <c r="A19" t="s">
        <v>95</v>
      </c>
      <c r="B19" t="s">
        <v>42</v>
      </c>
      <c r="C19" t="s">
        <v>81</v>
      </c>
      <c r="D19" s="2">
        <v>1872909.4453713365</v>
      </c>
      <c r="E19" s="2">
        <v>1799038.3362456188</v>
      </c>
      <c r="F19" s="219">
        <f t="shared" si="1"/>
        <v>2019</v>
      </c>
      <c r="G19" s="219">
        <f t="shared" si="0"/>
        <v>8</v>
      </c>
    </row>
    <row r="20" spans="1:7" x14ac:dyDescent="0.2">
      <c r="A20" t="s">
        <v>94</v>
      </c>
      <c r="B20" t="s">
        <v>42</v>
      </c>
      <c r="C20" t="s">
        <v>81</v>
      </c>
      <c r="D20" s="2">
        <v>135981.79170034549</v>
      </c>
      <c r="E20" s="2">
        <v>171962.72132692716</v>
      </c>
      <c r="F20" s="219">
        <f t="shared" si="1"/>
        <v>2019</v>
      </c>
      <c r="G20" s="219">
        <f t="shared" si="0"/>
        <v>8</v>
      </c>
    </row>
    <row r="21" spans="1:7" x14ac:dyDescent="0.2">
      <c r="A21" t="s">
        <v>96</v>
      </c>
      <c r="B21" t="s">
        <v>42</v>
      </c>
      <c r="C21" t="s">
        <v>81</v>
      </c>
      <c r="D21" s="2">
        <v>367478.4987568119</v>
      </c>
      <c r="E21" s="2">
        <v>508461.55316924572</v>
      </c>
      <c r="F21" s="219">
        <f t="shared" si="1"/>
        <v>2019</v>
      </c>
      <c r="G21" s="219">
        <f t="shared" si="0"/>
        <v>8</v>
      </c>
    </row>
    <row r="22" spans="1:7" x14ac:dyDescent="0.2">
      <c r="A22" t="s">
        <v>93</v>
      </c>
      <c r="B22" t="s">
        <v>76</v>
      </c>
      <c r="C22" t="s">
        <v>81</v>
      </c>
      <c r="D22" s="2">
        <v>290166.86556334118</v>
      </c>
      <c r="E22" s="2">
        <v>0</v>
      </c>
      <c r="F22" s="219">
        <f t="shared" si="1"/>
        <v>2020</v>
      </c>
      <c r="G22" s="219">
        <f t="shared" si="0"/>
        <v>8</v>
      </c>
    </row>
    <row r="23" spans="1:7" x14ac:dyDescent="0.2">
      <c r="A23" t="s">
        <v>95</v>
      </c>
      <c r="B23" t="s">
        <v>76</v>
      </c>
      <c r="C23" t="s">
        <v>81</v>
      </c>
      <c r="D23" s="2">
        <v>1964328.9439132728</v>
      </c>
      <c r="E23" s="2">
        <v>0</v>
      </c>
      <c r="F23" s="219">
        <f t="shared" si="1"/>
        <v>2020</v>
      </c>
      <c r="G23" s="219">
        <f t="shared" si="0"/>
        <v>8</v>
      </c>
    </row>
    <row r="24" spans="1:7" x14ac:dyDescent="0.2">
      <c r="A24" t="s">
        <v>94</v>
      </c>
      <c r="B24" t="s">
        <v>76</v>
      </c>
      <c r="C24" t="s">
        <v>81</v>
      </c>
      <c r="D24" s="2">
        <v>448640.72870325058</v>
      </c>
      <c r="E24" s="2">
        <v>0</v>
      </c>
      <c r="F24" s="219">
        <f t="shared" si="1"/>
        <v>2020</v>
      </c>
      <c r="G24" s="219">
        <f t="shared" si="0"/>
        <v>8</v>
      </c>
    </row>
    <row r="25" spans="1:7" x14ac:dyDescent="0.2">
      <c r="A25" t="s">
        <v>96</v>
      </c>
      <c r="B25" t="s">
        <v>76</v>
      </c>
      <c r="C25" t="s">
        <v>81</v>
      </c>
      <c r="D25" s="2">
        <v>491985.7813434932</v>
      </c>
      <c r="E25" s="2">
        <v>0</v>
      </c>
      <c r="F25" s="219">
        <f t="shared" si="1"/>
        <v>2020</v>
      </c>
      <c r="G25" s="219">
        <f t="shared" si="0"/>
        <v>8</v>
      </c>
    </row>
    <row r="26" spans="1:7" x14ac:dyDescent="0.2">
      <c r="A26" t="s">
        <v>93</v>
      </c>
      <c r="B26" t="s">
        <v>68</v>
      </c>
      <c r="C26" t="s">
        <v>81</v>
      </c>
      <c r="D26" s="2">
        <v>0</v>
      </c>
      <c r="E26" s="2">
        <v>284451.86488499999</v>
      </c>
      <c r="F26" s="219">
        <f t="shared" si="1"/>
        <v>2018</v>
      </c>
      <c r="G26" s="219">
        <f t="shared" si="0"/>
        <v>12</v>
      </c>
    </row>
    <row r="27" spans="1:7" x14ac:dyDescent="0.2">
      <c r="A27" t="s">
        <v>95</v>
      </c>
      <c r="B27" t="s">
        <v>68</v>
      </c>
      <c r="C27" t="s">
        <v>81</v>
      </c>
      <c r="D27" s="2">
        <v>1436998.2440070002</v>
      </c>
      <c r="E27" s="2">
        <v>1816439.048925</v>
      </c>
      <c r="F27" s="219">
        <f t="shared" si="1"/>
        <v>2018</v>
      </c>
      <c r="G27" s="219">
        <f t="shared" si="0"/>
        <v>12</v>
      </c>
    </row>
    <row r="28" spans="1:7" x14ac:dyDescent="0.2">
      <c r="A28" t="s">
        <v>94</v>
      </c>
      <c r="B28" t="s">
        <v>68</v>
      </c>
      <c r="C28" t="s">
        <v>81</v>
      </c>
      <c r="D28" s="2">
        <v>0</v>
      </c>
      <c r="E28" s="2">
        <v>224983.00192800001</v>
      </c>
      <c r="F28" s="219">
        <f t="shared" si="1"/>
        <v>2018</v>
      </c>
      <c r="G28" s="219">
        <f t="shared" si="0"/>
        <v>12</v>
      </c>
    </row>
    <row r="29" spans="1:7" x14ac:dyDescent="0.2">
      <c r="A29" t="s">
        <v>96</v>
      </c>
      <c r="B29" t="s">
        <v>68</v>
      </c>
      <c r="C29" t="s">
        <v>81</v>
      </c>
      <c r="D29" s="2">
        <v>319376.109879</v>
      </c>
      <c r="E29" s="2">
        <v>358299.15631799999</v>
      </c>
      <c r="F29" s="219">
        <f t="shared" si="1"/>
        <v>2018</v>
      </c>
      <c r="G29" s="219">
        <f t="shared" si="0"/>
        <v>12</v>
      </c>
    </row>
    <row r="30" spans="1:7" x14ac:dyDescent="0.2">
      <c r="A30" t="s">
        <v>93</v>
      </c>
      <c r="B30" t="s">
        <v>46</v>
      </c>
      <c r="C30" t="s">
        <v>81</v>
      </c>
      <c r="D30" s="2">
        <v>381871.46871152398</v>
      </c>
      <c r="E30" s="2">
        <v>196257.58209719424</v>
      </c>
      <c r="F30" s="219">
        <f t="shared" si="1"/>
        <v>2019</v>
      </c>
      <c r="G30" s="219">
        <f t="shared" si="0"/>
        <v>12</v>
      </c>
    </row>
    <row r="31" spans="1:7" x14ac:dyDescent="0.2">
      <c r="A31" t="s">
        <v>95</v>
      </c>
      <c r="B31" t="s">
        <v>46</v>
      </c>
      <c r="C31" t="s">
        <v>81</v>
      </c>
      <c r="D31" s="2">
        <v>1864998.3844371829</v>
      </c>
      <c r="E31" s="2">
        <v>2176665.0417491295</v>
      </c>
      <c r="F31" s="219">
        <f t="shared" si="1"/>
        <v>2019</v>
      </c>
      <c r="G31" s="219">
        <f t="shared" si="0"/>
        <v>12</v>
      </c>
    </row>
    <row r="32" spans="1:7" x14ac:dyDescent="0.2">
      <c r="A32" t="s">
        <v>94</v>
      </c>
      <c r="B32" t="s">
        <v>46</v>
      </c>
      <c r="C32" t="s">
        <v>81</v>
      </c>
      <c r="D32" s="2">
        <v>145393.56416960064</v>
      </c>
      <c r="E32" s="2">
        <v>222523.73089299296</v>
      </c>
      <c r="F32" s="219">
        <f t="shared" si="1"/>
        <v>2019</v>
      </c>
      <c r="G32" s="219">
        <f t="shared" si="0"/>
        <v>12</v>
      </c>
    </row>
    <row r="33" spans="1:7" x14ac:dyDescent="0.2">
      <c r="A33" t="s">
        <v>96</v>
      </c>
      <c r="B33" t="s">
        <v>46</v>
      </c>
      <c r="C33" t="s">
        <v>81</v>
      </c>
      <c r="D33" s="2">
        <v>447400.12847145076</v>
      </c>
      <c r="E33" s="2">
        <v>383170.03717080218</v>
      </c>
      <c r="F33" s="219">
        <f t="shared" si="1"/>
        <v>2019</v>
      </c>
      <c r="G33" s="219">
        <f t="shared" si="0"/>
        <v>12</v>
      </c>
    </row>
    <row r="34" spans="1:7" x14ac:dyDescent="0.2">
      <c r="A34" t="s">
        <v>93</v>
      </c>
      <c r="B34" t="s">
        <v>80</v>
      </c>
      <c r="C34" t="s">
        <v>81</v>
      </c>
      <c r="D34" s="2">
        <v>301563.65258830017</v>
      </c>
      <c r="E34" s="2">
        <v>0</v>
      </c>
      <c r="F34" s="219">
        <f t="shared" si="1"/>
        <v>2020</v>
      </c>
      <c r="G34" s="219">
        <f t="shared" ref="G34:G65" si="2">MONTH(DATEVALUE(LEFT(B34,3)&amp;"1"))</f>
        <v>12</v>
      </c>
    </row>
    <row r="35" spans="1:7" x14ac:dyDescent="0.2">
      <c r="A35" t="s">
        <v>95</v>
      </c>
      <c r="B35" t="s">
        <v>80</v>
      </c>
      <c r="C35" t="s">
        <v>81</v>
      </c>
      <c r="D35" s="2">
        <v>2054887.1073274775</v>
      </c>
      <c r="E35" s="2">
        <v>0</v>
      </c>
      <c r="F35" s="219">
        <f t="shared" si="1"/>
        <v>2020</v>
      </c>
      <c r="G35" s="219">
        <f t="shared" si="2"/>
        <v>12</v>
      </c>
    </row>
    <row r="36" spans="1:7" x14ac:dyDescent="0.2">
      <c r="A36" t="s">
        <v>94</v>
      </c>
      <c r="B36" t="s">
        <v>80</v>
      </c>
      <c r="C36" t="s">
        <v>81</v>
      </c>
      <c r="D36" s="2">
        <v>614836.34907806094</v>
      </c>
      <c r="E36" s="2">
        <v>0</v>
      </c>
      <c r="F36" s="219">
        <f t="shared" si="1"/>
        <v>2020</v>
      </c>
      <c r="G36" s="219">
        <f t="shared" si="2"/>
        <v>12</v>
      </c>
    </row>
    <row r="37" spans="1:7" x14ac:dyDescent="0.2">
      <c r="A37" t="s">
        <v>96</v>
      </c>
      <c r="B37" t="s">
        <v>80</v>
      </c>
      <c r="C37" t="s">
        <v>81</v>
      </c>
      <c r="D37" s="2">
        <v>457068.34442026267</v>
      </c>
      <c r="E37" s="2">
        <v>0</v>
      </c>
      <c r="F37" s="219">
        <f t="shared" si="1"/>
        <v>2020</v>
      </c>
      <c r="G37" s="219">
        <f t="shared" si="2"/>
        <v>12</v>
      </c>
    </row>
    <row r="38" spans="1:7" x14ac:dyDescent="0.2">
      <c r="A38" t="s">
        <v>93</v>
      </c>
      <c r="B38" t="s">
        <v>58</v>
      </c>
      <c r="C38" t="s">
        <v>81</v>
      </c>
      <c r="D38" s="2">
        <v>0</v>
      </c>
      <c r="E38" s="2">
        <v>201713.54200799999</v>
      </c>
      <c r="F38" s="219">
        <f t="shared" si="1"/>
        <v>2018</v>
      </c>
      <c r="G38" s="219">
        <f t="shared" si="2"/>
        <v>2</v>
      </c>
    </row>
    <row r="39" spans="1:7" x14ac:dyDescent="0.2">
      <c r="A39" t="s">
        <v>95</v>
      </c>
      <c r="B39" t="s">
        <v>58</v>
      </c>
      <c r="C39" t="s">
        <v>81</v>
      </c>
      <c r="D39" s="2">
        <v>1238029.9119899999</v>
      </c>
      <c r="E39" s="2">
        <v>1457078.6385059999</v>
      </c>
      <c r="F39" s="219">
        <f t="shared" si="1"/>
        <v>2018</v>
      </c>
      <c r="G39" s="219">
        <f t="shared" si="2"/>
        <v>2</v>
      </c>
    </row>
    <row r="40" spans="1:7" x14ac:dyDescent="0.2">
      <c r="A40" t="s">
        <v>94</v>
      </c>
      <c r="B40" t="s">
        <v>58</v>
      </c>
      <c r="C40" t="s">
        <v>81</v>
      </c>
      <c r="D40" s="2">
        <v>0</v>
      </c>
      <c r="E40" s="2">
        <v>53100.388281</v>
      </c>
      <c r="F40" s="219">
        <f t="shared" si="1"/>
        <v>2018</v>
      </c>
      <c r="G40" s="219">
        <f t="shared" si="2"/>
        <v>2</v>
      </c>
    </row>
    <row r="41" spans="1:7" x14ac:dyDescent="0.2">
      <c r="A41" t="s">
        <v>96</v>
      </c>
      <c r="B41" t="s">
        <v>58</v>
      </c>
      <c r="C41" t="s">
        <v>81</v>
      </c>
      <c r="D41" s="2">
        <v>218045.06393100001</v>
      </c>
      <c r="E41" s="2">
        <v>312651.55760399997</v>
      </c>
      <c r="F41" s="219">
        <f t="shared" si="1"/>
        <v>2018</v>
      </c>
      <c r="G41" s="219">
        <f t="shared" si="2"/>
        <v>2</v>
      </c>
    </row>
    <row r="42" spans="1:7" x14ac:dyDescent="0.2">
      <c r="A42" t="s">
        <v>93</v>
      </c>
      <c r="B42" t="s">
        <v>37</v>
      </c>
      <c r="C42" t="s">
        <v>81</v>
      </c>
      <c r="D42" s="2">
        <v>323556.86418846081</v>
      </c>
      <c r="E42" s="2">
        <v>293890.65448206244</v>
      </c>
      <c r="F42" s="219">
        <f t="shared" si="1"/>
        <v>2019</v>
      </c>
      <c r="G42" s="219">
        <f t="shared" si="2"/>
        <v>3</v>
      </c>
    </row>
    <row r="43" spans="1:7" x14ac:dyDescent="0.2">
      <c r="A43" t="s">
        <v>95</v>
      </c>
      <c r="B43" t="s">
        <v>37</v>
      </c>
      <c r="C43" t="s">
        <v>81</v>
      </c>
      <c r="D43" s="2">
        <v>1810344.3994784139</v>
      </c>
      <c r="E43" s="2">
        <v>1545156.2668286287</v>
      </c>
      <c r="F43" s="219">
        <f t="shared" si="1"/>
        <v>2019</v>
      </c>
      <c r="G43" s="219">
        <f t="shared" si="2"/>
        <v>3</v>
      </c>
    </row>
    <row r="44" spans="1:7" x14ac:dyDescent="0.2">
      <c r="A44" t="s">
        <v>94</v>
      </c>
      <c r="B44" t="s">
        <v>37</v>
      </c>
      <c r="C44" t="s">
        <v>81</v>
      </c>
      <c r="D44" s="2">
        <v>90654.527800287906</v>
      </c>
      <c r="E44" s="2">
        <v>103217.33274663573</v>
      </c>
      <c r="F44" s="219">
        <f t="shared" si="1"/>
        <v>2019</v>
      </c>
      <c r="G44" s="219">
        <f t="shared" si="2"/>
        <v>3</v>
      </c>
    </row>
    <row r="45" spans="1:7" x14ac:dyDescent="0.2">
      <c r="A45" t="s">
        <v>96</v>
      </c>
      <c r="B45" t="s">
        <v>37</v>
      </c>
      <c r="C45" t="s">
        <v>81</v>
      </c>
      <c r="D45" s="2">
        <v>509185.11383814609</v>
      </c>
      <c r="E45" s="2">
        <v>363197.82962765347</v>
      </c>
      <c r="F45" s="219">
        <f t="shared" si="1"/>
        <v>2019</v>
      </c>
      <c r="G45" s="219">
        <f t="shared" si="2"/>
        <v>3</v>
      </c>
    </row>
    <row r="46" spans="1:7" x14ac:dyDescent="0.2">
      <c r="A46" t="s">
        <v>93</v>
      </c>
      <c r="B46" t="s">
        <v>70</v>
      </c>
      <c r="C46" t="s">
        <v>81</v>
      </c>
      <c r="D46" s="2">
        <v>265523.96073966683</v>
      </c>
      <c r="E46" s="2">
        <v>238795.49961599999</v>
      </c>
      <c r="F46" s="219">
        <f t="shared" si="1"/>
        <v>2020</v>
      </c>
      <c r="G46" s="219">
        <f t="shared" si="2"/>
        <v>2</v>
      </c>
    </row>
    <row r="47" spans="1:7" x14ac:dyDescent="0.2">
      <c r="A47" t="s">
        <v>95</v>
      </c>
      <c r="B47" t="s">
        <v>70</v>
      </c>
      <c r="C47" t="s">
        <v>81</v>
      </c>
      <c r="D47" s="2">
        <v>2223660.8376606791</v>
      </c>
      <c r="E47" s="2">
        <v>1899910.2903480001</v>
      </c>
      <c r="F47" s="219">
        <f t="shared" si="1"/>
        <v>2020</v>
      </c>
      <c r="G47" s="219">
        <f t="shared" si="2"/>
        <v>2</v>
      </c>
    </row>
    <row r="48" spans="1:7" x14ac:dyDescent="0.2">
      <c r="A48" t="s">
        <v>94</v>
      </c>
      <c r="B48" t="s">
        <v>70</v>
      </c>
      <c r="C48" t="s">
        <v>81</v>
      </c>
      <c r="D48" s="2">
        <v>284019.24127063743</v>
      </c>
      <c r="E48" s="2">
        <v>214226.26620300001</v>
      </c>
      <c r="F48" s="219">
        <f t="shared" si="1"/>
        <v>2020</v>
      </c>
      <c r="G48" s="219">
        <f t="shared" si="2"/>
        <v>2</v>
      </c>
    </row>
    <row r="49" spans="1:7" x14ac:dyDescent="0.2">
      <c r="A49" t="s">
        <v>96</v>
      </c>
      <c r="B49" t="s">
        <v>70</v>
      </c>
      <c r="C49" t="s">
        <v>81</v>
      </c>
      <c r="D49" s="2">
        <v>512819.52569877461</v>
      </c>
      <c r="E49" s="2">
        <v>404027.49370800005</v>
      </c>
      <c r="F49" s="219">
        <f t="shared" si="1"/>
        <v>2020</v>
      </c>
      <c r="G49" s="219">
        <f t="shared" si="2"/>
        <v>2</v>
      </c>
    </row>
    <row r="50" spans="1:7" x14ac:dyDescent="0.2">
      <c r="A50" t="s">
        <v>93</v>
      </c>
      <c r="B50" t="s">
        <v>57</v>
      </c>
      <c r="C50" t="s">
        <v>81</v>
      </c>
      <c r="D50" s="2">
        <v>0</v>
      </c>
      <c r="E50" s="2">
        <v>150415.11694800001</v>
      </c>
      <c r="F50" s="219">
        <f t="shared" si="1"/>
        <v>2018</v>
      </c>
      <c r="G50" s="219">
        <f t="shared" si="2"/>
        <v>1</v>
      </c>
    </row>
    <row r="51" spans="1:7" x14ac:dyDescent="0.2">
      <c r="A51" t="s">
        <v>95</v>
      </c>
      <c r="B51" t="s">
        <v>57</v>
      </c>
      <c r="C51" t="s">
        <v>81</v>
      </c>
      <c r="D51" s="2">
        <v>1258190.2505610001</v>
      </c>
      <c r="E51" s="2">
        <v>1391144.696028</v>
      </c>
      <c r="F51" s="219">
        <f t="shared" si="1"/>
        <v>2018</v>
      </c>
      <c r="G51" s="219">
        <f t="shared" si="2"/>
        <v>1</v>
      </c>
    </row>
    <row r="52" spans="1:7" x14ac:dyDescent="0.2">
      <c r="A52" t="s">
        <v>94</v>
      </c>
      <c r="B52" t="s">
        <v>57</v>
      </c>
      <c r="C52" t="s">
        <v>81</v>
      </c>
      <c r="D52" s="2">
        <v>0</v>
      </c>
      <c r="E52" s="2">
        <v>44341.027902000002</v>
      </c>
      <c r="F52" s="219">
        <f t="shared" si="1"/>
        <v>2018</v>
      </c>
      <c r="G52" s="219">
        <f t="shared" si="2"/>
        <v>1</v>
      </c>
    </row>
    <row r="53" spans="1:7" x14ac:dyDescent="0.2">
      <c r="A53" t="s">
        <v>96</v>
      </c>
      <c r="B53" t="s">
        <v>57</v>
      </c>
      <c r="C53" t="s">
        <v>81</v>
      </c>
      <c r="D53" s="2">
        <v>182916.37250999999</v>
      </c>
      <c r="E53" s="2">
        <v>278684.42176500004</v>
      </c>
      <c r="F53" s="219">
        <f t="shared" si="1"/>
        <v>2018</v>
      </c>
      <c r="G53" s="219">
        <f t="shared" si="2"/>
        <v>1</v>
      </c>
    </row>
    <row r="54" spans="1:7" x14ac:dyDescent="0.2">
      <c r="A54" t="s">
        <v>93</v>
      </c>
      <c r="B54" t="s">
        <v>40</v>
      </c>
      <c r="C54" t="s">
        <v>81</v>
      </c>
      <c r="D54" s="2">
        <v>268700.45130837162</v>
      </c>
      <c r="E54" s="2">
        <v>211523.87079594456</v>
      </c>
      <c r="F54" s="219">
        <f t="shared" si="1"/>
        <v>2019</v>
      </c>
      <c r="G54" s="219">
        <f t="shared" si="2"/>
        <v>6</v>
      </c>
    </row>
    <row r="55" spans="1:7" x14ac:dyDescent="0.2">
      <c r="A55" t="s">
        <v>95</v>
      </c>
      <c r="B55" t="s">
        <v>40</v>
      </c>
      <c r="C55" t="s">
        <v>81</v>
      </c>
      <c r="D55" s="2">
        <v>1617552.889614044</v>
      </c>
      <c r="E55" s="2">
        <v>1761969.0553753343</v>
      </c>
      <c r="F55" s="219">
        <f t="shared" si="1"/>
        <v>2019</v>
      </c>
      <c r="G55" s="219">
        <f t="shared" si="2"/>
        <v>6</v>
      </c>
    </row>
    <row r="56" spans="1:7" x14ac:dyDescent="0.2">
      <c r="A56" t="s">
        <v>94</v>
      </c>
      <c r="B56" t="s">
        <v>40</v>
      </c>
      <c r="C56" t="s">
        <v>81</v>
      </c>
      <c r="D56" s="2">
        <v>115609.98770023031</v>
      </c>
      <c r="E56" s="2">
        <v>127670.19029246728</v>
      </c>
      <c r="F56" s="219">
        <f t="shared" si="1"/>
        <v>2019</v>
      </c>
      <c r="G56" s="219">
        <f t="shared" si="2"/>
        <v>6</v>
      </c>
    </row>
    <row r="57" spans="1:7" x14ac:dyDescent="0.2">
      <c r="A57" t="s">
        <v>96</v>
      </c>
      <c r="B57" t="s">
        <v>40</v>
      </c>
      <c r="C57" t="s">
        <v>81</v>
      </c>
      <c r="D57" s="2">
        <v>415000.74762647849</v>
      </c>
      <c r="E57" s="2">
        <v>550860.70067254582</v>
      </c>
      <c r="F57" s="219">
        <f t="shared" si="1"/>
        <v>2019</v>
      </c>
      <c r="G57" s="219">
        <f t="shared" si="2"/>
        <v>6</v>
      </c>
    </row>
    <row r="58" spans="1:7" x14ac:dyDescent="0.2">
      <c r="A58" t="s">
        <v>93</v>
      </c>
      <c r="B58" t="s">
        <v>69</v>
      </c>
      <c r="C58" t="s">
        <v>81</v>
      </c>
      <c r="D58" s="2">
        <v>293657.5727759772</v>
      </c>
      <c r="E58" s="2">
        <v>346827.25108199997</v>
      </c>
      <c r="F58" s="219">
        <f t="shared" si="1"/>
        <v>2020</v>
      </c>
      <c r="G58" s="219">
        <f t="shared" si="2"/>
        <v>1</v>
      </c>
    </row>
    <row r="59" spans="1:7" x14ac:dyDescent="0.2">
      <c r="A59" t="s">
        <v>95</v>
      </c>
      <c r="B59" t="s">
        <v>69</v>
      </c>
      <c r="C59" t="s">
        <v>81</v>
      </c>
      <c r="D59" s="2">
        <v>1879772.2767438309</v>
      </c>
      <c r="E59" s="2">
        <v>2374809.6808110001</v>
      </c>
      <c r="F59" s="219">
        <f t="shared" si="1"/>
        <v>2020</v>
      </c>
      <c r="G59" s="219">
        <f t="shared" si="2"/>
        <v>1</v>
      </c>
    </row>
    <row r="60" spans="1:7" x14ac:dyDescent="0.2">
      <c r="A60" t="s">
        <v>94</v>
      </c>
      <c r="B60" t="s">
        <v>69</v>
      </c>
      <c r="C60" t="s">
        <v>81</v>
      </c>
      <c r="D60" s="2">
        <v>267078.22491269372</v>
      </c>
      <c r="E60" s="2">
        <v>215614.62076800002</v>
      </c>
      <c r="F60" s="219">
        <f t="shared" si="1"/>
        <v>2020</v>
      </c>
      <c r="G60" s="219">
        <f t="shared" si="2"/>
        <v>1</v>
      </c>
    </row>
    <row r="61" spans="1:7" x14ac:dyDescent="0.2">
      <c r="A61" t="s">
        <v>96</v>
      </c>
      <c r="B61" t="s">
        <v>69</v>
      </c>
      <c r="C61" t="s">
        <v>81</v>
      </c>
      <c r="D61" s="2">
        <v>510533.15585713496</v>
      </c>
      <c r="E61" s="2">
        <v>448480.43121900002</v>
      </c>
      <c r="F61" s="219">
        <f t="shared" si="1"/>
        <v>2020</v>
      </c>
      <c r="G61" s="219">
        <f t="shared" si="2"/>
        <v>1</v>
      </c>
    </row>
    <row r="62" spans="1:7" x14ac:dyDescent="0.2">
      <c r="A62" t="s">
        <v>93</v>
      </c>
      <c r="B62" t="s">
        <v>63</v>
      </c>
      <c r="C62" t="s">
        <v>81</v>
      </c>
      <c r="D62" s="2">
        <v>0</v>
      </c>
      <c r="E62" s="2">
        <v>361307.958912</v>
      </c>
      <c r="F62" s="219">
        <f t="shared" si="1"/>
        <v>2018</v>
      </c>
      <c r="G62" s="219">
        <f t="shared" si="2"/>
        <v>7</v>
      </c>
    </row>
    <row r="63" spans="1:7" x14ac:dyDescent="0.2">
      <c r="A63" t="s">
        <v>95</v>
      </c>
      <c r="B63" t="s">
        <v>63</v>
      </c>
      <c r="C63" t="s">
        <v>81</v>
      </c>
      <c r="D63" s="2">
        <v>1436998.2440070002</v>
      </c>
      <c r="E63" s="2">
        <v>1666624.531683</v>
      </c>
      <c r="F63" s="219">
        <f t="shared" si="1"/>
        <v>2018</v>
      </c>
      <c r="G63" s="219">
        <f t="shared" si="2"/>
        <v>7</v>
      </c>
    </row>
    <row r="64" spans="1:7" x14ac:dyDescent="0.2">
      <c r="A64" t="s">
        <v>94</v>
      </c>
      <c r="B64" t="s">
        <v>63</v>
      </c>
      <c r="C64" t="s">
        <v>81</v>
      </c>
      <c r="D64" s="2">
        <v>0</v>
      </c>
      <c r="E64" s="2">
        <v>35726.898678000005</v>
      </c>
      <c r="F64" s="219">
        <f t="shared" si="1"/>
        <v>2018</v>
      </c>
      <c r="G64" s="219">
        <f t="shared" si="2"/>
        <v>7</v>
      </c>
    </row>
    <row r="65" spans="1:7" x14ac:dyDescent="0.2">
      <c r="A65" t="s">
        <v>96</v>
      </c>
      <c r="B65" t="s">
        <v>63</v>
      </c>
      <c r="C65" t="s">
        <v>81</v>
      </c>
      <c r="D65" s="2">
        <v>319376.109879</v>
      </c>
      <c r="E65" s="2">
        <v>329628.64345500001</v>
      </c>
      <c r="F65" s="219">
        <f t="shared" si="1"/>
        <v>2018</v>
      </c>
      <c r="G65" s="219">
        <f t="shared" si="2"/>
        <v>7</v>
      </c>
    </row>
    <row r="66" spans="1:7" x14ac:dyDescent="0.2">
      <c r="A66" t="s">
        <v>93</v>
      </c>
      <c r="B66" t="s">
        <v>41</v>
      </c>
      <c r="C66" t="s">
        <v>81</v>
      </c>
      <c r="D66" s="2">
        <v>271822.91980654147</v>
      </c>
      <c r="E66" s="2">
        <v>330497.78300788871</v>
      </c>
      <c r="F66" s="219">
        <f t="shared" si="1"/>
        <v>2019</v>
      </c>
      <c r="G66" s="219">
        <f t="shared" ref="G66:G97" si="3">MONTH(DATEVALUE(LEFT(B66,3)&amp;"1"))</f>
        <v>7</v>
      </c>
    </row>
    <row r="67" spans="1:7" x14ac:dyDescent="0.2">
      <c r="A67" t="s">
        <v>95</v>
      </c>
      <c r="B67" t="s">
        <v>41</v>
      </c>
      <c r="C67" t="s">
        <v>81</v>
      </c>
      <c r="D67" s="2">
        <v>1831126.7033020875</v>
      </c>
      <c r="E67" s="2">
        <v>2447291.0734761707</v>
      </c>
      <c r="F67" s="219">
        <f t="shared" ref="F67:F130" si="4">YEAR(B67)</f>
        <v>2019</v>
      </c>
      <c r="G67" s="219">
        <f t="shared" si="3"/>
        <v>7</v>
      </c>
    </row>
    <row r="68" spans="1:7" x14ac:dyDescent="0.2">
      <c r="A68" t="s">
        <v>94</v>
      </c>
      <c r="B68" t="s">
        <v>41</v>
      </c>
      <c r="C68" t="s">
        <v>81</v>
      </c>
      <c r="D68" s="2">
        <v>126814.47990034548</v>
      </c>
      <c r="E68" s="2">
        <v>141732.87703650119</v>
      </c>
      <c r="F68" s="219">
        <f t="shared" si="4"/>
        <v>2019</v>
      </c>
      <c r="G68" s="219">
        <f t="shared" si="3"/>
        <v>7</v>
      </c>
    </row>
    <row r="69" spans="1:7" x14ac:dyDescent="0.2">
      <c r="A69" t="s">
        <v>96</v>
      </c>
      <c r="B69" t="s">
        <v>41</v>
      </c>
      <c r="C69" t="s">
        <v>81</v>
      </c>
      <c r="D69" s="2">
        <v>432546.46162899421</v>
      </c>
      <c r="E69" s="2">
        <v>445987.45644892921</v>
      </c>
      <c r="F69" s="219">
        <f t="shared" si="4"/>
        <v>2019</v>
      </c>
      <c r="G69" s="219">
        <f t="shared" si="3"/>
        <v>7</v>
      </c>
    </row>
    <row r="70" spans="1:7" x14ac:dyDescent="0.2">
      <c r="A70" t="s">
        <v>93</v>
      </c>
      <c r="B70" t="s">
        <v>75</v>
      </c>
      <c r="C70" t="s">
        <v>81</v>
      </c>
      <c r="D70" s="2">
        <v>329697.26462469687</v>
      </c>
      <c r="E70" s="2">
        <v>348544.45078499999</v>
      </c>
      <c r="F70" s="219">
        <f t="shared" si="4"/>
        <v>2020</v>
      </c>
      <c r="G70" s="219">
        <f t="shared" si="3"/>
        <v>7</v>
      </c>
    </row>
    <row r="71" spans="1:7" x14ac:dyDescent="0.2">
      <c r="A71" t="s">
        <v>95</v>
      </c>
      <c r="B71" t="s">
        <v>75</v>
      </c>
      <c r="C71" t="s">
        <v>81</v>
      </c>
      <c r="D71" s="2">
        <v>2295158.213739593</v>
      </c>
      <c r="E71" s="2">
        <v>2230759.3678140002</v>
      </c>
      <c r="F71" s="219">
        <f t="shared" si="4"/>
        <v>2020</v>
      </c>
      <c r="G71" s="219">
        <f t="shared" si="3"/>
        <v>7</v>
      </c>
    </row>
    <row r="72" spans="1:7" x14ac:dyDescent="0.2">
      <c r="A72" t="s">
        <v>94</v>
      </c>
      <c r="B72" t="s">
        <v>75</v>
      </c>
      <c r="C72" t="s">
        <v>81</v>
      </c>
      <c r="D72" s="2">
        <v>417692.6054537379</v>
      </c>
      <c r="E72" s="2">
        <v>294972.34411200002</v>
      </c>
      <c r="F72" s="219">
        <f t="shared" si="4"/>
        <v>2020</v>
      </c>
      <c r="G72" s="219">
        <f t="shared" si="3"/>
        <v>7</v>
      </c>
    </row>
    <row r="73" spans="1:7" x14ac:dyDescent="0.2">
      <c r="A73" t="s">
        <v>96</v>
      </c>
      <c r="B73" t="s">
        <v>75</v>
      </c>
      <c r="C73" t="s">
        <v>81</v>
      </c>
      <c r="D73" s="2">
        <v>451007.64205129218</v>
      </c>
      <c r="E73" s="2">
        <v>321861.95075999998</v>
      </c>
      <c r="F73" s="219">
        <f t="shared" si="4"/>
        <v>2020</v>
      </c>
      <c r="G73" s="219">
        <f t="shared" si="3"/>
        <v>7</v>
      </c>
    </row>
    <row r="74" spans="1:7" x14ac:dyDescent="0.2">
      <c r="A74" t="s">
        <v>93</v>
      </c>
      <c r="B74" t="s">
        <v>62</v>
      </c>
      <c r="C74" t="s">
        <v>81</v>
      </c>
      <c r="D74" s="2">
        <v>0</v>
      </c>
      <c r="E74" s="2">
        <v>262353.00348600006</v>
      </c>
      <c r="F74" s="219">
        <f t="shared" si="4"/>
        <v>2018</v>
      </c>
      <c r="G74" s="219">
        <f t="shared" si="3"/>
        <v>6</v>
      </c>
    </row>
    <row r="75" spans="1:7" x14ac:dyDescent="0.2">
      <c r="A75" t="s">
        <v>95</v>
      </c>
      <c r="B75" t="s">
        <v>62</v>
      </c>
      <c r="C75" t="s">
        <v>81</v>
      </c>
      <c r="D75" s="2">
        <v>1436998.2440070002</v>
      </c>
      <c r="E75" s="2">
        <v>1555037.151879</v>
      </c>
      <c r="F75" s="219">
        <f t="shared" si="4"/>
        <v>2018</v>
      </c>
      <c r="G75" s="219">
        <f t="shared" si="3"/>
        <v>6</v>
      </c>
    </row>
    <row r="76" spans="1:7" x14ac:dyDescent="0.2">
      <c r="A76" t="s">
        <v>94</v>
      </c>
      <c r="B76" t="s">
        <v>62</v>
      </c>
      <c r="C76" t="s">
        <v>81</v>
      </c>
      <c r="D76" s="2">
        <v>0</v>
      </c>
      <c r="E76" s="2">
        <v>45843.140394000002</v>
      </c>
      <c r="F76" s="219">
        <f t="shared" si="4"/>
        <v>2018</v>
      </c>
      <c r="G76" s="219">
        <f t="shared" si="3"/>
        <v>6</v>
      </c>
    </row>
    <row r="77" spans="1:7" x14ac:dyDescent="0.2">
      <c r="A77" t="s">
        <v>96</v>
      </c>
      <c r="B77" t="s">
        <v>62</v>
      </c>
      <c r="C77" t="s">
        <v>81</v>
      </c>
      <c r="D77" s="2">
        <v>319376.109879</v>
      </c>
      <c r="E77" s="2">
        <v>351997.29018600006</v>
      </c>
      <c r="F77" s="219">
        <f t="shared" si="4"/>
        <v>2018</v>
      </c>
      <c r="G77" s="219">
        <f t="shared" si="3"/>
        <v>6</v>
      </c>
    </row>
    <row r="78" spans="1:7" x14ac:dyDescent="0.2">
      <c r="A78" t="s">
        <v>93</v>
      </c>
      <c r="B78" t="s">
        <v>35</v>
      </c>
      <c r="C78" t="s">
        <v>81</v>
      </c>
      <c r="D78" s="2">
        <v>293589.03282387793</v>
      </c>
      <c r="E78" s="2">
        <v>331449.04673733219</v>
      </c>
      <c r="F78" s="219">
        <f t="shared" si="4"/>
        <v>2019</v>
      </c>
      <c r="G78" s="219">
        <f t="shared" si="3"/>
        <v>1</v>
      </c>
    </row>
    <row r="79" spans="1:7" x14ac:dyDescent="0.2">
      <c r="A79" t="s">
        <v>95</v>
      </c>
      <c r="B79" t="s">
        <v>35</v>
      </c>
      <c r="C79" t="s">
        <v>81</v>
      </c>
      <c r="D79" s="2">
        <v>1786680.6190626468</v>
      </c>
      <c r="E79" s="2">
        <v>1690386.7757865563</v>
      </c>
      <c r="F79" s="219">
        <f t="shared" si="4"/>
        <v>2019</v>
      </c>
      <c r="G79" s="219">
        <f t="shared" si="3"/>
        <v>1</v>
      </c>
    </row>
    <row r="80" spans="1:7" x14ac:dyDescent="0.2">
      <c r="A80" t="s">
        <v>94</v>
      </c>
      <c r="B80" t="s">
        <v>35</v>
      </c>
      <c r="C80" t="s">
        <v>81</v>
      </c>
      <c r="D80" s="2">
        <v>90947.61</v>
      </c>
      <c r="E80" s="2">
        <v>128263.7424294746</v>
      </c>
      <c r="F80" s="219">
        <f t="shared" si="4"/>
        <v>2019</v>
      </c>
      <c r="G80" s="219">
        <f t="shared" si="3"/>
        <v>1</v>
      </c>
    </row>
    <row r="81" spans="1:7" x14ac:dyDescent="0.2">
      <c r="A81" t="s">
        <v>96</v>
      </c>
      <c r="B81" t="s">
        <v>35</v>
      </c>
      <c r="C81" t="s">
        <v>81</v>
      </c>
      <c r="D81" s="2">
        <v>274659.14082480036</v>
      </c>
      <c r="E81" s="2">
        <v>450490.34758227959</v>
      </c>
      <c r="F81" s="219">
        <f t="shared" si="4"/>
        <v>2019</v>
      </c>
      <c r="G81" s="219">
        <f t="shared" si="3"/>
        <v>1</v>
      </c>
    </row>
    <row r="82" spans="1:7" x14ac:dyDescent="0.2">
      <c r="A82" t="s">
        <v>93</v>
      </c>
      <c r="B82" t="s">
        <v>74</v>
      </c>
      <c r="C82" t="s">
        <v>81</v>
      </c>
      <c r="D82" s="2">
        <v>310394.39777938253</v>
      </c>
      <c r="E82" s="2">
        <v>451484.31072299997</v>
      </c>
      <c r="F82" s="219">
        <f t="shared" si="4"/>
        <v>2020</v>
      </c>
      <c r="G82" s="219">
        <f t="shared" si="3"/>
        <v>6</v>
      </c>
    </row>
    <row r="83" spans="1:7" x14ac:dyDescent="0.2">
      <c r="A83" t="s">
        <v>95</v>
      </c>
      <c r="B83" t="s">
        <v>74</v>
      </c>
      <c r="C83" t="s">
        <v>81</v>
      </c>
      <c r="D83" s="2">
        <v>1931929.4057951809</v>
      </c>
      <c r="E83" s="2">
        <v>2388133.307025</v>
      </c>
      <c r="F83" s="219">
        <f t="shared" si="4"/>
        <v>2020</v>
      </c>
      <c r="G83" s="219">
        <f t="shared" si="3"/>
        <v>6</v>
      </c>
    </row>
    <row r="84" spans="1:7" x14ac:dyDescent="0.2">
      <c r="A84" t="s">
        <v>94</v>
      </c>
      <c r="B84" t="s">
        <v>74</v>
      </c>
      <c r="C84" t="s">
        <v>81</v>
      </c>
      <c r="D84" s="2">
        <v>361821.94257837214</v>
      </c>
      <c r="E84" s="2">
        <v>249937.69601399999</v>
      </c>
      <c r="F84" s="219">
        <f t="shared" si="4"/>
        <v>2020</v>
      </c>
      <c r="G84" s="219">
        <f t="shared" si="3"/>
        <v>6</v>
      </c>
    </row>
    <row r="85" spans="1:7" x14ac:dyDescent="0.2">
      <c r="A85" t="s">
        <v>96</v>
      </c>
      <c r="B85" t="s">
        <v>74</v>
      </c>
      <c r="C85" t="s">
        <v>81</v>
      </c>
      <c r="D85" s="2">
        <v>526302.09818941972</v>
      </c>
      <c r="E85" s="2">
        <v>484914.63110100001</v>
      </c>
      <c r="F85" s="219">
        <f t="shared" si="4"/>
        <v>2020</v>
      </c>
      <c r="G85" s="219">
        <f t="shared" si="3"/>
        <v>6</v>
      </c>
    </row>
    <row r="86" spans="1:7" x14ac:dyDescent="0.2">
      <c r="A86" t="s">
        <v>93</v>
      </c>
      <c r="B86" t="s">
        <v>59</v>
      </c>
      <c r="C86" t="s">
        <v>81</v>
      </c>
      <c r="D86" s="2">
        <v>0</v>
      </c>
      <c r="E86" s="2">
        <v>287478.02784900001</v>
      </c>
      <c r="F86" s="219">
        <f t="shared" si="4"/>
        <v>2018</v>
      </c>
      <c r="G86" s="219">
        <f t="shared" si="3"/>
        <v>3</v>
      </c>
    </row>
    <row r="87" spans="1:7" x14ac:dyDescent="0.2">
      <c r="A87" t="s">
        <v>95</v>
      </c>
      <c r="B87" t="s">
        <v>59</v>
      </c>
      <c r="C87" t="s">
        <v>81</v>
      </c>
      <c r="D87" s="2">
        <v>1493787.6936389999</v>
      </c>
      <c r="E87" s="2">
        <v>1641100.2447210001</v>
      </c>
      <c r="F87" s="219">
        <f t="shared" si="4"/>
        <v>2018</v>
      </c>
      <c r="G87" s="219">
        <f t="shared" si="3"/>
        <v>3</v>
      </c>
    </row>
    <row r="88" spans="1:7" x14ac:dyDescent="0.2">
      <c r="A88" t="s">
        <v>94</v>
      </c>
      <c r="B88" t="s">
        <v>59</v>
      </c>
      <c r="C88" t="s">
        <v>81</v>
      </c>
      <c r="D88" s="2">
        <v>0</v>
      </c>
      <c r="E88" s="2">
        <v>68090.247260999997</v>
      </c>
      <c r="F88" s="219">
        <f t="shared" si="4"/>
        <v>2018</v>
      </c>
      <c r="G88" s="219">
        <f t="shared" si="3"/>
        <v>3</v>
      </c>
    </row>
    <row r="89" spans="1:7" x14ac:dyDescent="0.2">
      <c r="A89" t="s">
        <v>96</v>
      </c>
      <c r="B89" t="s">
        <v>59</v>
      </c>
      <c r="C89" t="s">
        <v>81</v>
      </c>
      <c r="D89" s="2">
        <v>251922.72908700001</v>
      </c>
      <c r="E89" s="2">
        <v>477071.84643600002</v>
      </c>
      <c r="F89" s="219">
        <f t="shared" si="4"/>
        <v>2018</v>
      </c>
      <c r="G89" s="219">
        <f t="shared" si="3"/>
        <v>3</v>
      </c>
    </row>
    <row r="90" spans="1:7" x14ac:dyDescent="0.2">
      <c r="A90" t="s">
        <v>93</v>
      </c>
      <c r="B90" t="s">
        <v>36</v>
      </c>
      <c r="C90" t="s">
        <v>81</v>
      </c>
      <c r="D90" s="2">
        <v>216591.87271541913</v>
      </c>
      <c r="E90" s="2">
        <v>192229.95172811425</v>
      </c>
      <c r="F90" s="219">
        <f t="shared" si="4"/>
        <v>2019</v>
      </c>
      <c r="G90" s="219">
        <f t="shared" si="3"/>
        <v>2</v>
      </c>
    </row>
    <row r="91" spans="1:7" x14ac:dyDescent="0.2">
      <c r="A91" t="s">
        <v>95</v>
      </c>
      <c r="B91" t="s">
        <v>36</v>
      </c>
      <c r="C91" t="s">
        <v>81</v>
      </c>
      <c r="D91" s="2">
        <v>1652530.7108413894</v>
      </c>
      <c r="E91" s="2">
        <v>2011383.9385243196</v>
      </c>
      <c r="F91" s="219">
        <f t="shared" si="4"/>
        <v>2019</v>
      </c>
      <c r="G91" s="219">
        <f t="shared" si="3"/>
        <v>2</v>
      </c>
    </row>
    <row r="92" spans="1:7" x14ac:dyDescent="0.2">
      <c r="A92" t="s">
        <v>94</v>
      </c>
      <c r="B92" t="s">
        <v>36</v>
      </c>
      <c r="C92" t="s">
        <v>81</v>
      </c>
      <c r="D92" s="2">
        <v>78596.7</v>
      </c>
      <c r="E92" s="2">
        <v>73225.479163447802</v>
      </c>
      <c r="F92" s="219">
        <f t="shared" si="4"/>
        <v>2019</v>
      </c>
      <c r="G92" s="219">
        <f t="shared" si="3"/>
        <v>2</v>
      </c>
    </row>
    <row r="93" spans="1:7" x14ac:dyDescent="0.2">
      <c r="A93" t="s">
        <v>96</v>
      </c>
      <c r="B93" t="s">
        <v>36</v>
      </c>
      <c r="C93" t="s">
        <v>81</v>
      </c>
      <c r="D93" s="2">
        <v>426577.37711236544</v>
      </c>
      <c r="E93" s="2">
        <v>418086.76739741873</v>
      </c>
      <c r="F93" s="219">
        <f t="shared" si="4"/>
        <v>2019</v>
      </c>
      <c r="G93" s="219">
        <f t="shared" si="3"/>
        <v>2</v>
      </c>
    </row>
    <row r="94" spans="1:7" x14ac:dyDescent="0.2">
      <c r="A94" t="s">
        <v>93</v>
      </c>
      <c r="B94" t="s">
        <v>71</v>
      </c>
      <c r="C94" t="s">
        <v>81</v>
      </c>
      <c r="D94" s="2">
        <v>301563.65258830017</v>
      </c>
      <c r="E94" s="2">
        <v>350511.70027500001</v>
      </c>
      <c r="F94" s="219">
        <f t="shared" si="4"/>
        <v>2020</v>
      </c>
      <c r="G94" s="219">
        <f t="shared" si="3"/>
        <v>3</v>
      </c>
    </row>
    <row r="95" spans="1:7" x14ac:dyDescent="0.2">
      <c r="A95" t="s">
        <v>95</v>
      </c>
      <c r="B95" t="s">
        <v>71</v>
      </c>
      <c r="C95" t="s">
        <v>81</v>
      </c>
      <c r="D95" s="2">
        <v>1909856.8531001471</v>
      </c>
      <c r="E95" s="2">
        <v>2876297.946219</v>
      </c>
      <c r="F95" s="219">
        <f t="shared" si="4"/>
        <v>2020</v>
      </c>
      <c r="G95" s="219">
        <f t="shared" si="3"/>
        <v>3</v>
      </c>
    </row>
    <row r="96" spans="1:7" x14ac:dyDescent="0.2">
      <c r="A96" t="s">
        <v>94</v>
      </c>
      <c r="B96" t="s">
        <v>71</v>
      </c>
      <c r="C96" t="s">
        <v>81</v>
      </c>
      <c r="D96" s="2">
        <v>302039.40041450673</v>
      </c>
      <c r="E96" s="2">
        <v>306678.22567800002</v>
      </c>
      <c r="F96" s="219">
        <f t="shared" si="4"/>
        <v>2020</v>
      </c>
      <c r="G96" s="219">
        <f t="shared" si="3"/>
        <v>3</v>
      </c>
    </row>
    <row r="97" spans="1:7" x14ac:dyDescent="0.2">
      <c r="A97" t="s">
        <v>96</v>
      </c>
      <c r="B97" t="s">
        <v>71</v>
      </c>
      <c r="C97" t="s">
        <v>81</v>
      </c>
      <c r="D97" s="2">
        <v>480239.16726728971</v>
      </c>
      <c r="E97" s="2">
        <v>362435.55381000001</v>
      </c>
      <c r="F97" s="219">
        <f t="shared" si="4"/>
        <v>2020</v>
      </c>
      <c r="G97" s="219">
        <f t="shared" si="3"/>
        <v>3</v>
      </c>
    </row>
    <row r="98" spans="1:7" x14ac:dyDescent="0.2">
      <c r="A98" t="s">
        <v>93</v>
      </c>
      <c r="B98" t="s">
        <v>61</v>
      </c>
      <c r="C98" t="s">
        <v>81</v>
      </c>
      <c r="D98" s="2">
        <v>0</v>
      </c>
      <c r="E98" s="2">
        <v>204978.04298700002</v>
      </c>
      <c r="F98" s="219">
        <f t="shared" si="4"/>
        <v>2018</v>
      </c>
      <c r="G98" s="219">
        <f t="shared" ref="G98:G129" si="5">MONTH(DATEVALUE(LEFT(B98,3)&amp;"1"))</f>
        <v>5</v>
      </c>
    </row>
    <row r="99" spans="1:7" x14ac:dyDescent="0.2">
      <c r="A99" t="s">
        <v>95</v>
      </c>
      <c r="B99" t="s">
        <v>61</v>
      </c>
      <c r="C99" t="s">
        <v>81</v>
      </c>
      <c r="D99" s="2">
        <v>1246868.706858</v>
      </c>
      <c r="E99" s="2">
        <v>1852828.3536809999</v>
      </c>
      <c r="F99" s="219">
        <f t="shared" si="4"/>
        <v>2018</v>
      </c>
      <c r="G99" s="219">
        <f t="shared" si="5"/>
        <v>5</v>
      </c>
    </row>
    <row r="100" spans="1:7" x14ac:dyDescent="0.2">
      <c r="A100" t="s">
        <v>94</v>
      </c>
      <c r="B100" t="s">
        <v>61</v>
      </c>
      <c r="C100" t="s">
        <v>81</v>
      </c>
      <c r="D100" s="2">
        <v>14741.89071</v>
      </c>
      <c r="E100" s="2">
        <v>33437.618643000002</v>
      </c>
      <c r="F100" s="219">
        <f t="shared" si="4"/>
        <v>2018</v>
      </c>
      <c r="G100" s="219">
        <f t="shared" si="5"/>
        <v>5</v>
      </c>
    </row>
    <row r="101" spans="1:7" x14ac:dyDescent="0.2">
      <c r="A101" t="s">
        <v>96</v>
      </c>
      <c r="B101" t="s">
        <v>61</v>
      </c>
      <c r="C101" t="s">
        <v>81</v>
      </c>
      <c r="D101" s="2">
        <v>271202.66370000003</v>
      </c>
      <c r="E101" s="2">
        <v>496159.17594900005</v>
      </c>
      <c r="F101" s="219">
        <f t="shared" si="4"/>
        <v>2018</v>
      </c>
      <c r="G101" s="219">
        <f t="shared" si="5"/>
        <v>5</v>
      </c>
    </row>
    <row r="102" spans="1:7" x14ac:dyDescent="0.2">
      <c r="A102" t="s">
        <v>93</v>
      </c>
      <c r="B102" t="s">
        <v>38</v>
      </c>
      <c r="C102" t="s">
        <v>81</v>
      </c>
      <c r="D102" s="2">
        <v>259249.39564782879</v>
      </c>
      <c r="E102" s="2">
        <v>298234.60000718501</v>
      </c>
      <c r="F102" s="219">
        <f t="shared" si="4"/>
        <v>2019</v>
      </c>
      <c r="G102" s="219">
        <f t="shared" si="5"/>
        <v>4</v>
      </c>
    </row>
    <row r="103" spans="1:7" x14ac:dyDescent="0.2">
      <c r="A103" t="s">
        <v>95</v>
      </c>
      <c r="B103" t="s">
        <v>38</v>
      </c>
      <c r="C103" t="s">
        <v>81</v>
      </c>
      <c r="D103" s="2">
        <v>1716809.0004290061</v>
      </c>
      <c r="E103" s="2">
        <v>2250106.0861155409</v>
      </c>
      <c r="F103" s="219">
        <f t="shared" si="4"/>
        <v>2019</v>
      </c>
      <c r="G103" s="219">
        <f t="shared" si="5"/>
        <v>4</v>
      </c>
    </row>
    <row r="104" spans="1:7" x14ac:dyDescent="0.2">
      <c r="A104" t="s">
        <v>94</v>
      </c>
      <c r="B104" t="s">
        <v>38</v>
      </c>
      <c r="C104" t="s">
        <v>81</v>
      </c>
      <c r="D104" s="2">
        <v>94219.59350023033</v>
      </c>
      <c r="E104" s="2">
        <v>81303.604700199212</v>
      </c>
      <c r="F104" s="219">
        <f t="shared" si="4"/>
        <v>2019</v>
      </c>
      <c r="G104" s="219">
        <f t="shared" si="5"/>
        <v>4</v>
      </c>
    </row>
    <row r="105" spans="1:7" x14ac:dyDescent="0.2">
      <c r="A105" t="s">
        <v>96</v>
      </c>
      <c r="B105" t="s">
        <v>38</v>
      </c>
      <c r="C105" t="s">
        <v>81</v>
      </c>
      <c r="D105" s="2">
        <v>388318.34919254994</v>
      </c>
      <c r="E105" s="2">
        <v>589793.45417409122</v>
      </c>
      <c r="F105" s="219">
        <f t="shared" si="4"/>
        <v>2019</v>
      </c>
      <c r="G105" s="219">
        <f t="shared" si="5"/>
        <v>4</v>
      </c>
    </row>
    <row r="106" spans="1:7" x14ac:dyDescent="0.2">
      <c r="A106" t="s">
        <v>93</v>
      </c>
      <c r="B106" t="s">
        <v>73</v>
      </c>
      <c r="C106" t="s">
        <v>81</v>
      </c>
      <c r="D106" s="2">
        <v>313885.10500013735</v>
      </c>
      <c r="E106" s="2">
        <v>198773.41220100003</v>
      </c>
      <c r="F106" s="219">
        <f t="shared" si="4"/>
        <v>2020</v>
      </c>
      <c r="G106" s="219">
        <f t="shared" si="5"/>
        <v>5</v>
      </c>
    </row>
    <row r="107" spans="1:7" x14ac:dyDescent="0.2">
      <c r="A107" t="s">
        <v>95</v>
      </c>
      <c r="B107" t="s">
        <v>73</v>
      </c>
      <c r="C107" t="s">
        <v>81</v>
      </c>
      <c r="D107" s="2">
        <v>2166143.6211155592</v>
      </c>
      <c r="E107" s="2">
        <v>2047597.6440450002</v>
      </c>
      <c r="F107" s="219">
        <f t="shared" si="4"/>
        <v>2020</v>
      </c>
      <c r="G107" s="219">
        <f t="shared" si="5"/>
        <v>5</v>
      </c>
    </row>
    <row r="108" spans="1:7" x14ac:dyDescent="0.2">
      <c r="A108" t="s">
        <v>94</v>
      </c>
      <c r="B108" t="s">
        <v>73</v>
      </c>
      <c r="C108" t="s">
        <v>81</v>
      </c>
      <c r="D108" s="2">
        <v>337877.37277464394</v>
      </c>
      <c r="E108" s="2">
        <v>244296.22353899997</v>
      </c>
      <c r="F108" s="219">
        <f t="shared" si="4"/>
        <v>2020</v>
      </c>
      <c r="G108" s="219">
        <f t="shared" si="5"/>
        <v>5</v>
      </c>
    </row>
    <row r="109" spans="1:7" x14ac:dyDescent="0.2">
      <c r="A109" t="s">
        <v>96</v>
      </c>
      <c r="B109" t="s">
        <v>73</v>
      </c>
      <c r="C109" t="s">
        <v>81</v>
      </c>
      <c r="D109" s="2">
        <v>510746.23835263454</v>
      </c>
      <c r="E109" s="2">
        <v>462260.29832099995</v>
      </c>
      <c r="F109" s="219">
        <f t="shared" si="4"/>
        <v>2020</v>
      </c>
      <c r="G109" s="219">
        <f t="shared" si="5"/>
        <v>5</v>
      </c>
    </row>
    <row r="110" spans="1:7" x14ac:dyDescent="0.2">
      <c r="A110" t="s">
        <v>93</v>
      </c>
      <c r="B110" t="s">
        <v>67</v>
      </c>
      <c r="C110" t="s">
        <v>81</v>
      </c>
      <c r="D110" s="2">
        <v>0</v>
      </c>
      <c r="E110" s="2">
        <v>342659.82948600006</v>
      </c>
      <c r="F110" s="219">
        <f t="shared" si="4"/>
        <v>2018</v>
      </c>
      <c r="G110" s="219">
        <f t="shared" si="5"/>
        <v>11</v>
      </c>
    </row>
    <row r="111" spans="1:7" x14ac:dyDescent="0.2">
      <c r="A111" t="s">
        <v>95</v>
      </c>
      <c r="B111" t="s">
        <v>67</v>
      </c>
      <c r="C111" t="s">
        <v>81</v>
      </c>
      <c r="D111" s="2">
        <v>1436998.2440070002</v>
      </c>
      <c r="E111" s="2">
        <v>1864421.3582940002</v>
      </c>
      <c r="F111" s="219">
        <f t="shared" si="4"/>
        <v>2018</v>
      </c>
      <c r="G111" s="219">
        <f t="shared" si="5"/>
        <v>11</v>
      </c>
    </row>
    <row r="112" spans="1:7" x14ac:dyDescent="0.2">
      <c r="A112" t="s">
        <v>94</v>
      </c>
      <c r="B112" t="s">
        <v>67</v>
      </c>
      <c r="C112" t="s">
        <v>81</v>
      </c>
      <c r="D112" s="2">
        <v>0</v>
      </c>
      <c r="E112" s="2">
        <v>-26975.803908000002</v>
      </c>
      <c r="F112" s="219">
        <f t="shared" si="4"/>
        <v>2018</v>
      </c>
      <c r="G112" s="219">
        <f t="shared" si="5"/>
        <v>11</v>
      </c>
    </row>
    <row r="113" spans="1:7" x14ac:dyDescent="0.2">
      <c r="A113" t="s">
        <v>96</v>
      </c>
      <c r="B113" t="s">
        <v>67</v>
      </c>
      <c r="C113" t="s">
        <v>81</v>
      </c>
      <c r="D113" s="2">
        <v>319376.109879</v>
      </c>
      <c r="E113" s="2">
        <v>535600.891512</v>
      </c>
      <c r="F113" s="219">
        <f t="shared" si="4"/>
        <v>2018</v>
      </c>
      <c r="G113" s="219">
        <f t="shared" si="5"/>
        <v>11</v>
      </c>
    </row>
    <row r="114" spans="1:7" x14ac:dyDescent="0.2">
      <c r="A114" t="s">
        <v>93</v>
      </c>
      <c r="B114" t="s">
        <v>45</v>
      </c>
      <c r="C114" t="s">
        <v>81</v>
      </c>
      <c r="D114" s="2">
        <v>299523.81375301024</v>
      </c>
      <c r="E114" s="2">
        <v>319954.00557495985</v>
      </c>
      <c r="F114" s="219">
        <f t="shared" si="4"/>
        <v>2019</v>
      </c>
      <c r="G114" s="219">
        <f t="shared" si="5"/>
        <v>11</v>
      </c>
    </row>
    <row r="115" spans="1:7" x14ac:dyDescent="0.2">
      <c r="A115" t="s">
        <v>95</v>
      </c>
      <c r="B115" t="s">
        <v>45</v>
      </c>
      <c r="C115" t="s">
        <v>81</v>
      </c>
      <c r="D115" s="2">
        <v>1844326.6290702622</v>
      </c>
      <c r="E115" s="2">
        <v>1940724.0471902387</v>
      </c>
      <c r="F115" s="219">
        <f t="shared" si="4"/>
        <v>2019</v>
      </c>
      <c r="G115" s="219">
        <f t="shared" si="5"/>
        <v>11</v>
      </c>
    </row>
    <row r="116" spans="1:7" x14ac:dyDescent="0.2">
      <c r="A116" t="s">
        <v>94</v>
      </c>
      <c r="B116" t="s">
        <v>45</v>
      </c>
      <c r="C116" t="s">
        <v>81</v>
      </c>
      <c r="D116" s="2">
        <v>147695.57900014395</v>
      </c>
      <c r="E116" s="2">
        <v>258548.67200973761</v>
      </c>
      <c r="F116" s="219">
        <f t="shared" si="4"/>
        <v>2019</v>
      </c>
      <c r="G116" s="219">
        <f t="shared" si="5"/>
        <v>11</v>
      </c>
    </row>
    <row r="117" spans="1:7" x14ac:dyDescent="0.2">
      <c r="A117" t="s">
        <v>96</v>
      </c>
      <c r="B117" t="s">
        <v>45</v>
      </c>
      <c r="C117" t="s">
        <v>81</v>
      </c>
      <c r="D117" s="2">
        <v>399603.99512082292</v>
      </c>
      <c r="E117" s="2">
        <v>700037.3660213683</v>
      </c>
      <c r="F117" s="219">
        <f t="shared" si="4"/>
        <v>2019</v>
      </c>
      <c r="G117" s="219">
        <f t="shared" si="5"/>
        <v>11</v>
      </c>
    </row>
    <row r="118" spans="1:7" x14ac:dyDescent="0.2">
      <c r="A118" t="s">
        <v>93</v>
      </c>
      <c r="B118" t="s">
        <v>79</v>
      </c>
      <c r="C118" t="s">
        <v>81</v>
      </c>
      <c r="D118" s="2">
        <v>321791.18481246027</v>
      </c>
      <c r="E118" s="2">
        <v>0</v>
      </c>
      <c r="F118" s="219">
        <f t="shared" si="4"/>
        <v>2020</v>
      </c>
      <c r="G118" s="219">
        <f t="shared" si="5"/>
        <v>11</v>
      </c>
    </row>
    <row r="119" spans="1:7" x14ac:dyDescent="0.2">
      <c r="A119" t="s">
        <v>95</v>
      </c>
      <c r="B119" t="s">
        <v>79</v>
      </c>
      <c r="C119" t="s">
        <v>81</v>
      </c>
      <c r="D119" s="2">
        <v>1961628.3494952712</v>
      </c>
      <c r="E119" s="2">
        <v>0</v>
      </c>
      <c r="F119" s="219">
        <f t="shared" si="4"/>
        <v>2020</v>
      </c>
      <c r="G119" s="219">
        <f t="shared" si="5"/>
        <v>11</v>
      </c>
    </row>
    <row r="120" spans="1:7" x14ac:dyDescent="0.2">
      <c r="A120" t="s">
        <v>94</v>
      </c>
      <c r="B120" t="s">
        <v>79</v>
      </c>
      <c r="C120" t="s">
        <v>81</v>
      </c>
      <c r="D120" s="2">
        <v>567925.17929272959</v>
      </c>
      <c r="E120" s="2">
        <v>0</v>
      </c>
      <c r="F120" s="219">
        <f t="shared" si="4"/>
        <v>2020</v>
      </c>
      <c r="G120" s="219">
        <f t="shared" si="5"/>
        <v>11</v>
      </c>
    </row>
    <row r="121" spans="1:7" x14ac:dyDescent="0.2">
      <c r="A121" t="s">
        <v>96</v>
      </c>
      <c r="B121" t="s">
        <v>79</v>
      </c>
      <c r="C121" t="s">
        <v>81</v>
      </c>
      <c r="D121" s="2">
        <v>516252.6569485747</v>
      </c>
      <c r="E121" s="2">
        <v>0</v>
      </c>
      <c r="F121" s="219">
        <f t="shared" si="4"/>
        <v>2020</v>
      </c>
      <c r="G121" s="219">
        <f t="shared" si="5"/>
        <v>11</v>
      </c>
    </row>
    <row r="122" spans="1:7" x14ac:dyDescent="0.2">
      <c r="A122" t="s">
        <v>93</v>
      </c>
      <c r="B122" t="s">
        <v>66</v>
      </c>
      <c r="C122" t="s">
        <v>81</v>
      </c>
      <c r="D122" s="2">
        <v>0</v>
      </c>
      <c r="E122" s="2">
        <v>230254.30985699999</v>
      </c>
      <c r="F122" s="219">
        <f t="shared" si="4"/>
        <v>2018</v>
      </c>
      <c r="G122" s="219">
        <f t="shared" si="5"/>
        <v>10</v>
      </c>
    </row>
    <row r="123" spans="1:7" x14ac:dyDescent="0.2">
      <c r="A123" t="s">
        <v>95</v>
      </c>
      <c r="B123" t="s">
        <v>66</v>
      </c>
      <c r="C123" t="s">
        <v>81</v>
      </c>
      <c r="D123" s="2">
        <v>1436998.2440070002</v>
      </c>
      <c r="E123" s="2">
        <v>1631507.7334110001</v>
      </c>
      <c r="F123" s="219">
        <f t="shared" si="4"/>
        <v>2018</v>
      </c>
      <c r="G123" s="219">
        <f t="shared" si="5"/>
        <v>10</v>
      </c>
    </row>
    <row r="124" spans="1:7" x14ac:dyDescent="0.2">
      <c r="A124" t="s">
        <v>94</v>
      </c>
      <c r="B124" t="s">
        <v>66</v>
      </c>
      <c r="C124" t="s">
        <v>81</v>
      </c>
      <c r="D124" s="2">
        <v>0</v>
      </c>
      <c r="E124" s="2">
        <v>56579.233689000001</v>
      </c>
      <c r="F124" s="219">
        <f t="shared" si="4"/>
        <v>2018</v>
      </c>
      <c r="G124" s="219">
        <f t="shared" si="5"/>
        <v>10</v>
      </c>
    </row>
    <row r="125" spans="1:7" x14ac:dyDescent="0.2">
      <c r="A125" t="s">
        <v>96</v>
      </c>
      <c r="B125" t="s">
        <v>66</v>
      </c>
      <c r="C125" t="s">
        <v>81</v>
      </c>
      <c r="D125" s="2">
        <v>319376.109879</v>
      </c>
      <c r="E125" s="2">
        <v>383152.452024</v>
      </c>
      <c r="F125" s="219">
        <f t="shared" si="4"/>
        <v>2018</v>
      </c>
      <c r="G125" s="219">
        <f t="shared" si="5"/>
        <v>10</v>
      </c>
    </row>
    <row r="126" spans="1:7" x14ac:dyDescent="0.2">
      <c r="A126" t="s">
        <v>93</v>
      </c>
      <c r="B126" t="s">
        <v>44</v>
      </c>
      <c r="C126" t="s">
        <v>81</v>
      </c>
      <c r="D126" s="2">
        <v>285325.17037029314</v>
      </c>
      <c r="E126" s="2">
        <v>191552.5271342592</v>
      </c>
      <c r="F126" s="219">
        <f t="shared" si="4"/>
        <v>2019</v>
      </c>
      <c r="G126" s="219">
        <f t="shared" si="5"/>
        <v>10</v>
      </c>
    </row>
    <row r="127" spans="1:7" x14ac:dyDescent="0.2">
      <c r="A127" t="s">
        <v>95</v>
      </c>
      <c r="B127" t="s">
        <v>44</v>
      </c>
      <c r="C127" t="s">
        <v>81</v>
      </c>
      <c r="D127" s="2">
        <v>1799079.7843668566</v>
      </c>
      <c r="E127" s="2">
        <v>2097443.8525737463</v>
      </c>
      <c r="F127" s="219">
        <f t="shared" si="4"/>
        <v>2019</v>
      </c>
      <c r="G127" s="219">
        <f t="shared" si="5"/>
        <v>10</v>
      </c>
    </row>
    <row r="128" spans="1:7" x14ac:dyDescent="0.2">
      <c r="A128" t="s">
        <v>94</v>
      </c>
      <c r="B128" t="s">
        <v>44</v>
      </c>
      <c r="C128" t="s">
        <v>81</v>
      </c>
      <c r="D128" s="2">
        <v>132416.72600005756</v>
      </c>
      <c r="E128" s="2">
        <v>212700.68453824724</v>
      </c>
      <c r="F128" s="219">
        <f t="shared" si="4"/>
        <v>2019</v>
      </c>
      <c r="G128" s="219">
        <f t="shared" si="5"/>
        <v>10</v>
      </c>
    </row>
    <row r="129" spans="1:7" x14ac:dyDescent="0.2">
      <c r="A129" t="s">
        <v>96</v>
      </c>
      <c r="B129" t="s">
        <v>44</v>
      </c>
      <c r="C129" t="s">
        <v>81</v>
      </c>
      <c r="D129" s="2">
        <v>379529.34917349194</v>
      </c>
      <c r="E129" s="2">
        <v>633172.49457973382</v>
      </c>
      <c r="F129" s="219">
        <f t="shared" si="4"/>
        <v>2019</v>
      </c>
      <c r="G129" s="219">
        <f t="shared" si="5"/>
        <v>10</v>
      </c>
    </row>
    <row r="130" spans="1:7" x14ac:dyDescent="0.2">
      <c r="A130" t="s">
        <v>93</v>
      </c>
      <c r="B130" t="s">
        <v>78</v>
      </c>
      <c r="C130" t="s">
        <v>81</v>
      </c>
      <c r="D130" s="2">
        <v>321791.1847934589</v>
      </c>
      <c r="E130" s="2">
        <v>0</v>
      </c>
      <c r="F130" s="219">
        <f t="shared" si="4"/>
        <v>2020</v>
      </c>
      <c r="G130" s="219">
        <f t="shared" ref="G130:G145" si="6">MONTH(DATEVALUE(LEFT(B130,3)&amp;"1"))</f>
        <v>10</v>
      </c>
    </row>
    <row r="131" spans="1:7" x14ac:dyDescent="0.2">
      <c r="A131" t="s">
        <v>95</v>
      </c>
      <c r="B131" t="s">
        <v>78</v>
      </c>
      <c r="C131" t="s">
        <v>81</v>
      </c>
      <c r="D131" s="2">
        <v>2301332.7116824328</v>
      </c>
      <c r="E131" s="2">
        <v>0</v>
      </c>
      <c r="F131" s="219">
        <f t="shared" ref="F131:F145" si="7">YEAR(B131)</f>
        <v>2020</v>
      </c>
      <c r="G131" s="219">
        <f t="shared" si="6"/>
        <v>10</v>
      </c>
    </row>
    <row r="132" spans="1:7" x14ac:dyDescent="0.2">
      <c r="A132" t="s">
        <v>94</v>
      </c>
      <c r="B132" t="s">
        <v>78</v>
      </c>
      <c r="C132" t="s">
        <v>81</v>
      </c>
      <c r="D132" s="2">
        <v>523947.91897377273</v>
      </c>
      <c r="E132" s="2">
        <v>0</v>
      </c>
      <c r="F132" s="219">
        <f t="shared" si="7"/>
        <v>2020</v>
      </c>
      <c r="G132" s="219">
        <f t="shared" si="6"/>
        <v>10</v>
      </c>
    </row>
    <row r="133" spans="1:7" x14ac:dyDescent="0.2">
      <c r="A133" t="s">
        <v>96</v>
      </c>
      <c r="B133" t="s">
        <v>78</v>
      </c>
      <c r="C133" t="s">
        <v>81</v>
      </c>
      <c r="D133" s="2">
        <v>500857.48607929307</v>
      </c>
      <c r="E133" s="2">
        <v>0</v>
      </c>
      <c r="F133" s="219">
        <f t="shared" si="7"/>
        <v>2020</v>
      </c>
      <c r="G133" s="219">
        <f t="shared" si="6"/>
        <v>10</v>
      </c>
    </row>
    <row r="134" spans="1:7" x14ac:dyDescent="0.2">
      <c r="A134" t="s">
        <v>93</v>
      </c>
      <c r="B134" t="s">
        <v>65</v>
      </c>
      <c r="C134" t="s">
        <v>81</v>
      </c>
      <c r="D134" s="2">
        <v>0</v>
      </c>
      <c r="E134" s="2">
        <v>227502.72576</v>
      </c>
      <c r="F134" s="219">
        <f t="shared" si="7"/>
        <v>2018</v>
      </c>
      <c r="G134" s="219">
        <f t="shared" si="6"/>
        <v>9</v>
      </c>
    </row>
    <row r="135" spans="1:7" x14ac:dyDescent="0.2">
      <c r="A135" t="s">
        <v>95</v>
      </c>
      <c r="B135" t="s">
        <v>65</v>
      </c>
      <c r="C135" t="s">
        <v>81</v>
      </c>
      <c r="D135" s="2">
        <v>1436998.2440070002</v>
      </c>
      <c r="E135" s="2">
        <v>1674938.810178</v>
      </c>
      <c r="F135" s="219">
        <f t="shared" si="7"/>
        <v>2018</v>
      </c>
      <c r="G135" s="219">
        <f t="shared" si="6"/>
        <v>9</v>
      </c>
    </row>
    <row r="136" spans="1:7" x14ac:dyDescent="0.2">
      <c r="A136" t="s">
        <v>94</v>
      </c>
      <c r="B136" t="s">
        <v>65</v>
      </c>
      <c r="C136" t="s">
        <v>81</v>
      </c>
      <c r="D136" s="2">
        <v>0</v>
      </c>
      <c r="E136" s="2">
        <v>50288.517924</v>
      </c>
      <c r="F136" s="219">
        <f t="shared" si="7"/>
        <v>2018</v>
      </c>
      <c r="G136" s="219">
        <f t="shared" si="6"/>
        <v>9</v>
      </c>
    </row>
    <row r="137" spans="1:7" x14ac:dyDescent="0.2">
      <c r="A137" t="s">
        <v>96</v>
      </c>
      <c r="B137" t="s">
        <v>65</v>
      </c>
      <c r="C137" t="s">
        <v>81</v>
      </c>
      <c r="D137" s="2">
        <v>319376.109879</v>
      </c>
      <c r="E137" s="2">
        <v>541344.75562200008</v>
      </c>
      <c r="F137" s="219">
        <f t="shared" si="7"/>
        <v>2018</v>
      </c>
      <c r="G137" s="219">
        <f t="shared" si="6"/>
        <v>9</v>
      </c>
    </row>
    <row r="138" spans="1:7" x14ac:dyDescent="0.2">
      <c r="A138" t="s">
        <v>93</v>
      </c>
      <c r="B138" t="s">
        <v>43</v>
      </c>
      <c r="C138" t="s">
        <v>81</v>
      </c>
      <c r="D138" s="2">
        <v>290691.92278441746</v>
      </c>
      <c r="E138" s="2">
        <v>331060.42609420029</v>
      </c>
      <c r="F138" s="219">
        <f t="shared" si="7"/>
        <v>2019</v>
      </c>
      <c r="G138" s="219">
        <f t="shared" si="6"/>
        <v>9</v>
      </c>
    </row>
    <row r="139" spans="1:7" x14ac:dyDescent="0.2">
      <c r="A139" t="s">
        <v>95</v>
      </c>
      <c r="B139" t="s">
        <v>43</v>
      </c>
      <c r="C139" t="s">
        <v>81</v>
      </c>
      <c r="D139" s="2">
        <v>1851913.2238326708</v>
      </c>
      <c r="E139" s="2">
        <v>1950435.1278270097</v>
      </c>
      <c r="F139" s="219">
        <f t="shared" si="7"/>
        <v>2019</v>
      </c>
      <c r="G139" s="219">
        <f t="shared" si="6"/>
        <v>9</v>
      </c>
    </row>
    <row r="140" spans="1:7" x14ac:dyDescent="0.2">
      <c r="A140" t="s">
        <v>94</v>
      </c>
      <c r="B140" t="s">
        <v>43</v>
      </c>
      <c r="C140" t="s">
        <v>81</v>
      </c>
      <c r="D140" s="2">
        <v>142093.33290025912</v>
      </c>
      <c r="E140" s="2">
        <v>171632.5823685728</v>
      </c>
      <c r="F140" s="219">
        <f t="shared" si="7"/>
        <v>2019</v>
      </c>
      <c r="G140" s="219">
        <f t="shared" si="6"/>
        <v>9</v>
      </c>
    </row>
    <row r="141" spans="1:7" x14ac:dyDescent="0.2">
      <c r="A141" t="s">
        <v>96</v>
      </c>
      <c r="B141" t="s">
        <v>43</v>
      </c>
      <c r="C141" t="s">
        <v>81</v>
      </c>
      <c r="D141" s="2">
        <v>406005.5439128108</v>
      </c>
      <c r="E141" s="2">
        <v>424094.41453268973</v>
      </c>
      <c r="F141" s="219">
        <f t="shared" si="7"/>
        <v>2019</v>
      </c>
      <c r="G141" s="219">
        <f t="shared" si="6"/>
        <v>9</v>
      </c>
    </row>
    <row r="142" spans="1:7" x14ac:dyDescent="0.2">
      <c r="A142" t="s">
        <v>93</v>
      </c>
      <c r="B142" t="s">
        <v>77</v>
      </c>
      <c r="C142" t="s">
        <v>81</v>
      </c>
      <c r="D142" s="2">
        <v>316451.14682598162</v>
      </c>
      <c r="E142" s="2">
        <v>0</v>
      </c>
      <c r="F142" s="219">
        <f t="shared" si="7"/>
        <v>2020</v>
      </c>
      <c r="G142" s="219">
        <f t="shared" si="6"/>
        <v>9</v>
      </c>
    </row>
    <row r="143" spans="1:7" x14ac:dyDescent="0.2">
      <c r="A143" t="s">
        <v>95</v>
      </c>
      <c r="B143" t="s">
        <v>77</v>
      </c>
      <c r="C143" t="s">
        <v>81</v>
      </c>
      <c r="D143" s="2">
        <v>2108243.1813156572</v>
      </c>
      <c r="E143" s="2">
        <v>0</v>
      </c>
      <c r="F143" s="219">
        <f t="shared" si="7"/>
        <v>2020</v>
      </c>
      <c r="G143" s="219">
        <f t="shared" si="6"/>
        <v>9</v>
      </c>
    </row>
    <row r="144" spans="1:7" x14ac:dyDescent="0.2">
      <c r="A144" t="s">
        <v>94</v>
      </c>
      <c r="B144" t="s">
        <v>77</v>
      </c>
      <c r="C144" t="s">
        <v>81</v>
      </c>
      <c r="D144" s="2">
        <v>483500.73124126293</v>
      </c>
      <c r="E144" s="2">
        <v>0</v>
      </c>
      <c r="F144" s="219">
        <f t="shared" si="7"/>
        <v>2020</v>
      </c>
      <c r="G144" s="219">
        <f t="shared" si="6"/>
        <v>9</v>
      </c>
    </row>
    <row r="145" spans="1:7" x14ac:dyDescent="0.2">
      <c r="A145" t="s">
        <v>96</v>
      </c>
      <c r="B145" t="s">
        <v>77</v>
      </c>
      <c r="C145" t="s">
        <v>81</v>
      </c>
      <c r="D145" s="2">
        <v>456199.9366006644</v>
      </c>
      <c r="E145" s="2">
        <v>0</v>
      </c>
      <c r="F145" s="219">
        <f t="shared" si="7"/>
        <v>2020</v>
      </c>
      <c r="G145" s="219">
        <f t="shared" si="6"/>
        <v>9</v>
      </c>
    </row>
    <row r="178" spans="2:2" x14ac:dyDescent="0.2">
      <c r="B178" s="3"/>
    </row>
    <row r="179" spans="2:2" x14ac:dyDescent="0.2">
      <c r="B179" s="3"/>
    </row>
    <row r="180" spans="2:2" x14ac:dyDescent="0.2">
      <c r="B180" s="3"/>
    </row>
    <row r="181" spans="2:2" x14ac:dyDescent="0.2">
      <c r="B181" s="3"/>
    </row>
    <row r="182" spans="2:2" x14ac:dyDescent="0.2">
      <c r="B182" s="3"/>
    </row>
    <row r="183" spans="2:2" x14ac:dyDescent="0.2">
      <c r="B183" s="3"/>
    </row>
    <row r="184" spans="2:2" x14ac:dyDescent="0.2">
      <c r="B184" s="3"/>
    </row>
    <row r="185" spans="2:2" x14ac:dyDescent="0.2">
      <c r="B185" s="3"/>
    </row>
    <row r="186" spans="2:2" x14ac:dyDescent="0.2">
      <c r="B186" s="3"/>
    </row>
    <row r="187" spans="2:2" x14ac:dyDescent="0.2">
      <c r="B187" s="3"/>
    </row>
    <row r="188" spans="2:2" x14ac:dyDescent="0.2">
      <c r="B188" s="3"/>
    </row>
    <row r="189" spans="2:2" x14ac:dyDescent="0.2">
      <c r="B189" s="3"/>
    </row>
    <row r="190" spans="2:2" x14ac:dyDescent="0.2">
      <c r="B190" s="3"/>
    </row>
    <row r="191" spans="2:2" x14ac:dyDescent="0.2">
      <c r="B191" s="3"/>
    </row>
    <row r="192" spans="2:2" x14ac:dyDescent="0.2">
      <c r="B192" s="3"/>
    </row>
    <row r="193" spans="2:2" x14ac:dyDescent="0.2">
      <c r="B193" s="3"/>
    </row>
    <row r="194" spans="2:2" x14ac:dyDescent="0.2">
      <c r="B194" s="3"/>
    </row>
    <row r="195" spans="2:2" x14ac:dyDescent="0.2">
      <c r="B195" s="3"/>
    </row>
    <row r="196" spans="2:2" x14ac:dyDescent="0.2">
      <c r="B196" s="3"/>
    </row>
    <row r="197" spans="2:2" x14ac:dyDescent="0.2">
      <c r="B197" s="3"/>
    </row>
    <row r="198" spans="2:2" x14ac:dyDescent="0.2">
      <c r="B198" s="3"/>
    </row>
    <row r="199" spans="2:2" x14ac:dyDescent="0.2">
      <c r="B199" s="3"/>
    </row>
    <row r="200" spans="2:2" x14ac:dyDescent="0.2">
      <c r="B200" s="3"/>
    </row>
    <row r="201" spans="2:2" x14ac:dyDescent="0.2">
      <c r="B201" s="3"/>
    </row>
    <row r="202" spans="2:2" x14ac:dyDescent="0.2">
      <c r="B202" s="3"/>
    </row>
    <row r="203" spans="2:2" x14ac:dyDescent="0.2">
      <c r="B203" s="3"/>
    </row>
    <row r="204" spans="2:2" x14ac:dyDescent="0.2">
      <c r="B204" s="3"/>
    </row>
    <row r="205" spans="2:2" x14ac:dyDescent="0.2">
      <c r="B205" s="3"/>
    </row>
  </sheetData>
  <autoFilter ref="A1:E145" xr:uid="{17868622-D261-467F-9B5C-D971DF5967FC}"/>
  <pageMargins left="0.7" right="0.7" top="0.75" bottom="0.75" header="0.3" footer="0.3"/>
  <customProperties>
    <customPr name="_pios_id" r:id="rId1"/>
    <customPr name="FPMExcelClientCellBasedFunctionStatus" r:id="rId2"/>
    <customPr name="FPMExcelClientRefreshTime" r:id="rId3"/>
  </customProperties>
  <drawing r:id="rId4"/>
  <legacyDrawing r:id="rId5"/>
  <controls>
    <mc:AlternateContent xmlns:mc="http://schemas.openxmlformats.org/markup-compatibility/2006">
      <mc:Choice Requires="x14">
        <control shapeId="558084" r:id="rId6" name="AnalyzerDynReport000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1228725</xdr:colOff>
                <xdr:row>0</xdr:row>
                <xdr:rowOff>0</xdr:rowOff>
              </to>
            </anchor>
          </controlPr>
        </control>
      </mc:Choice>
      <mc:Fallback>
        <control shapeId="558084" r:id="rId6" name="AnalyzerDynReport000tb1"/>
      </mc:Fallback>
    </mc:AlternateContent>
    <mc:AlternateContent xmlns:mc="http://schemas.openxmlformats.org/markup-compatibility/2006">
      <mc:Choice Requires="x14">
        <control shapeId="558083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1228725</xdr:colOff>
                <xdr:row>0</xdr:row>
                <xdr:rowOff>0</xdr:rowOff>
              </to>
            </anchor>
          </controlPr>
        </control>
      </mc:Choice>
      <mc:Fallback>
        <control shapeId="558083" r:id="rId8" name="MultipleReportManagerInfotb1"/>
      </mc:Fallback>
    </mc:AlternateContent>
    <mc:AlternateContent xmlns:mc="http://schemas.openxmlformats.org/markup-compatibility/2006">
      <mc:Choice Requires="x14">
        <control shapeId="558082" r:id="rId10" name="ConnectionDescriptorsInfo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1228725</xdr:colOff>
                <xdr:row>0</xdr:row>
                <xdr:rowOff>0</xdr:rowOff>
              </to>
            </anchor>
          </controlPr>
        </control>
      </mc:Choice>
      <mc:Fallback>
        <control shapeId="558082" r:id="rId10" name="ConnectionDescriptorsInfotb1"/>
      </mc:Fallback>
    </mc:AlternateContent>
    <mc:AlternateContent xmlns:mc="http://schemas.openxmlformats.org/markup-compatibility/2006">
      <mc:Choice Requires="x14">
        <control shapeId="558081" r:id="rId12" name="FPMExcelClientSheetOptionstb1">
          <controlPr defaultSize="0" autoLine="0" autoPict="0" r:id="rId13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1228725</xdr:colOff>
                <xdr:row>0</xdr:row>
                <xdr:rowOff>0</xdr:rowOff>
              </to>
            </anchor>
          </controlPr>
        </control>
      </mc:Choice>
      <mc:Fallback>
        <control shapeId="558081" r:id="rId12" name="FPMExcelClientSheetOptionstb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4E48-0228-4F6A-8492-03904940AC22}">
  <sheetPr codeName="Sheet9">
    <tabColor rgb="FF8FCFAD"/>
  </sheetPr>
  <dimension ref="A1:E1153"/>
  <sheetViews>
    <sheetView showGridLines="0" workbookViewId="0">
      <selection activeCell="B1" sqref="B1"/>
    </sheetView>
  </sheetViews>
  <sheetFormatPr defaultRowHeight="12.75" x14ac:dyDescent="0.2"/>
  <cols>
    <col min="1" max="1" width="11.28515625" bestFit="1" customWidth="1"/>
    <col min="2" max="2" width="19.140625" customWidth="1"/>
  </cols>
  <sheetData>
    <row r="1" spans="1:5" x14ac:dyDescent="0.2">
      <c r="A1" s="5" t="s">
        <v>123</v>
      </c>
      <c r="B1" s="5" t="s">
        <v>55</v>
      </c>
      <c r="C1" s="5" t="s">
        <v>56</v>
      </c>
      <c r="D1" s="5" t="str">
        <f>Mapping!B3</f>
        <v>Budget</v>
      </c>
      <c r="E1" s="5" t="str">
        <f>Mapping!B2</f>
        <v>Actual</v>
      </c>
    </row>
    <row r="2" spans="1:5" x14ac:dyDescent="0.2">
      <c r="A2" t="s">
        <v>93</v>
      </c>
      <c r="B2" t="s">
        <v>60</v>
      </c>
      <c r="C2" t="s">
        <v>81</v>
      </c>
      <c r="D2" s="2">
        <v>0</v>
      </c>
      <c r="E2" s="2">
        <v>0</v>
      </c>
    </row>
    <row r="3" spans="1:5" x14ac:dyDescent="0.2">
      <c r="A3" t="s">
        <v>93</v>
      </c>
      <c r="B3" t="s">
        <v>60</v>
      </c>
      <c r="C3" t="s">
        <v>81</v>
      </c>
      <c r="D3" s="2">
        <v>0</v>
      </c>
      <c r="E3" s="2">
        <v>0</v>
      </c>
    </row>
    <row r="4" spans="1:5" x14ac:dyDescent="0.2">
      <c r="A4" t="s">
        <v>93</v>
      </c>
      <c r="B4" t="s">
        <v>60</v>
      </c>
      <c r="C4" t="s">
        <v>81</v>
      </c>
      <c r="D4" s="2">
        <v>0</v>
      </c>
      <c r="E4" s="2">
        <v>46</v>
      </c>
    </row>
    <row r="5" spans="1:5" x14ac:dyDescent="0.2">
      <c r="A5" t="s">
        <v>93</v>
      </c>
      <c r="B5" t="s">
        <v>60</v>
      </c>
      <c r="C5" t="s">
        <v>81</v>
      </c>
      <c r="D5" s="2">
        <v>0</v>
      </c>
      <c r="E5" s="2">
        <v>12</v>
      </c>
    </row>
    <row r="6" spans="1:5" x14ac:dyDescent="0.2">
      <c r="A6" t="s">
        <v>95</v>
      </c>
      <c r="B6" t="s">
        <v>60</v>
      </c>
      <c r="C6" t="s">
        <v>81</v>
      </c>
      <c r="D6" s="2">
        <v>0</v>
      </c>
      <c r="E6" s="2">
        <v>0</v>
      </c>
    </row>
    <row r="7" spans="1:5" x14ac:dyDescent="0.2">
      <c r="A7" t="s">
        <v>95</v>
      </c>
      <c r="B7" t="s">
        <v>60</v>
      </c>
      <c r="C7" t="s">
        <v>81</v>
      </c>
      <c r="D7" s="2">
        <v>0</v>
      </c>
      <c r="E7" s="2">
        <v>0</v>
      </c>
    </row>
    <row r="8" spans="1:5" x14ac:dyDescent="0.2">
      <c r="A8" t="s">
        <v>95</v>
      </c>
      <c r="B8" t="s">
        <v>60</v>
      </c>
      <c r="C8" t="s">
        <v>81</v>
      </c>
      <c r="D8" s="2">
        <v>0</v>
      </c>
      <c r="E8" s="2">
        <v>0</v>
      </c>
    </row>
    <row r="9" spans="1:5" x14ac:dyDescent="0.2">
      <c r="A9" t="s">
        <v>95</v>
      </c>
      <c r="B9" t="s">
        <v>60</v>
      </c>
      <c r="C9" t="s">
        <v>81</v>
      </c>
      <c r="D9" s="2">
        <v>0</v>
      </c>
      <c r="E9" s="2">
        <v>0</v>
      </c>
    </row>
    <row r="10" spans="1:5" x14ac:dyDescent="0.2">
      <c r="A10" t="s">
        <v>95</v>
      </c>
      <c r="B10" t="s">
        <v>60</v>
      </c>
      <c r="C10" t="s">
        <v>81</v>
      </c>
      <c r="D10" s="2">
        <v>0</v>
      </c>
      <c r="E10" s="2">
        <v>0</v>
      </c>
    </row>
    <row r="11" spans="1:5" x14ac:dyDescent="0.2">
      <c r="A11" t="s">
        <v>95</v>
      </c>
      <c r="B11" t="s">
        <v>60</v>
      </c>
      <c r="C11" t="s">
        <v>81</v>
      </c>
      <c r="D11" s="2">
        <v>0</v>
      </c>
      <c r="E11" s="2">
        <v>0</v>
      </c>
    </row>
    <row r="12" spans="1:5" x14ac:dyDescent="0.2">
      <c r="A12" t="s">
        <v>95</v>
      </c>
      <c r="B12" t="s">
        <v>60</v>
      </c>
      <c r="C12" t="s">
        <v>81</v>
      </c>
      <c r="D12" s="2">
        <v>0</v>
      </c>
      <c r="E12" s="2">
        <v>198</v>
      </c>
    </row>
    <row r="13" spans="1:5" x14ac:dyDescent="0.2">
      <c r="A13" t="s">
        <v>95</v>
      </c>
      <c r="B13" t="s">
        <v>60</v>
      </c>
      <c r="C13" t="s">
        <v>81</v>
      </c>
      <c r="D13" s="2">
        <v>0</v>
      </c>
      <c r="E13" s="2">
        <v>300</v>
      </c>
    </row>
    <row r="14" spans="1:5" x14ac:dyDescent="0.2">
      <c r="A14" t="s">
        <v>95</v>
      </c>
      <c r="B14" t="s">
        <v>60</v>
      </c>
      <c r="C14" t="s">
        <v>81</v>
      </c>
      <c r="D14" s="2">
        <v>0</v>
      </c>
      <c r="E14" s="2">
        <v>0</v>
      </c>
    </row>
    <row r="15" spans="1:5" x14ac:dyDescent="0.2">
      <c r="A15" t="s">
        <v>95</v>
      </c>
      <c r="B15" t="s">
        <v>60</v>
      </c>
      <c r="C15" t="s">
        <v>81</v>
      </c>
      <c r="D15" s="2">
        <v>0</v>
      </c>
      <c r="E15" s="2">
        <v>292</v>
      </c>
    </row>
    <row r="16" spans="1:5" x14ac:dyDescent="0.2">
      <c r="A16" t="s">
        <v>95</v>
      </c>
      <c r="B16" t="s">
        <v>60</v>
      </c>
      <c r="C16" t="s">
        <v>81</v>
      </c>
      <c r="D16" s="2">
        <v>0</v>
      </c>
      <c r="E16" s="2">
        <v>0</v>
      </c>
    </row>
    <row r="17" spans="1:5" x14ac:dyDescent="0.2">
      <c r="A17" t="s">
        <v>95</v>
      </c>
      <c r="B17" t="s">
        <v>60</v>
      </c>
      <c r="C17" t="s">
        <v>81</v>
      </c>
      <c r="D17" s="2">
        <v>0</v>
      </c>
      <c r="E17" s="2">
        <v>0</v>
      </c>
    </row>
    <row r="18" spans="1:5" x14ac:dyDescent="0.2">
      <c r="A18" t="s">
        <v>95</v>
      </c>
      <c r="B18" t="s">
        <v>60</v>
      </c>
      <c r="C18" t="s">
        <v>81</v>
      </c>
      <c r="D18" s="2">
        <v>0</v>
      </c>
      <c r="E18" s="2">
        <v>314</v>
      </c>
    </row>
    <row r="19" spans="1:5" x14ac:dyDescent="0.2">
      <c r="A19" t="s">
        <v>95</v>
      </c>
      <c r="B19" t="s">
        <v>60</v>
      </c>
      <c r="C19" t="s">
        <v>81</v>
      </c>
      <c r="D19" s="2">
        <v>0</v>
      </c>
      <c r="E19" s="2">
        <v>0</v>
      </c>
    </row>
    <row r="20" spans="1:5" x14ac:dyDescent="0.2">
      <c r="A20" t="s">
        <v>94</v>
      </c>
      <c r="B20" t="s">
        <v>60</v>
      </c>
      <c r="C20" t="s">
        <v>81</v>
      </c>
      <c r="D20" s="2">
        <v>0</v>
      </c>
      <c r="E20" s="2">
        <v>0</v>
      </c>
    </row>
    <row r="21" spans="1:5" x14ac:dyDescent="0.2">
      <c r="A21" t="s">
        <v>94</v>
      </c>
      <c r="B21" t="s">
        <v>60</v>
      </c>
      <c r="C21" t="s">
        <v>81</v>
      </c>
      <c r="D21" s="2">
        <v>0</v>
      </c>
      <c r="E21" s="2">
        <v>0</v>
      </c>
    </row>
    <row r="22" spans="1:5" x14ac:dyDescent="0.2">
      <c r="A22" t="s">
        <v>94</v>
      </c>
      <c r="B22" t="s">
        <v>60</v>
      </c>
      <c r="C22" t="s">
        <v>81</v>
      </c>
      <c r="D22" s="2">
        <v>0</v>
      </c>
      <c r="E22" s="2">
        <v>0</v>
      </c>
    </row>
    <row r="23" spans="1:5" x14ac:dyDescent="0.2">
      <c r="A23" t="s">
        <v>94</v>
      </c>
      <c r="B23" t="s">
        <v>60</v>
      </c>
      <c r="C23" t="s">
        <v>81</v>
      </c>
      <c r="D23" s="2">
        <v>0</v>
      </c>
      <c r="E23" s="2">
        <v>32</v>
      </c>
    </row>
    <row r="24" spans="1:5" x14ac:dyDescent="0.2">
      <c r="A24" t="s">
        <v>94</v>
      </c>
      <c r="B24" t="s">
        <v>60</v>
      </c>
      <c r="C24" t="s">
        <v>81</v>
      </c>
      <c r="D24" s="2">
        <v>0</v>
      </c>
      <c r="E24" s="2">
        <v>0</v>
      </c>
    </row>
    <row r="25" spans="1:5" x14ac:dyDescent="0.2">
      <c r="A25" t="s">
        <v>94</v>
      </c>
      <c r="B25" t="s">
        <v>60</v>
      </c>
      <c r="C25" t="s">
        <v>81</v>
      </c>
      <c r="D25" s="2">
        <v>0</v>
      </c>
      <c r="E25" s="2">
        <v>12</v>
      </c>
    </row>
    <row r="26" spans="1:5" x14ac:dyDescent="0.2">
      <c r="A26" t="s">
        <v>94</v>
      </c>
      <c r="B26" t="s">
        <v>60</v>
      </c>
      <c r="C26" t="s">
        <v>81</v>
      </c>
      <c r="D26" s="2">
        <v>0</v>
      </c>
      <c r="E26" s="2">
        <v>0</v>
      </c>
    </row>
    <row r="27" spans="1:5" x14ac:dyDescent="0.2">
      <c r="A27" t="s">
        <v>96</v>
      </c>
      <c r="B27" t="s">
        <v>60</v>
      </c>
      <c r="C27" t="s">
        <v>81</v>
      </c>
      <c r="D27" s="2">
        <v>0</v>
      </c>
      <c r="E27" s="2">
        <v>170</v>
      </c>
    </row>
    <row r="28" spans="1:5" x14ac:dyDescent="0.2">
      <c r="A28" t="s">
        <v>96</v>
      </c>
      <c r="B28" t="s">
        <v>60</v>
      </c>
      <c r="C28" t="s">
        <v>81</v>
      </c>
      <c r="D28" s="2">
        <v>0</v>
      </c>
      <c r="E28" s="2">
        <v>90</v>
      </c>
    </row>
    <row r="29" spans="1:5" x14ac:dyDescent="0.2">
      <c r="A29" t="s">
        <v>96</v>
      </c>
      <c r="B29" t="s">
        <v>60</v>
      </c>
      <c r="C29" t="s">
        <v>81</v>
      </c>
      <c r="D29" s="2">
        <v>0</v>
      </c>
      <c r="E29" s="2">
        <v>0</v>
      </c>
    </row>
    <row r="30" spans="1:5" x14ac:dyDescent="0.2">
      <c r="A30" t="s">
        <v>96</v>
      </c>
      <c r="B30" t="s">
        <v>60</v>
      </c>
      <c r="C30" t="s">
        <v>81</v>
      </c>
      <c r="D30" s="2">
        <v>0</v>
      </c>
      <c r="E30" s="2">
        <v>8</v>
      </c>
    </row>
    <row r="31" spans="1:5" x14ac:dyDescent="0.2">
      <c r="A31" t="s">
        <v>96</v>
      </c>
      <c r="B31" t="s">
        <v>60</v>
      </c>
      <c r="C31" t="s">
        <v>81</v>
      </c>
      <c r="D31" s="2">
        <v>0</v>
      </c>
      <c r="E31" s="2">
        <v>0</v>
      </c>
    </row>
    <row r="32" spans="1:5" x14ac:dyDescent="0.2">
      <c r="A32" t="s">
        <v>96</v>
      </c>
      <c r="B32" t="s">
        <v>60</v>
      </c>
      <c r="C32" t="s">
        <v>81</v>
      </c>
      <c r="D32" s="2">
        <v>0</v>
      </c>
      <c r="E32" s="2">
        <v>0</v>
      </c>
    </row>
    <row r="33" spans="1:5" x14ac:dyDescent="0.2">
      <c r="A33" t="s">
        <v>96</v>
      </c>
      <c r="B33" t="s">
        <v>60</v>
      </c>
      <c r="C33" t="s">
        <v>81</v>
      </c>
      <c r="D33" s="2">
        <v>0</v>
      </c>
      <c r="E33" s="2">
        <v>0</v>
      </c>
    </row>
    <row r="34" spans="1:5" x14ac:dyDescent="0.2">
      <c r="A34" t="s">
        <v>93</v>
      </c>
      <c r="B34" t="s">
        <v>38</v>
      </c>
      <c r="C34" t="s">
        <v>81</v>
      </c>
      <c r="D34" s="2">
        <v>0</v>
      </c>
      <c r="E34" s="2">
        <v>0</v>
      </c>
    </row>
    <row r="35" spans="1:5" x14ac:dyDescent="0.2">
      <c r="A35" t="s">
        <v>93</v>
      </c>
      <c r="B35" t="s">
        <v>38</v>
      </c>
      <c r="C35" t="s">
        <v>81</v>
      </c>
      <c r="D35" s="2">
        <v>0</v>
      </c>
      <c r="E35" s="2">
        <v>0</v>
      </c>
    </row>
    <row r="36" spans="1:5" x14ac:dyDescent="0.2">
      <c r="A36" t="s">
        <v>93</v>
      </c>
      <c r="B36" t="s">
        <v>38</v>
      </c>
      <c r="C36" t="s">
        <v>81</v>
      </c>
      <c r="D36" s="2">
        <v>50.2220522</v>
      </c>
      <c r="E36" s="2">
        <v>60</v>
      </c>
    </row>
    <row r="37" spans="1:5" x14ac:dyDescent="0.2">
      <c r="A37" t="s">
        <v>93</v>
      </c>
      <c r="B37" t="s">
        <v>38</v>
      </c>
      <c r="C37" t="s">
        <v>81</v>
      </c>
      <c r="D37" s="2">
        <v>27.503734999999999</v>
      </c>
      <c r="E37" s="2">
        <v>16</v>
      </c>
    </row>
    <row r="38" spans="1:5" x14ac:dyDescent="0.2">
      <c r="A38" t="s">
        <v>95</v>
      </c>
      <c r="B38" t="s">
        <v>38</v>
      </c>
      <c r="C38" t="s">
        <v>81</v>
      </c>
      <c r="D38" s="2">
        <v>0</v>
      </c>
      <c r="E38" s="2">
        <v>0</v>
      </c>
    </row>
    <row r="39" spans="1:5" x14ac:dyDescent="0.2">
      <c r="A39" t="s">
        <v>95</v>
      </c>
      <c r="B39" t="s">
        <v>38</v>
      </c>
      <c r="C39" t="s">
        <v>81</v>
      </c>
      <c r="D39" s="2">
        <v>0</v>
      </c>
      <c r="E39" s="2">
        <v>0</v>
      </c>
    </row>
    <row r="40" spans="1:5" x14ac:dyDescent="0.2">
      <c r="A40" t="s">
        <v>95</v>
      </c>
      <c r="B40" t="s">
        <v>38</v>
      </c>
      <c r="C40" t="s">
        <v>81</v>
      </c>
      <c r="D40" s="2">
        <v>0</v>
      </c>
      <c r="E40" s="2">
        <v>0</v>
      </c>
    </row>
    <row r="41" spans="1:5" x14ac:dyDescent="0.2">
      <c r="A41" t="s">
        <v>95</v>
      </c>
      <c r="B41" t="s">
        <v>38</v>
      </c>
      <c r="C41" t="s">
        <v>81</v>
      </c>
      <c r="D41" s="2">
        <v>0</v>
      </c>
      <c r="E41" s="2">
        <v>0</v>
      </c>
    </row>
    <row r="42" spans="1:5" x14ac:dyDescent="0.2">
      <c r="A42" t="s">
        <v>95</v>
      </c>
      <c r="B42" t="s">
        <v>38</v>
      </c>
      <c r="C42" t="s">
        <v>81</v>
      </c>
      <c r="D42" s="2">
        <v>0</v>
      </c>
      <c r="E42" s="2">
        <v>0</v>
      </c>
    </row>
    <row r="43" spans="1:5" x14ac:dyDescent="0.2">
      <c r="A43" t="s">
        <v>95</v>
      </c>
      <c r="B43" t="s">
        <v>38</v>
      </c>
      <c r="C43" t="s">
        <v>81</v>
      </c>
      <c r="D43" s="2">
        <v>0</v>
      </c>
      <c r="E43" s="2">
        <v>0</v>
      </c>
    </row>
    <row r="44" spans="1:5" x14ac:dyDescent="0.2">
      <c r="A44" t="s">
        <v>95</v>
      </c>
      <c r="B44" t="s">
        <v>38</v>
      </c>
      <c r="C44" t="s">
        <v>81</v>
      </c>
      <c r="D44" s="2">
        <v>204.83180540000001</v>
      </c>
      <c r="E44" s="2">
        <v>280</v>
      </c>
    </row>
    <row r="45" spans="1:5" x14ac:dyDescent="0.2">
      <c r="A45" t="s">
        <v>95</v>
      </c>
      <c r="B45" t="s">
        <v>38</v>
      </c>
      <c r="C45" t="s">
        <v>81</v>
      </c>
      <c r="D45" s="2">
        <v>282.73556780000001</v>
      </c>
      <c r="E45" s="2">
        <v>338</v>
      </c>
    </row>
    <row r="46" spans="1:5" x14ac:dyDescent="0.2">
      <c r="A46" t="s">
        <v>95</v>
      </c>
      <c r="B46" t="s">
        <v>38</v>
      </c>
      <c r="C46" t="s">
        <v>81</v>
      </c>
      <c r="D46" s="2">
        <v>0</v>
      </c>
      <c r="E46" s="2">
        <v>0</v>
      </c>
    </row>
    <row r="47" spans="1:5" x14ac:dyDescent="0.2">
      <c r="A47" t="s">
        <v>95</v>
      </c>
      <c r="B47" t="s">
        <v>38</v>
      </c>
      <c r="C47" t="s">
        <v>81</v>
      </c>
      <c r="D47" s="2">
        <v>566.1364006</v>
      </c>
      <c r="E47" s="2">
        <v>394</v>
      </c>
    </row>
    <row r="48" spans="1:5" x14ac:dyDescent="0.2">
      <c r="A48" t="s">
        <v>95</v>
      </c>
      <c r="B48" t="s">
        <v>38</v>
      </c>
      <c r="C48" t="s">
        <v>81</v>
      </c>
      <c r="D48" s="2">
        <v>0</v>
      </c>
      <c r="E48" s="2">
        <v>0</v>
      </c>
    </row>
    <row r="49" spans="1:5" x14ac:dyDescent="0.2">
      <c r="A49" t="s">
        <v>95</v>
      </c>
      <c r="B49" t="s">
        <v>38</v>
      </c>
      <c r="C49" t="s">
        <v>81</v>
      </c>
      <c r="D49" s="2">
        <v>0</v>
      </c>
      <c r="E49" s="2">
        <v>0</v>
      </c>
    </row>
    <row r="50" spans="1:5" x14ac:dyDescent="0.2">
      <c r="A50" t="s">
        <v>95</v>
      </c>
      <c r="B50" t="s">
        <v>38</v>
      </c>
      <c r="C50" t="s">
        <v>81</v>
      </c>
      <c r="D50" s="2">
        <v>302.57237359999999</v>
      </c>
      <c r="E50" s="2">
        <v>570</v>
      </c>
    </row>
    <row r="51" spans="1:5" x14ac:dyDescent="0.2">
      <c r="A51" t="s">
        <v>95</v>
      </c>
      <c r="B51" t="s">
        <v>38</v>
      </c>
      <c r="C51" t="s">
        <v>81</v>
      </c>
      <c r="D51" s="2">
        <v>0</v>
      </c>
      <c r="E51" s="2">
        <v>0</v>
      </c>
    </row>
    <row r="52" spans="1:5" x14ac:dyDescent="0.2">
      <c r="A52" t="s">
        <v>94</v>
      </c>
      <c r="B52" t="s">
        <v>38</v>
      </c>
      <c r="C52" t="s">
        <v>81</v>
      </c>
      <c r="D52" s="2">
        <v>0</v>
      </c>
      <c r="E52" s="2">
        <v>0</v>
      </c>
    </row>
    <row r="53" spans="1:5" x14ac:dyDescent="0.2">
      <c r="A53" t="s">
        <v>94</v>
      </c>
      <c r="B53" t="s">
        <v>38</v>
      </c>
      <c r="C53" t="s">
        <v>81</v>
      </c>
      <c r="D53" s="2">
        <v>0</v>
      </c>
      <c r="E53" s="2">
        <v>0</v>
      </c>
    </row>
    <row r="54" spans="1:5" x14ac:dyDescent="0.2">
      <c r="A54" t="s">
        <v>94</v>
      </c>
      <c r="B54" t="s">
        <v>38</v>
      </c>
      <c r="C54" t="s">
        <v>81</v>
      </c>
      <c r="D54" s="2">
        <v>0</v>
      </c>
      <c r="E54" s="2">
        <v>0</v>
      </c>
    </row>
    <row r="55" spans="1:5" x14ac:dyDescent="0.2">
      <c r="A55" t="s">
        <v>94</v>
      </c>
      <c r="B55" t="s">
        <v>38</v>
      </c>
      <c r="C55" t="s">
        <v>81</v>
      </c>
      <c r="D55" s="2">
        <v>75.1270284</v>
      </c>
      <c r="E55" s="2">
        <v>66</v>
      </c>
    </row>
    <row r="56" spans="1:5" x14ac:dyDescent="0.2">
      <c r="A56" t="s">
        <v>94</v>
      </c>
      <c r="B56" t="s">
        <v>38</v>
      </c>
      <c r="C56" t="s">
        <v>81</v>
      </c>
      <c r="D56" s="2">
        <v>0</v>
      </c>
      <c r="E56" s="2">
        <v>0</v>
      </c>
    </row>
    <row r="57" spans="1:5" x14ac:dyDescent="0.2">
      <c r="A57" t="s">
        <v>94</v>
      </c>
      <c r="B57" t="s">
        <v>38</v>
      </c>
      <c r="C57" t="s">
        <v>81</v>
      </c>
      <c r="D57" s="2">
        <v>72.309457199999997</v>
      </c>
      <c r="E57" s="2">
        <v>26</v>
      </c>
    </row>
    <row r="58" spans="1:5" x14ac:dyDescent="0.2">
      <c r="A58" t="s">
        <v>94</v>
      </c>
      <c r="B58" t="s">
        <v>38</v>
      </c>
      <c r="C58" t="s">
        <v>81</v>
      </c>
      <c r="D58" s="2">
        <v>0</v>
      </c>
      <c r="E58" s="2">
        <v>0</v>
      </c>
    </row>
    <row r="59" spans="1:5" x14ac:dyDescent="0.2">
      <c r="A59" t="s">
        <v>96</v>
      </c>
      <c r="B59" t="s">
        <v>38</v>
      </c>
      <c r="C59" t="s">
        <v>81</v>
      </c>
      <c r="D59" s="2">
        <v>164.5069364</v>
      </c>
      <c r="E59" s="2">
        <v>254</v>
      </c>
    </row>
    <row r="60" spans="1:5" x14ac:dyDescent="0.2">
      <c r="A60" t="s">
        <v>96</v>
      </c>
      <c r="B60" t="s">
        <v>38</v>
      </c>
      <c r="C60" t="s">
        <v>81</v>
      </c>
      <c r="D60" s="2">
        <v>109.252227</v>
      </c>
      <c r="E60" s="2">
        <v>106</v>
      </c>
    </row>
    <row r="61" spans="1:5" x14ac:dyDescent="0.2">
      <c r="A61" t="s">
        <v>96</v>
      </c>
      <c r="B61" t="s">
        <v>38</v>
      </c>
      <c r="C61" t="s">
        <v>81</v>
      </c>
      <c r="D61" s="2">
        <v>0</v>
      </c>
      <c r="E61" s="2">
        <v>6</v>
      </c>
    </row>
    <row r="62" spans="1:5" x14ac:dyDescent="0.2">
      <c r="A62" t="s">
        <v>96</v>
      </c>
      <c r="B62" t="s">
        <v>38</v>
      </c>
      <c r="C62" t="s">
        <v>81</v>
      </c>
      <c r="D62" s="2">
        <v>75.742202399999996</v>
      </c>
      <c r="E62" s="2">
        <v>40</v>
      </c>
    </row>
    <row r="63" spans="1:5" x14ac:dyDescent="0.2">
      <c r="A63" t="s">
        <v>96</v>
      </c>
      <c r="B63" t="s">
        <v>38</v>
      </c>
      <c r="C63" t="s">
        <v>81</v>
      </c>
      <c r="D63" s="2">
        <v>0</v>
      </c>
      <c r="E63" s="2">
        <v>0</v>
      </c>
    </row>
    <row r="64" spans="1:5" x14ac:dyDescent="0.2">
      <c r="A64" t="s">
        <v>96</v>
      </c>
      <c r="B64" t="s">
        <v>38</v>
      </c>
      <c r="C64" t="s">
        <v>81</v>
      </c>
      <c r="D64" s="2">
        <v>0</v>
      </c>
      <c r="E64" s="2">
        <v>0</v>
      </c>
    </row>
    <row r="65" spans="1:5" x14ac:dyDescent="0.2">
      <c r="A65" t="s">
        <v>96</v>
      </c>
      <c r="B65" t="s">
        <v>38</v>
      </c>
      <c r="C65" t="s">
        <v>81</v>
      </c>
      <c r="D65" s="2">
        <v>0</v>
      </c>
      <c r="E65" s="2">
        <v>0</v>
      </c>
    </row>
    <row r="66" spans="1:5" x14ac:dyDescent="0.2">
      <c r="A66" t="s">
        <v>93</v>
      </c>
      <c r="B66" t="s">
        <v>72</v>
      </c>
      <c r="C66" t="s">
        <v>81</v>
      </c>
      <c r="D66" s="2">
        <v>0</v>
      </c>
      <c r="E66" s="2">
        <v>0</v>
      </c>
    </row>
    <row r="67" spans="1:5" x14ac:dyDescent="0.2">
      <c r="A67" t="s">
        <v>93</v>
      </c>
      <c r="B67" t="s">
        <v>72</v>
      </c>
      <c r="C67" t="s">
        <v>81</v>
      </c>
      <c r="D67" s="2">
        <v>0</v>
      </c>
      <c r="E67" s="2">
        <v>0</v>
      </c>
    </row>
    <row r="68" spans="1:5" x14ac:dyDescent="0.2">
      <c r="A68" t="s">
        <v>93</v>
      </c>
      <c r="B68" t="s">
        <v>72</v>
      </c>
      <c r="C68" t="s">
        <v>81</v>
      </c>
      <c r="D68" s="2">
        <v>56.409815999999999</v>
      </c>
      <c r="E68" s="2">
        <v>64</v>
      </c>
    </row>
    <row r="69" spans="1:5" x14ac:dyDescent="0.2">
      <c r="A69" t="s">
        <v>93</v>
      </c>
      <c r="B69" t="s">
        <v>72</v>
      </c>
      <c r="C69" t="s">
        <v>81</v>
      </c>
      <c r="D69" s="2">
        <v>41.590834800000003</v>
      </c>
      <c r="E69" s="2">
        <v>10</v>
      </c>
    </row>
    <row r="70" spans="1:5" x14ac:dyDescent="0.2">
      <c r="A70" t="s">
        <v>95</v>
      </c>
      <c r="B70" t="s">
        <v>72</v>
      </c>
      <c r="C70" t="s">
        <v>81</v>
      </c>
      <c r="D70" s="2">
        <v>0</v>
      </c>
      <c r="E70" s="2">
        <v>0</v>
      </c>
    </row>
    <row r="71" spans="1:5" x14ac:dyDescent="0.2">
      <c r="A71" t="s">
        <v>95</v>
      </c>
      <c r="B71" t="s">
        <v>72</v>
      </c>
      <c r="C71" t="s">
        <v>81</v>
      </c>
      <c r="D71" s="2">
        <v>0</v>
      </c>
      <c r="E71" s="2">
        <v>0</v>
      </c>
    </row>
    <row r="72" spans="1:5" x14ac:dyDescent="0.2">
      <c r="A72" t="s">
        <v>95</v>
      </c>
      <c r="B72" t="s">
        <v>72</v>
      </c>
      <c r="C72" t="s">
        <v>81</v>
      </c>
      <c r="D72" s="2">
        <v>0</v>
      </c>
      <c r="E72" s="2">
        <v>0</v>
      </c>
    </row>
    <row r="73" spans="1:5" x14ac:dyDescent="0.2">
      <c r="A73" t="s">
        <v>95</v>
      </c>
      <c r="B73" t="s">
        <v>72</v>
      </c>
      <c r="C73" t="s">
        <v>81</v>
      </c>
      <c r="D73" s="2">
        <v>0</v>
      </c>
      <c r="E73" s="2">
        <v>0</v>
      </c>
    </row>
    <row r="74" spans="1:5" x14ac:dyDescent="0.2">
      <c r="A74" t="s">
        <v>95</v>
      </c>
      <c r="B74" t="s">
        <v>72</v>
      </c>
      <c r="C74" t="s">
        <v>81</v>
      </c>
      <c r="D74" s="2">
        <v>0</v>
      </c>
      <c r="E74" s="2">
        <v>0</v>
      </c>
    </row>
    <row r="75" spans="1:5" x14ac:dyDescent="0.2">
      <c r="A75" t="s">
        <v>95</v>
      </c>
      <c r="B75" t="s">
        <v>72</v>
      </c>
      <c r="C75" t="s">
        <v>81</v>
      </c>
      <c r="D75" s="2">
        <v>0</v>
      </c>
      <c r="E75" s="2">
        <v>0</v>
      </c>
    </row>
    <row r="76" spans="1:5" x14ac:dyDescent="0.2">
      <c r="A76" t="s">
        <v>95</v>
      </c>
      <c r="B76" t="s">
        <v>72</v>
      </c>
      <c r="C76" t="s">
        <v>81</v>
      </c>
      <c r="D76" s="2">
        <v>255.4687136</v>
      </c>
      <c r="E76" s="2">
        <v>234</v>
      </c>
    </row>
    <row r="77" spans="1:5" x14ac:dyDescent="0.2">
      <c r="A77" t="s">
        <v>95</v>
      </c>
      <c r="B77" t="s">
        <v>72</v>
      </c>
      <c r="C77" t="s">
        <v>81</v>
      </c>
      <c r="D77" s="2">
        <v>306.8825938</v>
      </c>
      <c r="E77" s="2">
        <v>342</v>
      </c>
    </row>
    <row r="78" spans="1:5" x14ac:dyDescent="0.2">
      <c r="A78" t="s">
        <v>95</v>
      </c>
      <c r="B78" t="s">
        <v>72</v>
      </c>
      <c r="C78" t="s">
        <v>81</v>
      </c>
      <c r="D78" s="2">
        <v>0</v>
      </c>
      <c r="E78" s="2">
        <v>0</v>
      </c>
    </row>
    <row r="79" spans="1:5" x14ac:dyDescent="0.2">
      <c r="A79" t="s">
        <v>95</v>
      </c>
      <c r="B79" t="s">
        <v>72</v>
      </c>
      <c r="C79" t="s">
        <v>81</v>
      </c>
      <c r="D79" s="2">
        <v>713.74152360000005</v>
      </c>
      <c r="E79" s="2">
        <v>344</v>
      </c>
    </row>
    <row r="80" spans="1:5" x14ac:dyDescent="0.2">
      <c r="A80" t="s">
        <v>95</v>
      </c>
      <c r="B80" t="s">
        <v>72</v>
      </c>
      <c r="C80" t="s">
        <v>81</v>
      </c>
      <c r="D80" s="2">
        <v>0</v>
      </c>
      <c r="E80" s="2">
        <v>0</v>
      </c>
    </row>
    <row r="81" spans="1:5" x14ac:dyDescent="0.2">
      <c r="A81" t="s">
        <v>95</v>
      </c>
      <c r="B81" t="s">
        <v>72</v>
      </c>
      <c r="C81" t="s">
        <v>81</v>
      </c>
      <c r="D81" s="2">
        <v>0</v>
      </c>
      <c r="E81" s="2">
        <v>0</v>
      </c>
    </row>
    <row r="82" spans="1:5" x14ac:dyDescent="0.2">
      <c r="A82" t="s">
        <v>95</v>
      </c>
      <c r="B82" t="s">
        <v>72</v>
      </c>
      <c r="C82" t="s">
        <v>81</v>
      </c>
      <c r="D82" s="2">
        <v>495.6481718</v>
      </c>
      <c r="E82" s="2">
        <v>478</v>
      </c>
    </row>
    <row r="83" spans="1:5" x14ac:dyDescent="0.2">
      <c r="A83" t="s">
        <v>95</v>
      </c>
      <c r="B83" t="s">
        <v>72</v>
      </c>
      <c r="C83" t="s">
        <v>81</v>
      </c>
      <c r="D83" s="2">
        <v>0</v>
      </c>
      <c r="E83" s="2">
        <v>0</v>
      </c>
    </row>
    <row r="84" spans="1:5" x14ac:dyDescent="0.2">
      <c r="A84" t="s">
        <v>94</v>
      </c>
      <c r="B84" t="s">
        <v>72</v>
      </c>
      <c r="C84" t="s">
        <v>81</v>
      </c>
      <c r="D84" s="2">
        <v>0</v>
      </c>
      <c r="E84" s="2">
        <v>0</v>
      </c>
    </row>
    <row r="85" spans="1:5" x14ac:dyDescent="0.2">
      <c r="A85" t="s">
        <v>94</v>
      </c>
      <c r="B85" t="s">
        <v>72</v>
      </c>
      <c r="C85" t="s">
        <v>81</v>
      </c>
      <c r="D85" s="2">
        <v>0</v>
      </c>
      <c r="E85" s="2">
        <v>0</v>
      </c>
    </row>
    <row r="86" spans="1:5" x14ac:dyDescent="0.2">
      <c r="A86" t="s">
        <v>94</v>
      </c>
      <c r="B86" t="s">
        <v>72</v>
      </c>
      <c r="C86" t="s">
        <v>81</v>
      </c>
      <c r="D86" s="2">
        <v>0</v>
      </c>
      <c r="E86" s="2">
        <v>0</v>
      </c>
    </row>
    <row r="87" spans="1:5" x14ac:dyDescent="0.2">
      <c r="A87" t="s">
        <v>94</v>
      </c>
      <c r="B87" t="s">
        <v>72</v>
      </c>
      <c r="C87" t="s">
        <v>81</v>
      </c>
      <c r="D87" s="2">
        <v>295.82346719999998</v>
      </c>
      <c r="E87" s="2">
        <v>254</v>
      </c>
    </row>
    <row r="88" spans="1:5" x14ac:dyDescent="0.2">
      <c r="A88" t="s">
        <v>94</v>
      </c>
      <c r="B88" t="s">
        <v>72</v>
      </c>
      <c r="C88" t="s">
        <v>81</v>
      </c>
      <c r="D88" s="2">
        <v>0</v>
      </c>
      <c r="E88" s="2">
        <v>0</v>
      </c>
    </row>
    <row r="89" spans="1:5" x14ac:dyDescent="0.2">
      <c r="A89" t="s">
        <v>94</v>
      </c>
      <c r="B89" t="s">
        <v>72</v>
      </c>
      <c r="C89" t="s">
        <v>81</v>
      </c>
      <c r="D89" s="2">
        <v>135.48457540000001</v>
      </c>
      <c r="E89" s="2">
        <v>60</v>
      </c>
    </row>
    <row r="90" spans="1:5" x14ac:dyDescent="0.2">
      <c r="A90" t="s">
        <v>94</v>
      </c>
      <c r="B90" t="s">
        <v>72</v>
      </c>
      <c r="C90" t="s">
        <v>81</v>
      </c>
      <c r="D90" s="2">
        <v>142.874157</v>
      </c>
      <c r="E90" s="2">
        <v>2</v>
      </c>
    </row>
    <row r="91" spans="1:5" x14ac:dyDescent="0.2">
      <c r="A91" t="s">
        <v>96</v>
      </c>
      <c r="B91" t="s">
        <v>72</v>
      </c>
      <c r="C91" t="s">
        <v>81</v>
      </c>
      <c r="D91" s="2">
        <v>219.47629739999999</v>
      </c>
      <c r="E91" s="2">
        <v>230</v>
      </c>
    </row>
    <row r="92" spans="1:5" x14ac:dyDescent="0.2">
      <c r="A92" t="s">
        <v>96</v>
      </c>
      <c r="B92" t="s">
        <v>72</v>
      </c>
      <c r="C92" t="s">
        <v>81</v>
      </c>
      <c r="D92" s="2">
        <v>211.72720419999999</v>
      </c>
      <c r="E92" s="2">
        <v>86</v>
      </c>
    </row>
    <row r="93" spans="1:5" x14ac:dyDescent="0.2">
      <c r="A93" t="s">
        <v>96</v>
      </c>
      <c r="B93" t="s">
        <v>72</v>
      </c>
      <c r="C93" t="s">
        <v>81</v>
      </c>
      <c r="D93" s="2">
        <v>87.807912799999997</v>
      </c>
      <c r="E93" s="2">
        <v>0</v>
      </c>
    </row>
    <row r="94" spans="1:5" x14ac:dyDescent="0.2">
      <c r="A94" t="s">
        <v>96</v>
      </c>
      <c r="B94" t="s">
        <v>72</v>
      </c>
      <c r="C94" t="s">
        <v>81</v>
      </c>
      <c r="D94" s="2">
        <v>80.495389200000005</v>
      </c>
      <c r="E94" s="2">
        <v>10</v>
      </c>
    </row>
    <row r="95" spans="1:5" x14ac:dyDescent="0.2">
      <c r="A95" t="s">
        <v>96</v>
      </c>
      <c r="B95" t="s">
        <v>72</v>
      </c>
      <c r="C95" t="s">
        <v>81</v>
      </c>
      <c r="D95" s="2">
        <v>0</v>
      </c>
      <c r="E95" s="2">
        <v>0</v>
      </c>
    </row>
    <row r="96" spans="1:5" x14ac:dyDescent="0.2">
      <c r="A96" t="s">
        <v>96</v>
      </c>
      <c r="B96" t="s">
        <v>72</v>
      </c>
      <c r="C96" t="s">
        <v>81</v>
      </c>
      <c r="D96" s="2">
        <v>0</v>
      </c>
      <c r="E96" s="2">
        <v>0</v>
      </c>
    </row>
    <row r="97" spans="1:5" x14ac:dyDescent="0.2">
      <c r="A97" t="s">
        <v>96</v>
      </c>
      <c r="B97" t="s">
        <v>72</v>
      </c>
      <c r="C97" t="s">
        <v>81</v>
      </c>
      <c r="D97" s="2">
        <v>0</v>
      </c>
      <c r="E97" s="2">
        <v>0</v>
      </c>
    </row>
    <row r="98" spans="1:5" x14ac:dyDescent="0.2">
      <c r="A98" t="s">
        <v>93</v>
      </c>
      <c r="B98" t="s">
        <v>64</v>
      </c>
      <c r="C98" t="s">
        <v>81</v>
      </c>
      <c r="D98" s="2">
        <v>0</v>
      </c>
      <c r="E98" s="2">
        <v>0</v>
      </c>
    </row>
    <row r="99" spans="1:5" x14ac:dyDescent="0.2">
      <c r="A99" t="s">
        <v>93</v>
      </c>
      <c r="B99" t="s">
        <v>64</v>
      </c>
      <c r="C99" t="s">
        <v>81</v>
      </c>
      <c r="D99" s="2">
        <v>0</v>
      </c>
      <c r="E99" s="2">
        <v>0</v>
      </c>
    </row>
    <row r="100" spans="1:5" x14ac:dyDescent="0.2">
      <c r="A100" t="s">
        <v>93</v>
      </c>
      <c r="B100" t="s">
        <v>64</v>
      </c>
      <c r="C100" t="s">
        <v>81</v>
      </c>
      <c r="D100" s="2">
        <v>0</v>
      </c>
      <c r="E100" s="2">
        <v>54</v>
      </c>
    </row>
    <row r="101" spans="1:5" x14ac:dyDescent="0.2">
      <c r="A101" t="s">
        <v>93</v>
      </c>
      <c r="B101" t="s">
        <v>64</v>
      </c>
      <c r="C101" t="s">
        <v>81</v>
      </c>
      <c r="D101" s="2">
        <v>0</v>
      </c>
      <c r="E101" s="2">
        <v>18</v>
      </c>
    </row>
    <row r="102" spans="1:5" x14ac:dyDescent="0.2">
      <c r="A102" t="s">
        <v>95</v>
      </c>
      <c r="B102" t="s">
        <v>64</v>
      </c>
      <c r="C102" t="s">
        <v>81</v>
      </c>
      <c r="D102" s="2">
        <v>0</v>
      </c>
      <c r="E102" s="2">
        <v>0</v>
      </c>
    </row>
    <row r="103" spans="1:5" x14ac:dyDescent="0.2">
      <c r="A103" t="s">
        <v>95</v>
      </c>
      <c r="B103" t="s">
        <v>64</v>
      </c>
      <c r="C103" t="s">
        <v>81</v>
      </c>
      <c r="D103" s="2">
        <v>0</v>
      </c>
      <c r="E103" s="2">
        <v>0</v>
      </c>
    </row>
    <row r="104" spans="1:5" x14ac:dyDescent="0.2">
      <c r="A104" t="s">
        <v>95</v>
      </c>
      <c r="B104" t="s">
        <v>64</v>
      </c>
      <c r="C104" t="s">
        <v>81</v>
      </c>
      <c r="D104" s="2">
        <v>0</v>
      </c>
      <c r="E104" s="2">
        <v>0</v>
      </c>
    </row>
    <row r="105" spans="1:5" x14ac:dyDescent="0.2">
      <c r="A105" t="s">
        <v>95</v>
      </c>
      <c r="B105" t="s">
        <v>64</v>
      </c>
      <c r="C105" t="s">
        <v>81</v>
      </c>
      <c r="D105" s="2">
        <v>0</v>
      </c>
      <c r="E105" s="2">
        <v>0</v>
      </c>
    </row>
    <row r="106" spans="1:5" x14ac:dyDescent="0.2">
      <c r="A106" t="s">
        <v>95</v>
      </c>
      <c r="B106" t="s">
        <v>64</v>
      </c>
      <c r="C106" t="s">
        <v>81</v>
      </c>
      <c r="D106" s="2">
        <v>0</v>
      </c>
      <c r="E106" s="2">
        <v>0</v>
      </c>
    </row>
    <row r="107" spans="1:5" x14ac:dyDescent="0.2">
      <c r="A107" t="s">
        <v>95</v>
      </c>
      <c r="B107" t="s">
        <v>64</v>
      </c>
      <c r="C107" t="s">
        <v>81</v>
      </c>
      <c r="D107" s="2">
        <v>0</v>
      </c>
      <c r="E107" s="2">
        <v>0</v>
      </c>
    </row>
    <row r="108" spans="1:5" x14ac:dyDescent="0.2">
      <c r="A108" t="s">
        <v>95</v>
      </c>
      <c r="B108" t="s">
        <v>64</v>
      </c>
      <c r="C108" t="s">
        <v>81</v>
      </c>
      <c r="D108" s="2">
        <v>0</v>
      </c>
      <c r="E108" s="2">
        <v>244</v>
      </c>
    </row>
    <row r="109" spans="1:5" x14ac:dyDescent="0.2">
      <c r="A109" t="s">
        <v>95</v>
      </c>
      <c r="B109" t="s">
        <v>64</v>
      </c>
      <c r="C109" t="s">
        <v>81</v>
      </c>
      <c r="D109" s="2">
        <v>0</v>
      </c>
      <c r="E109" s="2">
        <v>318</v>
      </c>
    </row>
    <row r="110" spans="1:5" x14ac:dyDescent="0.2">
      <c r="A110" t="s">
        <v>95</v>
      </c>
      <c r="B110" t="s">
        <v>64</v>
      </c>
      <c r="C110" t="s">
        <v>81</v>
      </c>
      <c r="D110" s="2">
        <v>0</v>
      </c>
      <c r="E110" s="2">
        <v>0</v>
      </c>
    </row>
    <row r="111" spans="1:5" x14ac:dyDescent="0.2">
      <c r="A111" t="s">
        <v>95</v>
      </c>
      <c r="B111" t="s">
        <v>64</v>
      </c>
      <c r="C111" t="s">
        <v>81</v>
      </c>
      <c r="D111" s="2">
        <v>0</v>
      </c>
      <c r="E111" s="2">
        <v>338</v>
      </c>
    </row>
    <row r="112" spans="1:5" x14ac:dyDescent="0.2">
      <c r="A112" t="s">
        <v>95</v>
      </c>
      <c r="B112" t="s">
        <v>64</v>
      </c>
      <c r="C112" t="s">
        <v>81</v>
      </c>
      <c r="D112" s="2">
        <v>0</v>
      </c>
      <c r="E112" s="2">
        <v>0</v>
      </c>
    </row>
    <row r="113" spans="1:5" x14ac:dyDescent="0.2">
      <c r="A113" t="s">
        <v>95</v>
      </c>
      <c r="B113" t="s">
        <v>64</v>
      </c>
      <c r="C113" t="s">
        <v>81</v>
      </c>
      <c r="D113" s="2">
        <v>0</v>
      </c>
      <c r="E113" s="2">
        <v>0</v>
      </c>
    </row>
    <row r="114" spans="1:5" x14ac:dyDescent="0.2">
      <c r="A114" t="s">
        <v>95</v>
      </c>
      <c r="B114" t="s">
        <v>64</v>
      </c>
      <c r="C114" t="s">
        <v>81</v>
      </c>
      <c r="D114" s="2">
        <v>0</v>
      </c>
      <c r="E114" s="2">
        <v>410</v>
      </c>
    </row>
    <row r="115" spans="1:5" x14ac:dyDescent="0.2">
      <c r="A115" t="s">
        <v>95</v>
      </c>
      <c r="B115" t="s">
        <v>64</v>
      </c>
      <c r="C115" t="s">
        <v>81</v>
      </c>
      <c r="D115" s="2">
        <v>0</v>
      </c>
      <c r="E115" s="2">
        <v>0</v>
      </c>
    </row>
    <row r="116" spans="1:5" x14ac:dyDescent="0.2">
      <c r="A116" t="s">
        <v>94</v>
      </c>
      <c r="B116" t="s">
        <v>64</v>
      </c>
      <c r="C116" t="s">
        <v>81</v>
      </c>
      <c r="D116" s="2">
        <v>0</v>
      </c>
      <c r="E116" s="2">
        <v>0</v>
      </c>
    </row>
    <row r="117" spans="1:5" x14ac:dyDescent="0.2">
      <c r="A117" t="s">
        <v>94</v>
      </c>
      <c r="B117" t="s">
        <v>64</v>
      </c>
      <c r="C117" t="s">
        <v>81</v>
      </c>
      <c r="D117" s="2">
        <v>0</v>
      </c>
      <c r="E117" s="2">
        <v>0</v>
      </c>
    </row>
    <row r="118" spans="1:5" x14ac:dyDescent="0.2">
      <c r="A118" t="s">
        <v>94</v>
      </c>
      <c r="B118" t="s">
        <v>64</v>
      </c>
      <c r="C118" t="s">
        <v>81</v>
      </c>
      <c r="D118" s="2">
        <v>0</v>
      </c>
      <c r="E118" s="2">
        <v>0</v>
      </c>
    </row>
    <row r="119" spans="1:5" x14ac:dyDescent="0.2">
      <c r="A119" t="s">
        <v>94</v>
      </c>
      <c r="B119" t="s">
        <v>64</v>
      </c>
      <c r="C119" t="s">
        <v>81</v>
      </c>
      <c r="D119" s="2">
        <v>0</v>
      </c>
      <c r="E119" s="2">
        <v>44</v>
      </c>
    </row>
    <row r="120" spans="1:5" x14ac:dyDescent="0.2">
      <c r="A120" t="s">
        <v>94</v>
      </c>
      <c r="B120" t="s">
        <v>64</v>
      </c>
      <c r="C120" t="s">
        <v>81</v>
      </c>
      <c r="D120" s="2">
        <v>0</v>
      </c>
      <c r="E120" s="2">
        <v>0</v>
      </c>
    </row>
    <row r="121" spans="1:5" x14ac:dyDescent="0.2">
      <c r="A121" t="s">
        <v>94</v>
      </c>
      <c r="B121" t="s">
        <v>64</v>
      </c>
      <c r="C121" t="s">
        <v>81</v>
      </c>
      <c r="D121" s="2">
        <v>0</v>
      </c>
      <c r="E121" s="2">
        <v>12</v>
      </c>
    </row>
    <row r="122" spans="1:5" x14ac:dyDescent="0.2">
      <c r="A122" t="s">
        <v>94</v>
      </c>
      <c r="B122" t="s">
        <v>64</v>
      </c>
      <c r="C122" t="s">
        <v>81</v>
      </c>
      <c r="D122" s="2">
        <v>0</v>
      </c>
      <c r="E122" s="2">
        <v>0</v>
      </c>
    </row>
    <row r="123" spans="1:5" x14ac:dyDescent="0.2">
      <c r="A123" t="s">
        <v>96</v>
      </c>
      <c r="B123" t="s">
        <v>64</v>
      </c>
      <c r="C123" t="s">
        <v>81</v>
      </c>
      <c r="D123" s="2">
        <v>0</v>
      </c>
      <c r="E123" s="2">
        <v>148</v>
      </c>
    </row>
    <row r="124" spans="1:5" x14ac:dyDescent="0.2">
      <c r="A124" t="s">
        <v>96</v>
      </c>
      <c r="B124" t="s">
        <v>64</v>
      </c>
      <c r="C124" t="s">
        <v>81</v>
      </c>
      <c r="D124" s="2">
        <v>0</v>
      </c>
      <c r="E124" s="2">
        <v>88</v>
      </c>
    </row>
    <row r="125" spans="1:5" x14ac:dyDescent="0.2">
      <c r="A125" t="s">
        <v>96</v>
      </c>
      <c r="B125" t="s">
        <v>64</v>
      </c>
      <c r="C125" t="s">
        <v>81</v>
      </c>
      <c r="D125" s="2">
        <v>0</v>
      </c>
      <c r="E125" s="2">
        <v>0</v>
      </c>
    </row>
    <row r="126" spans="1:5" x14ac:dyDescent="0.2">
      <c r="A126" t="s">
        <v>96</v>
      </c>
      <c r="B126" t="s">
        <v>64</v>
      </c>
      <c r="C126" t="s">
        <v>81</v>
      </c>
      <c r="D126" s="2">
        <v>0</v>
      </c>
      <c r="E126" s="2">
        <v>38</v>
      </c>
    </row>
    <row r="127" spans="1:5" x14ac:dyDescent="0.2">
      <c r="A127" t="s">
        <v>96</v>
      </c>
      <c r="B127" t="s">
        <v>64</v>
      </c>
      <c r="C127" t="s">
        <v>81</v>
      </c>
      <c r="D127" s="2">
        <v>0</v>
      </c>
      <c r="E127" s="2">
        <v>0</v>
      </c>
    </row>
    <row r="128" spans="1:5" x14ac:dyDescent="0.2">
      <c r="A128" t="s">
        <v>96</v>
      </c>
      <c r="B128" t="s">
        <v>64</v>
      </c>
      <c r="C128" t="s">
        <v>81</v>
      </c>
      <c r="D128" s="2">
        <v>0</v>
      </c>
      <c r="E128" s="2">
        <v>0</v>
      </c>
    </row>
    <row r="129" spans="1:5" x14ac:dyDescent="0.2">
      <c r="A129" t="s">
        <v>96</v>
      </c>
      <c r="B129" t="s">
        <v>64</v>
      </c>
      <c r="C129" t="s">
        <v>81</v>
      </c>
      <c r="D129" s="2">
        <v>0</v>
      </c>
      <c r="E129" s="2">
        <v>0</v>
      </c>
    </row>
    <row r="130" spans="1:5" x14ac:dyDescent="0.2">
      <c r="A130" t="s">
        <v>93</v>
      </c>
      <c r="B130" t="s">
        <v>42</v>
      </c>
      <c r="C130" t="s">
        <v>81</v>
      </c>
      <c r="D130" s="2">
        <v>0</v>
      </c>
      <c r="E130" s="2">
        <v>0</v>
      </c>
    </row>
    <row r="131" spans="1:5" x14ac:dyDescent="0.2">
      <c r="A131" t="s">
        <v>93</v>
      </c>
      <c r="B131" t="s">
        <v>42</v>
      </c>
      <c r="C131" t="s">
        <v>81</v>
      </c>
      <c r="D131" s="2">
        <v>0</v>
      </c>
      <c r="E131" s="2">
        <v>0</v>
      </c>
    </row>
    <row r="132" spans="1:5" x14ac:dyDescent="0.2">
      <c r="A132" t="s">
        <v>93</v>
      </c>
      <c r="B132" t="s">
        <v>42</v>
      </c>
      <c r="C132" t="s">
        <v>81</v>
      </c>
      <c r="D132" s="2">
        <v>52.300889400000003</v>
      </c>
      <c r="E132" s="2">
        <v>44</v>
      </c>
    </row>
    <row r="133" spans="1:5" x14ac:dyDescent="0.2">
      <c r="A133" t="s">
        <v>93</v>
      </c>
      <c r="B133" t="s">
        <v>42</v>
      </c>
      <c r="C133" t="s">
        <v>81</v>
      </c>
      <c r="D133" s="2">
        <v>33.224708999999997</v>
      </c>
      <c r="E133" s="2">
        <v>28</v>
      </c>
    </row>
    <row r="134" spans="1:5" x14ac:dyDescent="0.2">
      <c r="A134" t="s">
        <v>95</v>
      </c>
      <c r="B134" t="s">
        <v>42</v>
      </c>
      <c r="C134" t="s">
        <v>81</v>
      </c>
      <c r="D134" s="2">
        <v>0</v>
      </c>
      <c r="E134" s="2">
        <v>0</v>
      </c>
    </row>
    <row r="135" spans="1:5" x14ac:dyDescent="0.2">
      <c r="A135" t="s">
        <v>95</v>
      </c>
      <c r="B135" t="s">
        <v>42</v>
      </c>
      <c r="C135" t="s">
        <v>81</v>
      </c>
      <c r="D135" s="2">
        <v>0</v>
      </c>
      <c r="E135" s="2">
        <v>0</v>
      </c>
    </row>
    <row r="136" spans="1:5" x14ac:dyDescent="0.2">
      <c r="A136" t="s">
        <v>95</v>
      </c>
      <c r="B136" t="s">
        <v>42</v>
      </c>
      <c r="C136" t="s">
        <v>81</v>
      </c>
      <c r="D136" s="2">
        <v>0</v>
      </c>
      <c r="E136" s="2">
        <v>0</v>
      </c>
    </row>
    <row r="137" spans="1:5" x14ac:dyDescent="0.2">
      <c r="A137" t="s">
        <v>95</v>
      </c>
      <c r="B137" t="s">
        <v>42</v>
      </c>
      <c r="C137" t="s">
        <v>81</v>
      </c>
      <c r="D137" s="2">
        <v>0</v>
      </c>
      <c r="E137" s="2">
        <v>0</v>
      </c>
    </row>
    <row r="138" spans="1:5" x14ac:dyDescent="0.2">
      <c r="A138" t="s">
        <v>95</v>
      </c>
      <c r="B138" t="s">
        <v>42</v>
      </c>
      <c r="C138" t="s">
        <v>81</v>
      </c>
      <c r="D138" s="2">
        <v>0</v>
      </c>
      <c r="E138" s="2">
        <v>0</v>
      </c>
    </row>
    <row r="139" spans="1:5" x14ac:dyDescent="0.2">
      <c r="A139" t="s">
        <v>95</v>
      </c>
      <c r="B139" t="s">
        <v>42</v>
      </c>
      <c r="C139" t="s">
        <v>81</v>
      </c>
      <c r="D139" s="2">
        <v>0</v>
      </c>
      <c r="E139" s="2">
        <v>0</v>
      </c>
    </row>
    <row r="140" spans="1:5" x14ac:dyDescent="0.2">
      <c r="A140" t="s">
        <v>95</v>
      </c>
      <c r="B140" t="s">
        <v>42</v>
      </c>
      <c r="C140" t="s">
        <v>81</v>
      </c>
      <c r="D140" s="2">
        <v>253.69850740000001</v>
      </c>
      <c r="E140" s="2">
        <v>236</v>
      </c>
    </row>
    <row r="141" spans="1:5" x14ac:dyDescent="0.2">
      <c r="A141" t="s">
        <v>95</v>
      </c>
      <c r="B141" t="s">
        <v>42</v>
      </c>
      <c r="C141" t="s">
        <v>81</v>
      </c>
      <c r="D141" s="2">
        <v>282.96126839999999</v>
      </c>
      <c r="E141" s="2">
        <v>268</v>
      </c>
    </row>
    <row r="142" spans="1:5" x14ac:dyDescent="0.2">
      <c r="A142" t="s">
        <v>95</v>
      </c>
      <c r="B142" t="s">
        <v>42</v>
      </c>
      <c r="C142" t="s">
        <v>81</v>
      </c>
      <c r="D142" s="2">
        <v>0</v>
      </c>
      <c r="E142" s="2">
        <v>0</v>
      </c>
    </row>
    <row r="143" spans="1:5" x14ac:dyDescent="0.2">
      <c r="A143" t="s">
        <v>95</v>
      </c>
      <c r="B143" t="s">
        <v>42</v>
      </c>
      <c r="C143" t="s">
        <v>81</v>
      </c>
      <c r="D143" s="2">
        <v>602.89314620000005</v>
      </c>
      <c r="E143" s="2">
        <v>322</v>
      </c>
    </row>
    <row r="144" spans="1:5" x14ac:dyDescent="0.2">
      <c r="A144" t="s">
        <v>95</v>
      </c>
      <c r="B144" t="s">
        <v>42</v>
      </c>
      <c r="C144" t="s">
        <v>81</v>
      </c>
      <c r="D144" s="2">
        <v>0</v>
      </c>
      <c r="E144" s="2">
        <v>0</v>
      </c>
    </row>
    <row r="145" spans="1:5" x14ac:dyDescent="0.2">
      <c r="A145" t="s">
        <v>95</v>
      </c>
      <c r="B145" t="s">
        <v>42</v>
      </c>
      <c r="C145" t="s">
        <v>81</v>
      </c>
      <c r="D145" s="2">
        <v>0</v>
      </c>
      <c r="E145" s="2">
        <v>0</v>
      </c>
    </row>
    <row r="146" spans="1:5" x14ac:dyDescent="0.2">
      <c r="A146" t="s">
        <v>95</v>
      </c>
      <c r="B146" t="s">
        <v>42</v>
      </c>
      <c r="C146" t="s">
        <v>81</v>
      </c>
      <c r="D146" s="2">
        <v>333.08177360000002</v>
      </c>
      <c r="E146" s="2">
        <v>466</v>
      </c>
    </row>
    <row r="147" spans="1:5" x14ac:dyDescent="0.2">
      <c r="A147" t="s">
        <v>95</v>
      </c>
      <c r="B147" t="s">
        <v>42</v>
      </c>
      <c r="C147" t="s">
        <v>81</v>
      </c>
      <c r="D147" s="2">
        <v>0</v>
      </c>
      <c r="E147" s="2">
        <v>0</v>
      </c>
    </row>
    <row r="148" spans="1:5" x14ac:dyDescent="0.2">
      <c r="A148" t="s">
        <v>94</v>
      </c>
      <c r="B148" t="s">
        <v>42</v>
      </c>
      <c r="C148" t="s">
        <v>81</v>
      </c>
      <c r="D148" s="2">
        <v>0</v>
      </c>
      <c r="E148" s="2">
        <v>0</v>
      </c>
    </row>
    <row r="149" spans="1:5" x14ac:dyDescent="0.2">
      <c r="A149" t="s">
        <v>94</v>
      </c>
      <c r="B149" t="s">
        <v>42</v>
      </c>
      <c r="C149" t="s">
        <v>81</v>
      </c>
      <c r="D149" s="2">
        <v>0</v>
      </c>
      <c r="E149" s="2">
        <v>0</v>
      </c>
    </row>
    <row r="150" spans="1:5" x14ac:dyDescent="0.2">
      <c r="A150" t="s">
        <v>94</v>
      </c>
      <c r="B150" t="s">
        <v>42</v>
      </c>
      <c r="C150" t="s">
        <v>81</v>
      </c>
      <c r="D150" s="2">
        <v>0</v>
      </c>
      <c r="E150" s="2">
        <v>0</v>
      </c>
    </row>
    <row r="151" spans="1:5" x14ac:dyDescent="0.2">
      <c r="A151" t="s">
        <v>94</v>
      </c>
      <c r="B151" t="s">
        <v>42</v>
      </c>
      <c r="C151" t="s">
        <v>81</v>
      </c>
      <c r="D151" s="2">
        <v>108.9801282</v>
      </c>
      <c r="E151" s="2">
        <v>172</v>
      </c>
    </row>
    <row r="152" spans="1:5" x14ac:dyDescent="0.2">
      <c r="A152" t="s">
        <v>94</v>
      </c>
      <c r="B152" t="s">
        <v>42</v>
      </c>
      <c r="C152" t="s">
        <v>81</v>
      </c>
      <c r="D152" s="2">
        <v>0</v>
      </c>
      <c r="E152" s="2">
        <v>0</v>
      </c>
    </row>
    <row r="153" spans="1:5" x14ac:dyDescent="0.2">
      <c r="A153" t="s">
        <v>94</v>
      </c>
      <c r="B153" t="s">
        <v>42</v>
      </c>
      <c r="C153" t="s">
        <v>81</v>
      </c>
      <c r="D153" s="2">
        <v>103.5298076</v>
      </c>
      <c r="E153" s="2">
        <v>40</v>
      </c>
    </row>
    <row r="154" spans="1:5" x14ac:dyDescent="0.2">
      <c r="A154" t="s">
        <v>94</v>
      </c>
      <c r="B154" t="s">
        <v>42</v>
      </c>
      <c r="C154" t="s">
        <v>81</v>
      </c>
      <c r="D154" s="2">
        <v>0</v>
      </c>
      <c r="E154" s="2">
        <v>22</v>
      </c>
    </row>
    <row r="155" spans="1:5" x14ac:dyDescent="0.2">
      <c r="A155" t="s">
        <v>96</v>
      </c>
      <c r="B155" t="s">
        <v>42</v>
      </c>
      <c r="C155" t="s">
        <v>81</v>
      </c>
      <c r="D155" s="2">
        <v>154.59586859999999</v>
      </c>
      <c r="E155" s="2">
        <v>258</v>
      </c>
    </row>
    <row r="156" spans="1:5" x14ac:dyDescent="0.2">
      <c r="A156" t="s">
        <v>96</v>
      </c>
      <c r="B156" t="s">
        <v>42</v>
      </c>
      <c r="C156" t="s">
        <v>81</v>
      </c>
      <c r="D156" s="2">
        <v>115.8245106</v>
      </c>
      <c r="E156" s="2">
        <v>98</v>
      </c>
    </row>
    <row r="157" spans="1:5" x14ac:dyDescent="0.2">
      <c r="A157" t="s">
        <v>96</v>
      </c>
      <c r="B157" t="s">
        <v>42</v>
      </c>
      <c r="C157" t="s">
        <v>81</v>
      </c>
      <c r="D157" s="2">
        <v>0</v>
      </c>
      <c r="E157" s="2">
        <v>20</v>
      </c>
    </row>
    <row r="158" spans="1:5" x14ac:dyDescent="0.2">
      <c r="A158" t="s">
        <v>96</v>
      </c>
      <c r="B158" t="s">
        <v>42</v>
      </c>
      <c r="C158" t="s">
        <v>81</v>
      </c>
      <c r="D158" s="2">
        <v>68.943061799999995</v>
      </c>
      <c r="E158" s="2">
        <v>36</v>
      </c>
    </row>
    <row r="159" spans="1:5" x14ac:dyDescent="0.2">
      <c r="A159" t="s">
        <v>96</v>
      </c>
      <c r="B159" t="s">
        <v>42</v>
      </c>
      <c r="C159" t="s">
        <v>81</v>
      </c>
      <c r="D159" s="2">
        <v>0</v>
      </c>
      <c r="E159" s="2">
        <v>0</v>
      </c>
    </row>
    <row r="160" spans="1:5" x14ac:dyDescent="0.2">
      <c r="A160" t="s">
        <v>96</v>
      </c>
      <c r="B160" t="s">
        <v>42</v>
      </c>
      <c r="C160" t="s">
        <v>81</v>
      </c>
      <c r="D160" s="2">
        <v>0</v>
      </c>
      <c r="E160" s="2">
        <v>0</v>
      </c>
    </row>
    <row r="161" spans="1:5" x14ac:dyDescent="0.2">
      <c r="A161" t="s">
        <v>96</v>
      </c>
      <c r="B161" t="s">
        <v>42</v>
      </c>
      <c r="C161" t="s">
        <v>81</v>
      </c>
      <c r="D161" s="2">
        <v>0</v>
      </c>
      <c r="E161" s="2">
        <v>0</v>
      </c>
    </row>
    <row r="162" spans="1:5" x14ac:dyDescent="0.2">
      <c r="A162" t="s">
        <v>93</v>
      </c>
      <c r="B162" t="s">
        <v>76</v>
      </c>
      <c r="C162" t="s">
        <v>81</v>
      </c>
      <c r="D162" s="2">
        <v>0</v>
      </c>
      <c r="E162" s="2">
        <v>0</v>
      </c>
    </row>
    <row r="163" spans="1:5" x14ac:dyDescent="0.2">
      <c r="A163" t="s">
        <v>93</v>
      </c>
      <c r="B163" t="s">
        <v>76</v>
      </c>
      <c r="C163" t="s">
        <v>81</v>
      </c>
      <c r="D163" s="2">
        <v>0</v>
      </c>
      <c r="E163" s="2">
        <v>0</v>
      </c>
    </row>
    <row r="164" spans="1:5" x14ac:dyDescent="0.2">
      <c r="A164" t="s">
        <v>93</v>
      </c>
      <c r="B164" t="s">
        <v>76</v>
      </c>
      <c r="C164" t="s">
        <v>81</v>
      </c>
      <c r="D164" s="2">
        <v>47.871831399999998</v>
      </c>
      <c r="E164" s="2">
        <v>0</v>
      </c>
    </row>
    <row r="165" spans="1:5" x14ac:dyDescent="0.2">
      <c r="A165" t="s">
        <v>93</v>
      </c>
      <c r="B165" t="s">
        <v>76</v>
      </c>
      <c r="C165" t="s">
        <v>81</v>
      </c>
      <c r="D165" s="2">
        <v>45.7164614</v>
      </c>
      <c r="E165" s="2">
        <v>0</v>
      </c>
    </row>
    <row r="166" spans="1:5" x14ac:dyDescent="0.2">
      <c r="A166" t="s">
        <v>95</v>
      </c>
      <c r="B166" t="s">
        <v>76</v>
      </c>
      <c r="C166" t="s">
        <v>81</v>
      </c>
      <c r="D166" s="2">
        <v>0</v>
      </c>
      <c r="E166" s="2">
        <v>0</v>
      </c>
    </row>
    <row r="167" spans="1:5" x14ac:dyDescent="0.2">
      <c r="A167" t="s">
        <v>95</v>
      </c>
      <c r="B167" t="s">
        <v>76</v>
      </c>
      <c r="C167" t="s">
        <v>81</v>
      </c>
      <c r="D167" s="2">
        <v>0</v>
      </c>
      <c r="E167" s="2">
        <v>0</v>
      </c>
    </row>
    <row r="168" spans="1:5" x14ac:dyDescent="0.2">
      <c r="A168" t="s">
        <v>95</v>
      </c>
      <c r="B168" t="s">
        <v>76</v>
      </c>
      <c r="C168" t="s">
        <v>81</v>
      </c>
      <c r="D168" s="2">
        <v>0</v>
      </c>
      <c r="E168" s="2">
        <v>0</v>
      </c>
    </row>
    <row r="169" spans="1:5" x14ac:dyDescent="0.2">
      <c r="A169" t="s">
        <v>95</v>
      </c>
      <c r="B169" t="s">
        <v>76</v>
      </c>
      <c r="C169" t="s">
        <v>81</v>
      </c>
      <c r="D169" s="2">
        <v>0</v>
      </c>
      <c r="E169" s="2">
        <v>0</v>
      </c>
    </row>
    <row r="170" spans="1:5" x14ac:dyDescent="0.2">
      <c r="A170" t="s">
        <v>95</v>
      </c>
      <c r="B170" t="s">
        <v>76</v>
      </c>
      <c r="C170" t="s">
        <v>81</v>
      </c>
      <c r="D170" s="2">
        <v>0</v>
      </c>
      <c r="E170" s="2">
        <v>0</v>
      </c>
    </row>
    <row r="171" spans="1:5" x14ac:dyDescent="0.2">
      <c r="A171" t="s">
        <v>95</v>
      </c>
      <c r="B171" t="s">
        <v>76</v>
      </c>
      <c r="C171" t="s">
        <v>81</v>
      </c>
      <c r="D171" s="2">
        <v>0</v>
      </c>
      <c r="E171" s="2">
        <v>0</v>
      </c>
    </row>
    <row r="172" spans="1:5" x14ac:dyDescent="0.2">
      <c r="A172" t="s">
        <v>95</v>
      </c>
      <c r="B172" t="s">
        <v>76</v>
      </c>
      <c r="C172" t="s">
        <v>81</v>
      </c>
      <c r="D172" s="2">
        <v>226.08316740000001</v>
      </c>
      <c r="E172" s="2">
        <v>0</v>
      </c>
    </row>
    <row r="173" spans="1:5" x14ac:dyDescent="0.2">
      <c r="A173" t="s">
        <v>95</v>
      </c>
      <c r="B173" t="s">
        <v>76</v>
      </c>
      <c r="C173" t="s">
        <v>81</v>
      </c>
      <c r="D173" s="2">
        <v>254.72786840000001</v>
      </c>
      <c r="E173" s="2">
        <v>0</v>
      </c>
    </row>
    <row r="174" spans="1:5" x14ac:dyDescent="0.2">
      <c r="A174" t="s">
        <v>95</v>
      </c>
      <c r="B174" t="s">
        <v>76</v>
      </c>
      <c r="C174" t="s">
        <v>81</v>
      </c>
      <c r="D174" s="2">
        <v>0</v>
      </c>
      <c r="E174" s="2">
        <v>0</v>
      </c>
    </row>
    <row r="175" spans="1:5" x14ac:dyDescent="0.2">
      <c r="A175" t="s">
        <v>95</v>
      </c>
      <c r="B175" t="s">
        <v>76</v>
      </c>
      <c r="C175" t="s">
        <v>81</v>
      </c>
      <c r="D175" s="2">
        <v>605.82302900000002</v>
      </c>
      <c r="E175" s="2">
        <v>0</v>
      </c>
    </row>
    <row r="176" spans="1:5" x14ac:dyDescent="0.2">
      <c r="A176" t="s">
        <v>95</v>
      </c>
      <c r="B176" t="s">
        <v>76</v>
      </c>
      <c r="C176" t="s">
        <v>81</v>
      </c>
      <c r="D176" s="2">
        <v>0</v>
      </c>
      <c r="E176" s="2">
        <v>0</v>
      </c>
    </row>
    <row r="177" spans="1:5" x14ac:dyDescent="0.2">
      <c r="A177" t="s">
        <v>95</v>
      </c>
      <c r="B177" t="s">
        <v>76</v>
      </c>
      <c r="C177" t="s">
        <v>81</v>
      </c>
      <c r="D177" s="2">
        <v>0</v>
      </c>
      <c r="E177" s="2">
        <v>0</v>
      </c>
    </row>
    <row r="178" spans="1:5" x14ac:dyDescent="0.2">
      <c r="A178" t="s">
        <v>95</v>
      </c>
      <c r="B178" t="s">
        <v>76</v>
      </c>
      <c r="C178" t="s">
        <v>81</v>
      </c>
      <c r="D178" s="2">
        <v>444.45728819999999</v>
      </c>
      <c r="E178" s="2">
        <v>0</v>
      </c>
    </row>
    <row r="179" spans="1:5" x14ac:dyDescent="0.2">
      <c r="A179" t="s">
        <v>95</v>
      </c>
      <c r="B179" t="s">
        <v>76</v>
      </c>
      <c r="C179" t="s">
        <v>81</v>
      </c>
      <c r="D179" s="2">
        <v>0</v>
      </c>
      <c r="E179" s="2">
        <v>0</v>
      </c>
    </row>
    <row r="180" spans="1:5" x14ac:dyDescent="0.2">
      <c r="A180" t="s">
        <v>94</v>
      </c>
      <c r="B180" t="s">
        <v>76</v>
      </c>
      <c r="C180" t="s">
        <v>81</v>
      </c>
      <c r="D180" s="2">
        <v>0</v>
      </c>
      <c r="E180" s="2">
        <v>0</v>
      </c>
    </row>
    <row r="181" spans="1:5" x14ac:dyDescent="0.2">
      <c r="A181" t="s">
        <v>94</v>
      </c>
      <c r="B181" t="s">
        <v>76</v>
      </c>
      <c r="C181" t="s">
        <v>81</v>
      </c>
      <c r="D181" s="2">
        <v>0</v>
      </c>
      <c r="E181" s="2">
        <v>0</v>
      </c>
    </row>
    <row r="182" spans="1:5" x14ac:dyDescent="0.2">
      <c r="A182" t="s">
        <v>94</v>
      </c>
      <c r="B182" t="s">
        <v>76</v>
      </c>
      <c r="C182" t="s">
        <v>81</v>
      </c>
      <c r="D182" s="2">
        <v>0</v>
      </c>
      <c r="E182" s="2">
        <v>0</v>
      </c>
    </row>
    <row r="183" spans="1:5" x14ac:dyDescent="0.2">
      <c r="A183" t="s">
        <v>94</v>
      </c>
      <c r="B183" t="s">
        <v>76</v>
      </c>
      <c r="C183" t="s">
        <v>81</v>
      </c>
      <c r="D183" s="2">
        <v>454.7836082</v>
      </c>
      <c r="E183" s="2">
        <v>0</v>
      </c>
    </row>
    <row r="184" spans="1:5" x14ac:dyDescent="0.2">
      <c r="A184" t="s">
        <v>94</v>
      </c>
      <c r="B184" t="s">
        <v>76</v>
      </c>
      <c r="C184" t="s">
        <v>81</v>
      </c>
      <c r="D184" s="2">
        <v>0</v>
      </c>
      <c r="E184" s="2">
        <v>0</v>
      </c>
    </row>
    <row r="185" spans="1:5" x14ac:dyDescent="0.2">
      <c r="A185" t="s">
        <v>94</v>
      </c>
      <c r="B185" t="s">
        <v>76</v>
      </c>
      <c r="C185" t="s">
        <v>81</v>
      </c>
      <c r="D185" s="2">
        <v>185.01951099999999</v>
      </c>
      <c r="E185" s="2">
        <v>0</v>
      </c>
    </row>
    <row r="186" spans="1:5" x14ac:dyDescent="0.2">
      <c r="A186" t="s">
        <v>94</v>
      </c>
      <c r="B186" t="s">
        <v>76</v>
      </c>
      <c r="C186" t="s">
        <v>81</v>
      </c>
      <c r="D186" s="2">
        <v>147.0013032</v>
      </c>
      <c r="E186" s="2">
        <v>0</v>
      </c>
    </row>
    <row r="187" spans="1:5" x14ac:dyDescent="0.2">
      <c r="A187" t="s">
        <v>96</v>
      </c>
      <c r="B187" t="s">
        <v>76</v>
      </c>
      <c r="C187" t="s">
        <v>81</v>
      </c>
      <c r="D187" s="2">
        <v>242.014096</v>
      </c>
      <c r="E187" s="2">
        <v>0</v>
      </c>
    </row>
    <row r="188" spans="1:5" x14ac:dyDescent="0.2">
      <c r="A188" t="s">
        <v>96</v>
      </c>
      <c r="B188" t="s">
        <v>76</v>
      </c>
      <c r="C188" t="s">
        <v>81</v>
      </c>
      <c r="D188" s="2">
        <v>180.98213519999999</v>
      </c>
      <c r="E188" s="2">
        <v>0</v>
      </c>
    </row>
    <row r="189" spans="1:5" x14ac:dyDescent="0.2">
      <c r="A189" t="s">
        <v>96</v>
      </c>
      <c r="B189" t="s">
        <v>76</v>
      </c>
      <c r="C189" t="s">
        <v>81</v>
      </c>
      <c r="D189" s="2">
        <v>72.711719400000007</v>
      </c>
      <c r="E189" s="2">
        <v>0</v>
      </c>
    </row>
    <row r="190" spans="1:5" x14ac:dyDescent="0.2">
      <c r="A190" t="s">
        <v>96</v>
      </c>
      <c r="B190" t="s">
        <v>76</v>
      </c>
      <c r="C190" t="s">
        <v>81</v>
      </c>
      <c r="D190" s="2">
        <v>115.1337584</v>
      </c>
      <c r="E190" s="2">
        <v>0</v>
      </c>
    </row>
    <row r="191" spans="1:5" x14ac:dyDescent="0.2">
      <c r="A191" t="s">
        <v>96</v>
      </c>
      <c r="B191" t="s">
        <v>76</v>
      </c>
      <c r="C191" t="s">
        <v>81</v>
      </c>
      <c r="D191" s="2">
        <v>0</v>
      </c>
      <c r="E191" s="2">
        <v>0</v>
      </c>
    </row>
    <row r="192" spans="1:5" x14ac:dyDescent="0.2">
      <c r="A192" t="s">
        <v>96</v>
      </c>
      <c r="B192" t="s">
        <v>76</v>
      </c>
      <c r="C192" t="s">
        <v>81</v>
      </c>
      <c r="D192" s="2">
        <v>0</v>
      </c>
      <c r="E192" s="2">
        <v>0</v>
      </c>
    </row>
    <row r="193" spans="1:5" x14ac:dyDescent="0.2">
      <c r="A193" t="s">
        <v>96</v>
      </c>
      <c r="B193" t="s">
        <v>76</v>
      </c>
      <c r="C193" t="s">
        <v>81</v>
      </c>
      <c r="D193" s="2">
        <v>0</v>
      </c>
      <c r="E193" s="2">
        <v>0</v>
      </c>
    </row>
    <row r="194" spans="1:5" x14ac:dyDescent="0.2">
      <c r="A194" t="s">
        <v>93</v>
      </c>
      <c r="B194" t="s">
        <v>68</v>
      </c>
      <c r="C194" t="s">
        <v>81</v>
      </c>
      <c r="D194" s="2">
        <v>0</v>
      </c>
      <c r="E194" s="2">
        <v>0</v>
      </c>
    </row>
    <row r="195" spans="1:5" x14ac:dyDescent="0.2">
      <c r="A195" t="s">
        <v>93</v>
      </c>
      <c r="B195" t="s">
        <v>68</v>
      </c>
      <c r="C195" t="s">
        <v>81</v>
      </c>
      <c r="D195" s="2">
        <v>0</v>
      </c>
      <c r="E195" s="2">
        <v>0</v>
      </c>
    </row>
    <row r="196" spans="1:5" x14ac:dyDescent="0.2">
      <c r="A196" t="s">
        <v>93</v>
      </c>
      <c r="B196" t="s">
        <v>68</v>
      </c>
      <c r="C196" t="s">
        <v>81</v>
      </c>
      <c r="D196" s="2">
        <v>0</v>
      </c>
      <c r="E196" s="2">
        <v>66</v>
      </c>
    </row>
    <row r="197" spans="1:5" x14ac:dyDescent="0.2">
      <c r="A197" t="s">
        <v>93</v>
      </c>
      <c r="B197" t="s">
        <v>68</v>
      </c>
      <c r="C197" t="s">
        <v>81</v>
      </c>
      <c r="D197" s="2">
        <v>0</v>
      </c>
      <c r="E197" s="2">
        <v>22</v>
      </c>
    </row>
    <row r="198" spans="1:5" x14ac:dyDescent="0.2">
      <c r="A198" t="s">
        <v>95</v>
      </c>
      <c r="B198" t="s">
        <v>68</v>
      </c>
      <c r="C198" t="s">
        <v>81</v>
      </c>
      <c r="D198" s="2">
        <v>0</v>
      </c>
      <c r="E198" s="2">
        <v>0</v>
      </c>
    </row>
    <row r="199" spans="1:5" x14ac:dyDescent="0.2">
      <c r="A199" t="s">
        <v>95</v>
      </c>
      <c r="B199" t="s">
        <v>68</v>
      </c>
      <c r="C199" t="s">
        <v>81</v>
      </c>
      <c r="D199" s="2">
        <v>0</v>
      </c>
      <c r="E199" s="2">
        <v>0</v>
      </c>
    </row>
    <row r="200" spans="1:5" x14ac:dyDescent="0.2">
      <c r="A200" t="s">
        <v>95</v>
      </c>
      <c r="B200" t="s">
        <v>68</v>
      </c>
      <c r="C200" t="s">
        <v>81</v>
      </c>
      <c r="D200" s="2">
        <v>0</v>
      </c>
      <c r="E200" s="2">
        <v>0</v>
      </c>
    </row>
    <row r="201" spans="1:5" x14ac:dyDescent="0.2">
      <c r="A201" t="s">
        <v>95</v>
      </c>
      <c r="B201" t="s">
        <v>68</v>
      </c>
      <c r="C201" t="s">
        <v>81</v>
      </c>
      <c r="D201" s="2">
        <v>0</v>
      </c>
      <c r="E201" s="2">
        <v>0</v>
      </c>
    </row>
    <row r="202" spans="1:5" x14ac:dyDescent="0.2">
      <c r="A202" t="s">
        <v>95</v>
      </c>
      <c r="B202" t="s">
        <v>68</v>
      </c>
      <c r="C202" t="s">
        <v>81</v>
      </c>
      <c r="D202" s="2">
        <v>0</v>
      </c>
      <c r="E202" s="2">
        <v>0</v>
      </c>
    </row>
    <row r="203" spans="1:5" x14ac:dyDescent="0.2">
      <c r="A203" t="s">
        <v>95</v>
      </c>
      <c r="B203" t="s">
        <v>68</v>
      </c>
      <c r="C203" t="s">
        <v>81</v>
      </c>
      <c r="D203" s="2">
        <v>0</v>
      </c>
      <c r="E203" s="2">
        <v>0</v>
      </c>
    </row>
    <row r="204" spans="1:5" x14ac:dyDescent="0.2">
      <c r="A204" t="s">
        <v>95</v>
      </c>
      <c r="B204" t="s">
        <v>68</v>
      </c>
      <c r="C204" t="s">
        <v>81</v>
      </c>
      <c r="D204" s="2">
        <v>0</v>
      </c>
      <c r="E204" s="2">
        <v>300</v>
      </c>
    </row>
    <row r="205" spans="1:5" x14ac:dyDescent="0.2">
      <c r="A205" t="s">
        <v>95</v>
      </c>
      <c r="B205" t="s">
        <v>68</v>
      </c>
      <c r="C205" t="s">
        <v>81</v>
      </c>
      <c r="D205" s="2">
        <v>0</v>
      </c>
      <c r="E205" s="2">
        <v>346</v>
      </c>
    </row>
    <row r="206" spans="1:5" x14ac:dyDescent="0.2">
      <c r="A206" t="s">
        <v>95</v>
      </c>
      <c r="B206" t="s">
        <v>68</v>
      </c>
      <c r="C206" t="s">
        <v>81</v>
      </c>
      <c r="D206" s="2">
        <v>0</v>
      </c>
      <c r="E206" s="2">
        <v>0</v>
      </c>
    </row>
    <row r="207" spans="1:5" x14ac:dyDescent="0.2">
      <c r="A207" t="s">
        <v>95</v>
      </c>
      <c r="B207" t="s">
        <v>68</v>
      </c>
      <c r="C207" t="s">
        <v>81</v>
      </c>
      <c r="D207" s="2">
        <v>0</v>
      </c>
      <c r="E207" s="2">
        <v>352</v>
      </c>
    </row>
    <row r="208" spans="1:5" x14ac:dyDescent="0.2">
      <c r="A208" t="s">
        <v>95</v>
      </c>
      <c r="B208" t="s">
        <v>68</v>
      </c>
      <c r="C208" t="s">
        <v>81</v>
      </c>
      <c r="D208" s="2">
        <v>0</v>
      </c>
      <c r="E208" s="2">
        <v>0</v>
      </c>
    </row>
    <row r="209" spans="1:5" x14ac:dyDescent="0.2">
      <c r="A209" t="s">
        <v>95</v>
      </c>
      <c r="B209" t="s">
        <v>68</v>
      </c>
      <c r="C209" t="s">
        <v>81</v>
      </c>
      <c r="D209" s="2">
        <v>0</v>
      </c>
      <c r="E209" s="2">
        <v>0</v>
      </c>
    </row>
    <row r="210" spans="1:5" x14ac:dyDescent="0.2">
      <c r="A210" t="s">
        <v>95</v>
      </c>
      <c r="B210" t="s">
        <v>68</v>
      </c>
      <c r="C210" t="s">
        <v>81</v>
      </c>
      <c r="D210" s="2">
        <v>0</v>
      </c>
      <c r="E210" s="2">
        <v>312</v>
      </c>
    </row>
    <row r="211" spans="1:5" x14ac:dyDescent="0.2">
      <c r="A211" t="s">
        <v>95</v>
      </c>
      <c r="B211" t="s">
        <v>68</v>
      </c>
      <c r="C211" t="s">
        <v>81</v>
      </c>
      <c r="D211" s="2">
        <v>0</v>
      </c>
      <c r="E211" s="2">
        <v>0</v>
      </c>
    </row>
    <row r="212" spans="1:5" x14ac:dyDescent="0.2">
      <c r="A212" t="s">
        <v>94</v>
      </c>
      <c r="B212" t="s">
        <v>68</v>
      </c>
      <c r="C212" t="s">
        <v>81</v>
      </c>
      <c r="D212" s="2">
        <v>0</v>
      </c>
      <c r="E212" s="2">
        <v>0</v>
      </c>
    </row>
    <row r="213" spans="1:5" x14ac:dyDescent="0.2">
      <c r="A213" t="s">
        <v>94</v>
      </c>
      <c r="B213" t="s">
        <v>68</v>
      </c>
      <c r="C213" t="s">
        <v>81</v>
      </c>
      <c r="D213" s="2">
        <v>0</v>
      </c>
      <c r="E213" s="2">
        <v>0</v>
      </c>
    </row>
    <row r="214" spans="1:5" x14ac:dyDescent="0.2">
      <c r="A214" t="s">
        <v>94</v>
      </c>
      <c r="B214" t="s">
        <v>68</v>
      </c>
      <c r="C214" t="s">
        <v>81</v>
      </c>
      <c r="D214" s="2">
        <v>0</v>
      </c>
      <c r="E214" s="2">
        <v>0</v>
      </c>
    </row>
    <row r="215" spans="1:5" x14ac:dyDescent="0.2">
      <c r="A215" t="s">
        <v>94</v>
      </c>
      <c r="B215" t="s">
        <v>68</v>
      </c>
      <c r="C215" t="s">
        <v>81</v>
      </c>
      <c r="D215" s="2">
        <v>0</v>
      </c>
      <c r="E215" s="2">
        <v>72</v>
      </c>
    </row>
    <row r="216" spans="1:5" x14ac:dyDescent="0.2">
      <c r="A216" t="s">
        <v>94</v>
      </c>
      <c r="B216" t="s">
        <v>68</v>
      </c>
      <c r="C216" t="s">
        <v>81</v>
      </c>
      <c r="D216" s="2">
        <v>0</v>
      </c>
      <c r="E216" s="2">
        <v>0</v>
      </c>
    </row>
    <row r="217" spans="1:5" x14ac:dyDescent="0.2">
      <c r="A217" t="s">
        <v>94</v>
      </c>
      <c r="B217" t="s">
        <v>68</v>
      </c>
      <c r="C217" t="s">
        <v>81</v>
      </c>
      <c r="D217" s="2">
        <v>0</v>
      </c>
      <c r="E217" s="2">
        <v>20</v>
      </c>
    </row>
    <row r="218" spans="1:5" x14ac:dyDescent="0.2">
      <c r="A218" t="s">
        <v>94</v>
      </c>
      <c r="B218" t="s">
        <v>68</v>
      </c>
      <c r="C218" t="s">
        <v>81</v>
      </c>
      <c r="D218" s="2">
        <v>0</v>
      </c>
      <c r="E218" s="2">
        <v>0</v>
      </c>
    </row>
    <row r="219" spans="1:5" x14ac:dyDescent="0.2">
      <c r="A219" t="s">
        <v>96</v>
      </c>
      <c r="B219" t="s">
        <v>68</v>
      </c>
      <c r="C219" t="s">
        <v>81</v>
      </c>
      <c r="D219" s="2">
        <v>0</v>
      </c>
      <c r="E219" s="2">
        <v>272</v>
      </c>
    </row>
    <row r="220" spans="1:5" x14ac:dyDescent="0.2">
      <c r="A220" t="s">
        <v>96</v>
      </c>
      <c r="B220" t="s">
        <v>68</v>
      </c>
      <c r="C220" t="s">
        <v>81</v>
      </c>
      <c r="D220" s="2">
        <v>0</v>
      </c>
      <c r="E220" s="2">
        <v>94</v>
      </c>
    </row>
    <row r="221" spans="1:5" x14ac:dyDescent="0.2">
      <c r="A221" t="s">
        <v>96</v>
      </c>
      <c r="B221" t="s">
        <v>68</v>
      </c>
      <c r="C221" t="s">
        <v>81</v>
      </c>
      <c r="D221" s="2">
        <v>0</v>
      </c>
      <c r="E221" s="2">
        <v>0</v>
      </c>
    </row>
    <row r="222" spans="1:5" x14ac:dyDescent="0.2">
      <c r="A222" t="s">
        <v>96</v>
      </c>
      <c r="B222" t="s">
        <v>68</v>
      </c>
      <c r="C222" t="s">
        <v>81</v>
      </c>
      <c r="D222" s="2">
        <v>0</v>
      </c>
      <c r="E222" s="2">
        <v>44</v>
      </c>
    </row>
    <row r="223" spans="1:5" x14ac:dyDescent="0.2">
      <c r="A223" t="s">
        <v>96</v>
      </c>
      <c r="B223" t="s">
        <v>68</v>
      </c>
      <c r="C223" t="s">
        <v>81</v>
      </c>
      <c r="D223" s="2">
        <v>0</v>
      </c>
      <c r="E223" s="2">
        <v>0</v>
      </c>
    </row>
    <row r="224" spans="1:5" x14ac:dyDescent="0.2">
      <c r="A224" t="s">
        <v>96</v>
      </c>
      <c r="B224" t="s">
        <v>68</v>
      </c>
      <c r="C224" t="s">
        <v>81</v>
      </c>
      <c r="D224" s="2">
        <v>0</v>
      </c>
      <c r="E224" s="2">
        <v>0</v>
      </c>
    </row>
    <row r="225" spans="1:5" x14ac:dyDescent="0.2">
      <c r="A225" t="s">
        <v>96</v>
      </c>
      <c r="B225" t="s">
        <v>68</v>
      </c>
      <c r="C225" t="s">
        <v>81</v>
      </c>
      <c r="D225" s="2">
        <v>0</v>
      </c>
      <c r="E225" s="2">
        <v>0</v>
      </c>
    </row>
    <row r="226" spans="1:5" x14ac:dyDescent="0.2">
      <c r="A226" t="s">
        <v>93</v>
      </c>
      <c r="B226" t="s">
        <v>46</v>
      </c>
      <c r="C226" t="s">
        <v>81</v>
      </c>
      <c r="D226" s="2">
        <v>0</v>
      </c>
      <c r="E226" s="2">
        <v>0</v>
      </c>
    </row>
    <row r="227" spans="1:5" x14ac:dyDescent="0.2">
      <c r="A227" t="s">
        <v>93</v>
      </c>
      <c r="B227" t="s">
        <v>46</v>
      </c>
      <c r="C227" t="s">
        <v>81</v>
      </c>
      <c r="D227" s="2">
        <v>0</v>
      </c>
      <c r="E227" s="2">
        <v>0</v>
      </c>
    </row>
    <row r="228" spans="1:5" x14ac:dyDescent="0.2">
      <c r="A228" t="s">
        <v>93</v>
      </c>
      <c r="B228" t="s">
        <v>46</v>
      </c>
      <c r="C228" t="s">
        <v>81</v>
      </c>
      <c r="D228" s="2">
        <v>67.128708399999994</v>
      </c>
      <c r="E228" s="2">
        <v>32</v>
      </c>
    </row>
    <row r="229" spans="1:5" x14ac:dyDescent="0.2">
      <c r="A229" t="s">
        <v>93</v>
      </c>
      <c r="B229" t="s">
        <v>46</v>
      </c>
      <c r="C229" t="s">
        <v>81</v>
      </c>
      <c r="D229" s="2">
        <v>52.774257599999999</v>
      </c>
      <c r="E229" s="2">
        <v>32</v>
      </c>
    </row>
    <row r="230" spans="1:5" x14ac:dyDescent="0.2">
      <c r="A230" t="s">
        <v>95</v>
      </c>
      <c r="B230" t="s">
        <v>46</v>
      </c>
      <c r="C230" t="s">
        <v>81</v>
      </c>
      <c r="D230" s="2">
        <v>0</v>
      </c>
      <c r="E230" s="2">
        <v>0</v>
      </c>
    </row>
    <row r="231" spans="1:5" x14ac:dyDescent="0.2">
      <c r="A231" t="s">
        <v>95</v>
      </c>
      <c r="B231" t="s">
        <v>46</v>
      </c>
      <c r="C231" t="s">
        <v>81</v>
      </c>
      <c r="D231" s="2">
        <v>0</v>
      </c>
      <c r="E231" s="2">
        <v>0</v>
      </c>
    </row>
    <row r="232" spans="1:5" x14ac:dyDescent="0.2">
      <c r="A232" t="s">
        <v>95</v>
      </c>
      <c r="B232" t="s">
        <v>46</v>
      </c>
      <c r="C232" t="s">
        <v>81</v>
      </c>
      <c r="D232" s="2">
        <v>0</v>
      </c>
      <c r="E232" s="2">
        <v>0</v>
      </c>
    </row>
    <row r="233" spans="1:5" x14ac:dyDescent="0.2">
      <c r="A233" t="s">
        <v>95</v>
      </c>
      <c r="B233" t="s">
        <v>46</v>
      </c>
      <c r="C233" t="s">
        <v>81</v>
      </c>
      <c r="D233" s="2">
        <v>0</v>
      </c>
      <c r="E233" s="2">
        <v>0</v>
      </c>
    </row>
    <row r="234" spans="1:5" x14ac:dyDescent="0.2">
      <c r="A234" t="s">
        <v>95</v>
      </c>
      <c r="B234" t="s">
        <v>46</v>
      </c>
      <c r="C234" t="s">
        <v>81</v>
      </c>
      <c r="D234" s="2">
        <v>0</v>
      </c>
      <c r="E234" s="2">
        <v>0</v>
      </c>
    </row>
    <row r="235" spans="1:5" x14ac:dyDescent="0.2">
      <c r="A235" t="s">
        <v>95</v>
      </c>
      <c r="B235" t="s">
        <v>46</v>
      </c>
      <c r="C235" t="s">
        <v>81</v>
      </c>
      <c r="D235" s="2">
        <v>0</v>
      </c>
      <c r="E235" s="2">
        <v>0</v>
      </c>
    </row>
    <row r="236" spans="1:5" x14ac:dyDescent="0.2">
      <c r="A236" t="s">
        <v>95</v>
      </c>
      <c r="B236" t="s">
        <v>46</v>
      </c>
      <c r="C236" t="s">
        <v>81</v>
      </c>
      <c r="D236" s="2">
        <v>260.39846840000001</v>
      </c>
      <c r="E236" s="2">
        <v>324</v>
      </c>
    </row>
    <row r="237" spans="1:5" x14ac:dyDescent="0.2">
      <c r="A237" t="s">
        <v>95</v>
      </c>
      <c r="B237" t="s">
        <v>46</v>
      </c>
      <c r="C237" t="s">
        <v>81</v>
      </c>
      <c r="D237" s="2">
        <v>261.23838460000002</v>
      </c>
      <c r="E237" s="2">
        <v>342</v>
      </c>
    </row>
    <row r="238" spans="1:5" x14ac:dyDescent="0.2">
      <c r="A238" t="s">
        <v>95</v>
      </c>
      <c r="B238" t="s">
        <v>46</v>
      </c>
      <c r="C238" t="s">
        <v>81</v>
      </c>
      <c r="D238" s="2">
        <v>0</v>
      </c>
      <c r="E238" s="2">
        <v>0</v>
      </c>
    </row>
    <row r="239" spans="1:5" x14ac:dyDescent="0.2">
      <c r="A239" t="s">
        <v>95</v>
      </c>
      <c r="B239" t="s">
        <v>46</v>
      </c>
      <c r="C239" t="s">
        <v>81</v>
      </c>
      <c r="D239" s="2">
        <v>614.32730779999997</v>
      </c>
      <c r="E239" s="2">
        <v>334</v>
      </c>
    </row>
    <row r="240" spans="1:5" x14ac:dyDescent="0.2">
      <c r="A240" t="s">
        <v>95</v>
      </c>
      <c r="B240" t="s">
        <v>46</v>
      </c>
      <c r="C240" t="s">
        <v>81</v>
      </c>
      <c r="D240" s="2">
        <v>0</v>
      </c>
      <c r="E240" s="2">
        <v>0</v>
      </c>
    </row>
    <row r="241" spans="1:5" x14ac:dyDescent="0.2">
      <c r="A241" t="s">
        <v>95</v>
      </c>
      <c r="B241" t="s">
        <v>46</v>
      </c>
      <c r="C241" t="s">
        <v>81</v>
      </c>
      <c r="D241" s="2">
        <v>0</v>
      </c>
      <c r="E241" s="2">
        <v>0</v>
      </c>
    </row>
    <row r="242" spans="1:5" x14ac:dyDescent="0.2">
      <c r="A242" t="s">
        <v>95</v>
      </c>
      <c r="B242" t="s">
        <v>46</v>
      </c>
      <c r="C242" t="s">
        <v>81</v>
      </c>
      <c r="D242" s="2">
        <v>337.44650419999999</v>
      </c>
      <c r="E242" s="2">
        <v>544</v>
      </c>
    </row>
    <row r="243" spans="1:5" x14ac:dyDescent="0.2">
      <c r="A243" t="s">
        <v>95</v>
      </c>
      <c r="B243" t="s">
        <v>46</v>
      </c>
      <c r="C243" t="s">
        <v>81</v>
      </c>
      <c r="D243" s="2">
        <v>0</v>
      </c>
      <c r="E243" s="2">
        <v>0</v>
      </c>
    </row>
    <row r="244" spans="1:5" x14ac:dyDescent="0.2">
      <c r="A244" t="s">
        <v>94</v>
      </c>
      <c r="B244" t="s">
        <v>46</v>
      </c>
      <c r="C244" t="s">
        <v>81</v>
      </c>
      <c r="D244" s="2">
        <v>0</v>
      </c>
      <c r="E244" s="2">
        <v>0</v>
      </c>
    </row>
    <row r="245" spans="1:5" x14ac:dyDescent="0.2">
      <c r="A245" t="s">
        <v>94</v>
      </c>
      <c r="B245" t="s">
        <v>46</v>
      </c>
      <c r="C245" t="s">
        <v>81</v>
      </c>
      <c r="D245" s="2">
        <v>0</v>
      </c>
      <c r="E245" s="2">
        <v>0</v>
      </c>
    </row>
    <row r="246" spans="1:5" x14ac:dyDescent="0.2">
      <c r="A246" t="s">
        <v>94</v>
      </c>
      <c r="B246" t="s">
        <v>46</v>
      </c>
      <c r="C246" t="s">
        <v>81</v>
      </c>
      <c r="D246" s="2">
        <v>0</v>
      </c>
      <c r="E246" s="2">
        <v>0</v>
      </c>
    </row>
    <row r="247" spans="1:5" x14ac:dyDescent="0.2">
      <c r="A247" t="s">
        <v>94</v>
      </c>
      <c r="B247" t="s">
        <v>46</v>
      </c>
      <c r="C247" t="s">
        <v>81</v>
      </c>
      <c r="D247" s="2">
        <v>130.0002312</v>
      </c>
      <c r="E247" s="2">
        <v>284</v>
      </c>
    </row>
    <row r="248" spans="1:5" x14ac:dyDescent="0.2">
      <c r="A248" t="s">
        <v>94</v>
      </c>
      <c r="B248" t="s">
        <v>46</v>
      </c>
      <c r="C248" t="s">
        <v>81</v>
      </c>
      <c r="D248" s="2">
        <v>0</v>
      </c>
      <c r="E248" s="2">
        <v>0</v>
      </c>
    </row>
    <row r="249" spans="1:5" x14ac:dyDescent="0.2">
      <c r="A249" t="s">
        <v>94</v>
      </c>
      <c r="B249" t="s">
        <v>46</v>
      </c>
      <c r="C249" t="s">
        <v>81</v>
      </c>
      <c r="D249" s="2">
        <v>116.9996534</v>
      </c>
      <c r="E249" s="2">
        <v>92</v>
      </c>
    </row>
    <row r="250" spans="1:5" x14ac:dyDescent="0.2">
      <c r="A250" t="s">
        <v>94</v>
      </c>
      <c r="B250" t="s">
        <v>46</v>
      </c>
      <c r="C250" t="s">
        <v>81</v>
      </c>
      <c r="D250" s="2">
        <v>0</v>
      </c>
      <c r="E250" s="2">
        <v>50</v>
      </c>
    </row>
    <row r="251" spans="1:5" x14ac:dyDescent="0.2">
      <c r="A251" t="s">
        <v>96</v>
      </c>
      <c r="B251" t="s">
        <v>46</v>
      </c>
      <c r="C251" t="s">
        <v>81</v>
      </c>
      <c r="D251" s="2">
        <v>191.30270060000001</v>
      </c>
      <c r="E251" s="2">
        <v>220</v>
      </c>
    </row>
    <row r="252" spans="1:5" x14ac:dyDescent="0.2">
      <c r="A252" t="s">
        <v>96</v>
      </c>
      <c r="B252" t="s">
        <v>46</v>
      </c>
      <c r="C252" t="s">
        <v>81</v>
      </c>
      <c r="D252" s="2">
        <v>148.58348599999999</v>
      </c>
      <c r="E252" s="2">
        <v>90</v>
      </c>
    </row>
    <row r="253" spans="1:5" x14ac:dyDescent="0.2">
      <c r="A253" t="s">
        <v>96</v>
      </c>
      <c r="B253" t="s">
        <v>46</v>
      </c>
      <c r="C253" t="s">
        <v>81</v>
      </c>
      <c r="D253" s="2">
        <v>0</v>
      </c>
      <c r="E253" s="2">
        <v>6</v>
      </c>
    </row>
    <row r="254" spans="1:5" x14ac:dyDescent="0.2">
      <c r="A254" t="s">
        <v>96</v>
      </c>
      <c r="B254" t="s">
        <v>46</v>
      </c>
      <c r="C254" t="s">
        <v>81</v>
      </c>
      <c r="D254" s="2">
        <v>65.1252456</v>
      </c>
      <c r="E254" s="2">
        <v>50</v>
      </c>
    </row>
    <row r="255" spans="1:5" x14ac:dyDescent="0.2">
      <c r="A255" t="s">
        <v>96</v>
      </c>
      <c r="B255" t="s">
        <v>46</v>
      </c>
      <c r="C255" t="s">
        <v>81</v>
      </c>
      <c r="D255" s="2">
        <v>0</v>
      </c>
      <c r="E255" s="2">
        <v>0</v>
      </c>
    </row>
    <row r="256" spans="1:5" x14ac:dyDescent="0.2">
      <c r="A256" t="s">
        <v>96</v>
      </c>
      <c r="B256" t="s">
        <v>46</v>
      </c>
      <c r="C256" t="s">
        <v>81</v>
      </c>
      <c r="D256" s="2">
        <v>0</v>
      </c>
      <c r="E256" s="2">
        <v>0</v>
      </c>
    </row>
    <row r="257" spans="1:5" x14ac:dyDescent="0.2">
      <c r="A257" t="s">
        <v>96</v>
      </c>
      <c r="B257" t="s">
        <v>46</v>
      </c>
      <c r="C257" t="s">
        <v>81</v>
      </c>
      <c r="D257" s="2">
        <v>0</v>
      </c>
      <c r="E257" s="2">
        <v>0</v>
      </c>
    </row>
    <row r="258" spans="1:5" x14ac:dyDescent="0.2">
      <c r="A258" t="s">
        <v>93</v>
      </c>
      <c r="B258" t="s">
        <v>80</v>
      </c>
      <c r="C258" t="s">
        <v>81</v>
      </c>
      <c r="D258" s="2">
        <v>0</v>
      </c>
      <c r="E258" s="2">
        <v>0</v>
      </c>
    </row>
    <row r="259" spans="1:5" x14ac:dyDescent="0.2">
      <c r="A259" t="s">
        <v>93</v>
      </c>
      <c r="B259" t="s">
        <v>80</v>
      </c>
      <c r="C259" t="s">
        <v>81</v>
      </c>
      <c r="D259" s="2">
        <v>0</v>
      </c>
      <c r="E259" s="2">
        <v>0</v>
      </c>
    </row>
    <row r="260" spans="1:5" x14ac:dyDescent="0.2">
      <c r="A260" t="s">
        <v>93</v>
      </c>
      <c r="B260" t="s">
        <v>80</v>
      </c>
      <c r="C260" t="s">
        <v>81</v>
      </c>
      <c r="D260" s="2">
        <v>58.432226999999997</v>
      </c>
      <c r="E260" s="2">
        <v>0</v>
      </c>
    </row>
    <row r="261" spans="1:5" x14ac:dyDescent="0.2">
      <c r="A261" t="s">
        <v>93</v>
      </c>
      <c r="B261" t="s">
        <v>80</v>
      </c>
      <c r="C261" t="s">
        <v>81</v>
      </c>
      <c r="D261" s="2">
        <v>31.969545400000001</v>
      </c>
      <c r="E261" s="2">
        <v>0</v>
      </c>
    </row>
    <row r="262" spans="1:5" x14ac:dyDescent="0.2">
      <c r="A262" t="s">
        <v>95</v>
      </c>
      <c r="B262" t="s">
        <v>80</v>
      </c>
      <c r="C262" t="s">
        <v>81</v>
      </c>
      <c r="D262" s="2">
        <v>0</v>
      </c>
      <c r="E262" s="2">
        <v>0</v>
      </c>
    </row>
    <row r="263" spans="1:5" x14ac:dyDescent="0.2">
      <c r="A263" t="s">
        <v>95</v>
      </c>
      <c r="B263" t="s">
        <v>80</v>
      </c>
      <c r="C263" t="s">
        <v>81</v>
      </c>
      <c r="D263" s="2">
        <v>0</v>
      </c>
      <c r="E263" s="2">
        <v>0</v>
      </c>
    </row>
    <row r="264" spans="1:5" x14ac:dyDescent="0.2">
      <c r="A264" t="s">
        <v>95</v>
      </c>
      <c r="B264" t="s">
        <v>80</v>
      </c>
      <c r="C264" t="s">
        <v>81</v>
      </c>
      <c r="D264" s="2">
        <v>0</v>
      </c>
      <c r="E264" s="2">
        <v>0</v>
      </c>
    </row>
    <row r="265" spans="1:5" x14ac:dyDescent="0.2">
      <c r="A265" t="s">
        <v>95</v>
      </c>
      <c r="B265" t="s">
        <v>80</v>
      </c>
      <c r="C265" t="s">
        <v>81</v>
      </c>
      <c r="D265" s="2">
        <v>0</v>
      </c>
      <c r="E265" s="2">
        <v>0</v>
      </c>
    </row>
    <row r="266" spans="1:5" x14ac:dyDescent="0.2">
      <c r="A266" t="s">
        <v>95</v>
      </c>
      <c r="B266" t="s">
        <v>80</v>
      </c>
      <c r="C266" t="s">
        <v>81</v>
      </c>
      <c r="D266" s="2">
        <v>0</v>
      </c>
      <c r="E266" s="2">
        <v>0</v>
      </c>
    </row>
    <row r="267" spans="1:5" x14ac:dyDescent="0.2">
      <c r="A267" t="s">
        <v>95</v>
      </c>
      <c r="B267" t="s">
        <v>80</v>
      </c>
      <c r="C267" t="s">
        <v>81</v>
      </c>
      <c r="D267" s="2">
        <v>0</v>
      </c>
      <c r="E267" s="2">
        <v>0</v>
      </c>
    </row>
    <row r="268" spans="1:5" x14ac:dyDescent="0.2">
      <c r="A268" t="s">
        <v>95</v>
      </c>
      <c r="B268" t="s">
        <v>80</v>
      </c>
      <c r="C268" t="s">
        <v>81</v>
      </c>
      <c r="D268" s="2">
        <v>286.94262479999998</v>
      </c>
      <c r="E268" s="2">
        <v>0</v>
      </c>
    </row>
    <row r="269" spans="1:5" x14ac:dyDescent="0.2">
      <c r="A269" t="s">
        <v>95</v>
      </c>
      <c r="B269" t="s">
        <v>80</v>
      </c>
      <c r="C269" t="s">
        <v>81</v>
      </c>
      <c r="D269" s="2">
        <v>370.03214379999997</v>
      </c>
      <c r="E269" s="2">
        <v>0</v>
      </c>
    </row>
    <row r="270" spans="1:5" x14ac:dyDescent="0.2">
      <c r="A270" t="s">
        <v>95</v>
      </c>
      <c r="B270" t="s">
        <v>80</v>
      </c>
      <c r="C270" t="s">
        <v>81</v>
      </c>
      <c r="D270" s="2">
        <v>0</v>
      </c>
      <c r="E270" s="2">
        <v>0</v>
      </c>
    </row>
    <row r="271" spans="1:5" x14ac:dyDescent="0.2">
      <c r="A271" t="s">
        <v>95</v>
      </c>
      <c r="B271" t="s">
        <v>80</v>
      </c>
      <c r="C271" t="s">
        <v>81</v>
      </c>
      <c r="D271" s="2">
        <v>728.32596839999997</v>
      </c>
      <c r="E271" s="2">
        <v>0</v>
      </c>
    </row>
    <row r="272" spans="1:5" x14ac:dyDescent="0.2">
      <c r="A272" t="s">
        <v>95</v>
      </c>
      <c r="B272" t="s">
        <v>80</v>
      </c>
      <c r="C272" t="s">
        <v>81</v>
      </c>
      <c r="D272" s="2">
        <v>0</v>
      </c>
      <c r="E272" s="2">
        <v>0</v>
      </c>
    </row>
    <row r="273" spans="1:5" x14ac:dyDescent="0.2">
      <c r="A273" t="s">
        <v>95</v>
      </c>
      <c r="B273" t="s">
        <v>80</v>
      </c>
      <c r="C273" t="s">
        <v>81</v>
      </c>
      <c r="D273" s="2">
        <v>0</v>
      </c>
      <c r="E273" s="2">
        <v>0</v>
      </c>
    </row>
    <row r="274" spans="1:5" x14ac:dyDescent="0.2">
      <c r="A274" t="s">
        <v>95</v>
      </c>
      <c r="B274" t="s">
        <v>80</v>
      </c>
      <c r="C274" t="s">
        <v>81</v>
      </c>
      <c r="D274" s="2">
        <v>430.66202759999999</v>
      </c>
      <c r="E274" s="2">
        <v>0</v>
      </c>
    </row>
    <row r="275" spans="1:5" x14ac:dyDescent="0.2">
      <c r="A275" t="s">
        <v>95</v>
      </c>
      <c r="B275" t="s">
        <v>80</v>
      </c>
      <c r="C275" t="s">
        <v>81</v>
      </c>
      <c r="D275" s="2">
        <v>0</v>
      </c>
      <c r="E275" s="2">
        <v>0</v>
      </c>
    </row>
    <row r="276" spans="1:5" x14ac:dyDescent="0.2">
      <c r="A276" t="s">
        <v>94</v>
      </c>
      <c r="B276" t="s">
        <v>80</v>
      </c>
      <c r="C276" t="s">
        <v>81</v>
      </c>
      <c r="D276" s="2">
        <v>0</v>
      </c>
      <c r="E276" s="2">
        <v>0</v>
      </c>
    </row>
    <row r="277" spans="1:5" x14ac:dyDescent="0.2">
      <c r="A277" t="s">
        <v>94</v>
      </c>
      <c r="B277" t="s">
        <v>80</v>
      </c>
      <c r="C277" t="s">
        <v>81</v>
      </c>
      <c r="D277" s="2">
        <v>0</v>
      </c>
      <c r="E277" s="2">
        <v>0</v>
      </c>
    </row>
    <row r="278" spans="1:5" x14ac:dyDescent="0.2">
      <c r="A278" t="s">
        <v>94</v>
      </c>
      <c r="B278" t="s">
        <v>80</v>
      </c>
      <c r="C278" t="s">
        <v>81</v>
      </c>
      <c r="D278" s="2">
        <v>0</v>
      </c>
      <c r="E278" s="2">
        <v>0</v>
      </c>
    </row>
    <row r="279" spans="1:5" x14ac:dyDescent="0.2">
      <c r="A279" t="s">
        <v>94</v>
      </c>
      <c r="B279" t="s">
        <v>80</v>
      </c>
      <c r="C279" t="s">
        <v>81</v>
      </c>
      <c r="D279" s="2">
        <v>652.56037240000001</v>
      </c>
      <c r="E279" s="2">
        <v>0</v>
      </c>
    </row>
    <row r="280" spans="1:5" x14ac:dyDescent="0.2">
      <c r="A280" t="s">
        <v>94</v>
      </c>
      <c r="B280" t="s">
        <v>80</v>
      </c>
      <c r="C280" t="s">
        <v>81</v>
      </c>
      <c r="D280" s="2">
        <v>0</v>
      </c>
      <c r="E280" s="2">
        <v>0</v>
      </c>
    </row>
    <row r="281" spans="1:5" x14ac:dyDescent="0.2">
      <c r="A281" t="s">
        <v>94</v>
      </c>
      <c r="B281" t="s">
        <v>80</v>
      </c>
      <c r="C281" t="s">
        <v>81</v>
      </c>
      <c r="D281" s="2">
        <v>237.53244720000001</v>
      </c>
      <c r="E281" s="2">
        <v>0</v>
      </c>
    </row>
    <row r="282" spans="1:5" x14ac:dyDescent="0.2">
      <c r="A282" t="s">
        <v>94</v>
      </c>
      <c r="B282" t="s">
        <v>80</v>
      </c>
      <c r="C282" t="s">
        <v>81</v>
      </c>
      <c r="D282" s="2">
        <v>154.4278386</v>
      </c>
      <c r="E282" s="2">
        <v>0</v>
      </c>
    </row>
    <row r="283" spans="1:5" x14ac:dyDescent="0.2">
      <c r="A283" t="s">
        <v>96</v>
      </c>
      <c r="B283" t="s">
        <v>80</v>
      </c>
      <c r="C283" t="s">
        <v>81</v>
      </c>
      <c r="D283" s="2">
        <v>231.9087136</v>
      </c>
      <c r="E283" s="2">
        <v>0</v>
      </c>
    </row>
    <row r="284" spans="1:5" x14ac:dyDescent="0.2">
      <c r="A284" t="s">
        <v>96</v>
      </c>
      <c r="B284" t="s">
        <v>80</v>
      </c>
      <c r="C284" t="s">
        <v>81</v>
      </c>
      <c r="D284" s="2">
        <v>150.6631108</v>
      </c>
      <c r="E284" s="2">
        <v>0</v>
      </c>
    </row>
    <row r="285" spans="1:5" x14ac:dyDescent="0.2">
      <c r="A285" t="s">
        <v>96</v>
      </c>
      <c r="B285" t="s">
        <v>80</v>
      </c>
      <c r="C285" t="s">
        <v>81</v>
      </c>
      <c r="D285" s="2">
        <v>99.332417199999995</v>
      </c>
      <c r="E285" s="2">
        <v>0</v>
      </c>
    </row>
    <row r="286" spans="1:5" x14ac:dyDescent="0.2">
      <c r="A286" t="s">
        <v>96</v>
      </c>
      <c r="B286" t="s">
        <v>80</v>
      </c>
      <c r="C286" t="s">
        <v>81</v>
      </c>
      <c r="D286" s="2">
        <v>93.129697399999998</v>
      </c>
      <c r="E286" s="2">
        <v>0</v>
      </c>
    </row>
    <row r="287" spans="1:5" x14ac:dyDescent="0.2">
      <c r="A287" t="s">
        <v>96</v>
      </c>
      <c r="B287" t="s">
        <v>80</v>
      </c>
      <c r="C287" t="s">
        <v>81</v>
      </c>
      <c r="D287" s="2">
        <v>0</v>
      </c>
      <c r="E287" s="2">
        <v>0</v>
      </c>
    </row>
    <row r="288" spans="1:5" x14ac:dyDescent="0.2">
      <c r="A288" t="s">
        <v>96</v>
      </c>
      <c r="B288" t="s">
        <v>80</v>
      </c>
      <c r="C288" t="s">
        <v>81</v>
      </c>
      <c r="D288" s="2">
        <v>0</v>
      </c>
      <c r="E288" s="2">
        <v>0</v>
      </c>
    </row>
    <row r="289" spans="1:5" x14ac:dyDescent="0.2">
      <c r="A289" t="s">
        <v>96</v>
      </c>
      <c r="B289" t="s">
        <v>80</v>
      </c>
      <c r="C289" t="s">
        <v>81</v>
      </c>
      <c r="D289" s="2">
        <v>0</v>
      </c>
      <c r="E289" s="2">
        <v>0</v>
      </c>
    </row>
    <row r="290" spans="1:5" x14ac:dyDescent="0.2">
      <c r="A290" t="s">
        <v>93</v>
      </c>
      <c r="B290" t="s">
        <v>58</v>
      </c>
      <c r="C290" t="s">
        <v>81</v>
      </c>
      <c r="D290" s="2">
        <v>0</v>
      </c>
      <c r="E290" s="2">
        <v>0</v>
      </c>
    </row>
    <row r="291" spans="1:5" x14ac:dyDescent="0.2">
      <c r="A291" t="s">
        <v>93</v>
      </c>
      <c r="B291" t="s">
        <v>58</v>
      </c>
      <c r="C291" t="s">
        <v>81</v>
      </c>
      <c r="D291" s="2">
        <v>0</v>
      </c>
      <c r="E291" s="2">
        <v>0</v>
      </c>
    </row>
    <row r="292" spans="1:5" x14ac:dyDescent="0.2">
      <c r="A292" t="s">
        <v>93</v>
      </c>
      <c r="B292" t="s">
        <v>58</v>
      </c>
      <c r="C292" t="s">
        <v>81</v>
      </c>
      <c r="D292" s="2">
        <v>0</v>
      </c>
      <c r="E292" s="2">
        <v>42</v>
      </c>
    </row>
    <row r="293" spans="1:5" x14ac:dyDescent="0.2">
      <c r="A293" t="s">
        <v>93</v>
      </c>
      <c r="B293" t="s">
        <v>58</v>
      </c>
      <c r="C293" t="s">
        <v>81</v>
      </c>
      <c r="D293" s="2">
        <v>0</v>
      </c>
      <c r="E293" s="2">
        <v>10</v>
      </c>
    </row>
    <row r="294" spans="1:5" x14ac:dyDescent="0.2">
      <c r="A294" t="s">
        <v>95</v>
      </c>
      <c r="B294" t="s">
        <v>58</v>
      </c>
      <c r="C294" t="s">
        <v>81</v>
      </c>
      <c r="D294" s="2">
        <v>0</v>
      </c>
      <c r="E294" s="2">
        <v>0</v>
      </c>
    </row>
    <row r="295" spans="1:5" x14ac:dyDescent="0.2">
      <c r="A295" t="s">
        <v>95</v>
      </c>
      <c r="B295" t="s">
        <v>58</v>
      </c>
      <c r="C295" t="s">
        <v>81</v>
      </c>
      <c r="D295" s="2">
        <v>0</v>
      </c>
      <c r="E295" s="2">
        <v>0</v>
      </c>
    </row>
    <row r="296" spans="1:5" x14ac:dyDescent="0.2">
      <c r="A296" t="s">
        <v>95</v>
      </c>
      <c r="B296" t="s">
        <v>58</v>
      </c>
      <c r="C296" t="s">
        <v>81</v>
      </c>
      <c r="D296" s="2">
        <v>0</v>
      </c>
      <c r="E296" s="2">
        <v>0</v>
      </c>
    </row>
    <row r="297" spans="1:5" x14ac:dyDescent="0.2">
      <c r="A297" t="s">
        <v>95</v>
      </c>
      <c r="B297" t="s">
        <v>58</v>
      </c>
      <c r="C297" t="s">
        <v>81</v>
      </c>
      <c r="D297" s="2">
        <v>0</v>
      </c>
      <c r="E297" s="2">
        <v>0</v>
      </c>
    </row>
    <row r="298" spans="1:5" x14ac:dyDescent="0.2">
      <c r="A298" t="s">
        <v>95</v>
      </c>
      <c r="B298" t="s">
        <v>58</v>
      </c>
      <c r="C298" t="s">
        <v>81</v>
      </c>
      <c r="D298" s="2">
        <v>0</v>
      </c>
      <c r="E298" s="2">
        <v>0</v>
      </c>
    </row>
    <row r="299" spans="1:5" x14ac:dyDescent="0.2">
      <c r="A299" t="s">
        <v>95</v>
      </c>
      <c r="B299" t="s">
        <v>58</v>
      </c>
      <c r="C299" t="s">
        <v>81</v>
      </c>
      <c r="D299" s="2">
        <v>0</v>
      </c>
      <c r="E299" s="2">
        <v>0</v>
      </c>
    </row>
    <row r="300" spans="1:5" x14ac:dyDescent="0.2">
      <c r="A300" t="s">
        <v>95</v>
      </c>
      <c r="B300" t="s">
        <v>58</v>
      </c>
      <c r="C300" t="s">
        <v>81</v>
      </c>
      <c r="D300" s="2">
        <v>0</v>
      </c>
      <c r="E300" s="2">
        <v>196</v>
      </c>
    </row>
    <row r="301" spans="1:5" x14ac:dyDescent="0.2">
      <c r="A301" t="s">
        <v>95</v>
      </c>
      <c r="B301" t="s">
        <v>58</v>
      </c>
      <c r="C301" t="s">
        <v>81</v>
      </c>
      <c r="D301" s="2">
        <v>0</v>
      </c>
      <c r="E301" s="2">
        <v>270</v>
      </c>
    </row>
    <row r="302" spans="1:5" x14ac:dyDescent="0.2">
      <c r="A302" t="s">
        <v>95</v>
      </c>
      <c r="B302" t="s">
        <v>58</v>
      </c>
      <c r="C302" t="s">
        <v>81</v>
      </c>
      <c r="D302" s="2">
        <v>0</v>
      </c>
      <c r="E302" s="2">
        <v>0</v>
      </c>
    </row>
    <row r="303" spans="1:5" x14ac:dyDescent="0.2">
      <c r="A303" t="s">
        <v>95</v>
      </c>
      <c r="B303" t="s">
        <v>58</v>
      </c>
      <c r="C303" t="s">
        <v>81</v>
      </c>
      <c r="D303" s="2">
        <v>0</v>
      </c>
      <c r="E303" s="2">
        <v>258</v>
      </c>
    </row>
    <row r="304" spans="1:5" x14ac:dyDescent="0.2">
      <c r="A304" t="s">
        <v>95</v>
      </c>
      <c r="B304" t="s">
        <v>58</v>
      </c>
      <c r="C304" t="s">
        <v>81</v>
      </c>
      <c r="D304" s="2">
        <v>0</v>
      </c>
      <c r="E304" s="2">
        <v>0</v>
      </c>
    </row>
    <row r="305" spans="1:5" x14ac:dyDescent="0.2">
      <c r="A305" t="s">
        <v>95</v>
      </c>
      <c r="B305" t="s">
        <v>58</v>
      </c>
      <c r="C305" t="s">
        <v>81</v>
      </c>
      <c r="D305" s="2">
        <v>0</v>
      </c>
      <c r="E305" s="2">
        <v>0</v>
      </c>
    </row>
    <row r="306" spans="1:5" x14ac:dyDescent="0.2">
      <c r="A306" t="s">
        <v>95</v>
      </c>
      <c r="B306" t="s">
        <v>58</v>
      </c>
      <c r="C306" t="s">
        <v>81</v>
      </c>
      <c r="D306" s="2">
        <v>0</v>
      </c>
      <c r="E306" s="2">
        <v>316</v>
      </c>
    </row>
    <row r="307" spans="1:5" x14ac:dyDescent="0.2">
      <c r="A307" t="s">
        <v>95</v>
      </c>
      <c r="B307" t="s">
        <v>58</v>
      </c>
      <c r="C307" t="s">
        <v>81</v>
      </c>
      <c r="D307" s="2">
        <v>0</v>
      </c>
      <c r="E307" s="2">
        <v>0</v>
      </c>
    </row>
    <row r="308" spans="1:5" x14ac:dyDescent="0.2">
      <c r="A308" t="s">
        <v>94</v>
      </c>
      <c r="B308" t="s">
        <v>58</v>
      </c>
      <c r="C308" t="s">
        <v>81</v>
      </c>
      <c r="D308" s="2">
        <v>0</v>
      </c>
      <c r="E308" s="2">
        <v>0</v>
      </c>
    </row>
    <row r="309" spans="1:5" x14ac:dyDescent="0.2">
      <c r="A309" t="s">
        <v>94</v>
      </c>
      <c r="B309" t="s">
        <v>58</v>
      </c>
      <c r="C309" t="s">
        <v>81</v>
      </c>
      <c r="D309" s="2">
        <v>0</v>
      </c>
      <c r="E309" s="2">
        <v>0</v>
      </c>
    </row>
    <row r="310" spans="1:5" x14ac:dyDescent="0.2">
      <c r="A310" t="s">
        <v>94</v>
      </c>
      <c r="B310" t="s">
        <v>58</v>
      </c>
      <c r="C310" t="s">
        <v>81</v>
      </c>
      <c r="D310" s="2">
        <v>0</v>
      </c>
      <c r="E310" s="2">
        <v>0</v>
      </c>
    </row>
    <row r="311" spans="1:5" x14ac:dyDescent="0.2">
      <c r="A311" t="s">
        <v>94</v>
      </c>
      <c r="B311" t="s">
        <v>58</v>
      </c>
      <c r="C311" t="s">
        <v>81</v>
      </c>
      <c r="D311" s="2">
        <v>0</v>
      </c>
      <c r="E311" s="2">
        <v>26</v>
      </c>
    </row>
    <row r="312" spans="1:5" x14ac:dyDescent="0.2">
      <c r="A312" t="s">
        <v>94</v>
      </c>
      <c r="B312" t="s">
        <v>58</v>
      </c>
      <c r="C312" t="s">
        <v>81</v>
      </c>
      <c r="D312" s="2">
        <v>0</v>
      </c>
      <c r="E312" s="2">
        <v>0</v>
      </c>
    </row>
    <row r="313" spans="1:5" x14ac:dyDescent="0.2">
      <c r="A313" t="s">
        <v>94</v>
      </c>
      <c r="B313" t="s">
        <v>58</v>
      </c>
      <c r="C313" t="s">
        <v>81</v>
      </c>
      <c r="D313" s="2">
        <v>0</v>
      </c>
      <c r="E313" s="2">
        <v>2</v>
      </c>
    </row>
    <row r="314" spans="1:5" x14ac:dyDescent="0.2">
      <c r="A314" t="s">
        <v>94</v>
      </c>
      <c r="B314" t="s">
        <v>58</v>
      </c>
      <c r="C314" t="s">
        <v>81</v>
      </c>
      <c r="D314" s="2">
        <v>0</v>
      </c>
      <c r="E314" s="2">
        <v>0</v>
      </c>
    </row>
    <row r="315" spans="1:5" x14ac:dyDescent="0.2">
      <c r="A315" t="s">
        <v>96</v>
      </c>
      <c r="B315" t="s">
        <v>58</v>
      </c>
      <c r="C315" t="s">
        <v>81</v>
      </c>
      <c r="D315" s="2">
        <v>0</v>
      </c>
      <c r="E315" s="2">
        <v>156</v>
      </c>
    </row>
    <row r="316" spans="1:5" x14ac:dyDescent="0.2">
      <c r="A316" t="s">
        <v>96</v>
      </c>
      <c r="B316" t="s">
        <v>58</v>
      </c>
      <c r="C316" t="s">
        <v>81</v>
      </c>
      <c r="D316" s="2">
        <v>0</v>
      </c>
      <c r="E316" s="2">
        <v>48</v>
      </c>
    </row>
    <row r="317" spans="1:5" x14ac:dyDescent="0.2">
      <c r="A317" t="s">
        <v>96</v>
      </c>
      <c r="B317" t="s">
        <v>58</v>
      </c>
      <c r="C317" t="s">
        <v>81</v>
      </c>
      <c r="D317" s="2">
        <v>0</v>
      </c>
      <c r="E317" s="2">
        <v>0</v>
      </c>
    </row>
    <row r="318" spans="1:5" x14ac:dyDescent="0.2">
      <c r="A318" t="s">
        <v>96</v>
      </c>
      <c r="B318" t="s">
        <v>58</v>
      </c>
      <c r="C318" t="s">
        <v>81</v>
      </c>
      <c r="D318" s="2">
        <v>0</v>
      </c>
      <c r="E318" s="2">
        <v>20</v>
      </c>
    </row>
    <row r="319" spans="1:5" x14ac:dyDescent="0.2">
      <c r="A319" t="s">
        <v>96</v>
      </c>
      <c r="B319" t="s">
        <v>58</v>
      </c>
      <c r="C319" t="s">
        <v>81</v>
      </c>
      <c r="D319" s="2">
        <v>0</v>
      </c>
      <c r="E319" s="2">
        <v>0</v>
      </c>
    </row>
    <row r="320" spans="1:5" x14ac:dyDescent="0.2">
      <c r="A320" t="s">
        <v>96</v>
      </c>
      <c r="B320" t="s">
        <v>58</v>
      </c>
      <c r="C320" t="s">
        <v>81</v>
      </c>
      <c r="D320" s="2">
        <v>0</v>
      </c>
      <c r="E320" s="2">
        <v>0</v>
      </c>
    </row>
    <row r="321" spans="1:5" x14ac:dyDescent="0.2">
      <c r="A321" t="s">
        <v>96</v>
      </c>
      <c r="B321" t="s">
        <v>58</v>
      </c>
      <c r="C321" t="s">
        <v>81</v>
      </c>
      <c r="D321" s="2">
        <v>0</v>
      </c>
      <c r="E321" s="2">
        <v>0</v>
      </c>
    </row>
    <row r="322" spans="1:5" x14ac:dyDescent="0.2">
      <c r="A322" t="s">
        <v>93</v>
      </c>
      <c r="B322" t="s">
        <v>36</v>
      </c>
      <c r="C322" t="s">
        <v>81</v>
      </c>
      <c r="D322" s="2">
        <v>0</v>
      </c>
      <c r="E322" s="2">
        <v>0</v>
      </c>
    </row>
    <row r="323" spans="1:5" x14ac:dyDescent="0.2">
      <c r="A323" t="s">
        <v>93</v>
      </c>
      <c r="B323" t="s">
        <v>36</v>
      </c>
      <c r="C323" t="s">
        <v>81</v>
      </c>
      <c r="D323" s="2">
        <v>0</v>
      </c>
      <c r="E323" s="2">
        <v>0</v>
      </c>
    </row>
    <row r="324" spans="1:5" x14ac:dyDescent="0.2">
      <c r="A324" t="s">
        <v>93</v>
      </c>
      <c r="B324" t="s">
        <v>36</v>
      </c>
      <c r="C324" t="s">
        <v>81</v>
      </c>
      <c r="D324" s="2">
        <v>42.834868399999998</v>
      </c>
      <c r="E324" s="2">
        <v>50</v>
      </c>
    </row>
    <row r="325" spans="1:5" x14ac:dyDescent="0.2">
      <c r="A325" t="s">
        <v>93</v>
      </c>
      <c r="B325" t="s">
        <v>36</v>
      </c>
      <c r="C325" t="s">
        <v>81</v>
      </c>
      <c r="D325" s="2">
        <v>21.408806200000001</v>
      </c>
      <c r="E325" s="2">
        <v>28</v>
      </c>
    </row>
    <row r="326" spans="1:5" x14ac:dyDescent="0.2">
      <c r="A326" t="s">
        <v>95</v>
      </c>
      <c r="B326" t="s">
        <v>36</v>
      </c>
      <c r="C326" t="s">
        <v>81</v>
      </c>
      <c r="D326" s="2">
        <v>0</v>
      </c>
      <c r="E326" s="2">
        <v>0</v>
      </c>
    </row>
    <row r="327" spans="1:5" x14ac:dyDescent="0.2">
      <c r="A327" t="s">
        <v>95</v>
      </c>
      <c r="B327" t="s">
        <v>36</v>
      </c>
      <c r="C327" t="s">
        <v>81</v>
      </c>
      <c r="D327" s="2">
        <v>0</v>
      </c>
      <c r="E327" s="2">
        <v>0</v>
      </c>
    </row>
    <row r="328" spans="1:5" x14ac:dyDescent="0.2">
      <c r="A328" t="s">
        <v>95</v>
      </c>
      <c r="B328" t="s">
        <v>36</v>
      </c>
      <c r="C328" t="s">
        <v>81</v>
      </c>
      <c r="D328" s="2">
        <v>0</v>
      </c>
      <c r="E328" s="2">
        <v>0</v>
      </c>
    </row>
    <row r="329" spans="1:5" x14ac:dyDescent="0.2">
      <c r="A329" t="s">
        <v>95</v>
      </c>
      <c r="B329" t="s">
        <v>36</v>
      </c>
      <c r="C329" t="s">
        <v>81</v>
      </c>
      <c r="D329" s="2">
        <v>0</v>
      </c>
      <c r="E329" s="2">
        <v>0</v>
      </c>
    </row>
    <row r="330" spans="1:5" x14ac:dyDescent="0.2">
      <c r="A330" t="s">
        <v>95</v>
      </c>
      <c r="B330" t="s">
        <v>36</v>
      </c>
      <c r="C330" t="s">
        <v>81</v>
      </c>
      <c r="D330" s="2">
        <v>0</v>
      </c>
      <c r="E330" s="2">
        <v>0</v>
      </c>
    </row>
    <row r="331" spans="1:5" x14ac:dyDescent="0.2">
      <c r="A331" t="s">
        <v>95</v>
      </c>
      <c r="B331" t="s">
        <v>36</v>
      </c>
      <c r="C331" t="s">
        <v>81</v>
      </c>
      <c r="D331" s="2">
        <v>0</v>
      </c>
      <c r="E331" s="2">
        <v>0</v>
      </c>
    </row>
    <row r="332" spans="1:5" x14ac:dyDescent="0.2">
      <c r="A332" t="s">
        <v>95</v>
      </c>
      <c r="B332" t="s">
        <v>36</v>
      </c>
      <c r="C332" t="s">
        <v>81</v>
      </c>
      <c r="D332" s="2">
        <v>207.1393794</v>
      </c>
      <c r="E332" s="2">
        <v>236</v>
      </c>
    </row>
    <row r="333" spans="1:5" x14ac:dyDescent="0.2">
      <c r="A333" t="s">
        <v>95</v>
      </c>
      <c r="B333" t="s">
        <v>36</v>
      </c>
      <c r="C333" t="s">
        <v>81</v>
      </c>
      <c r="D333" s="2">
        <v>252.7129386</v>
      </c>
      <c r="E333" s="2">
        <v>358</v>
      </c>
    </row>
    <row r="334" spans="1:5" x14ac:dyDescent="0.2">
      <c r="A334" t="s">
        <v>95</v>
      </c>
      <c r="B334" t="s">
        <v>36</v>
      </c>
      <c r="C334" t="s">
        <v>81</v>
      </c>
      <c r="D334" s="2">
        <v>0</v>
      </c>
      <c r="E334" s="2">
        <v>0</v>
      </c>
    </row>
    <row r="335" spans="1:5" x14ac:dyDescent="0.2">
      <c r="A335" t="s">
        <v>95</v>
      </c>
      <c r="B335" t="s">
        <v>36</v>
      </c>
      <c r="C335" t="s">
        <v>81</v>
      </c>
      <c r="D335" s="2">
        <v>541.67103759999998</v>
      </c>
      <c r="E335" s="2">
        <v>366</v>
      </c>
    </row>
    <row r="336" spans="1:5" x14ac:dyDescent="0.2">
      <c r="A336" t="s">
        <v>95</v>
      </c>
      <c r="B336" t="s">
        <v>36</v>
      </c>
      <c r="C336" t="s">
        <v>81</v>
      </c>
      <c r="D336" s="2">
        <v>0</v>
      </c>
      <c r="E336" s="2">
        <v>0</v>
      </c>
    </row>
    <row r="337" spans="1:5" x14ac:dyDescent="0.2">
      <c r="A337" t="s">
        <v>95</v>
      </c>
      <c r="B337" t="s">
        <v>36</v>
      </c>
      <c r="C337" t="s">
        <v>81</v>
      </c>
      <c r="D337" s="2">
        <v>0</v>
      </c>
      <c r="E337" s="2">
        <v>0</v>
      </c>
    </row>
    <row r="338" spans="1:5" x14ac:dyDescent="0.2">
      <c r="A338" t="s">
        <v>95</v>
      </c>
      <c r="B338" t="s">
        <v>36</v>
      </c>
      <c r="C338" t="s">
        <v>81</v>
      </c>
      <c r="D338" s="2">
        <v>302.47051340000002</v>
      </c>
      <c r="E338" s="2">
        <v>484</v>
      </c>
    </row>
    <row r="339" spans="1:5" x14ac:dyDescent="0.2">
      <c r="A339" t="s">
        <v>95</v>
      </c>
      <c r="B339" t="s">
        <v>36</v>
      </c>
      <c r="C339" t="s">
        <v>81</v>
      </c>
      <c r="D339" s="2">
        <v>0</v>
      </c>
      <c r="E339" s="2">
        <v>0</v>
      </c>
    </row>
    <row r="340" spans="1:5" x14ac:dyDescent="0.2">
      <c r="A340" t="s">
        <v>94</v>
      </c>
      <c r="B340" t="s">
        <v>36</v>
      </c>
      <c r="C340" t="s">
        <v>81</v>
      </c>
      <c r="D340" s="2">
        <v>0</v>
      </c>
      <c r="E340" s="2">
        <v>0</v>
      </c>
    </row>
    <row r="341" spans="1:5" x14ac:dyDescent="0.2">
      <c r="A341" t="s">
        <v>94</v>
      </c>
      <c r="B341" t="s">
        <v>36</v>
      </c>
      <c r="C341" t="s">
        <v>81</v>
      </c>
      <c r="D341" s="2">
        <v>0</v>
      </c>
      <c r="E341" s="2">
        <v>0</v>
      </c>
    </row>
    <row r="342" spans="1:5" x14ac:dyDescent="0.2">
      <c r="A342" t="s">
        <v>94</v>
      </c>
      <c r="B342" t="s">
        <v>36</v>
      </c>
      <c r="C342" t="s">
        <v>81</v>
      </c>
      <c r="D342" s="2">
        <v>0</v>
      </c>
      <c r="E342" s="2">
        <v>0</v>
      </c>
    </row>
    <row r="343" spans="1:5" x14ac:dyDescent="0.2">
      <c r="A343" t="s">
        <v>94</v>
      </c>
      <c r="B343" t="s">
        <v>36</v>
      </c>
      <c r="C343" t="s">
        <v>81</v>
      </c>
      <c r="D343" s="2">
        <v>55.445653</v>
      </c>
      <c r="E343" s="2">
        <v>56</v>
      </c>
    </row>
    <row r="344" spans="1:5" x14ac:dyDescent="0.2">
      <c r="A344" t="s">
        <v>94</v>
      </c>
      <c r="B344" t="s">
        <v>36</v>
      </c>
      <c r="C344" t="s">
        <v>81</v>
      </c>
      <c r="D344" s="2">
        <v>0</v>
      </c>
      <c r="E344" s="2">
        <v>0</v>
      </c>
    </row>
    <row r="345" spans="1:5" x14ac:dyDescent="0.2">
      <c r="A345" t="s">
        <v>94</v>
      </c>
      <c r="B345" t="s">
        <v>36</v>
      </c>
      <c r="C345" t="s">
        <v>81</v>
      </c>
      <c r="D345" s="2">
        <v>56.831520400000002</v>
      </c>
      <c r="E345" s="2">
        <v>18</v>
      </c>
    </row>
    <row r="346" spans="1:5" x14ac:dyDescent="0.2">
      <c r="A346" t="s">
        <v>94</v>
      </c>
      <c r="B346" t="s">
        <v>36</v>
      </c>
      <c r="C346" t="s">
        <v>81</v>
      </c>
      <c r="D346" s="2">
        <v>0</v>
      </c>
      <c r="E346" s="2">
        <v>0</v>
      </c>
    </row>
    <row r="347" spans="1:5" x14ac:dyDescent="0.2">
      <c r="A347" t="s">
        <v>96</v>
      </c>
      <c r="B347" t="s">
        <v>36</v>
      </c>
      <c r="C347" t="s">
        <v>81</v>
      </c>
      <c r="D347" s="2">
        <v>174.66466819999999</v>
      </c>
      <c r="E347" s="2">
        <v>220</v>
      </c>
    </row>
    <row r="348" spans="1:5" x14ac:dyDescent="0.2">
      <c r="A348" t="s">
        <v>96</v>
      </c>
      <c r="B348" t="s">
        <v>36</v>
      </c>
      <c r="C348" t="s">
        <v>81</v>
      </c>
      <c r="D348" s="2">
        <v>130.47582919999999</v>
      </c>
      <c r="E348" s="2">
        <v>70</v>
      </c>
    </row>
    <row r="349" spans="1:5" x14ac:dyDescent="0.2">
      <c r="A349" t="s">
        <v>96</v>
      </c>
      <c r="B349" t="s">
        <v>36</v>
      </c>
      <c r="C349" t="s">
        <v>81</v>
      </c>
      <c r="D349" s="2">
        <v>0</v>
      </c>
      <c r="E349" s="2">
        <v>0</v>
      </c>
    </row>
    <row r="350" spans="1:5" x14ac:dyDescent="0.2">
      <c r="A350" t="s">
        <v>96</v>
      </c>
      <c r="B350" t="s">
        <v>36</v>
      </c>
      <c r="C350" t="s">
        <v>81</v>
      </c>
      <c r="D350" s="2">
        <v>88.291028999999995</v>
      </c>
      <c r="E350" s="2">
        <v>34</v>
      </c>
    </row>
    <row r="351" spans="1:5" x14ac:dyDescent="0.2">
      <c r="A351" t="s">
        <v>96</v>
      </c>
      <c r="B351" t="s">
        <v>36</v>
      </c>
      <c r="C351" t="s">
        <v>81</v>
      </c>
      <c r="D351" s="2">
        <v>0</v>
      </c>
      <c r="E351" s="2">
        <v>0</v>
      </c>
    </row>
    <row r="352" spans="1:5" x14ac:dyDescent="0.2">
      <c r="A352" t="s">
        <v>96</v>
      </c>
      <c r="B352" t="s">
        <v>36</v>
      </c>
      <c r="C352" t="s">
        <v>81</v>
      </c>
      <c r="D352" s="2">
        <v>0</v>
      </c>
      <c r="E352" s="2">
        <v>0</v>
      </c>
    </row>
    <row r="353" spans="1:5" x14ac:dyDescent="0.2">
      <c r="A353" t="s">
        <v>96</v>
      </c>
      <c r="B353" t="s">
        <v>36</v>
      </c>
      <c r="C353" t="s">
        <v>81</v>
      </c>
      <c r="D353" s="2">
        <v>0</v>
      </c>
      <c r="E353" s="2">
        <v>0</v>
      </c>
    </row>
    <row r="354" spans="1:5" x14ac:dyDescent="0.2">
      <c r="A354" t="s">
        <v>93</v>
      </c>
      <c r="B354" t="s">
        <v>70</v>
      </c>
      <c r="C354" t="s">
        <v>81</v>
      </c>
      <c r="D354" s="2">
        <v>0</v>
      </c>
      <c r="E354" s="2">
        <v>0</v>
      </c>
    </row>
    <row r="355" spans="1:5" x14ac:dyDescent="0.2">
      <c r="A355" t="s">
        <v>93</v>
      </c>
      <c r="B355" t="s">
        <v>70</v>
      </c>
      <c r="C355" t="s">
        <v>81</v>
      </c>
      <c r="D355" s="2">
        <v>0</v>
      </c>
      <c r="E355" s="2">
        <v>0</v>
      </c>
    </row>
    <row r="356" spans="1:5" x14ac:dyDescent="0.2">
      <c r="A356" t="s">
        <v>93</v>
      </c>
      <c r="B356" t="s">
        <v>70</v>
      </c>
      <c r="C356" t="s">
        <v>81</v>
      </c>
      <c r="D356" s="2">
        <v>42.744267000000001</v>
      </c>
      <c r="E356" s="2">
        <v>46</v>
      </c>
    </row>
    <row r="357" spans="1:5" x14ac:dyDescent="0.2">
      <c r="A357" t="s">
        <v>93</v>
      </c>
      <c r="B357" t="s">
        <v>70</v>
      </c>
      <c r="C357" t="s">
        <v>81</v>
      </c>
      <c r="D357" s="2">
        <v>43.735456200000002</v>
      </c>
      <c r="E357" s="2">
        <v>30</v>
      </c>
    </row>
    <row r="358" spans="1:5" x14ac:dyDescent="0.2">
      <c r="A358" t="s">
        <v>95</v>
      </c>
      <c r="B358" t="s">
        <v>70</v>
      </c>
      <c r="C358" t="s">
        <v>81</v>
      </c>
      <c r="D358" s="2">
        <v>0</v>
      </c>
      <c r="E358" s="2">
        <v>0</v>
      </c>
    </row>
    <row r="359" spans="1:5" x14ac:dyDescent="0.2">
      <c r="A359" t="s">
        <v>95</v>
      </c>
      <c r="B359" t="s">
        <v>70</v>
      </c>
      <c r="C359" t="s">
        <v>81</v>
      </c>
      <c r="D359" s="2">
        <v>0</v>
      </c>
      <c r="E359" s="2">
        <v>0</v>
      </c>
    </row>
    <row r="360" spans="1:5" x14ac:dyDescent="0.2">
      <c r="A360" t="s">
        <v>95</v>
      </c>
      <c r="B360" t="s">
        <v>70</v>
      </c>
      <c r="C360" t="s">
        <v>81</v>
      </c>
      <c r="D360" s="2">
        <v>0</v>
      </c>
      <c r="E360" s="2">
        <v>0</v>
      </c>
    </row>
    <row r="361" spans="1:5" x14ac:dyDescent="0.2">
      <c r="A361" t="s">
        <v>95</v>
      </c>
      <c r="B361" t="s">
        <v>70</v>
      </c>
      <c r="C361" t="s">
        <v>81</v>
      </c>
      <c r="D361" s="2">
        <v>0</v>
      </c>
      <c r="E361" s="2">
        <v>0</v>
      </c>
    </row>
    <row r="362" spans="1:5" x14ac:dyDescent="0.2">
      <c r="A362" t="s">
        <v>95</v>
      </c>
      <c r="B362" t="s">
        <v>70</v>
      </c>
      <c r="C362" t="s">
        <v>81</v>
      </c>
      <c r="D362" s="2">
        <v>0</v>
      </c>
      <c r="E362" s="2">
        <v>0</v>
      </c>
    </row>
    <row r="363" spans="1:5" x14ac:dyDescent="0.2">
      <c r="A363" t="s">
        <v>95</v>
      </c>
      <c r="B363" t="s">
        <v>70</v>
      </c>
      <c r="C363" t="s">
        <v>81</v>
      </c>
      <c r="D363" s="2">
        <v>0</v>
      </c>
      <c r="E363" s="2">
        <v>0</v>
      </c>
    </row>
    <row r="364" spans="1:5" x14ac:dyDescent="0.2">
      <c r="A364" t="s">
        <v>95</v>
      </c>
      <c r="B364" t="s">
        <v>70</v>
      </c>
      <c r="C364" t="s">
        <v>81</v>
      </c>
      <c r="D364" s="2">
        <v>229.2780348</v>
      </c>
      <c r="E364" s="2">
        <v>232</v>
      </c>
    </row>
    <row r="365" spans="1:5" x14ac:dyDescent="0.2">
      <c r="A365" t="s">
        <v>95</v>
      </c>
      <c r="B365" t="s">
        <v>70</v>
      </c>
      <c r="C365" t="s">
        <v>81</v>
      </c>
      <c r="D365" s="2">
        <v>345.60033779999998</v>
      </c>
      <c r="E365" s="2">
        <v>318</v>
      </c>
    </row>
    <row r="366" spans="1:5" x14ac:dyDescent="0.2">
      <c r="A366" t="s">
        <v>95</v>
      </c>
      <c r="B366" t="s">
        <v>70</v>
      </c>
      <c r="C366" t="s">
        <v>81</v>
      </c>
      <c r="D366" s="2">
        <v>0</v>
      </c>
      <c r="E366" s="2">
        <v>0</v>
      </c>
    </row>
    <row r="367" spans="1:5" x14ac:dyDescent="0.2">
      <c r="A367" t="s">
        <v>95</v>
      </c>
      <c r="B367" t="s">
        <v>70</v>
      </c>
      <c r="C367" t="s">
        <v>81</v>
      </c>
      <c r="D367" s="2">
        <v>697.22245720000001</v>
      </c>
      <c r="E367" s="2">
        <v>350</v>
      </c>
    </row>
    <row r="368" spans="1:5" x14ac:dyDescent="0.2">
      <c r="A368" t="s">
        <v>95</v>
      </c>
      <c r="B368" t="s">
        <v>70</v>
      </c>
      <c r="C368" t="s">
        <v>81</v>
      </c>
      <c r="D368" s="2">
        <v>0</v>
      </c>
      <c r="E368" s="2">
        <v>0</v>
      </c>
    </row>
    <row r="369" spans="1:5" x14ac:dyDescent="0.2">
      <c r="A369" t="s">
        <v>95</v>
      </c>
      <c r="B369" t="s">
        <v>70</v>
      </c>
      <c r="C369" t="s">
        <v>81</v>
      </c>
      <c r="D369" s="2">
        <v>0</v>
      </c>
      <c r="E369" s="2">
        <v>0</v>
      </c>
    </row>
    <row r="370" spans="1:5" x14ac:dyDescent="0.2">
      <c r="A370" t="s">
        <v>95</v>
      </c>
      <c r="B370" t="s">
        <v>70</v>
      </c>
      <c r="C370" t="s">
        <v>81</v>
      </c>
      <c r="D370" s="2">
        <v>466.46150540000002</v>
      </c>
      <c r="E370" s="2">
        <v>458</v>
      </c>
    </row>
    <row r="371" spans="1:5" x14ac:dyDescent="0.2">
      <c r="A371" t="s">
        <v>95</v>
      </c>
      <c r="B371" t="s">
        <v>70</v>
      </c>
      <c r="C371" t="s">
        <v>81</v>
      </c>
      <c r="D371" s="2">
        <v>0</v>
      </c>
      <c r="E371" s="2">
        <v>0</v>
      </c>
    </row>
    <row r="372" spans="1:5" x14ac:dyDescent="0.2">
      <c r="A372" t="s">
        <v>94</v>
      </c>
      <c r="B372" t="s">
        <v>70</v>
      </c>
      <c r="C372" t="s">
        <v>81</v>
      </c>
      <c r="D372" s="2">
        <v>0</v>
      </c>
      <c r="E372" s="2">
        <v>0</v>
      </c>
    </row>
    <row r="373" spans="1:5" x14ac:dyDescent="0.2">
      <c r="A373" t="s">
        <v>94</v>
      </c>
      <c r="B373" t="s">
        <v>70</v>
      </c>
      <c r="C373" t="s">
        <v>81</v>
      </c>
      <c r="D373" s="2">
        <v>0</v>
      </c>
      <c r="E373" s="2">
        <v>0</v>
      </c>
    </row>
    <row r="374" spans="1:5" x14ac:dyDescent="0.2">
      <c r="A374" t="s">
        <v>94</v>
      </c>
      <c r="B374" t="s">
        <v>70</v>
      </c>
      <c r="C374" t="s">
        <v>81</v>
      </c>
      <c r="D374" s="2">
        <v>0</v>
      </c>
      <c r="E374" s="2">
        <v>0</v>
      </c>
    </row>
    <row r="375" spans="1:5" x14ac:dyDescent="0.2">
      <c r="A375" t="s">
        <v>94</v>
      </c>
      <c r="B375" t="s">
        <v>70</v>
      </c>
      <c r="C375" t="s">
        <v>81</v>
      </c>
      <c r="D375" s="2">
        <v>269.78448179999998</v>
      </c>
      <c r="E375" s="2">
        <v>250</v>
      </c>
    </row>
    <row r="376" spans="1:5" x14ac:dyDescent="0.2">
      <c r="A376" t="s">
        <v>94</v>
      </c>
      <c r="B376" t="s">
        <v>70</v>
      </c>
      <c r="C376" t="s">
        <v>81</v>
      </c>
      <c r="D376" s="2">
        <v>0</v>
      </c>
      <c r="E376" s="2">
        <v>0</v>
      </c>
    </row>
    <row r="377" spans="1:5" x14ac:dyDescent="0.2">
      <c r="A377" t="s">
        <v>94</v>
      </c>
      <c r="B377" t="s">
        <v>70</v>
      </c>
      <c r="C377" t="s">
        <v>81</v>
      </c>
      <c r="D377" s="2">
        <v>120.59696599999999</v>
      </c>
      <c r="E377" s="2">
        <v>70</v>
      </c>
    </row>
    <row r="378" spans="1:5" x14ac:dyDescent="0.2">
      <c r="A378" t="s">
        <v>94</v>
      </c>
      <c r="B378" t="s">
        <v>70</v>
      </c>
      <c r="C378" t="s">
        <v>81</v>
      </c>
      <c r="D378" s="2">
        <v>133.82525939999999</v>
      </c>
      <c r="E378" s="2">
        <v>36</v>
      </c>
    </row>
    <row r="379" spans="1:5" x14ac:dyDescent="0.2">
      <c r="A379" t="s">
        <v>96</v>
      </c>
      <c r="B379" t="s">
        <v>70</v>
      </c>
      <c r="C379" t="s">
        <v>81</v>
      </c>
      <c r="D379" s="2">
        <v>228.10890699999999</v>
      </c>
      <c r="E379" s="2">
        <v>214</v>
      </c>
    </row>
    <row r="380" spans="1:5" x14ac:dyDescent="0.2">
      <c r="A380" t="s">
        <v>96</v>
      </c>
      <c r="B380" t="s">
        <v>70</v>
      </c>
      <c r="C380" t="s">
        <v>81</v>
      </c>
      <c r="D380" s="2">
        <v>164.5832944</v>
      </c>
      <c r="E380" s="2">
        <v>92</v>
      </c>
    </row>
    <row r="381" spans="1:5" x14ac:dyDescent="0.2">
      <c r="A381" t="s">
        <v>96</v>
      </c>
      <c r="B381" t="s">
        <v>70</v>
      </c>
      <c r="C381" t="s">
        <v>81</v>
      </c>
      <c r="D381" s="2">
        <v>0</v>
      </c>
      <c r="E381" s="2">
        <v>0</v>
      </c>
    </row>
    <row r="382" spans="1:5" x14ac:dyDescent="0.2">
      <c r="A382" t="s">
        <v>96</v>
      </c>
      <c r="B382" t="s">
        <v>70</v>
      </c>
      <c r="C382" t="s">
        <v>81</v>
      </c>
      <c r="D382" s="2">
        <v>92.003110800000002</v>
      </c>
      <c r="E382" s="2">
        <v>50</v>
      </c>
    </row>
    <row r="383" spans="1:5" x14ac:dyDescent="0.2">
      <c r="A383" t="s">
        <v>96</v>
      </c>
      <c r="B383" t="s">
        <v>70</v>
      </c>
      <c r="C383" t="s">
        <v>81</v>
      </c>
      <c r="D383" s="2">
        <v>0</v>
      </c>
      <c r="E383" s="2">
        <v>0</v>
      </c>
    </row>
    <row r="384" spans="1:5" x14ac:dyDescent="0.2">
      <c r="A384" t="s">
        <v>96</v>
      </c>
      <c r="B384" t="s">
        <v>70</v>
      </c>
      <c r="C384" t="s">
        <v>81</v>
      </c>
      <c r="D384" s="2">
        <v>0</v>
      </c>
      <c r="E384" s="2">
        <v>0</v>
      </c>
    </row>
    <row r="385" spans="1:5" x14ac:dyDescent="0.2">
      <c r="A385" t="s">
        <v>96</v>
      </c>
      <c r="B385" t="s">
        <v>70</v>
      </c>
      <c r="C385" t="s">
        <v>81</v>
      </c>
      <c r="D385" s="2">
        <v>0</v>
      </c>
      <c r="E385" s="2">
        <v>0</v>
      </c>
    </row>
    <row r="386" spans="1:5" x14ac:dyDescent="0.2">
      <c r="A386" t="s">
        <v>93</v>
      </c>
      <c r="B386" t="s">
        <v>57</v>
      </c>
      <c r="C386" t="s">
        <v>81</v>
      </c>
      <c r="D386" s="2">
        <v>0</v>
      </c>
      <c r="E386" s="2">
        <v>0</v>
      </c>
    </row>
    <row r="387" spans="1:5" x14ac:dyDescent="0.2">
      <c r="A387" t="s">
        <v>93</v>
      </c>
      <c r="B387" t="s">
        <v>57</v>
      </c>
      <c r="C387" t="s">
        <v>81</v>
      </c>
      <c r="D387" s="2">
        <v>0</v>
      </c>
      <c r="E387" s="2">
        <v>0</v>
      </c>
    </row>
    <row r="388" spans="1:5" x14ac:dyDescent="0.2">
      <c r="A388" t="s">
        <v>93</v>
      </c>
      <c r="B388" t="s">
        <v>57</v>
      </c>
      <c r="C388" t="s">
        <v>81</v>
      </c>
      <c r="D388" s="2">
        <v>0</v>
      </c>
      <c r="E388" s="2">
        <v>36</v>
      </c>
    </row>
    <row r="389" spans="1:5" x14ac:dyDescent="0.2">
      <c r="A389" t="s">
        <v>93</v>
      </c>
      <c r="B389" t="s">
        <v>57</v>
      </c>
      <c r="C389" t="s">
        <v>81</v>
      </c>
      <c r="D389" s="2">
        <v>0</v>
      </c>
      <c r="E389" s="2">
        <v>8</v>
      </c>
    </row>
    <row r="390" spans="1:5" x14ac:dyDescent="0.2">
      <c r="A390" t="s">
        <v>95</v>
      </c>
      <c r="B390" t="s">
        <v>57</v>
      </c>
      <c r="C390" t="s">
        <v>81</v>
      </c>
      <c r="D390" s="2">
        <v>0</v>
      </c>
      <c r="E390" s="2">
        <v>0</v>
      </c>
    </row>
    <row r="391" spans="1:5" x14ac:dyDescent="0.2">
      <c r="A391" t="s">
        <v>95</v>
      </c>
      <c r="B391" t="s">
        <v>57</v>
      </c>
      <c r="C391" t="s">
        <v>81</v>
      </c>
      <c r="D391" s="2">
        <v>0</v>
      </c>
      <c r="E391" s="2">
        <v>0</v>
      </c>
    </row>
    <row r="392" spans="1:5" x14ac:dyDescent="0.2">
      <c r="A392" t="s">
        <v>95</v>
      </c>
      <c r="B392" t="s">
        <v>57</v>
      </c>
      <c r="C392" t="s">
        <v>81</v>
      </c>
      <c r="D392" s="2">
        <v>0</v>
      </c>
      <c r="E392" s="2">
        <v>0</v>
      </c>
    </row>
    <row r="393" spans="1:5" x14ac:dyDescent="0.2">
      <c r="A393" t="s">
        <v>95</v>
      </c>
      <c r="B393" t="s">
        <v>57</v>
      </c>
      <c r="C393" t="s">
        <v>81</v>
      </c>
      <c r="D393" s="2">
        <v>0</v>
      </c>
      <c r="E393" s="2">
        <v>0</v>
      </c>
    </row>
    <row r="394" spans="1:5" x14ac:dyDescent="0.2">
      <c r="A394" t="s">
        <v>95</v>
      </c>
      <c r="B394" t="s">
        <v>57</v>
      </c>
      <c r="C394" t="s">
        <v>81</v>
      </c>
      <c r="D394" s="2">
        <v>0</v>
      </c>
      <c r="E394" s="2">
        <v>0</v>
      </c>
    </row>
    <row r="395" spans="1:5" x14ac:dyDescent="0.2">
      <c r="A395" t="s">
        <v>95</v>
      </c>
      <c r="B395" t="s">
        <v>57</v>
      </c>
      <c r="C395" t="s">
        <v>81</v>
      </c>
      <c r="D395" s="2">
        <v>0</v>
      </c>
      <c r="E395" s="2">
        <v>0</v>
      </c>
    </row>
    <row r="396" spans="1:5" x14ac:dyDescent="0.2">
      <c r="A396" t="s">
        <v>95</v>
      </c>
      <c r="B396" t="s">
        <v>57</v>
      </c>
      <c r="C396" t="s">
        <v>81</v>
      </c>
      <c r="D396" s="2">
        <v>0</v>
      </c>
      <c r="E396" s="2">
        <v>206</v>
      </c>
    </row>
    <row r="397" spans="1:5" x14ac:dyDescent="0.2">
      <c r="A397" t="s">
        <v>95</v>
      </c>
      <c r="B397" t="s">
        <v>57</v>
      </c>
      <c r="C397" t="s">
        <v>81</v>
      </c>
      <c r="D397" s="2">
        <v>0</v>
      </c>
      <c r="E397" s="2">
        <v>242</v>
      </c>
    </row>
    <row r="398" spans="1:5" x14ac:dyDescent="0.2">
      <c r="A398" t="s">
        <v>95</v>
      </c>
      <c r="B398" t="s">
        <v>57</v>
      </c>
      <c r="C398" t="s">
        <v>81</v>
      </c>
      <c r="D398" s="2">
        <v>0</v>
      </c>
      <c r="E398" s="2">
        <v>0</v>
      </c>
    </row>
    <row r="399" spans="1:5" x14ac:dyDescent="0.2">
      <c r="A399" t="s">
        <v>95</v>
      </c>
      <c r="B399" t="s">
        <v>57</v>
      </c>
      <c r="C399" t="s">
        <v>81</v>
      </c>
      <c r="D399" s="2">
        <v>0</v>
      </c>
      <c r="E399" s="2">
        <v>248</v>
      </c>
    </row>
    <row r="400" spans="1:5" x14ac:dyDescent="0.2">
      <c r="A400" t="s">
        <v>95</v>
      </c>
      <c r="B400" t="s">
        <v>57</v>
      </c>
      <c r="C400" t="s">
        <v>81</v>
      </c>
      <c r="D400" s="2">
        <v>0</v>
      </c>
      <c r="E400" s="2">
        <v>0</v>
      </c>
    </row>
    <row r="401" spans="1:5" x14ac:dyDescent="0.2">
      <c r="A401" t="s">
        <v>95</v>
      </c>
      <c r="B401" t="s">
        <v>57</v>
      </c>
      <c r="C401" t="s">
        <v>81</v>
      </c>
      <c r="D401" s="2">
        <v>0</v>
      </c>
      <c r="E401" s="2">
        <v>0</v>
      </c>
    </row>
    <row r="402" spans="1:5" x14ac:dyDescent="0.2">
      <c r="A402" t="s">
        <v>95</v>
      </c>
      <c r="B402" t="s">
        <v>57</v>
      </c>
      <c r="C402" t="s">
        <v>81</v>
      </c>
      <c r="D402" s="2">
        <v>0</v>
      </c>
      <c r="E402" s="2">
        <v>296</v>
      </c>
    </row>
    <row r="403" spans="1:5" x14ac:dyDescent="0.2">
      <c r="A403" t="s">
        <v>95</v>
      </c>
      <c r="B403" t="s">
        <v>57</v>
      </c>
      <c r="C403" t="s">
        <v>81</v>
      </c>
      <c r="D403" s="2">
        <v>0</v>
      </c>
      <c r="E403" s="2">
        <v>0</v>
      </c>
    </row>
    <row r="404" spans="1:5" x14ac:dyDescent="0.2">
      <c r="A404" t="s">
        <v>94</v>
      </c>
      <c r="B404" t="s">
        <v>57</v>
      </c>
      <c r="C404" t="s">
        <v>81</v>
      </c>
      <c r="D404" s="2">
        <v>0</v>
      </c>
      <c r="E404" s="2">
        <v>0</v>
      </c>
    </row>
    <row r="405" spans="1:5" x14ac:dyDescent="0.2">
      <c r="A405" t="s">
        <v>94</v>
      </c>
      <c r="B405" t="s">
        <v>57</v>
      </c>
      <c r="C405" t="s">
        <v>81</v>
      </c>
      <c r="D405" s="2">
        <v>0</v>
      </c>
      <c r="E405" s="2">
        <v>0</v>
      </c>
    </row>
    <row r="406" spans="1:5" x14ac:dyDescent="0.2">
      <c r="A406" t="s">
        <v>94</v>
      </c>
      <c r="B406" t="s">
        <v>57</v>
      </c>
      <c r="C406" t="s">
        <v>81</v>
      </c>
      <c r="D406" s="2">
        <v>0</v>
      </c>
      <c r="E406" s="2">
        <v>0</v>
      </c>
    </row>
    <row r="407" spans="1:5" x14ac:dyDescent="0.2">
      <c r="A407" t="s">
        <v>94</v>
      </c>
      <c r="B407" t="s">
        <v>57</v>
      </c>
      <c r="C407" t="s">
        <v>81</v>
      </c>
      <c r="D407" s="2">
        <v>0</v>
      </c>
      <c r="E407" s="2">
        <v>28</v>
      </c>
    </row>
    <row r="408" spans="1:5" x14ac:dyDescent="0.2">
      <c r="A408" t="s">
        <v>94</v>
      </c>
      <c r="B408" t="s">
        <v>57</v>
      </c>
      <c r="C408" t="s">
        <v>81</v>
      </c>
      <c r="D408" s="2">
        <v>0</v>
      </c>
      <c r="E408" s="2">
        <v>0</v>
      </c>
    </row>
    <row r="409" spans="1:5" x14ac:dyDescent="0.2">
      <c r="A409" t="s">
        <v>94</v>
      </c>
      <c r="B409" t="s">
        <v>57</v>
      </c>
      <c r="C409" t="s">
        <v>81</v>
      </c>
      <c r="D409" s="2">
        <v>0</v>
      </c>
      <c r="E409" s="2">
        <v>6</v>
      </c>
    </row>
    <row r="410" spans="1:5" x14ac:dyDescent="0.2">
      <c r="A410" t="s">
        <v>94</v>
      </c>
      <c r="B410" t="s">
        <v>57</v>
      </c>
      <c r="C410" t="s">
        <v>81</v>
      </c>
      <c r="D410" s="2">
        <v>0</v>
      </c>
      <c r="E410" s="2">
        <v>0</v>
      </c>
    </row>
    <row r="411" spans="1:5" x14ac:dyDescent="0.2">
      <c r="A411" t="s">
        <v>96</v>
      </c>
      <c r="B411" t="s">
        <v>57</v>
      </c>
      <c r="C411" t="s">
        <v>81</v>
      </c>
      <c r="D411" s="2">
        <v>0</v>
      </c>
      <c r="E411" s="2">
        <v>150</v>
      </c>
    </row>
    <row r="412" spans="1:5" x14ac:dyDescent="0.2">
      <c r="A412" t="s">
        <v>96</v>
      </c>
      <c r="B412" t="s">
        <v>57</v>
      </c>
      <c r="C412" t="s">
        <v>81</v>
      </c>
      <c r="D412" s="2">
        <v>0</v>
      </c>
      <c r="E412" s="2">
        <v>18</v>
      </c>
    </row>
    <row r="413" spans="1:5" x14ac:dyDescent="0.2">
      <c r="A413" t="s">
        <v>96</v>
      </c>
      <c r="B413" t="s">
        <v>57</v>
      </c>
      <c r="C413" t="s">
        <v>81</v>
      </c>
      <c r="D413" s="2">
        <v>0</v>
      </c>
      <c r="E413" s="2">
        <v>0</v>
      </c>
    </row>
    <row r="414" spans="1:5" x14ac:dyDescent="0.2">
      <c r="A414" t="s">
        <v>96</v>
      </c>
      <c r="B414" t="s">
        <v>57</v>
      </c>
      <c r="C414" t="s">
        <v>81</v>
      </c>
      <c r="D414" s="2">
        <v>0</v>
      </c>
      <c r="E414" s="2">
        <v>20</v>
      </c>
    </row>
    <row r="415" spans="1:5" x14ac:dyDescent="0.2">
      <c r="A415" t="s">
        <v>96</v>
      </c>
      <c r="B415" t="s">
        <v>57</v>
      </c>
      <c r="C415" t="s">
        <v>81</v>
      </c>
      <c r="D415" s="2">
        <v>0</v>
      </c>
      <c r="E415" s="2">
        <v>0</v>
      </c>
    </row>
    <row r="416" spans="1:5" x14ac:dyDescent="0.2">
      <c r="A416" t="s">
        <v>96</v>
      </c>
      <c r="B416" t="s">
        <v>57</v>
      </c>
      <c r="C416" t="s">
        <v>81</v>
      </c>
      <c r="D416" s="2">
        <v>0</v>
      </c>
      <c r="E416" s="2">
        <v>0</v>
      </c>
    </row>
    <row r="417" spans="1:5" x14ac:dyDescent="0.2">
      <c r="A417" t="s">
        <v>96</v>
      </c>
      <c r="B417" t="s">
        <v>57</v>
      </c>
      <c r="C417" t="s">
        <v>81</v>
      </c>
      <c r="D417" s="2">
        <v>0</v>
      </c>
      <c r="E417" s="2">
        <v>0</v>
      </c>
    </row>
    <row r="418" spans="1:5" x14ac:dyDescent="0.2">
      <c r="A418" t="s">
        <v>93</v>
      </c>
      <c r="B418" t="s">
        <v>35</v>
      </c>
      <c r="C418" t="s">
        <v>81</v>
      </c>
      <c r="D418" s="2">
        <v>0</v>
      </c>
      <c r="E418" s="2">
        <v>0</v>
      </c>
    </row>
    <row r="419" spans="1:5" x14ac:dyDescent="0.2">
      <c r="A419" t="s">
        <v>93</v>
      </c>
      <c r="B419" t="s">
        <v>35</v>
      </c>
      <c r="C419" t="s">
        <v>81</v>
      </c>
      <c r="D419" s="2">
        <v>0</v>
      </c>
      <c r="E419" s="2">
        <v>0</v>
      </c>
    </row>
    <row r="420" spans="1:5" x14ac:dyDescent="0.2">
      <c r="A420" t="s">
        <v>93</v>
      </c>
      <c r="B420" t="s">
        <v>35</v>
      </c>
      <c r="C420" t="s">
        <v>81</v>
      </c>
      <c r="D420" s="2">
        <v>56.96443</v>
      </c>
      <c r="E420" s="2">
        <v>56</v>
      </c>
    </row>
    <row r="421" spans="1:5" x14ac:dyDescent="0.2">
      <c r="A421" t="s">
        <v>93</v>
      </c>
      <c r="B421" t="s">
        <v>35</v>
      </c>
      <c r="C421" t="s">
        <v>81</v>
      </c>
      <c r="D421" s="2">
        <v>30.985547199999999</v>
      </c>
      <c r="E421" s="2">
        <v>54</v>
      </c>
    </row>
    <row r="422" spans="1:5" x14ac:dyDescent="0.2">
      <c r="A422" t="s">
        <v>95</v>
      </c>
      <c r="B422" t="s">
        <v>35</v>
      </c>
      <c r="C422" t="s">
        <v>81</v>
      </c>
      <c r="D422" s="2">
        <v>0</v>
      </c>
      <c r="E422" s="2">
        <v>0</v>
      </c>
    </row>
    <row r="423" spans="1:5" x14ac:dyDescent="0.2">
      <c r="A423" t="s">
        <v>95</v>
      </c>
      <c r="B423" t="s">
        <v>35</v>
      </c>
      <c r="C423" t="s">
        <v>81</v>
      </c>
      <c r="D423" s="2">
        <v>0</v>
      </c>
      <c r="E423" s="2">
        <v>0</v>
      </c>
    </row>
    <row r="424" spans="1:5" x14ac:dyDescent="0.2">
      <c r="A424" t="s">
        <v>95</v>
      </c>
      <c r="B424" t="s">
        <v>35</v>
      </c>
      <c r="C424" t="s">
        <v>81</v>
      </c>
      <c r="D424" s="2">
        <v>0</v>
      </c>
      <c r="E424" s="2">
        <v>0</v>
      </c>
    </row>
    <row r="425" spans="1:5" x14ac:dyDescent="0.2">
      <c r="A425" t="s">
        <v>95</v>
      </c>
      <c r="B425" t="s">
        <v>35</v>
      </c>
      <c r="C425" t="s">
        <v>81</v>
      </c>
      <c r="D425" s="2">
        <v>0</v>
      </c>
      <c r="E425" s="2">
        <v>0</v>
      </c>
    </row>
    <row r="426" spans="1:5" x14ac:dyDescent="0.2">
      <c r="A426" t="s">
        <v>95</v>
      </c>
      <c r="B426" t="s">
        <v>35</v>
      </c>
      <c r="C426" t="s">
        <v>81</v>
      </c>
      <c r="D426" s="2">
        <v>0</v>
      </c>
      <c r="E426" s="2">
        <v>0</v>
      </c>
    </row>
    <row r="427" spans="1:5" x14ac:dyDescent="0.2">
      <c r="A427" t="s">
        <v>95</v>
      </c>
      <c r="B427" t="s">
        <v>35</v>
      </c>
      <c r="C427" t="s">
        <v>81</v>
      </c>
      <c r="D427" s="2">
        <v>0</v>
      </c>
      <c r="E427" s="2">
        <v>0</v>
      </c>
    </row>
    <row r="428" spans="1:5" x14ac:dyDescent="0.2">
      <c r="A428" t="s">
        <v>95</v>
      </c>
      <c r="B428" t="s">
        <v>35</v>
      </c>
      <c r="C428" t="s">
        <v>81</v>
      </c>
      <c r="D428" s="2">
        <v>245.61322519999999</v>
      </c>
      <c r="E428" s="2">
        <v>262</v>
      </c>
    </row>
    <row r="429" spans="1:5" x14ac:dyDescent="0.2">
      <c r="A429" t="s">
        <v>95</v>
      </c>
      <c r="B429" t="s">
        <v>35</v>
      </c>
      <c r="C429" t="s">
        <v>81</v>
      </c>
      <c r="D429" s="2">
        <v>257.0244184</v>
      </c>
      <c r="E429" s="2">
        <v>278</v>
      </c>
    </row>
    <row r="430" spans="1:5" x14ac:dyDescent="0.2">
      <c r="A430" t="s">
        <v>95</v>
      </c>
      <c r="B430" t="s">
        <v>35</v>
      </c>
      <c r="C430" t="s">
        <v>81</v>
      </c>
      <c r="D430" s="2">
        <v>0</v>
      </c>
      <c r="E430" s="2">
        <v>0</v>
      </c>
    </row>
    <row r="431" spans="1:5" x14ac:dyDescent="0.2">
      <c r="A431" t="s">
        <v>95</v>
      </c>
      <c r="B431" t="s">
        <v>35</v>
      </c>
      <c r="C431" t="s">
        <v>81</v>
      </c>
      <c r="D431" s="2">
        <v>587.05655160000003</v>
      </c>
      <c r="E431" s="2">
        <v>368</v>
      </c>
    </row>
    <row r="432" spans="1:5" x14ac:dyDescent="0.2">
      <c r="A432" t="s">
        <v>95</v>
      </c>
      <c r="B432" t="s">
        <v>35</v>
      </c>
      <c r="C432" t="s">
        <v>81</v>
      </c>
      <c r="D432" s="2">
        <v>0</v>
      </c>
      <c r="E432" s="2">
        <v>0</v>
      </c>
    </row>
    <row r="433" spans="1:5" x14ac:dyDescent="0.2">
      <c r="A433" t="s">
        <v>95</v>
      </c>
      <c r="B433" t="s">
        <v>35</v>
      </c>
      <c r="C433" t="s">
        <v>81</v>
      </c>
      <c r="D433" s="2">
        <v>0</v>
      </c>
      <c r="E433" s="2">
        <v>0</v>
      </c>
    </row>
    <row r="434" spans="1:5" x14ac:dyDescent="0.2">
      <c r="A434" t="s">
        <v>95</v>
      </c>
      <c r="B434" t="s">
        <v>35</v>
      </c>
      <c r="C434" t="s">
        <v>81</v>
      </c>
      <c r="D434" s="2">
        <v>321.07293179999999</v>
      </c>
      <c r="E434" s="2">
        <v>344</v>
      </c>
    </row>
    <row r="435" spans="1:5" x14ac:dyDescent="0.2">
      <c r="A435" t="s">
        <v>95</v>
      </c>
      <c r="B435" t="s">
        <v>35</v>
      </c>
      <c r="C435" t="s">
        <v>81</v>
      </c>
      <c r="D435" s="2">
        <v>0</v>
      </c>
      <c r="E435" s="2">
        <v>0</v>
      </c>
    </row>
    <row r="436" spans="1:5" x14ac:dyDescent="0.2">
      <c r="A436" t="s">
        <v>94</v>
      </c>
      <c r="B436" t="s">
        <v>35</v>
      </c>
      <c r="C436" t="s">
        <v>81</v>
      </c>
      <c r="D436" s="2">
        <v>0</v>
      </c>
      <c r="E436" s="2">
        <v>0</v>
      </c>
    </row>
    <row r="437" spans="1:5" x14ac:dyDescent="0.2">
      <c r="A437" t="s">
        <v>94</v>
      </c>
      <c r="B437" t="s">
        <v>35</v>
      </c>
      <c r="C437" t="s">
        <v>81</v>
      </c>
      <c r="D437" s="2">
        <v>0</v>
      </c>
      <c r="E437" s="2">
        <v>0</v>
      </c>
    </row>
    <row r="438" spans="1:5" x14ac:dyDescent="0.2">
      <c r="A438" t="s">
        <v>94</v>
      </c>
      <c r="B438" t="s">
        <v>35</v>
      </c>
      <c r="C438" t="s">
        <v>81</v>
      </c>
      <c r="D438" s="2">
        <v>0</v>
      </c>
      <c r="E438" s="2">
        <v>0</v>
      </c>
    </row>
    <row r="439" spans="1:5" x14ac:dyDescent="0.2">
      <c r="A439" t="s">
        <v>94</v>
      </c>
      <c r="B439" t="s">
        <v>35</v>
      </c>
      <c r="C439" t="s">
        <v>81</v>
      </c>
      <c r="D439" s="2">
        <v>64.8</v>
      </c>
      <c r="E439" s="2">
        <v>98</v>
      </c>
    </row>
    <row r="440" spans="1:5" x14ac:dyDescent="0.2">
      <c r="A440" t="s">
        <v>94</v>
      </c>
      <c r="B440" t="s">
        <v>35</v>
      </c>
      <c r="C440" t="s">
        <v>81</v>
      </c>
      <c r="D440" s="2">
        <v>0</v>
      </c>
      <c r="E440" s="2">
        <v>0</v>
      </c>
    </row>
    <row r="441" spans="1:5" x14ac:dyDescent="0.2">
      <c r="A441" t="s">
        <v>94</v>
      </c>
      <c r="B441" t="s">
        <v>35</v>
      </c>
      <c r="C441" t="s">
        <v>81</v>
      </c>
      <c r="D441" s="2">
        <v>64.8</v>
      </c>
      <c r="E441" s="2">
        <v>30</v>
      </c>
    </row>
    <row r="442" spans="1:5" x14ac:dyDescent="0.2">
      <c r="A442" t="s">
        <v>94</v>
      </c>
      <c r="B442" t="s">
        <v>35</v>
      </c>
      <c r="C442" t="s">
        <v>81</v>
      </c>
      <c r="D442" s="2">
        <v>0</v>
      </c>
      <c r="E442" s="2">
        <v>0</v>
      </c>
    </row>
    <row r="443" spans="1:5" x14ac:dyDescent="0.2">
      <c r="A443" t="s">
        <v>96</v>
      </c>
      <c r="B443" t="s">
        <v>35</v>
      </c>
      <c r="C443" t="s">
        <v>81</v>
      </c>
      <c r="D443" s="2">
        <v>115.2050674</v>
      </c>
      <c r="E443" s="2">
        <v>214</v>
      </c>
    </row>
    <row r="444" spans="1:5" x14ac:dyDescent="0.2">
      <c r="A444" t="s">
        <v>96</v>
      </c>
      <c r="B444" t="s">
        <v>35</v>
      </c>
      <c r="C444" t="s">
        <v>81</v>
      </c>
      <c r="D444" s="2">
        <v>82.060913200000002</v>
      </c>
      <c r="E444" s="2">
        <v>92</v>
      </c>
    </row>
    <row r="445" spans="1:5" x14ac:dyDescent="0.2">
      <c r="A445" t="s">
        <v>96</v>
      </c>
      <c r="B445" t="s">
        <v>35</v>
      </c>
      <c r="C445" t="s">
        <v>81</v>
      </c>
      <c r="D445" s="2">
        <v>0</v>
      </c>
      <c r="E445" s="2">
        <v>0</v>
      </c>
    </row>
    <row r="446" spans="1:5" x14ac:dyDescent="0.2">
      <c r="A446" t="s">
        <v>96</v>
      </c>
      <c r="B446" t="s">
        <v>35</v>
      </c>
      <c r="C446" t="s">
        <v>81</v>
      </c>
      <c r="D446" s="2">
        <v>58.6151488</v>
      </c>
      <c r="E446" s="2">
        <v>70</v>
      </c>
    </row>
    <row r="447" spans="1:5" x14ac:dyDescent="0.2">
      <c r="A447" t="s">
        <v>96</v>
      </c>
      <c r="B447" t="s">
        <v>35</v>
      </c>
      <c r="C447" t="s">
        <v>81</v>
      </c>
      <c r="D447" s="2">
        <v>0</v>
      </c>
      <c r="E447" s="2">
        <v>0</v>
      </c>
    </row>
    <row r="448" spans="1:5" x14ac:dyDescent="0.2">
      <c r="A448" t="s">
        <v>96</v>
      </c>
      <c r="B448" t="s">
        <v>35</v>
      </c>
      <c r="C448" t="s">
        <v>81</v>
      </c>
      <c r="D448" s="2">
        <v>0</v>
      </c>
      <c r="E448" s="2">
        <v>0</v>
      </c>
    </row>
    <row r="449" spans="1:5" x14ac:dyDescent="0.2">
      <c r="A449" t="s">
        <v>96</v>
      </c>
      <c r="B449" t="s">
        <v>35</v>
      </c>
      <c r="C449" t="s">
        <v>81</v>
      </c>
      <c r="D449" s="2">
        <v>0</v>
      </c>
      <c r="E449" s="2">
        <v>0</v>
      </c>
    </row>
    <row r="450" spans="1:5" x14ac:dyDescent="0.2">
      <c r="A450" t="s">
        <v>93</v>
      </c>
      <c r="B450" t="s">
        <v>69</v>
      </c>
      <c r="C450" t="s">
        <v>81</v>
      </c>
      <c r="D450" s="2">
        <v>0</v>
      </c>
      <c r="E450" s="2">
        <v>0</v>
      </c>
    </row>
    <row r="451" spans="1:5" x14ac:dyDescent="0.2">
      <c r="A451" t="s">
        <v>93</v>
      </c>
      <c r="B451" t="s">
        <v>69</v>
      </c>
      <c r="C451" t="s">
        <v>81</v>
      </c>
      <c r="D451" s="2">
        <v>0</v>
      </c>
      <c r="E451" s="2">
        <v>0</v>
      </c>
    </row>
    <row r="452" spans="1:5" x14ac:dyDescent="0.2">
      <c r="A452" t="s">
        <v>93</v>
      </c>
      <c r="B452" t="s">
        <v>69</v>
      </c>
      <c r="C452" t="s">
        <v>81</v>
      </c>
      <c r="D452" s="2">
        <v>50.0626538</v>
      </c>
      <c r="E452" s="2">
        <v>72</v>
      </c>
    </row>
    <row r="453" spans="1:5" x14ac:dyDescent="0.2">
      <c r="A453" t="s">
        <v>93</v>
      </c>
      <c r="B453" t="s">
        <v>69</v>
      </c>
      <c r="C453" t="s">
        <v>81</v>
      </c>
      <c r="D453" s="2">
        <v>43.374778599999999</v>
      </c>
      <c r="E453" s="2">
        <v>38</v>
      </c>
    </row>
    <row r="454" spans="1:5" x14ac:dyDescent="0.2">
      <c r="A454" t="s">
        <v>95</v>
      </c>
      <c r="B454" t="s">
        <v>69</v>
      </c>
      <c r="C454" t="s">
        <v>81</v>
      </c>
      <c r="D454" s="2">
        <v>0</v>
      </c>
      <c r="E454" s="2">
        <v>0</v>
      </c>
    </row>
    <row r="455" spans="1:5" x14ac:dyDescent="0.2">
      <c r="A455" t="s">
        <v>95</v>
      </c>
      <c r="B455" t="s">
        <v>69</v>
      </c>
      <c r="C455" t="s">
        <v>81</v>
      </c>
      <c r="D455" s="2">
        <v>0</v>
      </c>
      <c r="E455" s="2">
        <v>0</v>
      </c>
    </row>
    <row r="456" spans="1:5" x14ac:dyDescent="0.2">
      <c r="A456" t="s">
        <v>95</v>
      </c>
      <c r="B456" t="s">
        <v>69</v>
      </c>
      <c r="C456" t="s">
        <v>81</v>
      </c>
      <c r="D456" s="2">
        <v>0</v>
      </c>
      <c r="E456" s="2">
        <v>0</v>
      </c>
    </row>
    <row r="457" spans="1:5" x14ac:dyDescent="0.2">
      <c r="A457" t="s">
        <v>95</v>
      </c>
      <c r="B457" t="s">
        <v>69</v>
      </c>
      <c r="C457" t="s">
        <v>81</v>
      </c>
      <c r="D457" s="2">
        <v>0</v>
      </c>
      <c r="E457" s="2">
        <v>0</v>
      </c>
    </row>
    <row r="458" spans="1:5" x14ac:dyDescent="0.2">
      <c r="A458" t="s">
        <v>95</v>
      </c>
      <c r="B458" t="s">
        <v>69</v>
      </c>
      <c r="C458" t="s">
        <v>81</v>
      </c>
      <c r="D458" s="2">
        <v>0</v>
      </c>
      <c r="E458" s="2">
        <v>0</v>
      </c>
    </row>
    <row r="459" spans="1:5" x14ac:dyDescent="0.2">
      <c r="A459" t="s">
        <v>95</v>
      </c>
      <c r="B459" t="s">
        <v>69</v>
      </c>
      <c r="C459" t="s">
        <v>81</v>
      </c>
      <c r="D459" s="2">
        <v>0</v>
      </c>
      <c r="E459" s="2">
        <v>0</v>
      </c>
    </row>
    <row r="460" spans="1:5" x14ac:dyDescent="0.2">
      <c r="A460" t="s">
        <v>95</v>
      </c>
      <c r="B460" t="s">
        <v>69</v>
      </c>
      <c r="C460" t="s">
        <v>81</v>
      </c>
      <c r="D460" s="2">
        <v>247.98620020000001</v>
      </c>
      <c r="E460" s="2">
        <v>308</v>
      </c>
    </row>
    <row r="461" spans="1:5" x14ac:dyDescent="0.2">
      <c r="A461" t="s">
        <v>95</v>
      </c>
      <c r="B461" t="s">
        <v>69</v>
      </c>
      <c r="C461" t="s">
        <v>81</v>
      </c>
      <c r="D461" s="2">
        <v>260.7632122</v>
      </c>
      <c r="E461" s="2">
        <v>410</v>
      </c>
    </row>
    <row r="462" spans="1:5" x14ac:dyDescent="0.2">
      <c r="A462" t="s">
        <v>95</v>
      </c>
      <c r="B462" t="s">
        <v>69</v>
      </c>
      <c r="C462" t="s">
        <v>81</v>
      </c>
      <c r="D462" s="2">
        <v>0</v>
      </c>
      <c r="E462" s="2">
        <v>0</v>
      </c>
    </row>
    <row r="463" spans="1:5" x14ac:dyDescent="0.2">
      <c r="A463" t="s">
        <v>95</v>
      </c>
      <c r="B463" t="s">
        <v>69</v>
      </c>
      <c r="C463" t="s">
        <v>81</v>
      </c>
      <c r="D463" s="2">
        <v>684.16674220000004</v>
      </c>
      <c r="E463" s="2">
        <v>452</v>
      </c>
    </row>
    <row r="464" spans="1:5" x14ac:dyDescent="0.2">
      <c r="A464" t="s">
        <v>95</v>
      </c>
      <c r="B464" t="s">
        <v>69</v>
      </c>
      <c r="C464" t="s">
        <v>81</v>
      </c>
      <c r="D464" s="2">
        <v>0</v>
      </c>
      <c r="E464" s="2">
        <v>0</v>
      </c>
    </row>
    <row r="465" spans="1:5" x14ac:dyDescent="0.2">
      <c r="A465" t="s">
        <v>95</v>
      </c>
      <c r="B465" t="s">
        <v>69</v>
      </c>
      <c r="C465" t="s">
        <v>81</v>
      </c>
      <c r="D465" s="2">
        <v>0</v>
      </c>
      <c r="E465" s="2">
        <v>0</v>
      </c>
    </row>
    <row r="466" spans="1:5" x14ac:dyDescent="0.2">
      <c r="A466" t="s">
        <v>95</v>
      </c>
      <c r="B466" t="s">
        <v>69</v>
      </c>
      <c r="C466" t="s">
        <v>81</v>
      </c>
      <c r="D466" s="2">
        <v>324.11868820000001</v>
      </c>
      <c r="E466" s="2">
        <v>544</v>
      </c>
    </row>
    <row r="467" spans="1:5" x14ac:dyDescent="0.2">
      <c r="A467" t="s">
        <v>95</v>
      </c>
      <c r="B467" t="s">
        <v>69</v>
      </c>
      <c r="C467" t="s">
        <v>81</v>
      </c>
      <c r="D467" s="2">
        <v>0</v>
      </c>
      <c r="E467" s="2">
        <v>0</v>
      </c>
    </row>
    <row r="468" spans="1:5" x14ac:dyDescent="0.2">
      <c r="A468" t="s">
        <v>94</v>
      </c>
      <c r="B468" t="s">
        <v>69</v>
      </c>
      <c r="C468" t="s">
        <v>81</v>
      </c>
      <c r="D468" s="2">
        <v>0</v>
      </c>
      <c r="E468" s="2">
        <v>0</v>
      </c>
    </row>
    <row r="469" spans="1:5" x14ac:dyDescent="0.2">
      <c r="A469" t="s">
        <v>94</v>
      </c>
      <c r="B469" t="s">
        <v>69</v>
      </c>
      <c r="C469" t="s">
        <v>81</v>
      </c>
      <c r="D469" s="2">
        <v>0</v>
      </c>
      <c r="E469" s="2">
        <v>0</v>
      </c>
    </row>
    <row r="470" spans="1:5" x14ac:dyDescent="0.2">
      <c r="A470" t="s">
        <v>94</v>
      </c>
      <c r="B470" t="s">
        <v>69</v>
      </c>
      <c r="C470" t="s">
        <v>81</v>
      </c>
      <c r="D470" s="2">
        <v>0</v>
      </c>
      <c r="E470" s="2">
        <v>0</v>
      </c>
    </row>
    <row r="471" spans="1:5" x14ac:dyDescent="0.2">
      <c r="A471" t="s">
        <v>94</v>
      </c>
      <c r="B471" t="s">
        <v>69</v>
      </c>
      <c r="C471" t="s">
        <v>81</v>
      </c>
      <c r="D471" s="2">
        <v>251.38103240000001</v>
      </c>
      <c r="E471" s="2">
        <v>254</v>
      </c>
    </row>
    <row r="472" spans="1:5" x14ac:dyDescent="0.2">
      <c r="A472" t="s">
        <v>94</v>
      </c>
      <c r="B472" t="s">
        <v>69</v>
      </c>
      <c r="C472" t="s">
        <v>81</v>
      </c>
      <c r="D472" s="2">
        <v>0</v>
      </c>
      <c r="E472" s="2">
        <v>0</v>
      </c>
    </row>
    <row r="473" spans="1:5" x14ac:dyDescent="0.2">
      <c r="A473" t="s">
        <v>94</v>
      </c>
      <c r="B473" t="s">
        <v>69</v>
      </c>
      <c r="C473" t="s">
        <v>81</v>
      </c>
      <c r="D473" s="2">
        <v>112.66680839999999</v>
      </c>
      <c r="E473" s="2">
        <v>64</v>
      </c>
    </row>
    <row r="474" spans="1:5" x14ac:dyDescent="0.2">
      <c r="A474" t="s">
        <v>94</v>
      </c>
      <c r="B474" t="s">
        <v>69</v>
      </c>
      <c r="C474" t="s">
        <v>81</v>
      </c>
      <c r="D474" s="2">
        <v>133.1790622</v>
      </c>
      <c r="E474" s="2">
        <v>18</v>
      </c>
    </row>
    <row r="475" spans="1:5" x14ac:dyDescent="0.2">
      <c r="A475" t="s">
        <v>96</v>
      </c>
      <c r="B475" t="s">
        <v>69</v>
      </c>
      <c r="C475" t="s">
        <v>81</v>
      </c>
      <c r="D475" s="2">
        <v>213.53964099999999</v>
      </c>
      <c r="E475" s="2">
        <v>236</v>
      </c>
    </row>
    <row r="476" spans="1:5" x14ac:dyDescent="0.2">
      <c r="A476" t="s">
        <v>96</v>
      </c>
      <c r="B476" t="s">
        <v>69</v>
      </c>
      <c r="C476" t="s">
        <v>81</v>
      </c>
      <c r="D476" s="2">
        <v>233.40460039999999</v>
      </c>
      <c r="E476" s="2">
        <v>114</v>
      </c>
    </row>
    <row r="477" spans="1:5" x14ac:dyDescent="0.2">
      <c r="A477" t="s">
        <v>96</v>
      </c>
      <c r="B477" t="s">
        <v>69</v>
      </c>
      <c r="C477" t="s">
        <v>81</v>
      </c>
      <c r="D477" s="2">
        <v>0</v>
      </c>
      <c r="E477" s="2">
        <v>6</v>
      </c>
    </row>
    <row r="478" spans="1:5" x14ac:dyDescent="0.2">
      <c r="A478" t="s">
        <v>96</v>
      </c>
      <c r="B478" t="s">
        <v>69</v>
      </c>
      <c r="C478" t="s">
        <v>81</v>
      </c>
      <c r="D478" s="2">
        <v>73.551891400000002</v>
      </c>
      <c r="E478" s="2">
        <v>40</v>
      </c>
    </row>
    <row r="479" spans="1:5" x14ac:dyDescent="0.2">
      <c r="A479" t="s">
        <v>96</v>
      </c>
      <c r="B479" t="s">
        <v>69</v>
      </c>
      <c r="C479" t="s">
        <v>81</v>
      </c>
      <c r="D479" s="2">
        <v>0</v>
      </c>
      <c r="E479" s="2">
        <v>0</v>
      </c>
    </row>
    <row r="480" spans="1:5" x14ac:dyDescent="0.2">
      <c r="A480" t="s">
        <v>96</v>
      </c>
      <c r="B480" t="s">
        <v>69</v>
      </c>
      <c r="C480" t="s">
        <v>81</v>
      </c>
      <c r="D480" s="2">
        <v>0</v>
      </c>
      <c r="E480" s="2">
        <v>0</v>
      </c>
    </row>
    <row r="481" spans="1:5" x14ac:dyDescent="0.2">
      <c r="A481" t="s">
        <v>96</v>
      </c>
      <c r="B481" t="s">
        <v>69</v>
      </c>
      <c r="C481" t="s">
        <v>81</v>
      </c>
      <c r="D481" s="2">
        <v>0</v>
      </c>
      <c r="E481" s="2">
        <v>0</v>
      </c>
    </row>
    <row r="482" spans="1:5" x14ac:dyDescent="0.2">
      <c r="A482" t="s">
        <v>93</v>
      </c>
      <c r="B482" t="s">
        <v>63</v>
      </c>
      <c r="C482" t="s">
        <v>81</v>
      </c>
      <c r="D482" s="2">
        <v>0</v>
      </c>
      <c r="E482" s="2">
        <v>0</v>
      </c>
    </row>
    <row r="483" spans="1:5" x14ac:dyDescent="0.2">
      <c r="A483" t="s">
        <v>93</v>
      </c>
      <c r="B483" t="s">
        <v>63</v>
      </c>
      <c r="C483" t="s">
        <v>81</v>
      </c>
      <c r="D483" s="2">
        <v>0</v>
      </c>
      <c r="E483" s="2">
        <v>0</v>
      </c>
    </row>
    <row r="484" spans="1:5" x14ac:dyDescent="0.2">
      <c r="A484" t="s">
        <v>93</v>
      </c>
      <c r="B484" t="s">
        <v>63</v>
      </c>
      <c r="C484" t="s">
        <v>81</v>
      </c>
      <c r="D484" s="2">
        <v>0</v>
      </c>
      <c r="E484" s="2">
        <v>78</v>
      </c>
    </row>
    <row r="485" spans="1:5" x14ac:dyDescent="0.2">
      <c r="A485" t="s">
        <v>93</v>
      </c>
      <c r="B485" t="s">
        <v>63</v>
      </c>
      <c r="C485" t="s">
        <v>81</v>
      </c>
      <c r="D485" s="2">
        <v>0</v>
      </c>
      <c r="E485" s="2">
        <v>26</v>
      </c>
    </row>
    <row r="486" spans="1:5" x14ac:dyDescent="0.2">
      <c r="A486" t="s">
        <v>95</v>
      </c>
      <c r="B486" t="s">
        <v>63</v>
      </c>
      <c r="C486" t="s">
        <v>81</v>
      </c>
      <c r="D486" s="2">
        <v>0</v>
      </c>
      <c r="E486" s="2">
        <v>0</v>
      </c>
    </row>
    <row r="487" spans="1:5" x14ac:dyDescent="0.2">
      <c r="A487" t="s">
        <v>95</v>
      </c>
      <c r="B487" t="s">
        <v>63</v>
      </c>
      <c r="C487" t="s">
        <v>81</v>
      </c>
      <c r="D487" s="2">
        <v>0</v>
      </c>
      <c r="E487" s="2">
        <v>0</v>
      </c>
    </row>
    <row r="488" spans="1:5" x14ac:dyDescent="0.2">
      <c r="A488" t="s">
        <v>95</v>
      </c>
      <c r="B488" t="s">
        <v>63</v>
      </c>
      <c r="C488" t="s">
        <v>81</v>
      </c>
      <c r="D488" s="2">
        <v>0</v>
      </c>
      <c r="E488" s="2">
        <v>0</v>
      </c>
    </row>
    <row r="489" spans="1:5" x14ac:dyDescent="0.2">
      <c r="A489" t="s">
        <v>95</v>
      </c>
      <c r="B489" t="s">
        <v>63</v>
      </c>
      <c r="C489" t="s">
        <v>81</v>
      </c>
      <c r="D489" s="2">
        <v>0</v>
      </c>
      <c r="E489" s="2">
        <v>0</v>
      </c>
    </row>
    <row r="490" spans="1:5" x14ac:dyDescent="0.2">
      <c r="A490" t="s">
        <v>95</v>
      </c>
      <c r="B490" t="s">
        <v>63</v>
      </c>
      <c r="C490" t="s">
        <v>81</v>
      </c>
      <c r="D490" s="2">
        <v>0</v>
      </c>
      <c r="E490" s="2">
        <v>0</v>
      </c>
    </row>
    <row r="491" spans="1:5" x14ac:dyDescent="0.2">
      <c r="A491" t="s">
        <v>95</v>
      </c>
      <c r="B491" t="s">
        <v>63</v>
      </c>
      <c r="C491" t="s">
        <v>81</v>
      </c>
      <c r="D491" s="2">
        <v>0</v>
      </c>
      <c r="E491" s="2">
        <v>0</v>
      </c>
    </row>
    <row r="492" spans="1:5" x14ac:dyDescent="0.2">
      <c r="A492" t="s">
        <v>95</v>
      </c>
      <c r="B492" t="s">
        <v>63</v>
      </c>
      <c r="C492" t="s">
        <v>81</v>
      </c>
      <c r="D492" s="2">
        <v>0</v>
      </c>
      <c r="E492" s="2">
        <v>244</v>
      </c>
    </row>
    <row r="493" spans="1:5" x14ac:dyDescent="0.2">
      <c r="A493" t="s">
        <v>95</v>
      </c>
      <c r="B493" t="s">
        <v>63</v>
      </c>
      <c r="C493" t="s">
        <v>81</v>
      </c>
      <c r="D493" s="2">
        <v>0</v>
      </c>
      <c r="E493" s="2">
        <v>292</v>
      </c>
    </row>
    <row r="494" spans="1:5" x14ac:dyDescent="0.2">
      <c r="A494" t="s">
        <v>95</v>
      </c>
      <c r="B494" t="s">
        <v>63</v>
      </c>
      <c r="C494" t="s">
        <v>81</v>
      </c>
      <c r="D494" s="2">
        <v>0</v>
      </c>
      <c r="E494" s="2">
        <v>0</v>
      </c>
    </row>
    <row r="495" spans="1:5" x14ac:dyDescent="0.2">
      <c r="A495" t="s">
        <v>95</v>
      </c>
      <c r="B495" t="s">
        <v>63</v>
      </c>
      <c r="C495" t="s">
        <v>81</v>
      </c>
      <c r="D495" s="2">
        <v>0</v>
      </c>
      <c r="E495" s="2">
        <v>304</v>
      </c>
    </row>
    <row r="496" spans="1:5" x14ac:dyDescent="0.2">
      <c r="A496" t="s">
        <v>95</v>
      </c>
      <c r="B496" t="s">
        <v>63</v>
      </c>
      <c r="C496" t="s">
        <v>81</v>
      </c>
      <c r="D496" s="2">
        <v>0</v>
      </c>
      <c r="E496" s="2">
        <v>0</v>
      </c>
    </row>
    <row r="497" spans="1:5" x14ac:dyDescent="0.2">
      <c r="A497" t="s">
        <v>95</v>
      </c>
      <c r="B497" t="s">
        <v>63</v>
      </c>
      <c r="C497" t="s">
        <v>81</v>
      </c>
      <c r="D497" s="2">
        <v>0</v>
      </c>
      <c r="E497" s="2">
        <v>0</v>
      </c>
    </row>
    <row r="498" spans="1:5" x14ac:dyDescent="0.2">
      <c r="A498" t="s">
        <v>95</v>
      </c>
      <c r="B498" t="s">
        <v>63</v>
      </c>
      <c r="C498" t="s">
        <v>81</v>
      </c>
      <c r="D498" s="2">
        <v>0</v>
      </c>
      <c r="E498" s="2">
        <v>356</v>
      </c>
    </row>
    <row r="499" spans="1:5" x14ac:dyDescent="0.2">
      <c r="A499" t="s">
        <v>95</v>
      </c>
      <c r="B499" t="s">
        <v>63</v>
      </c>
      <c r="C499" t="s">
        <v>81</v>
      </c>
      <c r="D499" s="2">
        <v>0</v>
      </c>
      <c r="E499" s="2">
        <v>0</v>
      </c>
    </row>
    <row r="500" spans="1:5" x14ac:dyDescent="0.2">
      <c r="A500" t="s">
        <v>94</v>
      </c>
      <c r="B500" t="s">
        <v>63</v>
      </c>
      <c r="C500" t="s">
        <v>81</v>
      </c>
      <c r="D500" s="2">
        <v>0</v>
      </c>
      <c r="E500" s="2">
        <v>0</v>
      </c>
    </row>
    <row r="501" spans="1:5" x14ac:dyDescent="0.2">
      <c r="A501" t="s">
        <v>94</v>
      </c>
      <c r="B501" t="s">
        <v>63</v>
      </c>
      <c r="C501" t="s">
        <v>81</v>
      </c>
      <c r="D501" s="2">
        <v>0</v>
      </c>
      <c r="E501" s="2">
        <v>0</v>
      </c>
    </row>
    <row r="502" spans="1:5" x14ac:dyDescent="0.2">
      <c r="A502" t="s">
        <v>94</v>
      </c>
      <c r="B502" t="s">
        <v>63</v>
      </c>
      <c r="C502" t="s">
        <v>81</v>
      </c>
      <c r="D502" s="2">
        <v>0</v>
      </c>
      <c r="E502" s="2">
        <v>0</v>
      </c>
    </row>
    <row r="503" spans="1:5" x14ac:dyDescent="0.2">
      <c r="A503" t="s">
        <v>94</v>
      </c>
      <c r="B503" t="s">
        <v>63</v>
      </c>
      <c r="C503" t="s">
        <v>81</v>
      </c>
      <c r="D503" s="2">
        <v>0</v>
      </c>
      <c r="E503" s="2">
        <v>34</v>
      </c>
    </row>
    <row r="504" spans="1:5" x14ac:dyDescent="0.2">
      <c r="A504" t="s">
        <v>94</v>
      </c>
      <c r="B504" t="s">
        <v>63</v>
      </c>
      <c r="C504" t="s">
        <v>81</v>
      </c>
      <c r="D504" s="2">
        <v>0</v>
      </c>
      <c r="E504" s="2">
        <v>0</v>
      </c>
    </row>
    <row r="505" spans="1:5" x14ac:dyDescent="0.2">
      <c r="A505" t="s">
        <v>94</v>
      </c>
      <c r="B505" t="s">
        <v>63</v>
      </c>
      <c r="C505" t="s">
        <v>81</v>
      </c>
      <c r="D505" s="2">
        <v>0</v>
      </c>
      <c r="E505" s="2">
        <v>6</v>
      </c>
    </row>
    <row r="506" spans="1:5" x14ac:dyDescent="0.2">
      <c r="A506" t="s">
        <v>94</v>
      </c>
      <c r="B506" t="s">
        <v>63</v>
      </c>
      <c r="C506" t="s">
        <v>81</v>
      </c>
      <c r="D506" s="2">
        <v>0</v>
      </c>
      <c r="E506" s="2">
        <v>0</v>
      </c>
    </row>
    <row r="507" spans="1:5" x14ac:dyDescent="0.2">
      <c r="A507" t="s">
        <v>96</v>
      </c>
      <c r="B507" t="s">
        <v>63</v>
      </c>
      <c r="C507" t="s">
        <v>81</v>
      </c>
      <c r="D507" s="2">
        <v>0</v>
      </c>
      <c r="E507" s="2">
        <v>222</v>
      </c>
    </row>
    <row r="508" spans="1:5" x14ac:dyDescent="0.2">
      <c r="A508" t="s">
        <v>96</v>
      </c>
      <c r="B508" t="s">
        <v>63</v>
      </c>
      <c r="C508" t="s">
        <v>81</v>
      </c>
      <c r="D508" s="2">
        <v>0</v>
      </c>
      <c r="E508" s="2">
        <v>18</v>
      </c>
    </row>
    <row r="509" spans="1:5" x14ac:dyDescent="0.2">
      <c r="A509" t="s">
        <v>96</v>
      </c>
      <c r="B509" t="s">
        <v>63</v>
      </c>
      <c r="C509" t="s">
        <v>81</v>
      </c>
      <c r="D509" s="2">
        <v>0</v>
      </c>
      <c r="E509" s="2">
        <v>0</v>
      </c>
    </row>
    <row r="510" spans="1:5" x14ac:dyDescent="0.2">
      <c r="A510" t="s">
        <v>96</v>
      </c>
      <c r="B510" t="s">
        <v>63</v>
      </c>
      <c r="C510" t="s">
        <v>81</v>
      </c>
      <c r="D510" s="2">
        <v>0</v>
      </c>
      <c r="E510" s="2">
        <v>16</v>
      </c>
    </row>
    <row r="511" spans="1:5" x14ac:dyDescent="0.2">
      <c r="A511" t="s">
        <v>96</v>
      </c>
      <c r="B511" t="s">
        <v>63</v>
      </c>
      <c r="C511" t="s">
        <v>81</v>
      </c>
      <c r="D511" s="2">
        <v>0</v>
      </c>
      <c r="E511" s="2">
        <v>0</v>
      </c>
    </row>
    <row r="512" spans="1:5" x14ac:dyDescent="0.2">
      <c r="A512" t="s">
        <v>96</v>
      </c>
      <c r="B512" t="s">
        <v>63</v>
      </c>
      <c r="C512" t="s">
        <v>81</v>
      </c>
      <c r="D512" s="2">
        <v>0</v>
      </c>
      <c r="E512" s="2">
        <v>0</v>
      </c>
    </row>
    <row r="513" spans="1:5" x14ac:dyDescent="0.2">
      <c r="A513" t="s">
        <v>96</v>
      </c>
      <c r="B513" t="s">
        <v>63</v>
      </c>
      <c r="C513" t="s">
        <v>81</v>
      </c>
      <c r="D513" s="2">
        <v>0</v>
      </c>
      <c r="E513" s="2">
        <v>0</v>
      </c>
    </row>
    <row r="514" spans="1:5" x14ac:dyDescent="0.2">
      <c r="A514" t="s">
        <v>93</v>
      </c>
      <c r="B514" t="s">
        <v>41</v>
      </c>
      <c r="C514" t="s">
        <v>81</v>
      </c>
      <c r="D514" s="2">
        <v>0</v>
      </c>
      <c r="E514" s="2">
        <v>0</v>
      </c>
    </row>
    <row r="515" spans="1:5" x14ac:dyDescent="0.2">
      <c r="A515" t="s">
        <v>93</v>
      </c>
      <c r="B515" t="s">
        <v>41</v>
      </c>
      <c r="C515" t="s">
        <v>81</v>
      </c>
      <c r="D515" s="2">
        <v>0</v>
      </c>
      <c r="E515" s="2">
        <v>0</v>
      </c>
    </row>
    <row r="516" spans="1:5" x14ac:dyDescent="0.2">
      <c r="A516" t="s">
        <v>93</v>
      </c>
      <c r="B516" t="s">
        <v>41</v>
      </c>
      <c r="C516" t="s">
        <v>81</v>
      </c>
      <c r="D516" s="2">
        <v>47.598432000000003</v>
      </c>
      <c r="E516" s="2">
        <v>70</v>
      </c>
    </row>
    <row r="517" spans="1:5" x14ac:dyDescent="0.2">
      <c r="A517" t="s">
        <v>93</v>
      </c>
      <c r="B517" t="s">
        <v>41</v>
      </c>
      <c r="C517" t="s">
        <v>81</v>
      </c>
      <c r="D517" s="2">
        <v>37.896878000000001</v>
      </c>
      <c r="E517" s="2">
        <v>22</v>
      </c>
    </row>
    <row r="518" spans="1:5" x14ac:dyDescent="0.2">
      <c r="A518" t="s">
        <v>95</v>
      </c>
      <c r="B518" t="s">
        <v>41</v>
      </c>
      <c r="C518" t="s">
        <v>81</v>
      </c>
      <c r="D518" s="2">
        <v>0</v>
      </c>
      <c r="E518" s="2">
        <v>0</v>
      </c>
    </row>
    <row r="519" spans="1:5" x14ac:dyDescent="0.2">
      <c r="A519" t="s">
        <v>95</v>
      </c>
      <c r="B519" t="s">
        <v>41</v>
      </c>
      <c r="C519" t="s">
        <v>81</v>
      </c>
      <c r="D519" s="2">
        <v>0</v>
      </c>
      <c r="E519" s="2">
        <v>0</v>
      </c>
    </row>
    <row r="520" spans="1:5" x14ac:dyDescent="0.2">
      <c r="A520" t="s">
        <v>95</v>
      </c>
      <c r="B520" t="s">
        <v>41</v>
      </c>
      <c r="C520" t="s">
        <v>81</v>
      </c>
      <c r="D520" s="2">
        <v>0</v>
      </c>
      <c r="E520" s="2">
        <v>0</v>
      </c>
    </row>
    <row r="521" spans="1:5" x14ac:dyDescent="0.2">
      <c r="A521" t="s">
        <v>95</v>
      </c>
      <c r="B521" t="s">
        <v>41</v>
      </c>
      <c r="C521" t="s">
        <v>81</v>
      </c>
      <c r="D521" s="2">
        <v>0</v>
      </c>
      <c r="E521" s="2">
        <v>0</v>
      </c>
    </row>
    <row r="522" spans="1:5" x14ac:dyDescent="0.2">
      <c r="A522" t="s">
        <v>95</v>
      </c>
      <c r="B522" t="s">
        <v>41</v>
      </c>
      <c r="C522" t="s">
        <v>81</v>
      </c>
      <c r="D522" s="2">
        <v>0</v>
      </c>
      <c r="E522" s="2">
        <v>0</v>
      </c>
    </row>
    <row r="523" spans="1:5" x14ac:dyDescent="0.2">
      <c r="A523" t="s">
        <v>95</v>
      </c>
      <c r="B523" t="s">
        <v>41</v>
      </c>
      <c r="C523" t="s">
        <v>81</v>
      </c>
      <c r="D523" s="2">
        <v>0</v>
      </c>
      <c r="E523" s="2">
        <v>0</v>
      </c>
    </row>
    <row r="524" spans="1:5" x14ac:dyDescent="0.2">
      <c r="A524" t="s">
        <v>95</v>
      </c>
      <c r="B524" t="s">
        <v>41</v>
      </c>
      <c r="C524" t="s">
        <v>81</v>
      </c>
      <c r="D524" s="2">
        <v>258.43991620000003</v>
      </c>
      <c r="E524" s="2">
        <v>326</v>
      </c>
    </row>
    <row r="525" spans="1:5" x14ac:dyDescent="0.2">
      <c r="A525" t="s">
        <v>95</v>
      </c>
      <c r="B525" t="s">
        <v>41</v>
      </c>
      <c r="C525" t="s">
        <v>81</v>
      </c>
      <c r="D525" s="2">
        <v>259.37202780000001</v>
      </c>
      <c r="E525" s="2">
        <v>458</v>
      </c>
    </row>
    <row r="526" spans="1:5" x14ac:dyDescent="0.2">
      <c r="A526" t="s">
        <v>95</v>
      </c>
      <c r="B526" t="s">
        <v>41</v>
      </c>
      <c r="C526" t="s">
        <v>81</v>
      </c>
      <c r="D526" s="2">
        <v>0</v>
      </c>
      <c r="E526" s="2">
        <v>0</v>
      </c>
    </row>
    <row r="527" spans="1:5" x14ac:dyDescent="0.2">
      <c r="A527" t="s">
        <v>95</v>
      </c>
      <c r="B527" t="s">
        <v>41</v>
      </c>
      <c r="C527" t="s">
        <v>81</v>
      </c>
      <c r="D527" s="2">
        <v>594.82222679999995</v>
      </c>
      <c r="E527" s="2">
        <v>428</v>
      </c>
    </row>
    <row r="528" spans="1:5" x14ac:dyDescent="0.2">
      <c r="A528" t="s">
        <v>95</v>
      </c>
      <c r="B528" t="s">
        <v>41</v>
      </c>
      <c r="C528" t="s">
        <v>81</v>
      </c>
      <c r="D528" s="2">
        <v>0</v>
      </c>
      <c r="E528" s="2">
        <v>0</v>
      </c>
    </row>
    <row r="529" spans="1:5" x14ac:dyDescent="0.2">
      <c r="A529" t="s">
        <v>95</v>
      </c>
      <c r="B529" t="s">
        <v>41</v>
      </c>
      <c r="C529" t="s">
        <v>81</v>
      </c>
      <c r="D529" s="2">
        <v>0</v>
      </c>
      <c r="E529" s="2">
        <v>0</v>
      </c>
    </row>
    <row r="530" spans="1:5" x14ac:dyDescent="0.2">
      <c r="A530" t="s">
        <v>95</v>
      </c>
      <c r="B530" t="s">
        <v>41</v>
      </c>
      <c r="C530" t="s">
        <v>81</v>
      </c>
      <c r="D530" s="2">
        <v>329.917732</v>
      </c>
      <c r="E530" s="2">
        <v>522</v>
      </c>
    </row>
    <row r="531" spans="1:5" x14ac:dyDescent="0.2">
      <c r="A531" t="s">
        <v>95</v>
      </c>
      <c r="B531" t="s">
        <v>41</v>
      </c>
      <c r="C531" t="s">
        <v>81</v>
      </c>
      <c r="D531" s="2">
        <v>0</v>
      </c>
      <c r="E531" s="2">
        <v>0</v>
      </c>
    </row>
    <row r="532" spans="1:5" x14ac:dyDescent="0.2">
      <c r="A532" t="s">
        <v>94</v>
      </c>
      <c r="B532" t="s">
        <v>41</v>
      </c>
      <c r="C532" t="s">
        <v>81</v>
      </c>
      <c r="D532" s="2">
        <v>0</v>
      </c>
      <c r="E532" s="2">
        <v>0</v>
      </c>
    </row>
    <row r="533" spans="1:5" x14ac:dyDescent="0.2">
      <c r="A533" t="s">
        <v>94</v>
      </c>
      <c r="B533" t="s">
        <v>41</v>
      </c>
      <c r="C533" t="s">
        <v>81</v>
      </c>
      <c r="D533" s="2">
        <v>0</v>
      </c>
      <c r="E533" s="2">
        <v>0</v>
      </c>
    </row>
    <row r="534" spans="1:5" x14ac:dyDescent="0.2">
      <c r="A534" t="s">
        <v>94</v>
      </c>
      <c r="B534" t="s">
        <v>41</v>
      </c>
      <c r="C534" t="s">
        <v>81</v>
      </c>
      <c r="D534" s="2">
        <v>0</v>
      </c>
      <c r="E534" s="2">
        <v>0</v>
      </c>
    </row>
    <row r="535" spans="1:5" x14ac:dyDescent="0.2">
      <c r="A535" t="s">
        <v>94</v>
      </c>
      <c r="B535" t="s">
        <v>41</v>
      </c>
      <c r="C535" t="s">
        <v>81</v>
      </c>
      <c r="D535" s="2">
        <v>102.15347300000001</v>
      </c>
      <c r="E535" s="2">
        <v>168</v>
      </c>
    </row>
    <row r="536" spans="1:5" x14ac:dyDescent="0.2">
      <c r="A536" t="s">
        <v>94</v>
      </c>
      <c r="B536" t="s">
        <v>41</v>
      </c>
      <c r="C536" t="s">
        <v>81</v>
      </c>
      <c r="D536" s="2">
        <v>0</v>
      </c>
      <c r="E536" s="2">
        <v>0</v>
      </c>
    </row>
    <row r="537" spans="1:5" x14ac:dyDescent="0.2">
      <c r="A537" t="s">
        <v>94</v>
      </c>
      <c r="B537" t="s">
        <v>41</v>
      </c>
      <c r="C537" t="s">
        <v>81</v>
      </c>
      <c r="D537" s="2">
        <v>95.769790599999993</v>
      </c>
      <c r="E537" s="2">
        <v>44</v>
      </c>
    </row>
    <row r="538" spans="1:5" x14ac:dyDescent="0.2">
      <c r="A538" t="s">
        <v>94</v>
      </c>
      <c r="B538" t="s">
        <v>41</v>
      </c>
      <c r="C538" t="s">
        <v>81</v>
      </c>
      <c r="D538" s="2">
        <v>0</v>
      </c>
      <c r="E538" s="2">
        <v>20</v>
      </c>
    </row>
    <row r="539" spans="1:5" x14ac:dyDescent="0.2">
      <c r="A539" t="s">
        <v>96</v>
      </c>
      <c r="B539" t="s">
        <v>41</v>
      </c>
      <c r="C539" t="s">
        <v>81</v>
      </c>
      <c r="D539" s="2">
        <v>175.70379879999999</v>
      </c>
      <c r="E539" s="2">
        <v>230</v>
      </c>
    </row>
    <row r="540" spans="1:5" x14ac:dyDescent="0.2">
      <c r="A540" t="s">
        <v>96</v>
      </c>
      <c r="B540" t="s">
        <v>41</v>
      </c>
      <c r="C540" t="s">
        <v>81</v>
      </c>
      <c r="D540" s="2">
        <v>166.94668419999999</v>
      </c>
      <c r="E540" s="2">
        <v>114</v>
      </c>
    </row>
    <row r="541" spans="1:5" x14ac:dyDescent="0.2">
      <c r="A541" t="s">
        <v>96</v>
      </c>
      <c r="B541" t="s">
        <v>41</v>
      </c>
      <c r="C541" t="s">
        <v>81</v>
      </c>
      <c r="D541" s="2">
        <v>0</v>
      </c>
      <c r="E541" s="2">
        <v>0</v>
      </c>
    </row>
    <row r="542" spans="1:5" x14ac:dyDescent="0.2">
      <c r="A542" t="s">
        <v>96</v>
      </c>
      <c r="B542" t="s">
        <v>41</v>
      </c>
      <c r="C542" t="s">
        <v>81</v>
      </c>
      <c r="D542" s="2">
        <v>66.247976399999999</v>
      </c>
      <c r="E542" s="2">
        <v>48</v>
      </c>
    </row>
    <row r="543" spans="1:5" x14ac:dyDescent="0.2">
      <c r="A543" t="s">
        <v>96</v>
      </c>
      <c r="B543" t="s">
        <v>41</v>
      </c>
      <c r="C543" t="s">
        <v>81</v>
      </c>
      <c r="D543" s="2">
        <v>0</v>
      </c>
      <c r="E543" s="2">
        <v>0</v>
      </c>
    </row>
    <row r="544" spans="1:5" x14ac:dyDescent="0.2">
      <c r="A544" t="s">
        <v>96</v>
      </c>
      <c r="B544" t="s">
        <v>41</v>
      </c>
      <c r="C544" t="s">
        <v>81</v>
      </c>
      <c r="D544" s="2">
        <v>0</v>
      </c>
      <c r="E544" s="2">
        <v>0</v>
      </c>
    </row>
    <row r="545" spans="1:5" x14ac:dyDescent="0.2">
      <c r="A545" t="s">
        <v>96</v>
      </c>
      <c r="B545" t="s">
        <v>41</v>
      </c>
      <c r="C545" t="s">
        <v>81</v>
      </c>
      <c r="D545" s="2">
        <v>0</v>
      </c>
      <c r="E545" s="2">
        <v>0</v>
      </c>
    </row>
    <row r="546" spans="1:5" x14ac:dyDescent="0.2">
      <c r="A546" t="s">
        <v>93</v>
      </c>
      <c r="B546" t="s">
        <v>75</v>
      </c>
      <c r="C546" t="s">
        <v>81</v>
      </c>
      <c r="D546" s="2">
        <v>0</v>
      </c>
      <c r="E546" s="2">
        <v>0</v>
      </c>
    </row>
    <row r="547" spans="1:5" x14ac:dyDescent="0.2">
      <c r="A547" t="s">
        <v>93</v>
      </c>
      <c r="B547" t="s">
        <v>75</v>
      </c>
      <c r="C547" t="s">
        <v>81</v>
      </c>
      <c r="D547" s="2">
        <v>0</v>
      </c>
      <c r="E547" s="2">
        <v>0</v>
      </c>
    </row>
    <row r="548" spans="1:5" x14ac:dyDescent="0.2">
      <c r="A548" t="s">
        <v>93</v>
      </c>
      <c r="B548" t="s">
        <v>75</v>
      </c>
      <c r="C548" t="s">
        <v>81</v>
      </c>
      <c r="D548" s="2">
        <v>63.779127799999998</v>
      </c>
      <c r="E548" s="2">
        <v>74</v>
      </c>
    </row>
    <row r="549" spans="1:5" x14ac:dyDescent="0.2">
      <c r="A549" t="s">
        <v>93</v>
      </c>
      <c r="B549" t="s">
        <v>75</v>
      </c>
      <c r="C549" t="s">
        <v>81</v>
      </c>
      <c r="D549" s="2">
        <v>35.138972000000003</v>
      </c>
      <c r="E549" s="2">
        <v>48</v>
      </c>
    </row>
    <row r="550" spans="1:5" x14ac:dyDescent="0.2">
      <c r="A550" t="s">
        <v>95</v>
      </c>
      <c r="B550" t="s">
        <v>75</v>
      </c>
      <c r="C550" t="s">
        <v>81</v>
      </c>
      <c r="D550" s="2">
        <v>0</v>
      </c>
      <c r="E550" s="2">
        <v>0</v>
      </c>
    </row>
    <row r="551" spans="1:5" x14ac:dyDescent="0.2">
      <c r="A551" t="s">
        <v>95</v>
      </c>
      <c r="B551" t="s">
        <v>75</v>
      </c>
      <c r="C551" t="s">
        <v>81</v>
      </c>
      <c r="D551" s="2">
        <v>0</v>
      </c>
      <c r="E551" s="2">
        <v>0</v>
      </c>
    </row>
    <row r="552" spans="1:5" x14ac:dyDescent="0.2">
      <c r="A552" t="s">
        <v>95</v>
      </c>
      <c r="B552" t="s">
        <v>75</v>
      </c>
      <c r="C552" t="s">
        <v>81</v>
      </c>
      <c r="D552" s="2">
        <v>0</v>
      </c>
      <c r="E552" s="2">
        <v>0</v>
      </c>
    </row>
    <row r="553" spans="1:5" x14ac:dyDescent="0.2">
      <c r="A553" t="s">
        <v>95</v>
      </c>
      <c r="B553" t="s">
        <v>75</v>
      </c>
      <c r="C553" t="s">
        <v>81</v>
      </c>
      <c r="D553" s="2">
        <v>0</v>
      </c>
      <c r="E553" s="2">
        <v>0</v>
      </c>
    </row>
    <row r="554" spans="1:5" x14ac:dyDescent="0.2">
      <c r="A554" t="s">
        <v>95</v>
      </c>
      <c r="B554" t="s">
        <v>75</v>
      </c>
      <c r="C554" t="s">
        <v>81</v>
      </c>
      <c r="D554" s="2">
        <v>0</v>
      </c>
      <c r="E554" s="2">
        <v>0</v>
      </c>
    </row>
    <row r="555" spans="1:5" x14ac:dyDescent="0.2">
      <c r="A555" t="s">
        <v>95</v>
      </c>
      <c r="B555" t="s">
        <v>75</v>
      </c>
      <c r="C555" t="s">
        <v>81</v>
      </c>
      <c r="D555" s="2">
        <v>0</v>
      </c>
      <c r="E555" s="2">
        <v>0</v>
      </c>
    </row>
    <row r="556" spans="1:5" x14ac:dyDescent="0.2">
      <c r="A556" t="s">
        <v>95</v>
      </c>
      <c r="B556" t="s">
        <v>75</v>
      </c>
      <c r="C556" t="s">
        <v>81</v>
      </c>
      <c r="D556" s="2">
        <v>276.43349699999999</v>
      </c>
      <c r="E556" s="2">
        <v>330</v>
      </c>
    </row>
    <row r="557" spans="1:5" x14ac:dyDescent="0.2">
      <c r="A557" t="s">
        <v>95</v>
      </c>
      <c r="B557" t="s">
        <v>75</v>
      </c>
      <c r="C557" t="s">
        <v>81</v>
      </c>
      <c r="D557" s="2">
        <v>310.96087599999998</v>
      </c>
      <c r="E557" s="2">
        <v>414</v>
      </c>
    </row>
    <row r="558" spans="1:5" x14ac:dyDescent="0.2">
      <c r="A558" t="s">
        <v>95</v>
      </c>
      <c r="B558" t="s">
        <v>75</v>
      </c>
      <c r="C558" t="s">
        <v>81</v>
      </c>
      <c r="D558" s="2">
        <v>0</v>
      </c>
      <c r="E558" s="2">
        <v>0</v>
      </c>
    </row>
    <row r="559" spans="1:5" x14ac:dyDescent="0.2">
      <c r="A559" t="s">
        <v>95</v>
      </c>
      <c r="B559" t="s">
        <v>75</v>
      </c>
      <c r="C559" t="s">
        <v>81</v>
      </c>
      <c r="D559" s="2">
        <v>782.92761599999994</v>
      </c>
      <c r="E559" s="2">
        <v>552</v>
      </c>
    </row>
    <row r="560" spans="1:5" x14ac:dyDescent="0.2">
      <c r="A560" t="s">
        <v>95</v>
      </c>
      <c r="B560" t="s">
        <v>75</v>
      </c>
      <c r="C560" t="s">
        <v>81</v>
      </c>
      <c r="D560" s="2">
        <v>0</v>
      </c>
      <c r="E560" s="2">
        <v>0</v>
      </c>
    </row>
    <row r="561" spans="1:5" x14ac:dyDescent="0.2">
      <c r="A561" t="s">
        <v>95</v>
      </c>
      <c r="B561" t="s">
        <v>75</v>
      </c>
      <c r="C561" t="s">
        <v>81</v>
      </c>
      <c r="D561" s="2">
        <v>0</v>
      </c>
      <c r="E561" s="2">
        <v>0</v>
      </c>
    </row>
    <row r="562" spans="1:5" x14ac:dyDescent="0.2">
      <c r="A562" t="s">
        <v>95</v>
      </c>
      <c r="B562" t="s">
        <v>75</v>
      </c>
      <c r="C562" t="s">
        <v>81</v>
      </c>
      <c r="D562" s="2">
        <v>455.81124540000002</v>
      </c>
      <c r="E562" s="2">
        <v>556</v>
      </c>
    </row>
    <row r="563" spans="1:5" x14ac:dyDescent="0.2">
      <c r="A563" t="s">
        <v>95</v>
      </c>
      <c r="B563" t="s">
        <v>75</v>
      </c>
      <c r="C563" t="s">
        <v>81</v>
      </c>
      <c r="D563" s="2">
        <v>0</v>
      </c>
      <c r="E563" s="2">
        <v>0</v>
      </c>
    </row>
    <row r="564" spans="1:5" x14ac:dyDescent="0.2">
      <c r="A564" t="s">
        <v>94</v>
      </c>
      <c r="B564" t="s">
        <v>75</v>
      </c>
      <c r="C564" t="s">
        <v>81</v>
      </c>
      <c r="D564" s="2">
        <v>0</v>
      </c>
      <c r="E564" s="2">
        <v>0</v>
      </c>
    </row>
    <row r="565" spans="1:5" x14ac:dyDescent="0.2">
      <c r="A565" t="s">
        <v>94</v>
      </c>
      <c r="B565" t="s">
        <v>75</v>
      </c>
      <c r="C565" t="s">
        <v>81</v>
      </c>
      <c r="D565" s="2">
        <v>0</v>
      </c>
      <c r="E565" s="2">
        <v>0</v>
      </c>
    </row>
    <row r="566" spans="1:5" x14ac:dyDescent="0.2">
      <c r="A566" t="s">
        <v>94</v>
      </c>
      <c r="B566" t="s">
        <v>75</v>
      </c>
      <c r="C566" t="s">
        <v>81</v>
      </c>
      <c r="D566" s="2">
        <v>0</v>
      </c>
      <c r="E566" s="2">
        <v>0</v>
      </c>
    </row>
    <row r="567" spans="1:5" x14ac:dyDescent="0.2">
      <c r="A567" t="s">
        <v>94</v>
      </c>
      <c r="B567" t="s">
        <v>75</v>
      </c>
      <c r="C567" t="s">
        <v>81</v>
      </c>
      <c r="D567" s="2">
        <v>416.95288920000002</v>
      </c>
      <c r="E567" s="2">
        <v>354</v>
      </c>
    </row>
    <row r="568" spans="1:5" x14ac:dyDescent="0.2">
      <c r="A568" t="s">
        <v>94</v>
      </c>
      <c r="B568" t="s">
        <v>75</v>
      </c>
      <c r="C568" t="s">
        <v>81</v>
      </c>
      <c r="D568" s="2">
        <v>0</v>
      </c>
      <c r="E568" s="2">
        <v>0</v>
      </c>
    </row>
    <row r="569" spans="1:5" x14ac:dyDescent="0.2">
      <c r="A569" t="s">
        <v>94</v>
      </c>
      <c r="B569" t="s">
        <v>75</v>
      </c>
      <c r="C569" t="s">
        <v>81</v>
      </c>
      <c r="D569" s="2">
        <v>176.38419640000001</v>
      </c>
      <c r="E569" s="2">
        <v>102</v>
      </c>
    </row>
    <row r="570" spans="1:5" x14ac:dyDescent="0.2">
      <c r="A570" t="s">
        <v>94</v>
      </c>
      <c r="B570" t="s">
        <v>75</v>
      </c>
      <c r="C570" t="s">
        <v>81</v>
      </c>
      <c r="D570" s="2">
        <v>146.1464082</v>
      </c>
      <c r="E570" s="2">
        <v>34</v>
      </c>
    </row>
    <row r="571" spans="1:5" x14ac:dyDescent="0.2">
      <c r="A571" t="s">
        <v>96</v>
      </c>
      <c r="B571" t="s">
        <v>75</v>
      </c>
      <c r="C571" t="s">
        <v>81</v>
      </c>
      <c r="D571" s="2">
        <v>211.0365266</v>
      </c>
      <c r="E571" s="2">
        <v>252</v>
      </c>
    </row>
    <row r="572" spans="1:5" x14ac:dyDescent="0.2">
      <c r="A572" t="s">
        <v>96</v>
      </c>
      <c r="B572" t="s">
        <v>75</v>
      </c>
      <c r="C572" t="s">
        <v>81</v>
      </c>
      <c r="D572" s="2">
        <v>215.6057902</v>
      </c>
      <c r="E572" s="2">
        <v>112</v>
      </c>
    </row>
    <row r="573" spans="1:5" x14ac:dyDescent="0.2">
      <c r="A573" t="s">
        <v>96</v>
      </c>
      <c r="B573" t="s">
        <v>75</v>
      </c>
      <c r="C573" t="s">
        <v>81</v>
      </c>
      <c r="D573" s="2">
        <v>71.074612000000002</v>
      </c>
      <c r="E573" s="2">
        <v>6</v>
      </c>
    </row>
    <row r="574" spans="1:5" x14ac:dyDescent="0.2">
      <c r="A574" t="s">
        <v>96</v>
      </c>
      <c r="B574" t="s">
        <v>75</v>
      </c>
      <c r="C574" t="s">
        <v>81</v>
      </c>
      <c r="D574" s="2">
        <v>88.848566000000005</v>
      </c>
      <c r="E574" s="2">
        <v>26</v>
      </c>
    </row>
    <row r="575" spans="1:5" x14ac:dyDescent="0.2">
      <c r="A575" t="s">
        <v>96</v>
      </c>
      <c r="B575" t="s">
        <v>75</v>
      </c>
      <c r="C575" t="s">
        <v>81</v>
      </c>
      <c r="D575" s="2">
        <v>0</v>
      </c>
      <c r="E575" s="2">
        <v>0</v>
      </c>
    </row>
    <row r="576" spans="1:5" x14ac:dyDescent="0.2">
      <c r="A576" t="s">
        <v>96</v>
      </c>
      <c r="B576" t="s">
        <v>75</v>
      </c>
      <c r="C576" t="s">
        <v>81</v>
      </c>
      <c r="D576" s="2">
        <v>0</v>
      </c>
      <c r="E576" s="2">
        <v>0</v>
      </c>
    </row>
    <row r="577" spans="1:5" x14ac:dyDescent="0.2">
      <c r="A577" t="s">
        <v>96</v>
      </c>
      <c r="B577" t="s">
        <v>75</v>
      </c>
      <c r="C577" t="s">
        <v>81</v>
      </c>
      <c r="D577" s="2">
        <v>0</v>
      </c>
      <c r="E577" s="2">
        <v>0</v>
      </c>
    </row>
    <row r="578" spans="1:5" x14ac:dyDescent="0.2">
      <c r="A578" t="s">
        <v>93</v>
      </c>
      <c r="B578" t="s">
        <v>62</v>
      </c>
      <c r="C578" t="s">
        <v>81</v>
      </c>
      <c r="D578" s="2">
        <v>0</v>
      </c>
      <c r="E578" s="2">
        <v>0</v>
      </c>
    </row>
    <row r="579" spans="1:5" x14ac:dyDescent="0.2">
      <c r="A579" t="s">
        <v>93</v>
      </c>
      <c r="B579" t="s">
        <v>62</v>
      </c>
      <c r="C579" t="s">
        <v>81</v>
      </c>
      <c r="D579" s="2">
        <v>0</v>
      </c>
      <c r="E579" s="2">
        <v>0</v>
      </c>
    </row>
    <row r="580" spans="1:5" x14ac:dyDescent="0.2">
      <c r="A580" t="s">
        <v>93</v>
      </c>
      <c r="B580" t="s">
        <v>62</v>
      </c>
      <c r="C580" t="s">
        <v>81</v>
      </c>
      <c r="D580" s="2">
        <v>0</v>
      </c>
      <c r="E580" s="2">
        <v>54</v>
      </c>
    </row>
    <row r="581" spans="1:5" x14ac:dyDescent="0.2">
      <c r="A581" t="s">
        <v>93</v>
      </c>
      <c r="B581" t="s">
        <v>62</v>
      </c>
      <c r="C581" t="s">
        <v>81</v>
      </c>
      <c r="D581" s="2">
        <v>0</v>
      </c>
      <c r="E581" s="2">
        <v>32</v>
      </c>
    </row>
    <row r="582" spans="1:5" x14ac:dyDescent="0.2">
      <c r="A582" t="s">
        <v>95</v>
      </c>
      <c r="B582" t="s">
        <v>62</v>
      </c>
      <c r="C582" t="s">
        <v>81</v>
      </c>
      <c r="D582" s="2">
        <v>0</v>
      </c>
      <c r="E582" s="2">
        <v>0</v>
      </c>
    </row>
    <row r="583" spans="1:5" x14ac:dyDescent="0.2">
      <c r="A583" t="s">
        <v>95</v>
      </c>
      <c r="B583" t="s">
        <v>62</v>
      </c>
      <c r="C583" t="s">
        <v>81</v>
      </c>
      <c r="D583" s="2">
        <v>0</v>
      </c>
      <c r="E583" s="2">
        <v>0</v>
      </c>
    </row>
    <row r="584" spans="1:5" x14ac:dyDescent="0.2">
      <c r="A584" t="s">
        <v>95</v>
      </c>
      <c r="B584" t="s">
        <v>62</v>
      </c>
      <c r="C584" t="s">
        <v>81</v>
      </c>
      <c r="D584" s="2">
        <v>0</v>
      </c>
      <c r="E584" s="2">
        <v>0</v>
      </c>
    </row>
    <row r="585" spans="1:5" x14ac:dyDescent="0.2">
      <c r="A585" t="s">
        <v>95</v>
      </c>
      <c r="B585" t="s">
        <v>62</v>
      </c>
      <c r="C585" t="s">
        <v>81</v>
      </c>
      <c r="D585" s="2">
        <v>0</v>
      </c>
      <c r="E585" s="2">
        <v>0</v>
      </c>
    </row>
    <row r="586" spans="1:5" x14ac:dyDescent="0.2">
      <c r="A586" t="s">
        <v>95</v>
      </c>
      <c r="B586" t="s">
        <v>62</v>
      </c>
      <c r="C586" t="s">
        <v>81</v>
      </c>
      <c r="D586" s="2">
        <v>0</v>
      </c>
      <c r="E586" s="2">
        <v>0</v>
      </c>
    </row>
    <row r="587" spans="1:5" x14ac:dyDescent="0.2">
      <c r="A587" t="s">
        <v>95</v>
      </c>
      <c r="B587" t="s">
        <v>62</v>
      </c>
      <c r="C587" t="s">
        <v>81</v>
      </c>
      <c r="D587" s="2">
        <v>0</v>
      </c>
      <c r="E587" s="2">
        <v>0</v>
      </c>
    </row>
    <row r="588" spans="1:5" x14ac:dyDescent="0.2">
      <c r="A588" t="s">
        <v>95</v>
      </c>
      <c r="B588" t="s">
        <v>62</v>
      </c>
      <c r="C588" t="s">
        <v>81</v>
      </c>
      <c r="D588" s="2">
        <v>0</v>
      </c>
      <c r="E588" s="2">
        <v>226</v>
      </c>
    </row>
    <row r="589" spans="1:5" x14ac:dyDescent="0.2">
      <c r="A589" t="s">
        <v>95</v>
      </c>
      <c r="B589" t="s">
        <v>62</v>
      </c>
      <c r="C589" t="s">
        <v>81</v>
      </c>
      <c r="D589" s="2">
        <v>0</v>
      </c>
      <c r="E589" s="2">
        <v>250</v>
      </c>
    </row>
    <row r="590" spans="1:5" x14ac:dyDescent="0.2">
      <c r="A590" t="s">
        <v>95</v>
      </c>
      <c r="B590" t="s">
        <v>62</v>
      </c>
      <c r="C590" t="s">
        <v>81</v>
      </c>
      <c r="D590" s="2">
        <v>0</v>
      </c>
      <c r="E590" s="2">
        <v>0</v>
      </c>
    </row>
    <row r="591" spans="1:5" x14ac:dyDescent="0.2">
      <c r="A591" t="s">
        <v>95</v>
      </c>
      <c r="B591" t="s">
        <v>62</v>
      </c>
      <c r="C591" t="s">
        <v>81</v>
      </c>
      <c r="D591" s="2">
        <v>0</v>
      </c>
      <c r="E591" s="2">
        <v>382</v>
      </c>
    </row>
    <row r="592" spans="1:5" x14ac:dyDescent="0.2">
      <c r="A592" t="s">
        <v>95</v>
      </c>
      <c r="B592" t="s">
        <v>62</v>
      </c>
      <c r="C592" t="s">
        <v>81</v>
      </c>
      <c r="D592" s="2">
        <v>0</v>
      </c>
      <c r="E592" s="2">
        <v>0</v>
      </c>
    </row>
    <row r="593" spans="1:5" x14ac:dyDescent="0.2">
      <c r="A593" t="s">
        <v>95</v>
      </c>
      <c r="B593" t="s">
        <v>62</v>
      </c>
      <c r="C593" t="s">
        <v>81</v>
      </c>
      <c r="D593" s="2">
        <v>0</v>
      </c>
      <c r="E593" s="2">
        <v>0</v>
      </c>
    </row>
    <row r="594" spans="1:5" x14ac:dyDescent="0.2">
      <c r="A594" t="s">
        <v>95</v>
      </c>
      <c r="B594" t="s">
        <v>62</v>
      </c>
      <c r="C594" t="s">
        <v>81</v>
      </c>
      <c r="D594" s="2">
        <v>0</v>
      </c>
      <c r="E594" s="2">
        <v>300</v>
      </c>
    </row>
    <row r="595" spans="1:5" x14ac:dyDescent="0.2">
      <c r="A595" t="s">
        <v>95</v>
      </c>
      <c r="B595" t="s">
        <v>62</v>
      </c>
      <c r="C595" t="s">
        <v>81</v>
      </c>
      <c r="D595" s="2">
        <v>0</v>
      </c>
      <c r="E595" s="2">
        <v>0</v>
      </c>
    </row>
    <row r="596" spans="1:5" x14ac:dyDescent="0.2">
      <c r="A596" t="s">
        <v>94</v>
      </c>
      <c r="B596" t="s">
        <v>62</v>
      </c>
      <c r="C596" t="s">
        <v>81</v>
      </c>
      <c r="D596" s="2">
        <v>0</v>
      </c>
      <c r="E596" s="2">
        <v>0</v>
      </c>
    </row>
    <row r="597" spans="1:5" x14ac:dyDescent="0.2">
      <c r="A597" t="s">
        <v>94</v>
      </c>
      <c r="B597" t="s">
        <v>62</v>
      </c>
      <c r="C597" t="s">
        <v>81</v>
      </c>
      <c r="D597" s="2">
        <v>0</v>
      </c>
      <c r="E597" s="2">
        <v>0</v>
      </c>
    </row>
    <row r="598" spans="1:5" x14ac:dyDescent="0.2">
      <c r="A598" t="s">
        <v>94</v>
      </c>
      <c r="B598" t="s">
        <v>62</v>
      </c>
      <c r="C598" t="s">
        <v>81</v>
      </c>
      <c r="D598" s="2">
        <v>0</v>
      </c>
      <c r="E598" s="2">
        <v>0</v>
      </c>
    </row>
    <row r="599" spans="1:5" x14ac:dyDescent="0.2">
      <c r="A599" t="s">
        <v>94</v>
      </c>
      <c r="B599" t="s">
        <v>62</v>
      </c>
      <c r="C599" t="s">
        <v>81</v>
      </c>
      <c r="D599" s="2">
        <v>0</v>
      </c>
      <c r="E599" s="2">
        <v>34</v>
      </c>
    </row>
    <row r="600" spans="1:5" x14ac:dyDescent="0.2">
      <c r="A600" t="s">
        <v>94</v>
      </c>
      <c r="B600" t="s">
        <v>62</v>
      </c>
      <c r="C600" t="s">
        <v>81</v>
      </c>
      <c r="D600" s="2">
        <v>0</v>
      </c>
      <c r="E600" s="2">
        <v>0</v>
      </c>
    </row>
    <row r="601" spans="1:5" x14ac:dyDescent="0.2">
      <c r="A601" t="s">
        <v>94</v>
      </c>
      <c r="B601" t="s">
        <v>62</v>
      </c>
      <c r="C601" t="s">
        <v>81</v>
      </c>
      <c r="D601" s="2">
        <v>0</v>
      </c>
      <c r="E601" s="2">
        <v>10</v>
      </c>
    </row>
    <row r="602" spans="1:5" x14ac:dyDescent="0.2">
      <c r="A602" t="s">
        <v>94</v>
      </c>
      <c r="B602" t="s">
        <v>62</v>
      </c>
      <c r="C602" t="s">
        <v>81</v>
      </c>
      <c r="D602" s="2">
        <v>0</v>
      </c>
      <c r="E602" s="2">
        <v>0</v>
      </c>
    </row>
    <row r="603" spans="1:5" x14ac:dyDescent="0.2">
      <c r="A603" t="s">
        <v>96</v>
      </c>
      <c r="B603" t="s">
        <v>62</v>
      </c>
      <c r="C603" t="s">
        <v>81</v>
      </c>
      <c r="D603" s="2">
        <v>0</v>
      </c>
      <c r="E603" s="2">
        <v>174</v>
      </c>
    </row>
    <row r="604" spans="1:5" x14ac:dyDescent="0.2">
      <c r="A604" t="s">
        <v>96</v>
      </c>
      <c r="B604" t="s">
        <v>62</v>
      </c>
      <c r="C604" t="s">
        <v>81</v>
      </c>
      <c r="D604" s="2">
        <v>0</v>
      </c>
      <c r="E604" s="2">
        <v>76</v>
      </c>
    </row>
    <row r="605" spans="1:5" x14ac:dyDescent="0.2">
      <c r="A605" t="s">
        <v>96</v>
      </c>
      <c r="B605" t="s">
        <v>62</v>
      </c>
      <c r="C605" t="s">
        <v>81</v>
      </c>
      <c r="D605" s="2">
        <v>0</v>
      </c>
      <c r="E605" s="2">
        <v>0</v>
      </c>
    </row>
    <row r="606" spans="1:5" x14ac:dyDescent="0.2">
      <c r="A606" t="s">
        <v>96</v>
      </c>
      <c r="B606" t="s">
        <v>62</v>
      </c>
      <c r="C606" t="s">
        <v>81</v>
      </c>
      <c r="D606" s="2">
        <v>0</v>
      </c>
      <c r="E606" s="2">
        <v>6</v>
      </c>
    </row>
    <row r="607" spans="1:5" x14ac:dyDescent="0.2">
      <c r="A607" t="s">
        <v>96</v>
      </c>
      <c r="B607" t="s">
        <v>62</v>
      </c>
      <c r="C607" t="s">
        <v>81</v>
      </c>
      <c r="D607" s="2">
        <v>0</v>
      </c>
      <c r="E607" s="2">
        <v>0</v>
      </c>
    </row>
    <row r="608" spans="1:5" x14ac:dyDescent="0.2">
      <c r="A608" t="s">
        <v>96</v>
      </c>
      <c r="B608" t="s">
        <v>62</v>
      </c>
      <c r="C608" t="s">
        <v>81</v>
      </c>
      <c r="D608" s="2">
        <v>0</v>
      </c>
      <c r="E608" s="2">
        <v>0</v>
      </c>
    </row>
    <row r="609" spans="1:5" x14ac:dyDescent="0.2">
      <c r="A609" t="s">
        <v>96</v>
      </c>
      <c r="B609" t="s">
        <v>62</v>
      </c>
      <c r="C609" t="s">
        <v>81</v>
      </c>
      <c r="D609" s="2">
        <v>0</v>
      </c>
      <c r="E609" s="2">
        <v>0</v>
      </c>
    </row>
    <row r="610" spans="1:5" x14ac:dyDescent="0.2">
      <c r="A610" t="s">
        <v>93</v>
      </c>
      <c r="B610" t="s">
        <v>40</v>
      </c>
      <c r="C610" t="s">
        <v>81</v>
      </c>
      <c r="D610" s="2">
        <v>0</v>
      </c>
      <c r="E610" s="2">
        <v>0</v>
      </c>
    </row>
    <row r="611" spans="1:5" x14ac:dyDescent="0.2">
      <c r="A611" t="s">
        <v>93</v>
      </c>
      <c r="B611" t="s">
        <v>40</v>
      </c>
      <c r="C611" t="s">
        <v>81</v>
      </c>
      <c r="D611" s="2">
        <v>0</v>
      </c>
      <c r="E611" s="2">
        <v>0</v>
      </c>
    </row>
    <row r="612" spans="1:5" x14ac:dyDescent="0.2">
      <c r="A612" t="s">
        <v>93</v>
      </c>
      <c r="B612" t="s">
        <v>40</v>
      </c>
      <c r="C612" t="s">
        <v>81</v>
      </c>
      <c r="D612" s="2">
        <v>49.778891799999997</v>
      </c>
      <c r="E612" s="2">
        <v>52</v>
      </c>
    </row>
    <row r="613" spans="1:5" x14ac:dyDescent="0.2">
      <c r="A613" t="s">
        <v>93</v>
      </c>
      <c r="B613" t="s">
        <v>40</v>
      </c>
      <c r="C613" t="s">
        <v>81</v>
      </c>
      <c r="D613" s="2">
        <v>32.578227200000001</v>
      </c>
      <c r="E613" s="2">
        <v>14</v>
      </c>
    </row>
    <row r="614" spans="1:5" x14ac:dyDescent="0.2">
      <c r="A614" t="s">
        <v>95</v>
      </c>
      <c r="B614" t="s">
        <v>40</v>
      </c>
      <c r="C614" t="s">
        <v>81</v>
      </c>
      <c r="D614" s="2">
        <v>0</v>
      </c>
      <c r="E614" s="2">
        <v>0</v>
      </c>
    </row>
    <row r="615" spans="1:5" x14ac:dyDescent="0.2">
      <c r="A615" t="s">
        <v>95</v>
      </c>
      <c r="B615" t="s">
        <v>40</v>
      </c>
      <c r="C615" t="s">
        <v>81</v>
      </c>
      <c r="D615" s="2">
        <v>0</v>
      </c>
      <c r="E615" s="2">
        <v>0</v>
      </c>
    </row>
    <row r="616" spans="1:5" x14ac:dyDescent="0.2">
      <c r="A616" t="s">
        <v>95</v>
      </c>
      <c r="B616" t="s">
        <v>40</v>
      </c>
      <c r="C616" t="s">
        <v>81</v>
      </c>
      <c r="D616" s="2">
        <v>0</v>
      </c>
      <c r="E616" s="2">
        <v>0</v>
      </c>
    </row>
    <row r="617" spans="1:5" x14ac:dyDescent="0.2">
      <c r="A617" t="s">
        <v>95</v>
      </c>
      <c r="B617" t="s">
        <v>40</v>
      </c>
      <c r="C617" t="s">
        <v>81</v>
      </c>
      <c r="D617" s="2">
        <v>0</v>
      </c>
      <c r="E617" s="2">
        <v>0</v>
      </c>
    </row>
    <row r="618" spans="1:5" x14ac:dyDescent="0.2">
      <c r="A618" t="s">
        <v>95</v>
      </c>
      <c r="B618" t="s">
        <v>40</v>
      </c>
      <c r="C618" t="s">
        <v>81</v>
      </c>
      <c r="D618" s="2">
        <v>0</v>
      </c>
      <c r="E618" s="2">
        <v>0</v>
      </c>
    </row>
    <row r="619" spans="1:5" x14ac:dyDescent="0.2">
      <c r="A619" t="s">
        <v>95</v>
      </c>
      <c r="B619" t="s">
        <v>40</v>
      </c>
      <c r="C619" t="s">
        <v>81</v>
      </c>
      <c r="D619" s="2">
        <v>0</v>
      </c>
      <c r="E619" s="2">
        <v>0</v>
      </c>
    </row>
    <row r="620" spans="1:5" x14ac:dyDescent="0.2">
      <c r="A620" t="s">
        <v>95</v>
      </c>
      <c r="B620" t="s">
        <v>40</v>
      </c>
      <c r="C620" t="s">
        <v>81</v>
      </c>
      <c r="D620" s="2">
        <v>223.2484116</v>
      </c>
      <c r="E620" s="2">
        <v>262</v>
      </c>
    </row>
    <row r="621" spans="1:5" x14ac:dyDescent="0.2">
      <c r="A621" t="s">
        <v>95</v>
      </c>
      <c r="B621" t="s">
        <v>40</v>
      </c>
      <c r="C621" t="s">
        <v>81</v>
      </c>
      <c r="D621" s="2">
        <v>239.4940288</v>
      </c>
      <c r="E621" s="2">
        <v>244</v>
      </c>
    </row>
    <row r="622" spans="1:5" x14ac:dyDescent="0.2">
      <c r="A622" t="s">
        <v>95</v>
      </c>
      <c r="B622" t="s">
        <v>40</v>
      </c>
      <c r="C622" t="s">
        <v>81</v>
      </c>
      <c r="D622" s="2">
        <v>0</v>
      </c>
      <c r="E622" s="2">
        <v>0</v>
      </c>
    </row>
    <row r="623" spans="1:5" x14ac:dyDescent="0.2">
      <c r="A623" t="s">
        <v>95</v>
      </c>
      <c r="B623" t="s">
        <v>40</v>
      </c>
      <c r="C623" t="s">
        <v>81</v>
      </c>
      <c r="D623" s="2">
        <v>513.61412059999998</v>
      </c>
      <c r="E623" s="2">
        <v>322</v>
      </c>
    </row>
    <row r="624" spans="1:5" x14ac:dyDescent="0.2">
      <c r="A624" t="s">
        <v>95</v>
      </c>
      <c r="B624" t="s">
        <v>40</v>
      </c>
      <c r="C624" t="s">
        <v>81</v>
      </c>
      <c r="D624" s="2">
        <v>0</v>
      </c>
      <c r="E624" s="2">
        <v>0</v>
      </c>
    </row>
    <row r="625" spans="1:5" x14ac:dyDescent="0.2">
      <c r="A625" t="s">
        <v>95</v>
      </c>
      <c r="B625" t="s">
        <v>40</v>
      </c>
      <c r="C625" t="s">
        <v>81</v>
      </c>
      <c r="D625" s="2">
        <v>0</v>
      </c>
      <c r="E625" s="2">
        <v>0</v>
      </c>
    </row>
    <row r="626" spans="1:5" x14ac:dyDescent="0.2">
      <c r="A626" t="s">
        <v>95</v>
      </c>
      <c r="B626" t="s">
        <v>40</v>
      </c>
      <c r="C626" t="s">
        <v>81</v>
      </c>
      <c r="D626" s="2">
        <v>292.04335079999998</v>
      </c>
      <c r="E626" s="2">
        <v>430</v>
      </c>
    </row>
    <row r="627" spans="1:5" x14ac:dyDescent="0.2">
      <c r="A627" t="s">
        <v>95</v>
      </c>
      <c r="B627" t="s">
        <v>40</v>
      </c>
      <c r="C627" t="s">
        <v>81</v>
      </c>
      <c r="D627" s="2">
        <v>0</v>
      </c>
      <c r="E627" s="2">
        <v>0</v>
      </c>
    </row>
    <row r="628" spans="1:5" x14ac:dyDescent="0.2">
      <c r="A628" t="s">
        <v>94</v>
      </c>
      <c r="B628" t="s">
        <v>40</v>
      </c>
      <c r="C628" t="s">
        <v>81</v>
      </c>
      <c r="D628" s="2">
        <v>0</v>
      </c>
      <c r="E628" s="2">
        <v>0</v>
      </c>
    </row>
    <row r="629" spans="1:5" x14ac:dyDescent="0.2">
      <c r="A629" t="s">
        <v>94</v>
      </c>
      <c r="B629" t="s">
        <v>40</v>
      </c>
      <c r="C629" t="s">
        <v>81</v>
      </c>
      <c r="D629" s="2">
        <v>0</v>
      </c>
      <c r="E629" s="2">
        <v>0</v>
      </c>
    </row>
    <row r="630" spans="1:5" x14ac:dyDescent="0.2">
      <c r="A630" t="s">
        <v>94</v>
      </c>
      <c r="B630" t="s">
        <v>40</v>
      </c>
      <c r="C630" t="s">
        <v>81</v>
      </c>
      <c r="D630" s="2">
        <v>0</v>
      </c>
      <c r="E630" s="2">
        <v>0</v>
      </c>
    </row>
    <row r="631" spans="1:5" x14ac:dyDescent="0.2">
      <c r="A631" t="s">
        <v>94</v>
      </c>
      <c r="B631" t="s">
        <v>40</v>
      </c>
      <c r="C631" t="s">
        <v>81</v>
      </c>
      <c r="D631" s="2">
        <v>92.182979799999998</v>
      </c>
      <c r="E631" s="2">
        <v>168</v>
      </c>
    </row>
    <row r="632" spans="1:5" x14ac:dyDescent="0.2">
      <c r="A632" t="s">
        <v>94</v>
      </c>
      <c r="B632" t="s">
        <v>40</v>
      </c>
      <c r="C632" t="s">
        <v>81</v>
      </c>
      <c r="D632" s="2">
        <v>0</v>
      </c>
      <c r="E632" s="2">
        <v>0</v>
      </c>
    </row>
    <row r="633" spans="1:5" x14ac:dyDescent="0.2">
      <c r="A633" t="s">
        <v>94</v>
      </c>
      <c r="B633" t="s">
        <v>40</v>
      </c>
      <c r="C633" t="s">
        <v>81</v>
      </c>
      <c r="D633" s="2">
        <v>88.725530399999997</v>
      </c>
      <c r="E633" s="2">
        <v>32</v>
      </c>
    </row>
    <row r="634" spans="1:5" x14ac:dyDescent="0.2">
      <c r="A634" t="s">
        <v>94</v>
      </c>
      <c r="B634" t="s">
        <v>40</v>
      </c>
      <c r="C634" t="s">
        <v>81</v>
      </c>
      <c r="D634" s="2">
        <v>0</v>
      </c>
      <c r="E634" s="2">
        <v>6</v>
      </c>
    </row>
    <row r="635" spans="1:5" x14ac:dyDescent="0.2">
      <c r="A635" t="s">
        <v>96</v>
      </c>
      <c r="B635" t="s">
        <v>40</v>
      </c>
      <c r="C635" t="s">
        <v>81</v>
      </c>
      <c r="D635" s="2">
        <v>167.58407879999999</v>
      </c>
      <c r="E635" s="2">
        <v>260</v>
      </c>
    </row>
    <row r="636" spans="1:5" x14ac:dyDescent="0.2">
      <c r="A636" t="s">
        <v>96</v>
      </c>
      <c r="B636" t="s">
        <v>40</v>
      </c>
      <c r="C636" t="s">
        <v>81</v>
      </c>
      <c r="D636" s="2">
        <v>156.0754168</v>
      </c>
      <c r="E636" s="2">
        <v>120</v>
      </c>
    </row>
    <row r="637" spans="1:5" x14ac:dyDescent="0.2">
      <c r="A637" t="s">
        <v>96</v>
      </c>
      <c r="B637" t="s">
        <v>40</v>
      </c>
      <c r="C637" t="s">
        <v>81</v>
      </c>
      <c r="D637" s="2">
        <v>0</v>
      </c>
      <c r="E637" s="2">
        <v>8</v>
      </c>
    </row>
    <row r="638" spans="1:5" x14ac:dyDescent="0.2">
      <c r="A638" t="s">
        <v>96</v>
      </c>
      <c r="B638" t="s">
        <v>40</v>
      </c>
      <c r="C638" t="s">
        <v>81</v>
      </c>
      <c r="D638" s="2">
        <v>73.578822799999998</v>
      </c>
      <c r="E638" s="2">
        <v>68</v>
      </c>
    </row>
    <row r="639" spans="1:5" x14ac:dyDescent="0.2">
      <c r="A639" t="s">
        <v>96</v>
      </c>
      <c r="B639" t="s">
        <v>40</v>
      </c>
      <c r="C639" t="s">
        <v>81</v>
      </c>
      <c r="D639" s="2">
        <v>0</v>
      </c>
      <c r="E639" s="2">
        <v>0</v>
      </c>
    </row>
    <row r="640" spans="1:5" x14ac:dyDescent="0.2">
      <c r="A640" t="s">
        <v>96</v>
      </c>
      <c r="B640" t="s">
        <v>40</v>
      </c>
      <c r="C640" t="s">
        <v>81</v>
      </c>
      <c r="D640" s="2">
        <v>0</v>
      </c>
      <c r="E640" s="2">
        <v>0</v>
      </c>
    </row>
    <row r="641" spans="1:5" x14ac:dyDescent="0.2">
      <c r="A641" t="s">
        <v>96</v>
      </c>
      <c r="B641" t="s">
        <v>40</v>
      </c>
      <c r="C641" t="s">
        <v>81</v>
      </c>
      <c r="D641" s="2">
        <v>0</v>
      </c>
      <c r="E641" s="2">
        <v>0</v>
      </c>
    </row>
    <row r="642" spans="1:5" x14ac:dyDescent="0.2">
      <c r="A642" t="s">
        <v>93</v>
      </c>
      <c r="B642" t="s">
        <v>74</v>
      </c>
      <c r="C642" t="s">
        <v>81</v>
      </c>
      <c r="D642" s="2">
        <v>0</v>
      </c>
      <c r="E642" s="2">
        <v>0</v>
      </c>
    </row>
    <row r="643" spans="1:5" x14ac:dyDescent="0.2">
      <c r="A643" t="s">
        <v>93</v>
      </c>
      <c r="B643" t="s">
        <v>74</v>
      </c>
      <c r="C643" t="s">
        <v>81</v>
      </c>
      <c r="D643" s="2">
        <v>0</v>
      </c>
      <c r="E643" s="2">
        <v>0</v>
      </c>
    </row>
    <row r="644" spans="1:5" x14ac:dyDescent="0.2">
      <c r="A644" t="s">
        <v>93</v>
      </c>
      <c r="B644" t="s">
        <v>74</v>
      </c>
      <c r="C644" t="s">
        <v>81</v>
      </c>
      <c r="D644" s="2">
        <v>47.024685599999998</v>
      </c>
      <c r="E644" s="2">
        <v>96</v>
      </c>
    </row>
    <row r="645" spans="1:5" x14ac:dyDescent="0.2">
      <c r="A645" t="s">
        <v>93</v>
      </c>
      <c r="B645" t="s">
        <v>74</v>
      </c>
      <c r="C645" t="s">
        <v>81</v>
      </c>
      <c r="D645" s="2">
        <v>32.1946844</v>
      </c>
      <c r="E645" s="2">
        <v>28</v>
      </c>
    </row>
    <row r="646" spans="1:5" x14ac:dyDescent="0.2">
      <c r="A646" t="s">
        <v>95</v>
      </c>
      <c r="B646" t="s">
        <v>74</v>
      </c>
      <c r="C646" t="s">
        <v>81</v>
      </c>
      <c r="D646" s="2">
        <v>0</v>
      </c>
      <c r="E646" s="2">
        <v>0</v>
      </c>
    </row>
    <row r="647" spans="1:5" x14ac:dyDescent="0.2">
      <c r="A647" t="s">
        <v>95</v>
      </c>
      <c r="B647" t="s">
        <v>74</v>
      </c>
      <c r="C647" t="s">
        <v>81</v>
      </c>
      <c r="D647" s="2">
        <v>0</v>
      </c>
      <c r="E647" s="2">
        <v>0</v>
      </c>
    </row>
    <row r="648" spans="1:5" x14ac:dyDescent="0.2">
      <c r="A648" t="s">
        <v>95</v>
      </c>
      <c r="B648" t="s">
        <v>74</v>
      </c>
      <c r="C648" t="s">
        <v>81</v>
      </c>
      <c r="D648" s="2">
        <v>0</v>
      </c>
      <c r="E648" s="2">
        <v>0</v>
      </c>
    </row>
    <row r="649" spans="1:5" x14ac:dyDescent="0.2">
      <c r="A649" t="s">
        <v>95</v>
      </c>
      <c r="B649" t="s">
        <v>74</v>
      </c>
      <c r="C649" t="s">
        <v>81</v>
      </c>
      <c r="D649" s="2">
        <v>0</v>
      </c>
      <c r="E649" s="2">
        <v>0</v>
      </c>
    </row>
    <row r="650" spans="1:5" x14ac:dyDescent="0.2">
      <c r="A650" t="s">
        <v>95</v>
      </c>
      <c r="B650" t="s">
        <v>74</v>
      </c>
      <c r="C650" t="s">
        <v>81</v>
      </c>
      <c r="D650" s="2">
        <v>0</v>
      </c>
      <c r="E650" s="2">
        <v>0</v>
      </c>
    </row>
    <row r="651" spans="1:5" x14ac:dyDescent="0.2">
      <c r="A651" t="s">
        <v>95</v>
      </c>
      <c r="B651" t="s">
        <v>74</v>
      </c>
      <c r="C651" t="s">
        <v>81</v>
      </c>
      <c r="D651" s="2">
        <v>0</v>
      </c>
      <c r="E651" s="2">
        <v>0</v>
      </c>
    </row>
    <row r="652" spans="1:5" x14ac:dyDescent="0.2">
      <c r="A652" t="s">
        <v>95</v>
      </c>
      <c r="B652" t="s">
        <v>74</v>
      </c>
      <c r="C652" t="s">
        <v>81</v>
      </c>
      <c r="D652" s="2">
        <v>253.39797899999999</v>
      </c>
      <c r="E652" s="2">
        <v>250</v>
      </c>
    </row>
    <row r="653" spans="1:5" x14ac:dyDescent="0.2">
      <c r="A653" t="s">
        <v>95</v>
      </c>
      <c r="B653" t="s">
        <v>74</v>
      </c>
      <c r="C653" t="s">
        <v>81</v>
      </c>
      <c r="D653" s="2">
        <v>235.10631420000001</v>
      </c>
      <c r="E653" s="2">
        <v>392</v>
      </c>
    </row>
    <row r="654" spans="1:5" x14ac:dyDescent="0.2">
      <c r="A654" t="s">
        <v>95</v>
      </c>
      <c r="B654" t="s">
        <v>74</v>
      </c>
      <c r="C654" t="s">
        <v>81</v>
      </c>
      <c r="D654" s="2">
        <v>0</v>
      </c>
      <c r="E654" s="2">
        <v>0</v>
      </c>
    </row>
    <row r="655" spans="1:5" x14ac:dyDescent="0.2">
      <c r="A655" t="s">
        <v>95</v>
      </c>
      <c r="B655" t="s">
        <v>74</v>
      </c>
      <c r="C655" t="s">
        <v>81</v>
      </c>
      <c r="D655" s="2">
        <v>613.00152700000001</v>
      </c>
      <c r="E655" s="2">
        <v>454</v>
      </c>
    </row>
    <row r="656" spans="1:5" x14ac:dyDescent="0.2">
      <c r="A656" t="s">
        <v>95</v>
      </c>
      <c r="B656" t="s">
        <v>74</v>
      </c>
      <c r="C656" t="s">
        <v>81</v>
      </c>
      <c r="D656" s="2">
        <v>0</v>
      </c>
      <c r="E656" s="2">
        <v>0</v>
      </c>
    </row>
    <row r="657" spans="1:5" x14ac:dyDescent="0.2">
      <c r="A657" t="s">
        <v>95</v>
      </c>
      <c r="B657" t="s">
        <v>74</v>
      </c>
      <c r="C657" t="s">
        <v>81</v>
      </c>
      <c r="D657" s="2">
        <v>0</v>
      </c>
      <c r="E657" s="2">
        <v>0</v>
      </c>
    </row>
    <row r="658" spans="1:5" x14ac:dyDescent="0.2">
      <c r="A658" t="s">
        <v>95</v>
      </c>
      <c r="B658" t="s">
        <v>74</v>
      </c>
      <c r="C658" t="s">
        <v>81</v>
      </c>
      <c r="D658" s="2">
        <v>413.11831619999998</v>
      </c>
      <c r="E658" s="2">
        <v>556</v>
      </c>
    </row>
    <row r="659" spans="1:5" x14ac:dyDescent="0.2">
      <c r="A659" t="s">
        <v>95</v>
      </c>
      <c r="B659" t="s">
        <v>74</v>
      </c>
      <c r="C659" t="s">
        <v>81</v>
      </c>
      <c r="D659" s="2">
        <v>0</v>
      </c>
      <c r="E659" s="2">
        <v>0</v>
      </c>
    </row>
    <row r="660" spans="1:5" x14ac:dyDescent="0.2">
      <c r="A660" t="s">
        <v>94</v>
      </c>
      <c r="B660" t="s">
        <v>74</v>
      </c>
      <c r="C660" t="s">
        <v>81</v>
      </c>
      <c r="D660" s="2">
        <v>0</v>
      </c>
      <c r="E660" s="2">
        <v>0</v>
      </c>
    </row>
    <row r="661" spans="1:5" x14ac:dyDescent="0.2">
      <c r="A661" t="s">
        <v>94</v>
      </c>
      <c r="B661" t="s">
        <v>74</v>
      </c>
      <c r="C661" t="s">
        <v>81</v>
      </c>
      <c r="D661" s="2">
        <v>0</v>
      </c>
      <c r="E661" s="2">
        <v>0</v>
      </c>
    </row>
    <row r="662" spans="1:5" x14ac:dyDescent="0.2">
      <c r="A662" t="s">
        <v>94</v>
      </c>
      <c r="B662" t="s">
        <v>74</v>
      </c>
      <c r="C662" t="s">
        <v>81</v>
      </c>
      <c r="D662" s="2">
        <v>0</v>
      </c>
      <c r="E662" s="2">
        <v>0</v>
      </c>
    </row>
    <row r="663" spans="1:5" x14ac:dyDescent="0.2">
      <c r="A663" t="s">
        <v>94</v>
      </c>
      <c r="B663" t="s">
        <v>74</v>
      </c>
      <c r="C663" t="s">
        <v>81</v>
      </c>
      <c r="D663" s="2">
        <v>351.37541700000003</v>
      </c>
      <c r="E663" s="2">
        <v>268</v>
      </c>
    </row>
    <row r="664" spans="1:5" x14ac:dyDescent="0.2">
      <c r="A664" t="s">
        <v>94</v>
      </c>
      <c r="B664" t="s">
        <v>74</v>
      </c>
      <c r="C664" t="s">
        <v>81</v>
      </c>
      <c r="D664" s="2">
        <v>0</v>
      </c>
      <c r="E664" s="2">
        <v>0</v>
      </c>
    </row>
    <row r="665" spans="1:5" x14ac:dyDescent="0.2">
      <c r="A665" t="s">
        <v>94</v>
      </c>
      <c r="B665" t="s">
        <v>74</v>
      </c>
      <c r="C665" t="s">
        <v>81</v>
      </c>
      <c r="D665" s="2">
        <v>156.95803140000001</v>
      </c>
      <c r="E665" s="2">
        <v>110</v>
      </c>
    </row>
    <row r="666" spans="1:5" x14ac:dyDescent="0.2">
      <c r="A666" t="s">
        <v>94</v>
      </c>
      <c r="B666" t="s">
        <v>74</v>
      </c>
      <c r="C666" t="s">
        <v>81</v>
      </c>
      <c r="D666" s="2">
        <v>144.50055320000001</v>
      </c>
      <c r="E666" s="2">
        <v>26</v>
      </c>
    </row>
    <row r="667" spans="1:5" x14ac:dyDescent="0.2">
      <c r="A667" t="s">
        <v>96</v>
      </c>
      <c r="B667" t="s">
        <v>74</v>
      </c>
      <c r="C667" t="s">
        <v>81</v>
      </c>
      <c r="D667" s="2">
        <v>220.24404620000001</v>
      </c>
      <c r="E667" s="2">
        <v>258</v>
      </c>
    </row>
    <row r="668" spans="1:5" x14ac:dyDescent="0.2">
      <c r="A668" t="s">
        <v>96</v>
      </c>
      <c r="B668" t="s">
        <v>74</v>
      </c>
      <c r="C668" t="s">
        <v>81</v>
      </c>
      <c r="D668" s="2">
        <v>222.1139368</v>
      </c>
      <c r="E668" s="2">
        <v>134</v>
      </c>
    </row>
    <row r="669" spans="1:5" x14ac:dyDescent="0.2">
      <c r="A669" t="s">
        <v>96</v>
      </c>
      <c r="B669" t="s">
        <v>74</v>
      </c>
      <c r="C669" t="s">
        <v>81</v>
      </c>
      <c r="D669" s="2">
        <v>108.7840408</v>
      </c>
      <c r="E669" s="2">
        <v>0</v>
      </c>
    </row>
    <row r="670" spans="1:5" x14ac:dyDescent="0.2">
      <c r="A670" t="s">
        <v>96</v>
      </c>
      <c r="B670" t="s">
        <v>74</v>
      </c>
      <c r="C670" t="s">
        <v>81</v>
      </c>
      <c r="D670" s="2">
        <v>67.994082199999994</v>
      </c>
      <c r="E670" s="2">
        <v>50</v>
      </c>
    </row>
    <row r="671" spans="1:5" x14ac:dyDescent="0.2">
      <c r="A671" t="s">
        <v>96</v>
      </c>
      <c r="B671" t="s">
        <v>74</v>
      </c>
      <c r="C671" t="s">
        <v>81</v>
      </c>
      <c r="D671" s="2">
        <v>0</v>
      </c>
      <c r="E671" s="2">
        <v>0</v>
      </c>
    </row>
    <row r="672" spans="1:5" x14ac:dyDescent="0.2">
      <c r="A672" t="s">
        <v>96</v>
      </c>
      <c r="B672" t="s">
        <v>74</v>
      </c>
      <c r="C672" t="s">
        <v>81</v>
      </c>
      <c r="D672" s="2">
        <v>0</v>
      </c>
      <c r="E672" s="2">
        <v>0</v>
      </c>
    </row>
    <row r="673" spans="1:5" x14ac:dyDescent="0.2">
      <c r="A673" t="s">
        <v>96</v>
      </c>
      <c r="B673" t="s">
        <v>74</v>
      </c>
      <c r="C673" t="s">
        <v>81</v>
      </c>
      <c r="D673" s="2">
        <v>0</v>
      </c>
      <c r="E673" s="2">
        <v>0</v>
      </c>
    </row>
    <row r="674" spans="1:5" x14ac:dyDescent="0.2">
      <c r="A674" t="s">
        <v>93</v>
      </c>
      <c r="B674" t="s">
        <v>59</v>
      </c>
      <c r="C674" t="s">
        <v>81</v>
      </c>
      <c r="D674" s="2">
        <v>0</v>
      </c>
      <c r="E674" s="2">
        <v>0</v>
      </c>
    </row>
    <row r="675" spans="1:5" x14ac:dyDescent="0.2">
      <c r="A675" t="s">
        <v>93</v>
      </c>
      <c r="B675" t="s">
        <v>59</v>
      </c>
      <c r="C675" t="s">
        <v>81</v>
      </c>
      <c r="D675" s="2">
        <v>0</v>
      </c>
      <c r="E675" s="2">
        <v>0</v>
      </c>
    </row>
    <row r="676" spans="1:5" x14ac:dyDescent="0.2">
      <c r="A676" t="s">
        <v>93</v>
      </c>
      <c r="B676" t="s">
        <v>59</v>
      </c>
      <c r="C676" t="s">
        <v>81</v>
      </c>
      <c r="D676" s="2">
        <v>0</v>
      </c>
      <c r="E676" s="2">
        <v>64</v>
      </c>
    </row>
    <row r="677" spans="1:5" x14ac:dyDescent="0.2">
      <c r="A677" t="s">
        <v>93</v>
      </c>
      <c r="B677" t="s">
        <v>59</v>
      </c>
      <c r="C677" t="s">
        <v>81</v>
      </c>
      <c r="D677" s="2">
        <v>0</v>
      </c>
      <c r="E677" s="2">
        <v>18</v>
      </c>
    </row>
    <row r="678" spans="1:5" x14ac:dyDescent="0.2">
      <c r="A678" t="s">
        <v>95</v>
      </c>
      <c r="B678" t="s">
        <v>59</v>
      </c>
      <c r="C678" t="s">
        <v>81</v>
      </c>
      <c r="D678" s="2">
        <v>0</v>
      </c>
      <c r="E678" s="2">
        <v>0</v>
      </c>
    </row>
    <row r="679" spans="1:5" x14ac:dyDescent="0.2">
      <c r="A679" t="s">
        <v>95</v>
      </c>
      <c r="B679" t="s">
        <v>59</v>
      </c>
      <c r="C679" t="s">
        <v>81</v>
      </c>
      <c r="D679" s="2">
        <v>0</v>
      </c>
      <c r="E679" s="2">
        <v>0</v>
      </c>
    </row>
    <row r="680" spans="1:5" x14ac:dyDescent="0.2">
      <c r="A680" t="s">
        <v>95</v>
      </c>
      <c r="B680" t="s">
        <v>59</v>
      </c>
      <c r="C680" t="s">
        <v>81</v>
      </c>
      <c r="D680" s="2">
        <v>0</v>
      </c>
      <c r="E680" s="2">
        <v>0</v>
      </c>
    </row>
    <row r="681" spans="1:5" x14ac:dyDescent="0.2">
      <c r="A681" t="s">
        <v>95</v>
      </c>
      <c r="B681" t="s">
        <v>59</v>
      </c>
      <c r="C681" t="s">
        <v>81</v>
      </c>
      <c r="D681" s="2">
        <v>0</v>
      </c>
      <c r="E681" s="2">
        <v>0</v>
      </c>
    </row>
    <row r="682" spans="1:5" x14ac:dyDescent="0.2">
      <c r="A682" t="s">
        <v>95</v>
      </c>
      <c r="B682" t="s">
        <v>59</v>
      </c>
      <c r="C682" t="s">
        <v>81</v>
      </c>
      <c r="D682" s="2">
        <v>0</v>
      </c>
      <c r="E682" s="2">
        <v>0</v>
      </c>
    </row>
    <row r="683" spans="1:5" x14ac:dyDescent="0.2">
      <c r="A683" t="s">
        <v>95</v>
      </c>
      <c r="B683" t="s">
        <v>59</v>
      </c>
      <c r="C683" t="s">
        <v>81</v>
      </c>
      <c r="D683" s="2">
        <v>0</v>
      </c>
      <c r="E683" s="2">
        <v>0</v>
      </c>
    </row>
    <row r="684" spans="1:5" x14ac:dyDescent="0.2">
      <c r="A684" t="s">
        <v>95</v>
      </c>
      <c r="B684" t="s">
        <v>59</v>
      </c>
      <c r="C684" t="s">
        <v>81</v>
      </c>
      <c r="D684" s="2">
        <v>0</v>
      </c>
      <c r="E684" s="2">
        <v>288</v>
      </c>
    </row>
    <row r="685" spans="1:5" x14ac:dyDescent="0.2">
      <c r="A685" t="s">
        <v>95</v>
      </c>
      <c r="B685" t="s">
        <v>59</v>
      </c>
      <c r="C685" t="s">
        <v>81</v>
      </c>
      <c r="D685" s="2">
        <v>0</v>
      </c>
      <c r="E685" s="2">
        <v>294</v>
      </c>
    </row>
    <row r="686" spans="1:5" x14ac:dyDescent="0.2">
      <c r="A686" t="s">
        <v>95</v>
      </c>
      <c r="B686" t="s">
        <v>59</v>
      </c>
      <c r="C686" t="s">
        <v>81</v>
      </c>
      <c r="D686" s="2">
        <v>0</v>
      </c>
      <c r="E686" s="2">
        <v>0</v>
      </c>
    </row>
    <row r="687" spans="1:5" x14ac:dyDescent="0.2">
      <c r="A687" t="s">
        <v>95</v>
      </c>
      <c r="B687" t="s">
        <v>59</v>
      </c>
      <c r="C687" t="s">
        <v>81</v>
      </c>
      <c r="D687" s="2">
        <v>0</v>
      </c>
      <c r="E687" s="2">
        <v>258</v>
      </c>
    </row>
    <row r="688" spans="1:5" x14ac:dyDescent="0.2">
      <c r="A688" t="s">
        <v>95</v>
      </c>
      <c r="B688" t="s">
        <v>59</v>
      </c>
      <c r="C688" t="s">
        <v>81</v>
      </c>
      <c r="D688" s="2">
        <v>0</v>
      </c>
      <c r="E688" s="2">
        <v>0</v>
      </c>
    </row>
    <row r="689" spans="1:5" x14ac:dyDescent="0.2">
      <c r="A689" t="s">
        <v>95</v>
      </c>
      <c r="B689" t="s">
        <v>59</v>
      </c>
      <c r="C689" t="s">
        <v>81</v>
      </c>
      <c r="D689" s="2">
        <v>0</v>
      </c>
      <c r="E689" s="2">
        <v>0</v>
      </c>
    </row>
    <row r="690" spans="1:5" x14ac:dyDescent="0.2">
      <c r="A690" t="s">
        <v>95</v>
      </c>
      <c r="B690" t="s">
        <v>59</v>
      </c>
      <c r="C690" t="s">
        <v>81</v>
      </c>
      <c r="D690" s="2">
        <v>0</v>
      </c>
      <c r="E690" s="2">
        <v>312</v>
      </c>
    </row>
    <row r="691" spans="1:5" x14ac:dyDescent="0.2">
      <c r="A691" t="s">
        <v>95</v>
      </c>
      <c r="B691" t="s">
        <v>59</v>
      </c>
      <c r="C691" t="s">
        <v>81</v>
      </c>
      <c r="D691" s="2">
        <v>0</v>
      </c>
      <c r="E691" s="2">
        <v>0</v>
      </c>
    </row>
    <row r="692" spans="1:5" x14ac:dyDescent="0.2">
      <c r="A692" t="s">
        <v>94</v>
      </c>
      <c r="B692" t="s">
        <v>59</v>
      </c>
      <c r="C692" t="s">
        <v>81</v>
      </c>
      <c r="D692" s="2">
        <v>0</v>
      </c>
      <c r="E692" s="2">
        <v>0</v>
      </c>
    </row>
    <row r="693" spans="1:5" x14ac:dyDescent="0.2">
      <c r="A693" t="s">
        <v>94</v>
      </c>
      <c r="B693" t="s">
        <v>59</v>
      </c>
      <c r="C693" t="s">
        <v>81</v>
      </c>
      <c r="D693" s="2">
        <v>0</v>
      </c>
      <c r="E693" s="2">
        <v>0</v>
      </c>
    </row>
    <row r="694" spans="1:5" x14ac:dyDescent="0.2">
      <c r="A694" t="s">
        <v>94</v>
      </c>
      <c r="B694" t="s">
        <v>59</v>
      </c>
      <c r="C694" t="s">
        <v>81</v>
      </c>
      <c r="D694" s="2">
        <v>0</v>
      </c>
      <c r="E694" s="2">
        <v>0</v>
      </c>
    </row>
    <row r="695" spans="1:5" x14ac:dyDescent="0.2">
      <c r="A695" t="s">
        <v>94</v>
      </c>
      <c r="B695" t="s">
        <v>59</v>
      </c>
      <c r="C695" t="s">
        <v>81</v>
      </c>
      <c r="D695" s="2">
        <v>0</v>
      </c>
      <c r="E695" s="2">
        <v>38</v>
      </c>
    </row>
    <row r="696" spans="1:5" x14ac:dyDescent="0.2">
      <c r="A696" t="s">
        <v>94</v>
      </c>
      <c r="B696" t="s">
        <v>59</v>
      </c>
      <c r="C696" t="s">
        <v>81</v>
      </c>
      <c r="D696" s="2">
        <v>0</v>
      </c>
      <c r="E696" s="2">
        <v>0</v>
      </c>
    </row>
    <row r="697" spans="1:5" x14ac:dyDescent="0.2">
      <c r="A697" t="s">
        <v>94</v>
      </c>
      <c r="B697" t="s">
        <v>59</v>
      </c>
      <c r="C697" t="s">
        <v>81</v>
      </c>
      <c r="D697" s="2">
        <v>0</v>
      </c>
      <c r="E697" s="2">
        <v>6</v>
      </c>
    </row>
    <row r="698" spans="1:5" x14ac:dyDescent="0.2">
      <c r="A698" t="s">
        <v>94</v>
      </c>
      <c r="B698" t="s">
        <v>59</v>
      </c>
      <c r="C698" t="s">
        <v>81</v>
      </c>
      <c r="D698" s="2">
        <v>0</v>
      </c>
      <c r="E698" s="2">
        <v>0</v>
      </c>
    </row>
    <row r="699" spans="1:5" x14ac:dyDescent="0.2">
      <c r="A699" t="s">
        <v>96</v>
      </c>
      <c r="B699" t="s">
        <v>59</v>
      </c>
      <c r="C699" t="s">
        <v>81</v>
      </c>
      <c r="D699" s="2">
        <v>0</v>
      </c>
      <c r="E699" s="2">
        <v>234</v>
      </c>
    </row>
    <row r="700" spans="1:5" x14ac:dyDescent="0.2">
      <c r="A700" t="s">
        <v>96</v>
      </c>
      <c r="B700" t="s">
        <v>59</v>
      </c>
      <c r="C700" t="s">
        <v>81</v>
      </c>
      <c r="D700" s="2">
        <v>0</v>
      </c>
      <c r="E700" s="2">
        <v>56</v>
      </c>
    </row>
    <row r="701" spans="1:5" x14ac:dyDescent="0.2">
      <c r="A701" t="s">
        <v>96</v>
      </c>
      <c r="B701" t="s">
        <v>59</v>
      </c>
      <c r="C701" t="s">
        <v>81</v>
      </c>
      <c r="D701" s="2">
        <v>0</v>
      </c>
      <c r="E701" s="2">
        <v>0</v>
      </c>
    </row>
    <row r="702" spans="1:5" x14ac:dyDescent="0.2">
      <c r="A702" t="s">
        <v>96</v>
      </c>
      <c r="B702" t="s">
        <v>59</v>
      </c>
      <c r="C702" t="s">
        <v>81</v>
      </c>
      <c r="D702" s="2">
        <v>0</v>
      </c>
      <c r="E702" s="2">
        <v>38</v>
      </c>
    </row>
    <row r="703" spans="1:5" x14ac:dyDescent="0.2">
      <c r="A703" t="s">
        <v>96</v>
      </c>
      <c r="B703" t="s">
        <v>59</v>
      </c>
      <c r="C703" t="s">
        <v>81</v>
      </c>
      <c r="D703" s="2">
        <v>0</v>
      </c>
      <c r="E703" s="2">
        <v>0</v>
      </c>
    </row>
    <row r="704" spans="1:5" x14ac:dyDescent="0.2">
      <c r="A704" t="s">
        <v>96</v>
      </c>
      <c r="B704" t="s">
        <v>59</v>
      </c>
      <c r="C704" t="s">
        <v>81</v>
      </c>
      <c r="D704" s="2">
        <v>0</v>
      </c>
      <c r="E704" s="2">
        <v>0</v>
      </c>
    </row>
    <row r="705" spans="1:5" x14ac:dyDescent="0.2">
      <c r="A705" t="s">
        <v>96</v>
      </c>
      <c r="B705" t="s">
        <v>59</v>
      </c>
      <c r="C705" t="s">
        <v>81</v>
      </c>
      <c r="D705" s="2">
        <v>0</v>
      </c>
      <c r="E705" s="2">
        <v>0</v>
      </c>
    </row>
    <row r="706" spans="1:5" x14ac:dyDescent="0.2">
      <c r="A706" t="s">
        <v>93</v>
      </c>
      <c r="B706" t="s">
        <v>37</v>
      </c>
      <c r="C706" t="s">
        <v>81</v>
      </c>
      <c r="D706" s="2">
        <v>0</v>
      </c>
      <c r="E706" s="2">
        <v>0</v>
      </c>
    </row>
    <row r="707" spans="1:5" x14ac:dyDescent="0.2">
      <c r="A707" t="s">
        <v>93</v>
      </c>
      <c r="B707" t="s">
        <v>37</v>
      </c>
      <c r="C707" t="s">
        <v>81</v>
      </c>
      <c r="D707" s="2">
        <v>0</v>
      </c>
      <c r="E707" s="2">
        <v>0</v>
      </c>
    </row>
    <row r="708" spans="1:5" x14ac:dyDescent="0.2">
      <c r="A708" t="s">
        <v>93</v>
      </c>
      <c r="B708" t="s">
        <v>37</v>
      </c>
      <c r="C708" t="s">
        <v>81</v>
      </c>
      <c r="D708" s="2">
        <v>57.715971600000003</v>
      </c>
      <c r="E708" s="2">
        <v>58</v>
      </c>
    </row>
    <row r="709" spans="1:5" x14ac:dyDescent="0.2">
      <c r="A709" t="s">
        <v>93</v>
      </c>
      <c r="B709" t="s">
        <v>37</v>
      </c>
      <c r="C709" t="s">
        <v>81</v>
      </c>
      <c r="D709" s="2">
        <v>43.214167199999999</v>
      </c>
      <c r="E709" s="2">
        <v>10</v>
      </c>
    </row>
    <row r="710" spans="1:5" x14ac:dyDescent="0.2">
      <c r="A710" t="s">
        <v>95</v>
      </c>
      <c r="B710" t="s">
        <v>37</v>
      </c>
      <c r="C710" t="s">
        <v>81</v>
      </c>
      <c r="D710" s="2">
        <v>0</v>
      </c>
      <c r="E710" s="2">
        <v>0</v>
      </c>
    </row>
    <row r="711" spans="1:5" x14ac:dyDescent="0.2">
      <c r="A711" t="s">
        <v>95</v>
      </c>
      <c r="B711" t="s">
        <v>37</v>
      </c>
      <c r="C711" t="s">
        <v>81</v>
      </c>
      <c r="D711" s="2">
        <v>0</v>
      </c>
      <c r="E711" s="2">
        <v>0</v>
      </c>
    </row>
    <row r="712" spans="1:5" x14ac:dyDescent="0.2">
      <c r="A712" t="s">
        <v>95</v>
      </c>
      <c r="B712" t="s">
        <v>37</v>
      </c>
      <c r="C712" t="s">
        <v>81</v>
      </c>
      <c r="D712" s="2">
        <v>0</v>
      </c>
      <c r="E712" s="2">
        <v>0</v>
      </c>
    </row>
    <row r="713" spans="1:5" x14ac:dyDescent="0.2">
      <c r="A713" t="s">
        <v>95</v>
      </c>
      <c r="B713" t="s">
        <v>37</v>
      </c>
      <c r="C713" t="s">
        <v>81</v>
      </c>
      <c r="D713" s="2">
        <v>0</v>
      </c>
      <c r="E713" s="2">
        <v>0</v>
      </c>
    </row>
    <row r="714" spans="1:5" x14ac:dyDescent="0.2">
      <c r="A714" t="s">
        <v>95</v>
      </c>
      <c r="B714" t="s">
        <v>37</v>
      </c>
      <c r="C714" t="s">
        <v>81</v>
      </c>
      <c r="D714" s="2">
        <v>0</v>
      </c>
      <c r="E714" s="2">
        <v>0</v>
      </c>
    </row>
    <row r="715" spans="1:5" x14ac:dyDescent="0.2">
      <c r="A715" t="s">
        <v>95</v>
      </c>
      <c r="B715" t="s">
        <v>37</v>
      </c>
      <c r="C715" t="s">
        <v>81</v>
      </c>
      <c r="D715" s="2">
        <v>0</v>
      </c>
      <c r="E715" s="2">
        <v>0</v>
      </c>
    </row>
    <row r="716" spans="1:5" x14ac:dyDescent="0.2">
      <c r="A716" t="s">
        <v>95</v>
      </c>
      <c r="B716" t="s">
        <v>37</v>
      </c>
      <c r="C716" t="s">
        <v>81</v>
      </c>
      <c r="D716" s="2">
        <v>260.34095760000002</v>
      </c>
      <c r="E716" s="2">
        <v>232</v>
      </c>
    </row>
    <row r="717" spans="1:5" x14ac:dyDescent="0.2">
      <c r="A717" t="s">
        <v>95</v>
      </c>
      <c r="B717" t="s">
        <v>37</v>
      </c>
      <c r="C717" t="s">
        <v>81</v>
      </c>
      <c r="D717" s="2">
        <v>289.16362600000002</v>
      </c>
      <c r="E717" s="2">
        <v>292</v>
      </c>
    </row>
    <row r="718" spans="1:5" x14ac:dyDescent="0.2">
      <c r="A718" t="s">
        <v>95</v>
      </c>
      <c r="B718" t="s">
        <v>37</v>
      </c>
      <c r="C718" t="s">
        <v>81</v>
      </c>
      <c r="D718" s="2">
        <v>0</v>
      </c>
      <c r="E718" s="2">
        <v>0</v>
      </c>
    </row>
    <row r="719" spans="1:5" x14ac:dyDescent="0.2">
      <c r="A719" t="s">
        <v>95</v>
      </c>
      <c r="B719" t="s">
        <v>37</v>
      </c>
      <c r="C719" t="s">
        <v>81</v>
      </c>
      <c r="D719" s="2">
        <v>557.15275499999996</v>
      </c>
      <c r="E719" s="2">
        <v>304</v>
      </c>
    </row>
    <row r="720" spans="1:5" x14ac:dyDescent="0.2">
      <c r="A720" t="s">
        <v>95</v>
      </c>
      <c r="B720" t="s">
        <v>37</v>
      </c>
      <c r="C720" t="s">
        <v>81</v>
      </c>
      <c r="D720" s="2">
        <v>0</v>
      </c>
      <c r="E720" s="2">
        <v>0</v>
      </c>
    </row>
    <row r="721" spans="1:5" x14ac:dyDescent="0.2">
      <c r="A721" t="s">
        <v>95</v>
      </c>
      <c r="B721" t="s">
        <v>37</v>
      </c>
      <c r="C721" t="s">
        <v>81</v>
      </c>
      <c r="D721" s="2">
        <v>0</v>
      </c>
      <c r="E721" s="2">
        <v>0</v>
      </c>
    </row>
    <row r="722" spans="1:5" x14ac:dyDescent="0.2">
      <c r="A722" t="s">
        <v>95</v>
      </c>
      <c r="B722" t="s">
        <v>37</v>
      </c>
      <c r="C722" t="s">
        <v>81</v>
      </c>
      <c r="D722" s="2">
        <v>304.26918879999999</v>
      </c>
      <c r="E722" s="2">
        <v>308</v>
      </c>
    </row>
    <row r="723" spans="1:5" x14ac:dyDescent="0.2">
      <c r="A723" t="s">
        <v>95</v>
      </c>
      <c r="B723" t="s">
        <v>37</v>
      </c>
      <c r="C723" t="s">
        <v>81</v>
      </c>
      <c r="D723" s="2">
        <v>0</v>
      </c>
      <c r="E723" s="2">
        <v>0</v>
      </c>
    </row>
    <row r="724" spans="1:5" x14ac:dyDescent="0.2">
      <c r="A724" t="s">
        <v>94</v>
      </c>
      <c r="B724" t="s">
        <v>37</v>
      </c>
      <c r="C724" t="s">
        <v>81</v>
      </c>
      <c r="D724" s="2">
        <v>0</v>
      </c>
      <c r="E724" s="2">
        <v>0</v>
      </c>
    </row>
    <row r="725" spans="1:5" x14ac:dyDescent="0.2">
      <c r="A725" t="s">
        <v>94</v>
      </c>
      <c r="B725" t="s">
        <v>37</v>
      </c>
      <c r="C725" t="s">
        <v>81</v>
      </c>
      <c r="D725" s="2">
        <v>0</v>
      </c>
      <c r="E725" s="2">
        <v>0</v>
      </c>
    </row>
    <row r="726" spans="1:5" x14ac:dyDescent="0.2">
      <c r="A726" t="s">
        <v>94</v>
      </c>
      <c r="B726" t="s">
        <v>37</v>
      </c>
      <c r="C726" t="s">
        <v>81</v>
      </c>
      <c r="D726" s="2">
        <v>0</v>
      </c>
      <c r="E726" s="2">
        <v>0</v>
      </c>
    </row>
    <row r="727" spans="1:5" x14ac:dyDescent="0.2">
      <c r="A727" t="s">
        <v>94</v>
      </c>
      <c r="B727" t="s">
        <v>37</v>
      </c>
      <c r="C727" t="s">
        <v>81</v>
      </c>
      <c r="D727" s="2">
        <v>70.147767400000006</v>
      </c>
      <c r="E727" s="2">
        <v>62</v>
      </c>
    </row>
    <row r="728" spans="1:5" x14ac:dyDescent="0.2">
      <c r="A728" t="s">
        <v>94</v>
      </c>
      <c r="B728" t="s">
        <v>37</v>
      </c>
      <c r="C728" t="s">
        <v>81</v>
      </c>
      <c r="D728" s="2">
        <v>0</v>
      </c>
      <c r="E728" s="2">
        <v>0</v>
      </c>
    </row>
    <row r="729" spans="1:5" x14ac:dyDescent="0.2">
      <c r="A729" t="s">
        <v>94</v>
      </c>
      <c r="B729" t="s">
        <v>37</v>
      </c>
      <c r="C729" t="s">
        <v>81</v>
      </c>
      <c r="D729" s="2">
        <v>72.778348800000003</v>
      </c>
      <c r="E729" s="2">
        <v>46</v>
      </c>
    </row>
    <row r="730" spans="1:5" x14ac:dyDescent="0.2">
      <c r="A730" t="s">
        <v>94</v>
      </c>
      <c r="B730" t="s">
        <v>37</v>
      </c>
      <c r="C730" t="s">
        <v>81</v>
      </c>
      <c r="D730" s="2">
        <v>0</v>
      </c>
      <c r="E730" s="2">
        <v>0</v>
      </c>
    </row>
    <row r="731" spans="1:5" x14ac:dyDescent="0.2">
      <c r="A731" t="s">
        <v>96</v>
      </c>
      <c r="B731" t="s">
        <v>37</v>
      </c>
      <c r="C731" t="s">
        <v>81</v>
      </c>
      <c r="D731" s="2">
        <v>206.99901</v>
      </c>
      <c r="E731" s="2">
        <v>202</v>
      </c>
    </row>
    <row r="732" spans="1:5" x14ac:dyDescent="0.2">
      <c r="A732" t="s">
        <v>96</v>
      </c>
      <c r="B732" t="s">
        <v>37</v>
      </c>
      <c r="C732" t="s">
        <v>81</v>
      </c>
      <c r="D732" s="2">
        <v>171.04465379999999</v>
      </c>
      <c r="E732" s="2">
        <v>64</v>
      </c>
    </row>
    <row r="733" spans="1:5" x14ac:dyDescent="0.2">
      <c r="A733" t="s">
        <v>96</v>
      </c>
      <c r="B733" t="s">
        <v>37</v>
      </c>
      <c r="C733" t="s">
        <v>81</v>
      </c>
      <c r="D733" s="2">
        <v>0</v>
      </c>
      <c r="E733" s="2">
        <v>0</v>
      </c>
    </row>
    <row r="734" spans="1:5" x14ac:dyDescent="0.2">
      <c r="A734" t="s">
        <v>96</v>
      </c>
      <c r="B734" t="s">
        <v>37</v>
      </c>
      <c r="C734" t="s">
        <v>81</v>
      </c>
      <c r="D734" s="2">
        <v>87.965570999999997</v>
      </c>
      <c r="E734" s="2">
        <v>46</v>
      </c>
    </row>
    <row r="735" spans="1:5" x14ac:dyDescent="0.2">
      <c r="A735" t="s">
        <v>96</v>
      </c>
      <c r="B735" t="s">
        <v>37</v>
      </c>
      <c r="C735" t="s">
        <v>81</v>
      </c>
      <c r="D735" s="2">
        <v>0</v>
      </c>
      <c r="E735" s="2">
        <v>0</v>
      </c>
    </row>
    <row r="736" spans="1:5" x14ac:dyDescent="0.2">
      <c r="A736" t="s">
        <v>96</v>
      </c>
      <c r="B736" t="s">
        <v>37</v>
      </c>
      <c r="C736" t="s">
        <v>81</v>
      </c>
      <c r="D736" s="2">
        <v>0</v>
      </c>
      <c r="E736" s="2">
        <v>0</v>
      </c>
    </row>
    <row r="737" spans="1:5" x14ac:dyDescent="0.2">
      <c r="A737" t="s">
        <v>96</v>
      </c>
      <c r="B737" t="s">
        <v>37</v>
      </c>
      <c r="C737" t="s">
        <v>81</v>
      </c>
      <c r="D737" s="2">
        <v>0</v>
      </c>
      <c r="E737" s="2">
        <v>0</v>
      </c>
    </row>
    <row r="738" spans="1:5" x14ac:dyDescent="0.2">
      <c r="A738" t="s">
        <v>93</v>
      </c>
      <c r="B738" t="s">
        <v>71</v>
      </c>
      <c r="C738" t="s">
        <v>81</v>
      </c>
      <c r="D738" s="2">
        <v>0</v>
      </c>
      <c r="E738" s="2">
        <v>0</v>
      </c>
    </row>
    <row r="739" spans="1:5" x14ac:dyDescent="0.2">
      <c r="A739" t="s">
        <v>93</v>
      </c>
      <c r="B739" t="s">
        <v>71</v>
      </c>
      <c r="C739" t="s">
        <v>81</v>
      </c>
      <c r="D739" s="2">
        <v>0</v>
      </c>
      <c r="E739" s="2">
        <v>0</v>
      </c>
    </row>
    <row r="740" spans="1:5" x14ac:dyDescent="0.2">
      <c r="A740" t="s">
        <v>93</v>
      </c>
      <c r="B740" t="s">
        <v>71</v>
      </c>
      <c r="C740" t="s">
        <v>81</v>
      </c>
      <c r="D740" s="2">
        <v>56.771362799999999</v>
      </c>
      <c r="E740" s="2">
        <v>70</v>
      </c>
    </row>
    <row r="741" spans="1:5" x14ac:dyDescent="0.2">
      <c r="A741" t="s">
        <v>93</v>
      </c>
      <c r="B741" t="s">
        <v>71</v>
      </c>
      <c r="C741" t="s">
        <v>81</v>
      </c>
      <c r="D741" s="2">
        <v>34.943456599999998</v>
      </c>
      <c r="E741" s="2">
        <v>34</v>
      </c>
    </row>
    <row r="742" spans="1:5" x14ac:dyDescent="0.2">
      <c r="A742" t="s">
        <v>95</v>
      </c>
      <c r="B742" t="s">
        <v>71</v>
      </c>
      <c r="C742" t="s">
        <v>81</v>
      </c>
      <c r="D742" s="2">
        <v>0</v>
      </c>
      <c r="E742" s="2">
        <v>0</v>
      </c>
    </row>
    <row r="743" spans="1:5" x14ac:dyDescent="0.2">
      <c r="A743" t="s">
        <v>95</v>
      </c>
      <c r="B743" t="s">
        <v>71</v>
      </c>
      <c r="C743" t="s">
        <v>81</v>
      </c>
      <c r="D743" s="2">
        <v>0</v>
      </c>
      <c r="E743" s="2">
        <v>0</v>
      </c>
    </row>
    <row r="744" spans="1:5" x14ac:dyDescent="0.2">
      <c r="A744" t="s">
        <v>95</v>
      </c>
      <c r="B744" t="s">
        <v>71</v>
      </c>
      <c r="C744" t="s">
        <v>81</v>
      </c>
      <c r="D744" s="2">
        <v>0</v>
      </c>
      <c r="E744" s="2">
        <v>0</v>
      </c>
    </row>
    <row r="745" spans="1:5" x14ac:dyDescent="0.2">
      <c r="A745" t="s">
        <v>95</v>
      </c>
      <c r="B745" t="s">
        <v>71</v>
      </c>
      <c r="C745" t="s">
        <v>81</v>
      </c>
      <c r="D745" s="2">
        <v>0</v>
      </c>
      <c r="E745" s="2">
        <v>0</v>
      </c>
    </row>
    <row r="746" spans="1:5" x14ac:dyDescent="0.2">
      <c r="A746" t="s">
        <v>95</v>
      </c>
      <c r="B746" t="s">
        <v>71</v>
      </c>
      <c r="C746" t="s">
        <v>81</v>
      </c>
      <c r="D746" s="2">
        <v>0</v>
      </c>
      <c r="E746" s="2">
        <v>0</v>
      </c>
    </row>
    <row r="747" spans="1:5" x14ac:dyDescent="0.2">
      <c r="A747" t="s">
        <v>95</v>
      </c>
      <c r="B747" t="s">
        <v>71</v>
      </c>
      <c r="C747" t="s">
        <v>81</v>
      </c>
      <c r="D747" s="2">
        <v>0</v>
      </c>
      <c r="E747" s="2">
        <v>0</v>
      </c>
    </row>
    <row r="748" spans="1:5" x14ac:dyDescent="0.2">
      <c r="A748" t="s">
        <v>95</v>
      </c>
      <c r="B748" t="s">
        <v>71</v>
      </c>
      <c r="C748" t="s">
        <v>81</v>
      </c>
      <c r="D748" s="2">
        <v>242.5113332</v>
      </c>
      <c r="E748" s="2">
        <v>380</v>
      </c>
    </row>
    <row r="749" spans="1:5" x14ac:dyDescent="0.2">
      <c r="A749" t="s">
        <v>95</v>
      </c>
      <c r="B749" t="s">
        <v>71</v>
      </c>
      <c r="C749" t="s">
        <v>81</v>
      </c>
      <c r="D749" s="2">
        <v>297.39860879999998</v>
      </c>
      <c r="E749" s="2">
        <v>458</v>
      </c>
    </row>
    <row r="750" spans="1:5" x14ac:dyDescent="0.2">
      <c r="A750" t="s">
        <v>95</v>
      </c>
      <c r="B750" t="s">
        <v>71</v>
      </c>
      <c r="C750" t="s">
        <v>81</v>
      </c>
      <c r="D750" s="2">
        <v>0</v>
      </c>
      <c r="E750" s="2">
        <v>0</v>
      </c>
    </row>
    <row r="751" spans="1:5" x14ac:dyDescent="0.2">
      <c r="A751" t="s">
        <v>95</v>
      </c>
      <c r="B751" t="s">
        <v>71</v>
      </c>
      <c r="C751" t="s">
        <v>81</v>
      </c>
      <c r="D751" s="2">
        <v>612.17255339999997</v>
      </c>
      <c r="E751" s="2">
        <v>558</v>
      </c>
    </row>
    <row r="752" spans="1:5" x14ac:dyDescent="0.2">
      <c r="A752" t="s">
        <v>95</v>
      </c>
      <c r="B752" t="s">
        <v>71</v>
      </c>
      <c r="C752" t="s">
        <v>81</v>
      </c>
      <c r="D752" s="2">
        <v>0</v>
      </c>
      <c r="E752" s="2">
        <v>0</v>
      </c>
    </row>
    <row r="753" spans="1:5" x14ac:dyDescent="0.2">
      <c r="A753" t="s">
        <v>95</v>
      </c>
      <c r="B753" t="s">
        <v>71</v>
      </c>
      <c r="C753" t="s">
        <v>81</v>
      </c>
      <c r="D753" s="2">
        <v>0</v>
      </c>
      <c r="E753" s="2">
        <v>0</v>
      </c>
    </row>
    <row r="754" spans="1:5" x14ac:dyDescent="0.2">
      <c r="A754" t="s">
        <v>95</v>
      </c>
      <c r="B754" t="s">
        <v>71</v>
      </c>
      <c r="C754" t="s">
        <v>81</v>
      </c>
      <c r="D754" s="2">
        <v>348.15160220000001</v>
      </c>
      <c r="E754" s="2">
        <v>670</v>
      </c>
    </row>
    <row r="755" spans="1:5" x14ac:dyDescent="0.2">
      <c r="A755" t="s">
        <v>95</v>
      </c>
      <c r="B755" t="s">
        <v>71</v>
      </c>
      <c r="C755" t="s">
        <v>81</v>
      </c>
      <c r="D755" s="2">
        <v>0</v>
      </c>
      <c r="E755" s="2">
        <v>0</v>
      </c>
    </row>
    <row r="756" spans="1:5" x14ac:dyDescent="0.2">
      <c r="A756" t="s">
        <v>94</v>
      </c>
      <c r="B756" t="s">
        <v>71</v>
      </c>
      <c r="C756" t="s">
        <v>81</v>
      </c>
      <c r="D756" s="2">
        <v>0</v>
      </c>
      <c r="E756" s="2">
        <v>0</v>
      </c>
    </row>
    <row r="757" spans="1:5" x14ac:dyDescent="0.2">
      <c r="A757" t="s">
        <v>94</v>
      </c>
      <c r="B757" t="s">
        <v>71</v>
      </c>
      <c r="C757" t="s">
        <v>81</v>
      </c>
      <c r="D757" s="2">
        <v>0</v>
      </c>
      <c r="E757" s="2">
        <v>0</v>
      </c>
    </row>
    <row r="758" spans="1:5" x14ac:dyDescent="0.2">
      <c r="A758" t="s">
        <v>94</v>
      </c>
      <c r="B758" t="s">
        <v>71</v>
      </c>
      <c r="C758" t="s">
        <v>81</v>
      </c>
      <c r="D758" s="2">
        <v>0</v>
      </c>
      <c r="E758" s="2">
        <v>0</v>
      </c>
    </row>
    <row r="759" spans="1:5" x14ac:dyDescent="0.2">
      <c r="A759" t="s">
        <v>94</v>
      </c>
      <c r="B759" t="s">
        <v>71</v>
      </c>
      <c r="C759" t="s">
        <v>81</v>
      </c>
      <c r="D759" s="2">
        <v>286.93789099999998</v>
      </c>
      <c r="E759" s="2">
        <v>386</v>
      </c>
    </row>
    <row r="760" spans="1:5" x14ac:dyDescent="0.2">
      <c r="A760" t="s">
        <v>94</v>
      </c>
      <c r="B760" t="s">
        <v>71</v>
      </c>
      <c r="C760" t="s">
        <v>81</v>
      </c>
      <c r="D760" s="2">
        <v>0</v>
      </c>
      <c r="E760" s="2">
        <v>0</v>
      </c>
    </row>
    <row r="761" spans="1:5" x14ac:dyDescent="0.2">
      <c r="A761" t="s">
        <v>94</v>
      </c>
      <c r="B761" t="s">
        <v>71</v>
      </c>
      <c r="C761" t="s">
        <v>81</v>
      </c>
      <c r="D761" s="2">
        <v>127.9669336</v>
      </c>
      <c r="E761" s="2">
        <v>82</v>
      </c>
    </row>
    <row r="762" spans="1:5" x14ac:dyDescent="0.2">
      <c r="A762" t="s">
        <v>94</v>
      </c>
      <c r="B762" t="s">
        <v>71</v>
      </c>
      <c r="C762" t="s">
        <v>81</v>
      </c>
      <c r="D762" s="2">
        <v>142.73186340000001</v>
      </c>
      <c r="E762" s="2">
        <v>30</v>
      </c>
    </row>
    <row r="763" spans="1:5" x14ac:dyDescent="0.2">
      <c r="A763" t="s">
        <v>96</v>
      </c>
      <c r="B763" t="s">
        <v>71</v>
      </c>
      <c r="C763" t="s">
        <v>81</v>
      </c>
      <c r="D763" s="2">
        <v>211.40841940000001</v>
      </c>
      <c r="E763" s="2">
        <v>214</v>
      </c>
    </row>
    <row r="764" spans="1:5" x14ac:dyDescent="0.2">
      <c r="A764" t="s">
        <v>96</v>
      </c>
      <c r="B764" t="s">
        <v>71</v>
      </c>
      <c r="C764" t="s">
        <v>81</v>
      </c>
      <c r="D764" s="2">
        <v>143.01835940000001</v>
      </c>
      <c r="E764" s="2">
        <v>144</v>
      </c>
    </row>
    <row r="765" spans="1:5" x14ac:dyDescent="0.2">
      <c r="A765" t="s">
        <v>96</v>
      </c>
      <c r="B765" t="s">
        <v>71</v>
      </c>
      <c r="C765" t="s">
        <v>81</v>
      </c>
      <c r="D765" s="2">
        <v>0</v>
      </c>
      <c r="E765" s="2">
        <v>0</v>
      </c>
    </row>
    <row r="766" spans="1:5" x14ac:dyDescent="0.2">
      <c r="A766" t="s">
        <v>96</v>
      </c>
      <c r="B766" t="s">
        <v>71</v>
      </c>
      <c r="C766" t="s">
        <v>81</v>
      </c>
      <c r="D766" s="2">
        <v>107.263801</v>
      </c>
      <c r="E766" s="2">
        <v>56</v>
      </c>
    </row>
    <row r="767" spans="1:5" x14ac:dyDescent="0.2">
      <c r="A767" t="s">
        <v>96</v>
      </c>
      <c r="B767" t="s">
        <v>71</v>
      </c>
      <c r="C767" t="s">
        <v>81</v>
      </c>
      <c r="D767" s="2">
        <v>0</v>
      </c>
      <c r="E767" s="2">
        <v>0</v>
      </c>
    </row>
    <row r="768" spans="1:5" x14ac:dyDescent="0.2">
      <c r="A768" t="s">
        <v>96</v>
      </c>
      <c r="B768" t="s">
        <v>71</v>
      </c>
      <c r="C768" t="s">
        <v>81</v>
      </c>
      <c r="D768" s="2">
        <v>0</v>
      </c>
      <c r="E768" s="2">
        <v>0</v>
      </c>
    </row>
    <row r="769" spans="1:5" x14ac:dyDescent="0.2">
      <c r="A769" t="s">
        <v>96</v>
      </c>
      <c r="B769" t="s">
        <v>71</v>
      </c>
      <c r="C769" t="s">
        <v>81</v>
      </c>
      <c r="D769" s="2">
        <v>0</v>
      </c>
      <c r="E769" s="2">
        <v>0</v>
      </c>
    </row>
    <row r="770" spans="1:5" x14ac:dyDescent="0.2">
      <c r="A770" t="s">
        <v>93</v>
      </c>
      <c r="B770" t="s">
        <v>61</v>
      </c>
      <c r="C770" t="s">
        <v>81</v>
      </c>
      <c r="D770" s="2">
        <v>0</v>
      </c>
      <c r="E770" s="2">
        <v>0</v>
      </c>
    </row>
    <row r="771" spans="1:5" x14ac:dyDescent="0.2">
      <c r="A771" t="s">
        <v>93</v>
      </c>
      <c r="B771" t="s">
        <v>61</v>
      </c>
      <c r="C771" t="s">
        <v>81</v>
      </c>
      <c r="D771" s="2">
        <v>0</v>
      </c>
      <c r="E771" s="2">
        <v>0</v>
      </c>
    </row>
    <row r="772" spans="1:5" x14ac:dyDescent="0.2">
      <c r="A772" t="s">
        <v>93</v>
      </c>
      <c r="B772" t="s">
        <v>61</v>
      </c>
      <c r="C772" t="s">
        <v>81</v>
      </c>
      <c r="D772" s="2">
        <v>0</v>
      </c>
      <c r="E772" s="2">
        <v>44</v>
      </c>
    </row>
    <row r="773" spans="1:5" x14ac:dyDescent="0.2">
      <c r="A773" t="s">
        <v>93</v>
      </c>
      <c r="B773" t="s">
        <v>61</v>
      </c>
      <c r="C773" t="s">
        <v>81</v>
      </c>
      <c r="D773" s="2">
        <v>0</v>
      </c>
      <c r="E773" s="2">
        <v>18</v>
      </c>
    </row>
    <row r="774" spans="1:5" x14ac:dyDescent="0.2">
      <c r="A774" t="s">
        <v>95</v>
      </c>
      <c r="B774" t="s">
        <v>61</v>
      </c>
      <c r="C774" t="s">
        <v>81</v>
      </c>
      <c r="D774" s="2">
        <v>0</v>
      </c>
      <c r="E774" s="2">
        <v>0</v>
      </c>
    </row>
    <row r="775" spans="1:5" x14ac:dyDescent="0.2">
      <c r="A775" t="s">
        <v>95</v>
      </c>
      <c r="B775" t="s">
        <v>61</v>
      </c>
      <c r="C775" t="s">
        <v>81</v>
      </c>
      <c r="D775" s="2">
        <v>0</v>
      </c>
      <c r="E775" s="2">
        <v>0</v>
      </c>
    </row>
    <row r="776" spans="1:5" x14ac:dyDescent="0.2">
      <c r="A776" t="s">
        <v>95</v>
      </c>
      <c r="B776" t="s">
        <v>61</v>
      </c>
      <c r="C776" t="s">
        <v>81</v>
      </c>
      <c r="D776" s="2">
        <v>0</v>
      </c>
      <c r="E776" s="2">
        <v>0</v>
      </c>
    </row>
    <row r="777" spans="1:5" x14ac:dyDescent="0.2">
      <c r="A777" t="s">
        <v>95</v>
      </c>
      <c r="B777" t="s">
        <v>61</v>
      </c>
      <c r="C777" t="s">
        <v>81</v>
      </c>
      <c r="D777" s="2">
        <v>0</v>
      </c>
      <c r="E777" s="2">
        <v>0</v>
      </c>
    </row>
    <row r="778" spans="1:5" x14ac:dyDescent="0.2">
      <c r="A778" t="s">
        <v>95</v>
      </c>
      <c r="B778" t="s">
        <v>61</v>
      </c>
      <c r="C778" t="s">
        <v>81</v>
      </c>
      <c r="D778" s="2">
        <v>0</v>
      </c>
      <c r="E778" s="2">
        <v>0</v>
      </c>
    </row>
    <row r="779" spans="1:5" x14ac:dyDescent="0.2">
      <c r="A779" t="s">
        <v>95</v>
      </c>
      <c r="B779" t="s">
        <v>61</v>
      </c>
      <c r="C779" t="s">
        <v>81</v>
      </c>
      <c r="D779" s="2">
        <v>0</v>
      </c>
      <c r="E779" s="2">
        <v>0</v>
      </c>
    </row>
    <row r="780" spans="1:5" x14ac:dyDescent="0.2">
      <c r="A780" t="s">
        <v>95</v>
      </c>
      <c r="B780" t="s">
        <v>61</v>
      </c>
      <c r="C780" t="s">
        <v>81</v>
      </c>
      <c r="D780" s="2">
        <v>0</v>
      </c>
      <c r="E780" s="2">
        <v>266</v>
      </c>
    </row>
    <row r="781" spans="1:5" x14ac:dyDescent="0.2">
      <c r="A781" t="s">
        <v>95</v>
      </c>
      <c r="B781" t="s">
        <v>61</v>
      </c>
      <c r="C781" t="s">
        <v>81</v>
      </c>
      <c r="D781" s="2">
        <v>0</v>
      </c>
      <c r="E781" s="2">
        <v>342</v>
      </c>
    </row>
    <row r="782" spans="1:5" x14ac:dyDescent="0.2">
      <c r="A782" t="s">
        <v>95</v>
      </c>
      <c r="B782" t="s">
        <v>61</v>
      </c>
      <c r="C782" t="s">
        <v>81</v>
      </c>
      <c r="D782" s="2">
        <v>0</v>
      </c>
      <c r="E782" s="2">
        <v>0</v>
      </c>
    </row>
    <row r="783" spans="1:5" x14ac:dyDescent="0.2">
      <c r="A783" t="s">
        <v>95</v>
      </c>
      <c r="B783" t="s">
        <v>61</v>
      </c>
      <c r="C783" t="s">
        <v>81</v>
      </c>
      <c r="D783" s="2">
        <v>0</v>
      </c>
      <c r="E783" s="2">
        <v>356</v>
      </c>
    </row>
    <row r="784" spans="1:5" x14ac:dyDescent="0.2">
      <c r="A784" t="s">
        <v>95</v>
      </c>
      <c r="B784" t="s">
        <v>61</v>
      </c>
      <c r="C784" t="s">
        <v>81</v>
      </c>
      <c r="D784" s="2">
        <v>0</v>
      </c>
      <c r="E784" s="2">
        <v>0</v>
      </c>
    </row>
    <row r="785" spans="1:5" x14ac:dyDescent="0.2">
      <c r="A785" t="s">
        <v>95</v>
      </c>
      <c r="B785" t="s">
        <v>61</v>
      </c>
      <c r="C785" t="s">
        <v>81</v>
      </c>
      <c r="D785" s="2">
        <v>0</v>
      </c>
      <c r="E785" s="2">
        <v>0</v>
      </c>
    </row>
    <row r="786" spans="1:5" x14ac:dyDescent="0.2">
      <c r="A786" t="s">
        <v>95</v>
      </c>
      <c r="B786" t="s">
        <v>61</v>
      </c>
      <c r="C786" t="s">
        <v>81</v>
      </c>
      <c r="D786" s="2">
        <v>0</v>
      </c>
      <c r="E786" s="2">
        <v>366</v>
      </c>
    </row>
    <row r="787" spans="1:5" x14ac:dyDescent="0.2">
      <c r="A787" t="s">
        <v>95</v>
      </c>
      <c r="B787" t="s">
        <v>61</v>
      </c>
      <c r="C787" t="s">
        <v>81</v>
      </c>
      <c r="D787" s="2">
        <v>0</v>
      </c>
      <c r="E787" s="2">
        <v>0</v>
      </c>
    </row>
    <row r="788" spans="1:5" x14ac:dyDescent="0.2">
      <c r="A788" t="s">
        <v>94</v>
      </c>
      <c r="B788" t="s">
        <v>61</v>
      </c>
      <c r="C788" t="s">
        <v>81</v>
      </c>
      <c r="D788" s="2">
        <v>0</v>
      </c>
      <c r="E788" s="2">
        <v>0</v>
      </c>
    </row>
    <row r="789" spans="1:5" x14ac:dyDescent="0.2">
      <c r="A789" t="s">
        <v>94</v>
      </c>
      <c r="B789" t="s">
        <v>61</v>
      </c>
      <c r="C789" t="s">
        <v>81</v>
      </c>
      <c r="D789" s="2">
        <v>0</v>
      </c>
      <c r="E789" s="2">
        <v>0</v>
      </c>
    </row>
    <row r="790" spans="1:5" x14ac:dyDescent="0.2">
      <c r="A790" t="s">
        <v>94</v>
      </c>
      <c r="B790" t="s">
        <v>61</v>
      </c>
      <c r="C790" t="s">
        <v>81</v>
      </c>
      <c r="D790" s="2">
        <v>0</v>
      </c>
      <c r="E790" s="2">
        <v>0</v>
      </c>
    </row>
    <row r="791" spans="1:5" x14ac:dyDescent="0.2">
      <c r="A791" t="s">
        <v>94</v>
      </c>
      <c r="B791" t="s">
        <v>61</v>
      </c>
      <c r="C791" t="s">
        <v>81</v>
      </c>
      <c r="D791" s="2">
        <v>0</v>
      </c>
      <c r="E791" s="2">
        <v>28</v>
      </c>
    </row>
    <row r="792" spans="1:5" x14ac:dyDescent="0.2">
      <c r="A792" t="s">
        <v>94</v>
      </c>
      <c r="B792" t="s">
        <v>61</v>
      </c>
      <c r="C792" t="s">
        <v>81</v>
      </c>
      <c r="D792" s="2">
        <v>0</v>
      </c>
      <c r="E792" s="2">
        <v>0</v>
      </c>
    </row>
    <row r="793" spans="1:5" x14ac:dyDescent="0.2">
      <c r="A793" t="s">
        <v>94</v>
      </c>
      <c r="B793" t="s">
        <v>61</v>
      </c>
      <c r="C793" t="s">
        <v>81</v>
      </c>
      <c r="D793" s="2">
        <v>0</v>
      </c>
      <c r="E793" s="2">
        <v>14</v>
      </c>
    </row>
    <row r="794" spans="1:5" x14ac:dyDescent="0.2">
      <c r="A794" t="s">
        <v>94</v>
      </c>
      <c r="B794" t="s">
        <v>61</v>
      </c>
      <c r="C794" t="s">
        <v>81</v>
      </c>
      <c r="D794" s="2">
        <v>0</v>
      </c>
      <c r="E794" s="2">
        <v>0</v>
      </c>
    </row>
    <row r="795" spans="1:5" x14ac:dyDescent="0.2">
      <c r="A795" t="s">
        <v>96</v>
      </c>
      <c r="B795" t="s">
        <v>61</v>
      </c>
      <c r="C795" t="s">
        <v>81</v>
      </c>
      <c r="D795" s="2">
        <v>0</v>
      </c>
      <c r="E795" s="2">
        <v>236</v>
      </c>
    </row>
    <row r="796" spans="1:5" x14ac:dyDescent="0.2">
      <c r="A796" t="s">
        <v>96</v>
      </c>
      <c r="B796" t="s">
        <v>61</v>
      </c>
      <c r="C796" t="s">
        <v>81</v>
      </c>
      <c r="D796" s="2">
        <v>0</v>
      </c>
      <c r="E796" s="2">
        <v>82</v>
      </c>
    </row>
    <row r="797" spans="1:5" x14ac:dyDescent="0.2">
      <c r="A797" t="s">
        <v>96</v>
      </c>
      <c r="B797" t="s">
        <v>61</v>
      </c>
      <c r="C797" t="s">
        <v>81</v>
      </c>
      <c r="D797" s="2">
        <v>0</v>
      </c>
      <c r="E797" s="2">
        <v>0</v>
      </c>
    </row>
    <row r="798" spans="1:5" x14ac:dyDescent="0.2">
      <c r="A798" t="s">
        <v>96</v>
      </c>
      <c r="B798" t="s">
        <v>61</v>
      </c>
      <c r="C798" t="s">
        <v>81</v>
      </c>
      <c r="D798" s="2">
        <v>0</v>
      </c>
      <c r="E798" s="2">
        <v>22</v>
      </c>
    </row>
    <row r="799" spans="1:5" x14ac:dyDescent="0.2">
      <c r="A799" t="s">
        <v>96</v>
      </c>
      <c r="B799" t="s">
        <v>61</v>
      </c>
      <c r="C799" t="s">
        <v>81</v>
      </c>
      <c r="D799" s="2">
        <v>0</v>
      </c>
      <c r="E799" s="2">
        <v>0</v>
      </c>
    </row>
    <row r="800" spans="1:5" x14ac:dyDescent="0.2">
      <c r="A800" t="s">
        <v>96</v>
      </c>
      <c r="B800" t="s">
        <v>61</v>
      </c>
      <c r="C800" t="s">
        <v>81</v>
      </c>
      <c r="D800" s="2">
        <v>0</v>
      </c>
      <c r="E800" s="2">
        <v>0</v>
      </c>
    </row>
    <row r="801" spans="1:5" x14ac:dyDescent="0.2">
      <c r="A801" t="s">
        <v>96</v>
      </c>
      <c r="B801" t="s">
        <v>61</v>
      </c>
      <c r="C801" t="s">
        <v>81</v>
      </c>
      <c r="D801" s="2">
        <v>0</v>
      </c>
      <c r="E801" s="2">
        <v>0</v>
      </c>
    </row>
    <row r="802" spans="1:5" x14ac:dyDescent="0.2">
      <c r="A802" t="s">
        <v>93</v>
      </c>
      <c r="B802" t="s">
        <v>39</v>
      </c>
      <c r="C802" t="s">
        <v>81</v>
      </c>
      <c r="D802" s="2">
        <v>0</v>
      </c>
      <c r="E802" s="2">
        <v>0</v>
      </c>
    </row>
    <row r="803" spans="1:5" x14ac:dyDescent="0.2">
      <c r="A803" t="s">
        <v>93</v>
      </c>
      <c r="B803" t="s">
        <v>39</v>
      </c>
      <c r="C803" t="s">
        <v>81</v>
      </c>
      <c r="D803" s="2">
        <v>0</v>
      </c>
      <c r="E803" s="2">
        <v>0</v>
      </c>
    </row>
    <row r="804" spans="1:5" x14ac:dyDescent="0.2">
      <c r="A804" t="s">
        <v>93</v>
      </c>
      <c r="B804" t="s">
        <v>39</v>
      </c>
      <c r="C804" t="s">
        <v>81</v>
      </c>
      <c r="D804" s="2">
        <v>41.8107398</v>
      </c>
      <c r="E804" s="2">
        <v>70</v>
      </c>
    </row>
    <row r="805" spans="1:5" x14ac:dyDescent="0.2">
      <c r="A805" t="s">
        <v>93</v>
      </c>
      <c r="B805" t="s">
        <v>39</v>
      </c>
      <c r="C805" t="s">
        <v>81</v>
      </c>
      <c r="D805" s="2">
        <v>35.903728800000003</v>
      </c>
      <c r="E805" s="2">
        <v>48</v>
      </c>
    </row>
    <row r="806" spans="1:5" x14ac:dyDescent="0.2">
      <c r="A806" t="s">
        <v>95</v>
      </c>
      <c r="B806" t="s">
        <v>39</v>
      </c>
      <c r="C806" t="s">
        <v>81</v>
      </c>
      <c r="D806" s="2">
        <v>0</v>
      </c>
      <c r="E806" s="2">
        <v>0</v>
      </c>
    </row>
    <row r="807" spans="1:5" x14ac:dyDescent="0.2">
      <c r="A807" t="s">
        <v>95</v>
      </c>
      <c r="B807" t="s">
        <v>39</v>
      </c>
      <c r="C807" t="s">
        <v>81</v>
      </c>
      <c r="D807" s="2">
        <v>0</v>
      </c>
      <c r="E807" s="2">
        <v>0</v>
      </c>
    </row>
    <row r="808" spans="1:5" x14ac:dyDescent="0.2">
      <c r="A808" t="s">
        <v>95</v>
      </c>
      <c r="B808" t="s">
        <v>39</v>
      </c>
      <c r="C808" t="s">
        <v>81</v>
      </c>
      <c r="D808" s="2">
        <v>0</v>
      </c>
      <c r="E808" s="2">
        <v>0</v>
      </c>
    </row>
    <row r="809" spans="1:5" x14ac:dyDescent="0.2">
      <c r="A809" t="s">
        <v>95</v>
      </c>
      <c r="B809" t="s">
        <v>39</v>
      </c>
      <c r="C809" t="s">
        <v>81</v>
      </c>
      <c r="D809" s="2">
        <v>0</v>
      </c>
      <c r="E809" s="2">
        <v>0</v>
      </c>
    </row>
    <row r="810" spans="1:5" x14ac:dyDescent="0.2">
      <c r="A810" t="s">
        <v>95</v>
      </c>
      <c r="B810" t="s">
        <v>39</v>
      </c>
      <c r="C810" t="s">
        <v>81</v>
      </c>
      <c r="D810" s="2">
        <v>0</v>
      </c>
      <c r="E810" s="2">
        <v>0</v>
      </c>
    </row>
    <row r="811" spans="1:5" x14ac:dyDescent="0.2">
      <c r="A811" t="s">
        <v>95</v>
      </c>
      <c r="B811" t="s">
        <v>39</v>
      </c>
      <c r="C811" t="s">
        <v>81</v>
      </c>
      <c r="D811" s="2">
        <v>0</v>
      </c>
      <c r="E811" s="2">
        <v>0</v>
      </c>
    </row>
    <row r="812" spans="1:5" x14ac:dyDescent="0.2">
      <c r="A812" t="s">
        <v>95</v>
      </c>
      <c r="B812" t="s">
        <v>39</v>
      </c>
      <c r="C812" t="s">
        <v>81</v>
      </c>
      <c r="D812" s="2">
        <v>256.79564879999998</v>
      </c>
      <c r="E812" s="2">
        <v>274</v>
      </c>
    </row>
    <row r="813" spans="1:5" x14ac:dyDescent="0.2">
      <c r="A813" t="s">
        <v>95</v>
      </c>
      <c r="B813" t="s">
        <v>39</v>
      </c>
      <c r="C813" t="s">
        <v>81</v>
      </c>
      <c r="D813" s="2">
        <v>304.30331660000002</v>
      </c>
      <c r="E813" s="2">
        <v>370</v>
      </c>
    </row>
    <row r="814" spans="1:5" x14ac:dyDescent="0.2">
      <c r="A814" t="s">
        <v>95</v>
      </c>
      <c r="B814" t="s">
        <v>39</v>
      </c>
      <c r="C814" t="s">
        <v>81</v>
      </c>
      <c r="D814" s="2">
        <v>0</v>
      </c>
      <c r="E814" s="2">
        <v>0</v>
      </c>
    </row>
    <row r="815" spans="1:5" x14ac:dyDescent="0.2">
      <c r="A815" t="s">
        <v>95</v>
      </c>
      <c r="B815" t="s">
        <v>39</v>
      </c>
      <c r="C815" t="s">
        <v>81</v>
      </c>
      <c r="D815" s="2">
        <v>515.78753840000002</v>
      </c>
      <c r="E815" s="2">
        <v>420</v>
      </c>
    </row>
    <row r="816" spans="1:5" x14ac:dyDescent="0.2">
      <c r="A816" t="s">
        <v>95</v>
      </c>
      <c r="B816" t="s">
        <v>39</v>
      </c>
      <c r="C816" t="s">
        <v>81</v>
      </c>
      <c r="D816" s="2">
        <v>0</v>
      </c>
      <c r="E816" s="2">
        <v>0</v>
      </c>
    </row>
    <row r="817" spans="1:5" x14ac:dyDescent="0.2">
      <c r="A817" t="s">
        <v>95</v>
      </c>
      <c r="B817" t="s">
        <v>39</v>
      </c>
      <c r="C817" t="s">
        <v>81</v>
      </c>
      <c r="D817" s="2">
        <v>0</v>
      </c>
      <c r="E817" s="2">
        <v>0</v>
      </c>
    </row>
    <row r="818" spans="1:5" x14ac:dyDescent="0.2">
      <c r="A818" t="s">
        <v>95</v>
      </c>
      <c r="B818" t="s">
        <v>39</v>
      </c>
      <c r="C818" t="s">
        <v>81</v>
      </c>
      <c r="D818" s="2">
        <v>316.2946804</v>
      </c>
      <c r="E818" s="2">
        <v>376</v>
      </c>
    </row>
    <row r="819" spans="1:5" x14ac:dyDescent="0.2">
      <c r="A819" t="s">
        <v>95</v>
      </c>
      <c r="B819" t="s">
        <v>39</v>
      </c>
      <c r="C819" t="s">
        <v>81</v>
      </c>
      <c r="D819" s="2">
        <v>0</v>
      </c>
      <c r="E819" s="2">
        <v>0</v>
      </c>
    </row>
    <row r="820" spans="1:5" x14ac:dyDescent="0.2">
      <c r="A820" t="s">
        <v>94</v>
      </c>
      <c r="B820" t="s">
        <v>39</v>
      </c>
      <c r="C820" t="s">
        <v>81</v>
      </c>
      <c r="D820" s="2">
        <v>0</v>
      </c>
      <c r="E820" s="2">
        <v>0</v>
      </c>
    </row>
    <row r="821" spans="1:5" x14ac:dyDescent="0.2">
      <c r="A821" t="s">
        <v>94</v>
      </c>
      <c r="B821" t="s">
        <v>39</v>
      </c>
      <c r="C821" t="s">
        <v>81</v>
      </c>
      <c r="D821" s="2">
        <v>0</v>
      </c>
      <c r="E821" s="2">
        <v>0</v>
      </c>
    </row>
    <row r="822" spans="1:5" x14ac:dyDescent="0.2">
      <c r="A822" t="s">
        <v>94</v>
      </c>
      <c r="B822" t="s">
        <v>39</v>
      </c>
      <c r="C822" t="s">
        <v>81</v>
      </c>
      <c r="D822" s="2">
        <v>0</v>
      </c>
      <c r="E822" s="2">
        <v>0</v>
      </c>
    </row>
    <row r="823" spans="1:5" x14ac:dyDescent="0.2">
      <c r="A823" t="s">
        <v>94</v>
      </c>
      <c r="B823" t="s">
        <v>39</v>
      </c>
      <c r="C823" t="s">
        <v>81</v>
      </c>
      <c r="D823" s="2">
        <v>82.842568799999995</v>
      </c>
      <c r="E823" s="2">
        <v>86</v>
      </c>
    </row>
    <row r="824" spans="1:5" x14ac:dyDescent="0.2">
      <c r="A824" t="s">
        <v>94</v>
      </c>
      <c r="B824" t="s">
        <v>39</v>
      </c>
      <c r="C824" t="s">
        <v>81</v>
      </c>
      <c r="D824" s="2">
        <v>0</v>
      </c>
      <c r="E824" s="2">
        <v>0</v>
      </c>
    </row>
    <row r="825" spans="1:5" x14ac:dyDescent="0.2">
      <c r="A825" t="s">
        <v>94</v>
      </c>
      <c r="B825" t="s">
        <v>39</v>
      </c>
      <c r="C825" t="s">
        <v>81</v>
      </c>
      <c r="D825" s="2">
        <v>79.7361468</v>
      </c>
      <c r="E825" s="2">
        <v>18</v>
      </c>
    </row>
    <row r="826" spans="1:5" x14ac:dyDescent="0.2">
      <c r="A826" t="s">
        <v>94</v>
      </c>
      <c r="B826" t="s">
        <v>39</v>
      </c>
      <c r="C826" t="s">
        <v>81</v>
      </c>
      <c r="D826" s="2">
        <v>0</v>
      </c>
      <c r="E826" s="2">
        <v>0</v>
      </c>
    </row>
    <row r="827" spans="1:5" x14ac:dyDescent="0.2">
      <c r="A827" t="s">
        <v>96</v>
      </c>
      <c r="B827" t="s">
        <v>39</v>
      </c>
      <c r="C827" t="s">
        <v>81</v>
      </c>
      <c r="D827" s="2">
        <v>185.17080960000001</v>
      </c>
      <c r="E827" s="2">
        <v>240</v>
      </c>
    </row>
    <row r="828" spans="1:5" x14ac:dyDescent="0.2">
      <c r="A828" t="s">
        <v>96</v>
      </c>
      <c r="B828" t="s">
        <v>39</v>
      </c>
      <c r="C828" t="s">
        <v>81</v>
      </c>
      <c r="D828" s="2">
        <v>137.96540279999999</v>
      </c>
      <c r="E828" s="2">
        <v>74</v>
      </c>
    </row>
    <row r="829" spans="1:5" x14ac:dyDescent="0.2">
      <c r="A829" t="s">
        <v>96</v>
      </c>
      <c r="B829" t="s">
        <v>39</v>
      </c>
      <c r="C829" t="s">
        <v>81</v>
      </c>
      <c r="D829" s="2">
        <v>0</v>
      </c>
      <c r="E829" s="2">
        <v>2</v>
      </c>
    </row>
    <row r="830" spans="1:5" x14ac:dyDescent="0.2">
      <c r="A830" t="s">
        <v>96</v>
      </c>
      <c r="B830" t="s">
        <v>39</v>
      </c>
      <c r="C830" t="s">
        <v>81</v>
      </c>
      <c r="D830" s="2">
        <v>81.301159799999994</v>
      </c>
      <c r="E830" s="2">
        <v>42</v>
      </c>
    </row>
    <row r="831" spans="1:5" x14ac:dyDescent="0.2">
      <c r="A831" t="s">
        <v>96</v>
      </c>
      <c r="B831" t="s">
        <v>39</v>
      </c>
      <c r="C831" t="s">
        <v>81</v>
      </c>
      <c r="D831" s="2">
        <v>0</v>
      </c>
      <c r="E831" s="2">
        <v>0</v>
      </c>
    </row>
    <row r="832" spans="1:5" x14ac:dyDescent="0.2">
      <c r="A832" t="s">
        <v>96</v>
      </c>
      <c r="B832" t="s">
        <v>39</v>
      </c>
      <c r="C832" t="s">
        <v>81</v>
      </c>
      <c r="D832" s="2">
        <v>0</v>
      </c>
      <c r="E832" s="2">
        <v>0</v>
      </c>
    </row>
    <row r="833" spans="1:5" x14ac:dyDescent="0.2">
      <c r="A833" t="s">
        <v>96</v>
      </c>
      <c r="B833" t="s">
        <v>39</v>
      </c>
      <c r="C833" t="s">
        <v>81</v>
      </c>
      <c r="D833" s="2">
        <v>0</v>
      </c>
      <c r="E833" s="2">
        <v>0</v>
      </c>
    </row>
    <row r="834" spans="1:5" x14ac:dyDescent="0.2">
      <c r="A834" t="s">
        <v>93</v>
      </c>
      <c r="B834" t="s">
        <v>73</v>
      </c>
      <c r="C834" t="s">
        <v>81</v>
      </c>
      <c r="D834" s="2">
        <v>0</v>
      </c>
      <c r="E834" s="2">
        <v>0</v>
      </c>
    </row>
    <row r="835" spans="1:5" x14ac:dyDescent="0.2">
      <c r="A835" t="s">
        <v>93</v>
      </c>
      <c r="B835" t="s">
        <v>73</v>
      </c>
      <c r="C835" t="s">
        <v>81</v>
      </c>
      <c r="D835" s="2">
        <v>0</v>
      </c>
      <c r="E835" s="2">
        <v>0</v>
      </c>
    </row>
    <row r="836" spans="1:5" x14ac:dyDescent="0.2">
      <c r="A836" t="s">
        <v>93</v>
      </c>
      <c r="B836" t="s">
        <v>73</v>
      </c>
      <c r="C836" t="s">
        <v>81</v>
      </c>
      <c r="D836" s="2">
        <v>60.720304400000003</v>
      </c>
      <c r="E836" s="2">
        <v>46</v>
      </c>
    </row>
    <row r="837" spans="1:5" x14ac:dyDescent="0.2">
      <c r="A837" t="s">
        <v>93</v>
      </c>
      <c r="B837" t="s">
        <v>73</v>
      </c>
      <c r="C837" t="s">
        <v>81</v>
      </c>
      <c r="D837" s="2">
        <v>33.453719800000002</v>
      </c>
      <c r="E837" s="2">
        <v>6</v>
      </c>
    </row>
    <row r="838" spans="1:5" x14ac:dyDescent="0.2">
      <c r="A838" t="s">
        <v>95</v>
      </c>
      <c r="B838" t="s">
        <v>73</v>
      </c>
      <c r="C838" t="s">
        <v>81</v>
      </c>
      <c r="D838" s="2">
        <v>0</v>
      </c>
      <c r="E838" s="2">
        <v>0</v>
      </c>
    </row>
    <row r="839" spans="1:5" x14ac:dyDescent="0.2">
      <c r="A839" t="s">
        <v>95</v>
      </c>
      <c r="B839" t="s">
        <v>73</v>
      </c>
      <c r="C839" t="s">
        <v>81</v>
      </c>
      <c r="D839" s="2">
        <v>0</v>
      </c>
      <c r="E839" s="2">
        <v>0</v>
      </c>
    </row>
    <row r="840" spans="1:5" x14ac:dyDescent="0.2">
      <c r="A840" t="s">
        <v>95</v>
      </c>
      <c r="B840" t="s">
        <v>73</v>
      </c>
      <c r="C840" t="s">
        <v>81</v>
      </c>
      <c r="D840" s="2">
        <v>0</v>
      </c>
      <c r="E840" s="2">
        <v>0</v>
      </c>
    </row>
    <row r="841" spans="1:5" x14ac:dyDescent="0.2">
      <c r="A841" t="s">
        <v>95</v>
      </c>
      <c r="B841" t="s">
        <v>73</v>
      </c>
      <c r="C841" t="s">
        <v>81</v>
      </c>
      <c r="D841" s="2">
        <v>0</v>
      </c>
      <c r="E841" s="2">
        <v>0</v>
      </c>
    </row>
    <row r="842" spans="1:5" x14ac:dyDescent="0.2">
      <c r="A842" t="s">
        <v>95</v>
      </c>
      <c r="B842" t="s">
        <v>73</v>
      </c>
      <c r="C842" t="s">
        <v>81</v>
      </c>
      <c r="D842" s="2">
        <v>0</v>
      </c>
      <c r="E842" s="2">
        <v>0</v>
      </c>
    </row>
    <row r="843" spans="1:5" x14ac:dyDescent="0.2">
      <c r="A843" t="s">
        <v>95</v>
      </c>
      <c r="B843" t="s">
        <v>73</v>
      </c>
      <c r="C843" t="s">
        <v>81</v>
      </c>
      <c r="D843" s="2">
        <v>0</v>
      </c>
      <c r="E843" s="2">
        <v>0</v>
      </c>
    </row>
    <row r="844" spans="1:5" x14ac:dyDescent="0.2">
      <c r="A844" t="s">
        <v>95</v>
      </c>
      <c r="B844" t="s">
        <v>73</v>
      </c>
      <c r="C844" t="s">
        <v>81</v>
      </c>
      <c r="D844" s="2">
        <v>260.40694660000003</v>
      </c>
      <c r="E844" s="2">
        <v>364</v>
      </c>
    </row>
    <row r="845" spans="1:5" x14ac:dyDescent="0.2">
      <c r="A845" t="s">
        <v>95</v>
      </c>
      <c r="B845" t="s">
        <v>73</v>
      </c>
      <c r="C845" t="s">
        <v>81</v>
      </c>
      <c r="D845" s="2">
        <v>348.17345340000003</v>
      </c>
      <c r="E845" s="2">
        <v>288</v>
      </c>
    </row>
    <row r="846" spans="1:5" x14ac:dyDescent="0.2">
      <c r="A846" t="s">
        <v>95</v>
      </c>
      <c r="B846" t="s">
        <v>73</v>
      </c>
      <c r="C846" t="s">
        <v>81</v>
      </c>
      <c r="D846" s="2">
        <v>0</v>
      </c>
      <c r="E846" s="2">
        <v>0</v>
      </c>
    </row>
    <row r="847" spans="1:5" x14ac:dyDescent="0.2">
      <c r="A847" t="s">
        <v>95</v>
      </c>
      <c r="B847" t="s">
        <v>73</v>
      </c>
      <c r="C847" t="s">
        <v>81</v>
      </c>
      <c r="D847" s="2">
        <v>783.00494019999996</v>
      </c>
      <c r="E847" s="2">
        <v>410</v>
      </c>
    </row>
    <row r="848" spans="1:5" x14ac:dyDescent="0.2">
      <c r="A848" t="s">
        <v>95</v>
      </c>
      <c r="B848" t="s">
        <v>73</v>
      </c>
      <c r="C848" t="s">
        <v>81</v>
      </c>
      <c r="D848" s="2">
        <v>0</v>
      </c>
      <c r="E848" s="2">
        <v>0</v>
      </c>
    </row>
    <row r="849" spans="1:5" x14ac:dyDescent="0.2">
      <c r="A849" t="s">
        <v>95</v>
      </c>
      <c r="B849" t="s">
        <v>73</v>
      </c>
      <c r="C849" t="s">
        <v>81</v>
      </c>
      <c r="D849" s="2">
        <v>0</v>
      </c>
      <c r="E849" s="2">
        <v>0</v>
      </c>
    </row>
    <row r="850" spans="1:5" x14ac:dyDescent="0.2">
      <c r="A850" t="s">
        <v>95</v>
      </c>
      <c r="B850" t="s">
        <v>73</v>
      </c>
      <c r="C850" t="s">
        <v>81</v>
      </c>
      <c r="D850" s="2">
        <v>353.61559779999999</v>
      </c>
      <c r="E850" s="2">
        <v>448</v>
      </c>
    </row>
    <row r="851" spans="1:5" x14ac:dyDescent="0.2">
      <c r="A851" t="s">
        <v>95</v>
      </c>
      <c r="B851" t="s">
        <v>73</v>
      </c>
      <c r="C851" t="s">
        <v>81</v>
      </c>
      <c r="D851" s="2">
        <v>0</v>
      </c>
      <c r="E851" s="2">
        <v>0</v>
      </c>
    </row>
    <row r="852" spans="1:5" x14ac:dyDescent="0.2">
      <c r="A852" t="s">
        <v>94</v>
      </c>
      <c r="B852" t="s">
        <v>73</v>
      </c>
      <c r="C852" t="s">
        <v>81</v>
      </c>
      <c r="D852" s="2">
        <v>0</v>
      </c>
      <c r="E852" s="2">
        <v>0</v>
      </c>
    </row>
    <row r="853" spans="1:5" x14ac:dyDescent="0.2">
      <c r="A853" t="s">
        <v>94</v>
      </c>
      <c r="B853" t="s">
        <v>73</v>
      </c>
      <c r="C853" t="s">
        <v>81</v>
      </c>
      <c r="D853" s="2">
        <v>0</v>
      </c>
      <c r="E853" s="2">
        <v>0</v>
      </c>
    </row>
    <row r="854" spans="1:5" x14ac:dyDescent="0.2">
      <c r="A854" t="s">
        <v>94</v>
      </c>
      <c r="B854" t="s">
        <v>73</v>
      </c>
      <c r="C854" t="s">
        <v>81</v>
      </c>
      <c r="D854" s="2">
        <v>0</v>
      </c>
      <c r="E854" s="2">
        <v>0</v>
      </c>
    </row>
    <row r="855" spans="1:5" x14ac:dyDescent="0.2">
      <c r="A855" t="s">
        <v>94</v>
      </c>
      <c r="B855" t="s">
        <v>73</v>
      </c>
      <c r="C855" t="s">
        <v>81</v>
      </c>
      <c r="D855" s="2">
        <v>323.35387120000001</v>
      </c>
      <c r="E855" s="2">
        <v>270</v>
      </c>
    </row>
    <row r="856" spans="1:5" x14ac:dyDescent="0.2">
      <c r="A856" t="s">
        <v>94</v>
      </c>
      <c r="B856" t="s">
        <v>73</v>
      </c>
      <c r="C856" t="s">
        <v>81</v>
      </c>
      <c r="D856" s="2">
        <v>0</v>
      </c>
      <c r="E856" s="2">
        <v>0</v>
      </c>
    </row>
    <row r="857" spans="1:5" x14ac:dyDescent="0.2">
      <c r="A857" t="s">
        <v>94</v>
      </c>
      <c r="B857" t="s">
        <v>73</v>
      </c>
      <c r="C857" t="s">
        <v>81</v>
      </c>
      <c r="D857" s="2">
        <v>148.59722439999999</v>
      </c>
      <c r="E857" s="2">
        <v>76</v>
      </c>
    </row>
    <row r="858" spans="1:5" x14ac:dyDescent="0.2">
      <c r="A858" t="s">
        <v>94</v>
      </c>
      <c r="B858" t="s">
        <v>73</v>
      </c>
      <c r="C858" t="s">
        <v>81</v>
      </c>
      <c r="D858" s="2">
        <v>143.643495</v>
      </c>
      <c r="E858" s="2">
        <v>38</v>
      </c>
    </row>
    <row r="859" spans="1:5" x14ac:dyDescent="0.2">
      <c r="A859" t="s">
        <v>96</v>
      </c>
      <c r="B859" t="s">
        <v>73</v>
      </c>
      <c r="C859" t="s">
        <v>81</v>
      </c>
      <c r="D859" s="2">
        <v>234.5628724</v>
      </c>
      <c r="E859" s="2">
        <v>254</v>
      </c>
    </row>
    <row r="860" spans="1:5" x14ac:dyDescent="0.2">
      <c r="A860" t="s">
        <v>96</v>
      </c>
      <c r="B860" t="s">
        <v>73</v>
      </c>
      <c r="C860" t="s">
        <v>81</v>
      </c>
      <c r="D860" s="2">
        <v>110.37385260000001</v>
      </c>
      <c r="E860" s="2">
        <v>80</v>
      </c>
    </row>
    <row r="861" spans="1:5" x14ac:dyDescent="0.2">
      <c r="A861" t="s">
        <v>96</v>
      </c>
      <c r="B861" t="s">
        <v>73</v>
      </c>
      <c r="C861" t="s">
        <v>81</v>
      </c>
      <c r="D861" s="2">
        <v>94.600542599999997</v>
      </c>
      <c r="E861" s="2">
        <v>0</v>
      </c>
    </row>
    <row r="862" spans="1:5" x14ac:dyDescent="0.2">
      <c r="A862" t="s">
        <v>96</v>
      </c>
      <c r="B862" t="s">
        <v>73</v>
      </c>
      <c r="C862" t="s">
        <v>81</v>
      </c>
      <c r="D862" s="2">
        <v>94.606187000000006</v>
      </c>
      <c r="E862" s="2">
        <v>32</v>
      </c>
    </row>
    <row r="863" spans="1:5" x14ac:dyDescent="0.2">
      <c r="A863" t="s">
        <v>96</v>
      </c>
      <c r="B863" t="s">
        <v>73</v>
      </c>
      <c r="C863" t="s">
        <v>81</v>
      </c>
      <c r="D863" s="2">
        <v>0</v>
      </c>
      <c r="E863" s="2">
        <v>0</v>
      </c>
    </row>
    <row r="864" spans="1:5" x14ac:dyDescent="0.2">
      <c r="A864" t="s">
        <v>96</v>
      </c>
      <c r="B864" t="s">
        <v>73</v>
      </c>
      <c r="C864" t="s">
        <v>81</v>
      </c>
      <c r="D864" s="2">
        <v>0</v>
      </c>
      <c r="E864" s="2">
        <v>0</v>
      </c>
    </row>
    <row r="865" spans="1:5" x14ac:dyDescent="0.2">
      <c r="A865" t="s">
        <v>96</v>
      </c>
      <c r="B865" t="s">
        <v>73</v>
      </c>
      <c r="C865" t="s">
        <v>81</v>
      </c>
      <c r="D865" s="2">
        <v>0</v>
      </c>
      <c r="E865" s="2">
        <v>0</v>
      </c>
    </row>
    <row r="866" spans="1:5" x14ac:dyDescent="0.2">
      <c r="A866" t="s">
        <v>93</v>
      </c>
      <c r="B866" t="s">
        <v>67</v>
      </c>
      <c r="C866" t="s">
        <v>81</v>
      </c>
      <c r="D866" s="2">
        <v>0</v>
      </c>
      <c r="E866" s="2">
        <v>0</v>
      </c>
    </row>
    <row r="867" spans="1:5" x14ac:dyDescent="0.2">
      <c r="A867" t="s">
        <v>93</v>
      </c>
      <c r="B867" t="s">
        <v>67</v>
      </c>
      <c r="C867" t="s">
        <v>81</v>
      </c>
      <c r="D867" s="2">
        <v>0</v>
      </c>
      <c r="E867" s="2">
        <v>0</v>
      </c>
    </row>
    <row r="868" spans="1:5" x14ac:dyDescent="0.2">
      <c r="A868" t="s">
        <v>93</v>
      </c>
      <c r="B868" t="s">
        <v>67</v>
      </c>
      <c r="C868" t="s">
        <v>81</v>
      </c>
      <c r="D868" s="2">
        <v>0</v>
      </c>
      <c r="E868" s="2">
        <v>80</v>
      </c>
    </row>
    <row r="869" spans="1:5" x14ac:dyDescent="0.2">
      <c r="A869" t="s">
        <v>93</v>
      </c>
      <c r="B869" t="s">
        <v>67</v>
      </c>
      <c r="C869" t="s">
        <v>81</v>
      </c>
      <c r="D869" s="2">
        <v>0</v>
      </c>
      <c r="E869" s="2">
        <v>14</v>
      </c>
    </row>
    <row r="870" spans="1:5" x14ac:dyDescent="0.2">
      <c r="A870" t="s">
        <v>95</v>
      </c>
      <c r="B870" t="s">
        <v>67</v>
      </c>
      <c r="C870" t="s">
        <v>81</v>
      </c>
      <c r="D870" s="2">
        <v>0</v>
      </c>
      <c r="E870" s="2">
        <v>0</v>
      </c>
    </row>
    <row r="871" spans="1:5" x14ac:dyDescent="0.2">
      <c r="A871" t="s">
        <v>95</v>
      </c>
      <c r="B871" t="s">
        <v>67</v>
      </c>
      <c r="C871" t="s">
        <v>81</v>
      </c>
      <c r="D871" s="2">
        <v>0</v>
      </c>
      <c r="E871" s="2">
        <v>0</v>
      </c>
    </row>
    <row r="872" spans="1:5" x14ac:dyDescent="0.2">
      <c r="A872" t="s">
        <v>95</v>
      </c>
      <c r="B872" t="s">
        <v>67</v>
      </c>
      <c r="C872" t="s">
        <v>81</v>
      </c>
      <c r="D872" s="2">
        <v>0</v>
      </c>
      <c r="E872" s="2">
        <v>0</v>
      </c>
    </row>
    <row r="873" spans="1:5" x14ac:dyDescent="0.2">
      <c r="A873" t="s">
        <v>95</v>
      </c>
      <c r="B873" t="s">
        <v>67</v>
      </c>
      <c r="C873" t="s">
        <v>81</v>
      </c>
      <c r="D873" s="2">
        <v>0</v>
      </c>
      <c r="E873" s="2">
        <v>0</v>
      </c>
    </row>
    <row r="874" spans="1:5" x14ac:dyDescent="0.2">
      <c r="A874" t="s">
        <v>95</v>
      </c>
      <c r="B874" t="s">
        <v>67</v>
      </c>
      <c r="C874" t="s">
        <v>81</v>
      </c>
      <c r="D874" s="2">
        <v>0</v>
      </c>
      <c r="E874" s="2">
        <v>0</v>
      </c>
    </row>
    <row r="875" spans="1:5" x14ac:dyDescent="0.2">
      <c r="A875" t="s">
        <v>95</v>
      </c>
      <c r="B875" t="s">
        <v>67</v>
      </c>
      <c r="C875" t="s">
        <v>81</v>
      </c>
      <c r="D875" s="2">
        <v>0</v>
      </c>
      <c r="E875" s="2">
        <v>0</v>
      </c>
    </row>
    <row r="876" spans="1:5" x14ac:dyDescent="0.2">
      <c r="A876" t="s">
        <v>95</v>
      </c>
      <c r="B876" t="s">
        <v>67</v>
      </c>
      <c r="C876" t="s">
        <v>81</v>
      </c>
      <c r="D876" s="2">
        <v>0</v>
      </c>
      <c r="E876" s="2">
        <v>238</v>
      </c>
    </row>
    <row r="877" spans="1:5" x14ac:dyDescent="0.2">
      <c r="A877" t="s">
        <v>95</v>
      </c>
      <c r="B877" t="s">
        <v>67</v>
      </c>
      <c r="C877" t="s">
        <v>81</v>
      </c>
      <c r="D877" s="2">
        <v>0</v>
      </c>
      <c r="E877" s="2">
        <v>342</v>
      </c>
    </row>
    <row r="878" spans="1:5" x14ac:dyDescent="0.2">
      <c r="A878" t="s">
        <v>95</v>
      </c>
      <c r="B878" t="s">
        <v>67</v>
      </c>
      <c r="C878" t="s">
        <v>81</v>
      </c>
      <c r="D878" s="2">
        <v>0</v>
      </c>
      <c r="E878" s="2">
        <v>0</v>
      </c>
    </row>
    <row r="879" spans="1:5" x14ac:dyDescent="0.2">
      <c r="A879" t="s">
        <v>95</v>
      </c>
      <c r="B879" t="s">
        <v>67</v>
      </c>
      <c r="C879" t="s">
        <v>81</v>
      </c>
      <c r="D879" s="2">
        <v>0</v>
      </c>
      <c r="E879" s="2">
        <v>372</v>
      </c>
    </row>
    <row r="880" spans="1:5" x14ac:dyDescent="0.2">
      <c r="A880" t="s">
        <v>95</v>
      </c>
      <c r="B880" t="s">
        <v>67</v>
      </c>
      <c r="C880" t="s">
        <v>81</v>
      </c>
      <c r="D880" s="2">
        <v>0</v>
      </c>
      <c r="E880" s="2">
        <v>0</v>
      </c>
    </row>
    <row r="881" spans="1:5" x14ac:dyDescent="0.2">
      <c r="A881" t="s">
        <v>95</v>
      </c>
      <c r="B881" t="s">
        <v>67</v>
      </c>
      <c r="C881" t="s">
        <v>81</v>
      </c>
      <c r="D881" s="2">
        <v>0</v>
      </c>
      <c r="E881" s="2">
        <v>0</v>
      </c>
    </row>
    <row r="882" spans="1:5" x14ac:dyDescent="0.2">
      <c r="A882" t="s">
        <v>95</v>
      </c>
      <c r="B882" t="s">
        <v>67</v>
      </c>
      <c r="C882" t="s">
        <v>81</v>
      </c>
      <c r="D882" s="2">
        <v>0</v>
      </c>
      <c r="E882" s="2">
        <v>414</v>
      </c>
    </row>
    <row r="883" spans="1:5" x14ac:dyDescent="0.2">
      <c r="A883" t="s">
        <v>95</v>
      </c>
      <c r="B883" t="s">
        <v>67</v>
      </c>
      <c r="C883" t="s">
        <v>81</v>
      </c>
      <c r="D883" s="2">
        <v>0</v>
      </c>
      <c r="E883" s="2">
        <v>0</v>
      </c>
    </row>
    <row r="884" spans="1:5" x14ac:dyDescent="0.2">
      <c r="A884" t="s">
        <v>94</v>
      </c>
      <c r="B884" t="s">
        <v>67</v>
      </c>
      <c r="C884" t="s">
        <v>81</v>
      </c>
      <c r="D884" s="2">
        <v>0</v>
      </c>
      <c r="E884" s="2">
        <v>0</v>
      </c>
    </row>
    <row r="885" spans="1:5" x14ac:dyDescent="0.2">
      <c r="A885" t="s">
        <v>94</v>
      </c>
      <c r="B885" t="s">
        <v>67</v>
      </c>
      <c r="C885" t="s">
        <v>81</v>
      </c>
      <c r="D885" s="2">
        <v>0</v>
      </c>
      <c r="E885" s="2">
        <v>0</v>
      </c>
    </row>
    <row r="886" spans="1:5" x14ac:dyDescent="0.2">
      <c r="A886" t="s">
        <v>94</v>
      </c>
      <c r="B886" t="s">
        <v>67</v>
      </c>
      <c r="C886" t="s">
        <v>81</v>
      </c>
      <c r="D886" s="2">
        <v>0</v>
      </c>
      <c r="E886" s="2">
        <v>0</v>
      </c>
    </row>
    <row r="887" spans="1:5" x14ac:dyDescent="0.2">
      <c r="A887" t="s">
        <v>94</v>
      </c>
      <c r="B887" t="s">
        <v>67</v>
      </c>
      <c r="C887" t="s">
        <v>81</v>
      </c>
      <c r="D887" s="2">
        <v>0</v>
      </c>
      <c r="E887" s="2">
        <v>86</v>
      </c>
    </row>
    <row r="888" spans="1:5" x14ac:dyDescent="0.2">
      <c r="A888" t="s">
        <v>94</v>
      </c>
      <c r="B888" t="s">
        <v>67</v>
      </c>
      <c r="C888" t="s">
        <v>81</v>
      </c>
      <c r="D888" s="2">
        <v>0</v>
      </c>
      <c r="E888" s="2">
        <v>0</v>
      </c>
    </row>
    <row r="889" spans="1:5" x14ac:dyDescent="0.2">
      <c r="A889" t="s">
        <v>94</v>
      </c>
      <c r="B889" t="s">
        <v>67</v>
      </c>
      <c r="C889" t="s">
        <v>81</v>
      </c>
      <c r="D889" s="2">
        <v>0</v>
      </c>
      <c r="E889" s="2">
        <v>24</v>
      </c>
    </row>
    <row r="890" spans="1:5" x14ac:dyDescent="0.2">
      <c r="A890" t="s">
        <v>94</v>
      </c>
      <c r="B890" t="s">
        <v>67</v>
      </c>
      <c r="C890" t="s">
        <v>81</v>
      </c>
      <c r="D890" s="2">
        <v>0</v>
      </c>
      <c r="E890" s="2">
        <v>0</v>
      </c>
    </row>
    <row r="891" spans="1:5" x14ac:dyDescent="0.2">
      <c r="A891" t="s">
        <v>96</v>
      </c>
      <c r="B891" t="s">
        <v>67</v>
      </c>
      <c r="C891" t="s">
        <v>81</v>
      </c>
      <c r="D891" s="2">
        <v>0</v>
      </c>
      <c r="E891" s="2">
        <v>268</v>
      </c>
    </row>
    <row r="892" spans="1:5" x14ac:dyDescent="0.2">
      <c r="A892" t="s">
        <v>96</v>
      </c>
      <c r="B892" t="s">
        <v>67</v>
      </c>
      <c r="C892" t="s">
        <v>81</v>
      </c>
      <c r="D892" s="2">
        <v>0</v>
      </c>
      <c r="E892" s="2">
        <v>98</v>
      </c>
    </row>
    <row r="893" spans="1:5" x14ac:dyDescent="0.2">
      <c r="A893" t="s">
        <v>96</v>
      </c>
      <c r="B893" t="s">
        <v>67</v>
      </c>
      <c r="C893" t="s">
        <v>81</v>
      </c>
      <c r="D893" s="2">
        <v>0</v>
      </c>
      <c r="E893" s="2">
        <v>0</v>
      </c>
    </row>
    <row r="894" spans="1:5" x14ac:dyDescent="0.2">
      <c r="A894" t="s">
        <v>96</v>
      </c>
      <c r="B894" t="s">
        <v>67</v>
      </c>
      <c r="C894" t="s">
        <v>81</v>
      </c>
      <c r="D894" s="2">
        <v>0</v>
      </c>
      <c r="E894" s="2">
        <v>16</v>
      </c>
    </row>
    <row r="895" spans="1:5" x14ac:dyDescent="0.2">
      <c r="A895" t="s">
        <v>96</v>
      </c>
      <c r="B895" t="s">
        <v>67</v>
      </c>
      <c r="C895" t="s">
        <v>81</v>
      </c>
      <c r="D895" s="2">
        <v>0</v>
      </c>
      <c r="E895" s="2">
        <v>0</v>
      </c>
    </row>
    <row r="896" spans="1:5" x14ac:dyDescent="0.2">
      <c r="A896" t="s">
        <v>96</v>
      </c>
      <c r="B896" t="s">
        <v>67</v>
      </c>
      <c r="C896" t="s">
        <v>81</v>
      </c>
      <c r="D896" s="2">
        <v>0</v>
      </c>
      <c r="E896" s="2">
        <v>0</v>
      </c>
    </row>
    <row r="897" spans="1:5" x14ac:dyDescent="0.2">
      <c r="A897" t="s">
        <v>96</v>
      </c>
      <c r="B897" t="s">
        <v>67</v>
      </c>
      <c r="C897" t="s">
        <v>81</v>
      </c>
      <c r="D897" s="2">
        <v>0</v>
      </c>
      <c r="E897" s="2">
        <v>0</v>
      </c>
    </row>
    <row r="898" spans="1:5" x14ac:dyDescent="0.2">
      <c r="A898" t="s">
        <v>93</v>
      </c>
      <c r="B898" t="s">
        <v>45</v>
      </c>
      <c r="C898" t="s">
        <v>81</v>
      </c>
      <c r="D898" s="2">
        <v>0</v>
      </c>
      <c r="E898" s="2">
        <v>0</v>
      </c>
    </row>
    <row r="899" spans="1:5" x14ac:dyDescent="0.2">
      <c r="A899" t="s">
        <v>93</v>
      </c>
      <c r="B899" t="s">
        <v>45</v>
      </c>
      <c r="C899" t="s">
        <v>81</v>
      </c>
      <c r="D899" s="2">
        <v>0</v>
      </c>
      <c r="E899" s="2">
        <v>0</v>
      </c>
    </row>
    <row r="900" spans="1:5" x14ac:dyDescent="0.2">
      <c r="A900" t="s">
        <v>93</v>
      </c>
      <c r="B900" t="s">
        <v>45</v>
      </c>
      <c r="C900" t="s">
        <v>81</v>
      </c>
      <c r="D900" s="2">
        <v>57.531132599999999</v>
      </c>
      <c r="E900" s="2">
        <v>72</v>
      </c>
    </row>
    <row r="901" spans="1:5" x14ac:dyDescent="0.2">
      <c r="A901" t="s">
        <v>93</v>
      </c>
      <c r="B901" t="s">
        <v>45</v>
      </c>
      <c r="C901" t="s">
        <v>81</v>
      </c>
      <c r="D901" s="2">
        <v>32.659056200000002</v>
      </c>
      <c r="E901" s="2">
        <v>14</v>
      </c>
    </row>
    <row r="902" spans="1:5" x14ac:dyDescent="0.2">
      <c r="A902" t="s">
        <v>95</v>
      </c>
      <c r="B902" t="s">
        <v>45</v>
      </c>
      <c r="C902" t="s">
        <v>81</v>
      </c>
      <c r="D902" s="2">
        <v>0</v>
      </c>
      <c r="E902" s="2">
        <v>0</v>
      </c>
    </row>
    <row r="903" spans="1:5" x14ac:dyDescent="0.2">
      <c r="A903" t="s">
        <v>95</v>
      </c>
      <c r="B903" t="s">
        <v>45</v>
      </c>
      <c r="C903" t="s">
        <v>81</v>
      </c>
      <c r="D903" s="2">
        <v>0</v>
      </c>
      <c r="E903" s="2">
        <v>0</v>
      </c>
    </row>
    <row r="904" spans="1:5" x14ac:dyDescent="0.2">
      <c r="A904" t="s">
        <v>95</v>
      </c>
      <c r="B904" t="s">
        <v>45</v>
      </c>
      <c r="C904" t="s">
        <v>81</v>
      </c>
      <c r="D904" s="2">
        <v>0</v>
      </c>
      <c r="E904" s="2">
        <v>0</v>
      </c>
    </row>
    <row r="905" spans="1:5" x14ac:dyDescent="0.2">
      <c r="A905" t="s">
        <v>95</v>
      </c>
      <c r="B905" t="s">
        <v>45</v>
      </c>
      <c r="C905" t="s">
        <v>81</v>
      </c>
      <c r="D905" s="2">
        <v>0</v>
      </c>
      <c r="E905" s="2">
        <v>0</v>
      </c>
    </row>
    <row r="906" spans="1:5" x14ac:dyDescent="0.2">
      <c r="A906" t="s">
        <v>95</v>
      </c>
      <c r="B906" t="s">
        <v>45</v>
      </c>
      <c r="C906" t="s">
        <v>81</v>
      </c>
      <c r="D906" s="2">
        <v>0</v>
      </c>
      <c r="E906" s="2">
        <v>0</v>
      </c>
    </row>
    <row r="907" spans="1:5" x14ac:dyDescent="0.2">
      <c r="A907" t="s">
        <v>95</v>
      </c>
      <c r="B907" t="s">
        <v>45</v>
      </c>
      <c r="C907" t="s">
        <v>81</v>
      </c>
      <c r="D907" s="2">
        <v>0</v>
      </c>
      <c r="E907" s="2">
        <v>0</v>
      </c>
    </row>
    <row r="908" spans="1:5" x14ac:dyDescent="0.2">
      <c r="A908" t="s">
        <v>95</v>
      </c>
      <c r="B908" t="s">
        <v>45</v>
      </c>
      <c r="C908" t="s">
        <v>81</v>
      </c>
      <c r="D908" s="2">
        <v>247.35873219999999</v>
      </c>
      <c r="E908" s="2">
        <v>242</v>
      </c>
    </row>
    <row r="909" spans="1:5" x14ac:dyDescent="0.2">
      <c r="A909" t="s">
        <v>95</v>
      </c>
      <c r="B909" t="s">
        <v>45</v>
      </c>
      <c r="C909" t="s">
        <v>81</v>
      </c>
      <c r="D909" s="2">
        <v>279.00415120000002</v>
      </c>
      <c r="E909" s="2">
        <v>356</v>
      </c>
    </row>
    <row r="910" spans="1:5" x14ac:dyDescent="0.2">
      <c r="A910" t="s">
        <v>95</v>
      </c>
      <c r="B910" t="s">
        <v>45</v>
      </c>
      <c r="C910" t="s">
        <v>81</v>
      </c>
      <c r="D910" s="2">
        <v>0</v>
      </c>
      <c r="E910" s="2">
        <v>0</v>
      </c>
    </row>
    <row r="911" spans="1:5" x14ac:dyDescent="0.2">
      <c r="A911" t="s">
        <v>95</v>
      </c>
      <c r="B911" t="s">
        <v>45</v>
      </c>
      <c r="C911" t="s">
        <v>81</v>
      </c>
      <c r="D911" s="2">
        <v>583.75817700000005</v>
      </c>
      <c r="E911" s="2">
        <v>344</v>
      </c>
    </row>
    <row r="912" spans="1:5" x14ac:dyDescent="0.2">
      <c r="A912" t="s">
        <v>95</v>
      </c>
      <c r="B912" t="s">
        <v>45</v>
      </c>
      <c r="C912" t="s">
        <v>81</v>
      </c>
      <c r="D912" s="2">
        <v>0</v>
      </c>
      <c r="E912" s="2">
        <v>0</v>
      </c>
    </row>
    <row r="913" spans="1:5" x14ac:dyDescent="0.2">
      <c r="A913" t="s">
        <v>95</v>
      </c>
      <c r="B913" t="s">
        <v>45</v>
      </c>
      <c r="C913" t="s">
        <v>81</v>
      </c>
      <c r="D913" s="2">
        <v>0</v>
      </c>
      <c r="E913" s="2">
        <v>0</v>
      </c>
    </row>
    <row r="914" spans="1:5" x14ac:dyDescent="0.2">
      <c r="A914" t="s">
        <v>95</v>
      </c>
      <c r="B914" t="s">
        <v>45</v>
      </c>
      <c r="C914" t="s">
        <v>81</v>
      </c>
      <c r="D914" s="2">
        <v>335.1099878</v>
      </c>
      <c r="E914" s="2">
        <v>452</v>
      </c>
    </row>
    <row r="915" spans="1:5" x14ac:dyDescent="0.2">
      <c r="A915" t="s">
        <v>95</v>
      </c>
      <c r="B915" t="s">
        <v>45</v>
      </c>
      <c r="C915" t="s">
        <v>81</v>
      </c>
      <c r="D915" s="2">
        <v>0</v>
      </c>
      <c r="E915" s="2">
        <v>0</v>
      </c>
    </row>
    <row r="916" spans="1:5" x14ac:dyDescent="0.2">
      <c r="A916" t="s">
        <v>94</v>
      </c>
      <c r="B916" t="s">
        <v>45</v>
      </c>
      <c r="C916" t="s">
        <v>81</v>
      </c>
      <c r="D916" s="2">
        <v>0</v>
      </c>
      <c r="E916" s="2">
        <v>0</v>
      </c>
    </row>
    <row r="917" spans="1:5" x14ac:dyDescent="0.2">
      <c r="A917" t="s">
        <v>94</v>
      </c>
      <c r="B917" t="s">
        <v>45</v>
      </c>
      <c r="C917" t="s">
        <v>81</v>
      </c>
      <c r="D917" s="2">
        <v>0</v>
      </c>
      <c r="E917" s="2">
        <v>0</v>
      </c>
    </row>
    <row r="918" spans="1:5" x14ac:dyDescent="0.2">
      <c r="A918" t="s">
        <v>94</v>
      </c>
      <c r="B918" t="s">
        <v>45</v>
      </c>
      <c r="C918" t="s">
        <v>81</v>
      </c>
      <c r="D918" s="2">
        <v>0</v>
      </c>
      <c r="E918" s="2">
        <v>0</v>
      </c>
    </row>
    <row r="919" spans="1:5" x14ac:dyDescent="0.2">
      <c r="A919" t="s">
        <v>94</v>
      </c>
      <c r="B919" t="s">
        <v>45</v>
      </c>
      <c r="C919" t="s">
        <v>81</v>
      </c>
      <c r="D919" s="2">
        <v>120.2073432</v>
      </c>
      <c r="E919" s="2">
        <v>296</v>
      </c>
    </row>
    <row r="920" spans="1:5" x14ac:dyDescent="0.2">
      <c r="A920" t="s">
        <v>94</v>
      </c>
      <c r="B920" t="s">
        <v>45</v>
      </c>
      <c r="C920" t="s">
        <v>81</v>
      </c>
      <c r="D920" s="2">
        <v>0</v>
      </c>
      <c r="E920" s="2">
        <v>0</v>
      </c>
    </row>
    <row r="921" spans="1:5" x14ac:dyDescent="0.2">
      <c r="A921" t="s">
        <v>94</v>
      </c>
      <c r="B921" t="s">
        <v>45</v>
      </c>
      <c r="C921" t="s">
        <v>81</v>
      </c>
      <c r="D921" s="2">
        <v>109.688985</v>
      </c>
      <c r="E921" s="2">
        <v>58</v>
      </c>
    </row>
    <row r="922" spans="1:5" x14ac:dyDescent="0.2">
      <c r="A922" t="s">
        <v>94</v>
      </c>
      <c r="B922" t="s">
        <v>45</v>
      </c>
      <c r="C922" t="s">
        <v>81</v>
      </c>
      <c r="D922" s="2">
        <v>0</v>
      </c>
      <c r="E922" s="2">
        <v>24</v>
      </c>
    </row>
    <row r="923" spans="1:5" x14ac:dyDescent="0.2">
      <c r="A923" t="s">
        <v>96</v>
      </c>
      <c r="B923" t="s">
        <v>45</v>
      </c>
      <c r="C923" t="s">
        <v>81</v>
      </c>
      <c r="D923" s="2">
        <v>172.59288000000001</v>
      </c>
      <c r="E923" s="2">
        <v>352</v>
      </c>
    </row>
    <row r="924" spans="1:5" x14ac:dyDescent="0.2">
      <c r="A924" t="s">
        <v>96</v>
      </c>
      <c r="B924" t="s">
        <v>45</v>
      </c>
      <c r="C924" t="s">
        <v>81</v>
      </c>
      <c r="D924" s="2">
        <v>125.52627680000001</v>
      </c>
      <c r="E924" s="2">
        <v>104</v>
      </c>
    </row>
    <row r="925" spans="1:5" x14ac:dyDescent="0.2">
      <c r="A925" t="s">
        <v>96</v>
      </c>
      <c r="B925" t="s">
        <v>45</v>
      </c>
      <c r="C925" t="s">
        <v>81</v>
      </c>
      <c r="D925" s="2">
        <v>0</v>
      </c>
      <c r="E925" s="2">
        <v>0</v>
      </c>
    </row>
    <row r="926" spans="1:5" x14ac:dyDescent="0.2">
      <c r="A926" t="s">
        <v>96</v>
      </c>
      <c r="B926" t="s">
        <v>45</v>
      </c>
      <c r="C926" t="s">
        <v>81</v>
      </c>
      <c r="D926" s="2">
        <v>60.521918999999997</v>
      </c>
      <c r="E926" s="2">
        <v>92</v>
      </c>
    </row>
    <row r="927" spans="1:5" x14ac:dyDescent="0.2">
      <c r="A927" t="s">
        <v>96</v>
      </c>
      <c r="B927" t="s">
        <v>45</v>
      </c>
      <c r="C927" t="s">
        <v>81</v>
      </c>
      <c r="D927" s="2">
        <v>0</v>
      </c>
      <c r="E927" s="2">
        <v>0</v>
      </c>
    </row>
    <row r="928" spans="1:5" x14ac:dyDescent="0.2">
      <c r="A928" t="s">
        <v>96</v>
      </c>
      <c r="B928" t="s">
        <v>45</v>
      </c>
      <c r="C928" t="s">
        <v>81</v>
      </c>
      <c r="D928" s="2">
        <v>0</v>
      </c>
      <c r="E928" s="2">
        <v>0</v>
      </c>
    </row>
    <row r="929" spans="1:5" x14ac:dyDescent="0.2">
      <c r="A929" t="s">
        <v>96</v>
      </c>
      <c r="B929" t="s">
        <v>45</v>
      </c>
      <c r="C929" t="s">
        <v>81</v>
      </c>
      <c r="D929" s="2">
        <v>0</v>
      </c>
      <c r="E929" s="2">
        <v>0</v>
      </c>
    </row>
    <row r="930" spans="1:5" x14ac:dyDescent="0.2">
      <c r="A930" t="s">
        <v>93</v>
      </c>
      <c r="B930" t="s">
        <v>79</v>
      </c>
      <c r="C930" t="s">
        <v>81</v>
      </c>
      <c r="D930" s="2">
        <v>0</v>
      </c>
      <c r="E930" s="2">
        <v>0</v>
      </c>
    </row>
    <row r="931" spans="1:5" x14ac:dyDescent="0.2">
      <c r="A931" t="s">
        <v>93</v>
      </c>
      <c r="B931" t="s">
        <v>79</v>
      </c>
      <c r="C931" t="s">
        <v>81</v>
      </c>
      <c r="D931" s="2">
        <v>0</v>
      </c>
      <c r="E931" s="2">
        <v>0</v>
      </c>
    </row>
    <row r="932" spans="1:5" x14ac:dyDescent="0.2">
      <c r="A932" t="s">
        <v>93</v>
      </c>
      <c r="B932" t="s">
        <v>79</v>
      </c>
      <c r="C932" t="s">
        <v>81</v>
      </c>
      <c r="D932" s="2">
        <v>61.467930000000003</v>
      </c>
      <c r="E932" s="2">
        <v>0</v>
      </c>
    </row>
    <row r="933" spans="1:5" x14ac:dyDescent="0.2">
      <c r="A933" t="s">
        <v>93</v>
      </c>
      <c r="B933" t="s">
        <v>79</v>
      </c>
      <c r="C933" t="s">
        <v>81</v>
      </c>
      <c r="D933" s="2">
        <v>35.696196800000003</v>
      </c>
      <c r="E933" s="2">
        <v>0</v>
      </c>
    </row>
    <row r="934" spans="1:5" x14ac:dyDescent="0.2">
      <c r="A934" t="s">
        <v>95</v>
      </c>
      <c r="B934" t="s">
        <v>79</v>
      </c>
      <c r="C934" t="s">
        <v>81</v>
      </c>
      <c r="D934" s="2">
        <v>0</v>
      </c>
      <c r="E934" s="2">
        <v>0</v>
      </c>
    </row>
    <row r="935" spans="1:5" x14ac:dyDescent="0.2">
      <c r="A935" t="s">
        <v>95</v>
      </c>
      <c r="B935" t="s">
        <v>79</v>
      </c>
      <c r="C935" t="s">
        <v>81</v>
      </c>
      <c r="D935" s="2">
        <v>0</v>
      </c>
      <c r="E935" s="2">
        <v>0</v>
      </c>
    </row>
    <row r="936" spans="1:5" x14ac:dyDescent="0.2">
      <c r="A936" t="s">
        <v>95</v>
      </c>
      <c r="B936" t="s">
        <v>79</v>
      </c>
      <c r="C936" t="s">
        <v>81</v>
      </c>
      <c r="D936" s="2">
        <v>0</v>
      </c>
      <c r="E936" s="2">
        <v>0</v>
      </c>
    </row>
    <row r="937" spans="1:5" x14ac:dyDescent="0.2">
      <c r="A937" t="s">
        <v>95</v>
      </c>
      <c r="B937" t="s">
        <v>79</v>
      </c>
      <c r="C937" t="s">
        <v>81</v>
      </c>
      <c r="D937" s="2">
        <v>0</v>
      </c>
      <c r="E937" s="2">
        <v>0</v>
      </c>
    </row>
    <row r="938" spans="1:5" x14ac:dyDescent="0.2">
      <c r="A938" t="s">
        <v>95</v>
      </c>
      <c r="B938" t="s">
        <v>79</v>
      </c>
      <c r="C938" t="s">
        <v>81</v>
      </c>
      <c r="D938" s="2">
        <v>0</v>
      </c>
      <c r="E938" s="2">
        <v>0</v>
      </c>
    </row>
    <row r="939" spans="1:5" x14ac:dyDescent="0.2">
      <c r="A939" t="s">
        <v>95</v>
      </c>
      <c r="B939" t="s">
        <v>79</v>
      </c>
      <c r="C939" t="s">
        <v>81</v>
      </c>
      <c r="D939" s="2">
        <v>0</v>
      </c>
      <c r="E939" s="2">
        <v>0</v>
      </c>
    </row>
    <row r="940" spans="1:5" x14ac:dyDescent="0.2">
      <c r="A940" t="s">
        <v>95</v>
      </c>
      <c r="B940" t="s">
        <v>79</v>
      </c>
      <c r="C940" t="s">
        <v>81</v>
      </c>
      <c r="D940" s="2">
        <v>258.10521199999999</v>
      </c>
      <c r="E940" s="2">
        <v>0</v>
      </c>
    </row>
    <row r="941" spans="1:5" x14ac:dyDescent="0.2">
      <c r="A941" t="s">
        <v>95</v>
      </c>
      <c r="B941" t="s">
        <v>79</v>
      </c>
      <c r="C941" t="s">
        <v>81</v>
      </c>
      <c r="D941" s="2">
        <v>370.12541959999999</v>
      </c>
      <c r="E941" s="2">
        <v>0</v>
      </c>
    </row>
    <row r="942" spans="1:5" x14ac:dyDescent="0.2">
      <c r="A942" t="s">
        <v>95</v>
      </c>
      <c r="B942" t="s">
        <v>79</v>
      </c>
      <c r="C942" t="s">
        <v>81</v>
      </c>
      <c r="D942" s="2">
        <v>0</v>
      </c>
      <c r="E942" s="2">
        <v>0</v>
      </c>
    </row>
    <row r="943" spans="1:5" x14ac:dyDescent="0.2">
      <c r="A943" t="s">
        <v>95</v>
      </c>
      <c r="B943" t="s">
        <v>79</v>
      </c>
      <c r="C943" t="s">
        <v>81</v>
      </c>
      <c r="D943" s="2">
        <v>646.00843420000001</v>
      </c>
      <c r="E943" s="2">
        <v>0</v>
      </c>
    </row>
    <row r="944" spans="1:5" x14ac:dyDescent="0.2">
      <c r="A944" t="s">
        <v>95</v>
      </c>
      <c r="B944" t="s">
        <v>79</v>
      </c>
      <c r="C944" t="s">
        <v>81</v>
      </c>
      <c r="D944" s="2">
        <v>0</v>
      </c>
      <c r="E944" s="2">
        <v>0</v>
      </c>
    </row>
    <row r="945" spans="1:5" x14ac:dyDescent="0.2">
      <c r="A945" t="s">
        <v>95</v>
      </c>
      <c r="B945" t="s">
        <v>79</v>
      </c>
      <c r="C945" t="s">
        <v>81</v>
      </c>
      <c r="D945" s="2">
        <v>0</v>
      </c>
      <c r="E945" s="2">
        <v>0</v>
      </c>
    </row>
    <row r="946" spans="1:5" x14ac:dyDescent="0.2">
      <c r="A946" t="s">
        <v>95</v>
      </c>
      <c r="B946" t="s">
        <v>79</v>
      </c>
      <c r="C946" t="s">
        <v>81</v>
      </c>
      <c r="D946" s="2">
        <v>434.81538060000003</v>
      </c>
      <c r="E946" s="2">
        <v>0</v>
      </c>
    </row>
    <row r="947" spans="1:5" x14ac:dyDescent="0.2">
      <c r="A947" t="s">
        <v>95</v>
      </c>
      <c r="B947" t="s">
        <v>79</v>
      </c>
      <c r="C947" t="s">
        <v>81</v>
      </c>
      <c r="D947" s="2">
        <v>0</v>
      </c>
      <c r="E947" s="2">
        <v>0</v>
      </c>
    </row>
    <row r="948" spans="1:5" x14ac:dyDescent="0.2">
      <c r="A948" t="s">
        <v>94</v>
      </c>
      <c r="B948" t="s">
        <v>79</v>
      </c>
      <c r="C948" t="s">
        <v>81</v>
      </c>
      <c r="D948" s="2">
        <v>0</v>
      </c>
      <c r="E948" s="2">
        <v>0</v>
      </c>
    </row>
    <row r="949" spans="1:5" x14ac:dyDescent="0.2">
      <c r="A949" t="s">
        <v>94</v>
      </c>
      <c r="B949" t="s">
        <v>79</v>
      </c>
      <c r="C949" t="s">
        <v>81</v>
      </c>
      <c r="D949" s="2">
        <v>0</v>
      </c>
      <c r="E949" s="2">
        <v>0</v>
      </c>
    </row>
    <row r="950" spans="1:5" x14ac:dyDescent="0.2">
      <c r="A950" t="s">
        <v>94</v>
      </c>
      <c r="B950" t="s">
        <v>79</v>
      </c>
      <c r="C950" t="s">
        <v>81</v>
      </c>
      <c r="D950" s="2">
        <v>0</v>
      </c>
      <c r="E950" s="2">
        <v>0</v>
      </c>
    </row>
    <row r="951" spans="1:5" x14ac:dyDescent="0.2">
      <c r="A951" t="s">
        <v>94</v>
      </c>
      <c r="B951" t="s">
        <v>79</v>
      </c>
      <c r="C951" t="s">
        <v>81</v>
      </c>
      <c r="D951" s="2">
        <v>595.62418739999998</v>
      </c>
      <c r="E951" s="2">
        <v>0</v>
      </c>
    </row>
    <row r="952" spans="1:5" x14ac:dyDescent="0.2">
      <c r="A952" t="s">
        <v>94</v>
      </c>
      <c r="B952" t="s">
        <v>79</v>
      </c>
      <c r="C952" t="s">
        <v>81</v>
      </c>
      <c r="D952" s="2">
        <v>0</v>
      </c>
      <c r="E952" s="2">
        <v>0</v>
      </c>
    </row>
    <row r="953" spans="1:5" x14ac:dyDescent="0.2">
      <c r="A953" t="s">
        <v>94</v>
      </c>
      <c r="B953" t="s">
        <v>79</v>
      </c>
      <c r="C953" t="s">
        <v>81</v>
      </c>
      <c r="D953" s="2">
        <v>223.5509314</v>
      </c>
      <c r="E953" s="2">
        <v>0</v>
      </c>
    </row>
    <row r="954" spans="1:5" x14ac:dyDescent="0.2">
      <c r="A954" t="s">
        <v>94</v>
      </c>
      <c r="B954" t="s">
        <v>79</v>
      </c>
      <c r="C954" t="s">
        <v>81</v>
      </c>
      <c r="D954" s="2">
        <v>153.6907424</v>
      </c>
      <c r="E954" s="2">
        <v>0</v>
      </c>
    </row>
    <row r="955" spans="1:5" x14ac:dyDescent="0.2">
      <c r="A955" t="s">
        <v>96</v>
      </c>
      <c r="B955" t="s">
        <v>79</v>
      </c>
      <c r="C955" t="s">
        <v>81</v>
      </c>
      <c r="D955" s="2">
        <v>256.60131899999999</v>
      </c>
      <c r="E955" s="2">
        <v>0</v>
      </c>
    </row>
    <row r="956" spans="1:5" x14ac:dyDescent="0.2">
      <c r="A956" t="s">
        <v>96</v>
      </c>
      <c r="B956" t="s">
        <v>79</v>
      </c>
      <c r="C956" t="s">
        <v>81</v>
      </c>
      <c r="D956" s="2">
        <v>181.44766999999999</v>
      </c>
      <c r="E956" s="2">
        <v>0</v>
      </c>
    </row>
    <row r="957" spans="1:5" x14ac:dyDescent="0.2">
      <c r="A957" t="s">
        <v>96</v>
      </c>
      <c r="B957" t="s">
        <v>79</v>
      </c>
      <c r="C957" t="s">
        <v>81</v>
      </c>
      <c r="D957" s="2">
        <v>72.898753400000004</v>
      </c>
      <c r="E957" s="2">
        <v>0</v>
      </c>
    </row>
    <row r="958" spans="1:5" x14ac:dyDescent="0.2">
      <c r="A958" t="s">
        <v>96</v>
      </c>
      <c r="B958" t="s">
        <v>79</v>
      </c>
      <c r="C958" t="s">
        <v>81</v>
      </c>
      <c r="D958" s="2">
        <v>121.5051718</v>
      </c>
      <c r="E958" s="2">
        <v>0</v>
      </c>
    </row>
    <row r="959" spans="1:5" x14ac:dyDescent="0.2">
      <c r="A959" t="s">
        <v>96</v>
      </c>
      <c r="B959" t="s">
        <v>79</v>
      </c>
      <c r="C959" t="s">
        <v>81</v>
      </c>
      <c r="D959" s="2">
        <v>0</v>
      </c>
      <c r="E959" s="2">
        <v>0</v>
      </c>
    </row>
    <row r="960" spans="1:5" x14ac:dyDescent="0.2">
      <c r="A960" t="s">
        <v>96</v>
      </c>
      <c r="B960" t="s">
        <v>79</v>
      </c>
      <c r="C960" t="s">
        <v>81</v>
      </c>
      <c r="D960" s="2">
        <v>0</v>
      </c>
      <c r="E960" s="2">
        <v>0</v>
      </c>
    </row>
    <row r="961" spans="1:5" x14ac:dyDescent="0.2">
      <c r="A961" t="s">
        <v>96</v>
      </c>
      <c r="B961" t="s">
        <v>79</v>
      </c>
      <c r="C961" t="s">
        <v>81</v>
      </c>
      <c r="D961" s="2">
        <v>0</v>
      </c>
      <c r="E961" s="2">
        <v>0</v>
      </c>
    </row>
    <row r="962" spans="1:5" x14ac:dyDescent="0.2">
      <c r="A962" t="s">
        <v>93</v>
      </c>
      <c r="B962" t="s">
        <v>66</v>
      </c>
      <c r="C962" t="s">
        <v>81</v>
      </c>
      <c r="D962" s="2">
        <v>0</v>
      </c>
      <c r="E962" s="2">
        <v>0</v>
      </c>
    </row>
    <row r="963" spans="1:5" x14ac:dyDescent="0.2">
      <c r="A963" t="s">
        <v>93</v>
      </c>
      <c r="B963" t="s">
        <v>66</v>
      </c>
      <c r="C963" t="s">
        <v>81</v>
      </c>
      <c r="D963" s="2">
        <v>0</v>
      </c>
      <c r="E963" s="2">
        <v>0</v>
      </c>
    </row>
    <row r="964" spans="1:5" x14ac:dyDescent="0.2">
      <c r="A964" t="s">
        <v>93</v>
      </c>
      <c r="B964" t="s">
        <v>66</v>
      </c>
      <c r="C964" t="s">
        <v>81</v>
      </c>
      <c r="D964" s="2">
        <v>0</v>
      </c>
      <c r="E964" s="2">
        <v>52</v>
      </c>
    </row>
    <row r="965" spans="1:5" x14ac:dyDescent="0.2">
      <c r="A965" t="s">
        <v>93</v>
      </c>
      <c r="B965" t="s">
        <v>66</v>
      </c>
      <c r="C965" t="s">
        <v>81</v>
      </c>
      <c r="D965" s="2">
        <v>0</v>
      </c>
      <c r="E965" s="2">
        <v>12</v>
      </c>
    </row>
    <row r="966" spans="1:5" x14ac:dyDescent="0.2">
      <c r="A966" t="s">
        <v>95</v>
      </c>
      <c r="B966" t="s">
        <v>66</v>
      </c>
      <c r="C966" t="s">
        <v>81</v>
      </c>
      <c r="D966" s="2">
        <v>0</v>
      </c>
      <c r="E966" s="2">
        <v>0</v>
      </c>
    </row>
    <row r="967" spans="1:5" x14ac:dyDescent="0.2">
      <c r="A967" t="s">
        <v>95</v>
      </c>
      <c r="B967" t="s">
        <v>66</v>
      </c>
      <c r="C967" t="s">
        <v>81</v>
      </c>
      <c r="D967" s="2">
        <v>0</v>
      </c>
      <c r="E967" s="2">
        <v>0</v>
      </c>
    </row>
    <row r="968" spans="1:5" x14ac:dyDescent="0.2">
      <c r="A968" t="s">
        <v>95</v>
      </c>
      <c r="B968" t="s">
        <v>66</v>
      </c>
      <c r="C968" t="s">
        <v>81</v>
      </c>
      <c r="D968" s="2">
        <v>0</v>
      </c>
      <c r="E968" s="2">
        <v>0</v>
      </c>
    </row>
    <row r="969" spans="1:5" x14ac:dyDescent="0.2">
      <c r="A969" t="s">
        <v>95</v>
      </c>
      <c r="B969" t="s">
        <v>66</v>
      </c>
      <c r="C969" t="s">
        <v>81</v>
      </c>
      <c r="D969" s="2">
        <v>0</v>
      </c>
      <c r="E969" s="2">
        <v>0</v>
      </c>
    </row>
    <row r="970" spans="1:5" x14ac:dyDescent="0.2">
      <c r="A970" t="s">
        <v>95</v>
      </c>
      <c r="B970" t="s">
        <v>66</v>
      </c>
      <c r="C970" t="s">
        <v>81</v>
      </c>
      <c r="D970" s="2">
        <v>0</v>
      </c>
      <c r="E970" s="2">
        <v>0</v>
      </c>
    </row>
    <row r="971" spans="1:5" x14ac:dyDescent="0.2">
      <c r="A971" t="s">
        <v>95</v>
      </c>
      <c r="B971" t="s">
        <v>66</v>
      </c>
      <c r="C971" t="s">
        <v>81</v>
      </c>
      <c r="D971" s="2">
        <v>0</v>
      </c>
      <c r="E971" s="2">
        <v>0</v>
      </c>
    </row>
    <row r="972" spans="1:5" x14ac:dyDescent="0.2">
      <c r="A972" t="s">
        <v>95</v>
      </c>
      <c r="B972" t="s">
        <v>66</v>
      </c>
      <c r="C972" t="s">
        <v>81</v>
      </c>
      <c r="D972" s="2">
        <v>0</v>
      </c>
      <c r="E972" s="2">
        <v>258</v>
      </c>
    </row>
    <row r="973" spans="1:5" x14ac:dyDescent="0.2">
      <c r="A973" t="s">
        <v>95</v>
      </c>
      <c r="B973" t="s">
        <v>66</v>
      </c>
      <c r="C973" t="s">
        <v>81</v>
      </c>
      <c r="D973" s="2">
        <v>0</v>
      </c>
      <c r="E973" s="2">
        <v>270</v>
      </c>
    </row>
    <row r="974" spans="1:5" x14ac:dyDescent="0.2">
      <c r="A974" t="s">
        <v>95</v>
      </c>
      <c r="B974" t="s">
        <v>66</v>
      </c>
      <c r="C974" t="s">
        <v>81</v>
      </c>
      <c r="D974" s="2">
        <v>0</v>
      </c>
      <c r="E974" s="2">
        <v>0</v>
      </c>
    </row>
    <row r="975" spans="1:5" x14ac:dyDescent="0.2">
      <c r="A975" t="s">
        <v>95</v>
      </c>
      <c r="B975" t="s">
        <v>66</v>
      </c>
      <c r="C975" t="s">
        <v>81</v>
      </c>
      <c r="D975" s="2">
        <v>0</v>
      </c>
      <c r="E975" s="2">
        <v>312</v>
      </c>
    </row>
    <row r="976" spans="1:5" x14ac:dyDescent="0.2">
      <c r="A976" t="s">
        <v>95</v>
      </c>
      <c r="B976" t="s">
        <v>66</v>
      </c>
      <c r="C976" t="s">
        <v>81</v>
      </c>
      <c r="D976" s="2">
        <v>0</v>
      </c>
      <c r="E976" s="2">
        <v>0</v>
      </c>
    </row>
    <row r="977" spans="1:5" x14ac:dyDescent="0.2">
      <c r="A977" t="s">
        <v>95</v>
      </c>
      <c r="B977" t="s">
        <v>66</v>
      </c>
      <c r="C977" t="s">
        <v>81</v>
      </c>
      <c r="D977" s="2">
        <v>0</v>
      </c>
      <c r="E977" s="2">
        <v>0</v>
      </c>
    </row>
    <row r="978" spans="1:5" x14ac:dyDescent="0.2">
      <c r="A978" t="s">
        <v>95</v>
      </c>
      <c r="B978" t="s">
        <v>66</v>
      </c>
      <c r="C978" t="s">
        <v>81</v>
      </c>
      <c r="D978" s="2">
        <v>0</v>
      </c>
      <c r="E978" s="2">
        <v>352</v>
      </c>
    </row>
    <row r="979" spans="1:5" x14ac:dyDescent="0.2">
      <c r="A979" t="s">
        <v>95</v>
      </c>
      <c r="B979" t="s">
        <v>66</v>
      </c>
      <c r="C979" t="s">
        <v>81</v>
      </c>
      <c r="D979" s="2">
        <v>0</v>
      </c>
      <c r="E979" s="2">
        <v>0</v>
      </c>
    </row>
    <row r="980" spans="1:5" x14ac:dyDescent="0.2">
      <c r="A980" t="s">
        <v>94</v>
      </c>
      <c r="B980" t="s">
        <v>66</v>
      </c>
      <c r="C980" t="s">
        <v>81</v>
      </c>
      <c r="D980" s="2">
        <v>0</v>
      </c>
      <c r="E980" s="2">
        <v>0</v>
      </c>
    </row>
    <row r="981" spans="1:5" x14ac:dyDescent="0.2">
      <c r="A981" t="s">
        <v>94</v>
      </c>
      <c r="B981" t="s">
        <v>66</v>
      </c>
      <c r="C981" t="s">
        <v>81</v>
      </c>
      <c r="D981" s="2">
        <v>0</v>
      </c>
      <c r="E981" s="2">
        <v>0</v>
      </c>
    </row>
    <row r="982" spans="1:5" x14ac:dyDescent="0.2">
      <c r="A982" t="s">
        <v>94</v>
      </c>
      <c r="B982" t="s">
        <v>66</v>
      </c>
      <c r="C982" t="s">
        <v>81</v>
      </c>
      <c r="D982" s="2">
        <v>0</v>
      </c>
      <c r="E982" s="2">
        <v>0</v>
      </c>
    </row>
    <row r="983" spans="1:5" x14ac:dyDescent="0.2">
      <c r="A983" t="s">
        <v>94</v>
      </c>
      <c r="B983" t="s">
        <v>66</v>
      </c>
      <c r="C983" t="s">
        <v>81</v>
      </c>
      <c r="D983" s="2">
        <v>0</v>
      </c>
      <c r="E983" s="2">
        <v>38</v>
      </c>
    </row>
    <row r="984" spans="1:5" x14ac:dyDescent="0.2">
      <c r="A984" t="s">
        <v>94</v>
      </c>
      <c r="B984" t="s">
        <v>66</v>
      </c>
      <c r="C984" t="s">
        <v>81</v>
      </c>
      <c r="D984" s="2">
        <v>0</v>
      </c>
      <c r="E984" s="2">
        <v>0</v>
      </c>
    </row>
    <row r="985" spans="1:5" x14ac:dyDescent="0.2">
      <c r="A985" t="s">
        <v>94</v>
      </c>
      <c r="B985" t="s">
        <v>66</v>
      </c>
      <c r="C985" t="s">
        <v>81</v>
      </c>
      <c r="D985" s="2">
        <v>0</v>
      </c>
      <c r="E985" s="2">
        <v>20</v>
      </c>
    </row>
    <row r="986" spans="1:5" x14ac:dyDescent="0.2">
      <c r="A986" t="s">
        <v>94</v>
      </c>
      <c r="B986" t="s">
        <v>66</v>
      </c>
      <c r="C986" t="s">
        <v>81</v>
      </c>
      <c r="D986" s="2">
        <v>0</v>
      </c>
      <c r="E986" s="2">
        <v>0</v>
      </c>
    </row>
    <row r="987" spans="1:5" x14ac:dyDescent="0.2">
      <c r="A987" t="s">
        <v>96</v>
      </c>
      <c r="B987" t="s">
        <v>66</v>
      </c>
      <c r="C987" t="s">
        <v>81</v>
      </c>
      <c r="D987" s="2">
        <v>0</v>
      </c>
      <c r="E987" s="2">
        <v>204</v>
      </c>
    </row>
    <row r="988" spans="1:5" x14ac:dyDescent="0.2">
      <c r="A988" t="s">
        <v>96</v>
      </c>
      <c r="B988" t="s">
        <v>66</v>
      </c>
      <c r="C988" t="s">
        <v>81</v>
      </c>
      <c r="D988" s="2">
        <v>0</v>
      </c>
      <c r="E988" s="2">
        <v>72</v>
      </c>
    </row>
    <row r="989" spans="1:5" x14ac:dyDescent="0.2">
      <c r="A989" t="s">
        <v>96</v>
      </c>
      <c r="B989" t="s">
        <v>66</v>
      </c>
      <c r="C989" t="s">
        <v>81</v>
      </c>
      <c r="D989" s="2">
        <v>0</v>
      </c>
      <c r="E989" s="2">
        <v>2</v>
      </c>
    </row>
    <row r="990" spans="1:5" x14ac:dyDescent="0.2">
      <c r="A990" t="s">
        <v>96</v>
      </c>
      <c r="B990" t="s">
        <v>66</v>
      </c>
      <c r="C990" t="s">
        <v>81</v>
      </c>
      <c r="D990" s="2">
        <v>0</v>
      </c>
      <c r="E990" s="2">
        <v>76</v>
      </c>
    </row>
    <row r="991" spans="1:5" x14ac:dyDescent="0.2">
      <c r="A991" t="s">
        <v>96</v>
      </c>
      <c r="B991" t="s">
        <v>66</v>
      </c>
      <c r="C991" t="s">
        <v>81</v>
      </c>
      <c r="D991" s="2">
        <v>0</v>
      </c>
      <c r="E991" s="2">
        <v>0</v>
      </c>
    </row>
    <row r="992" spans="1:5" x14ac:dyDescent="0.2">
      <c r="A992" t="s">
        <v>96</v>
      </c>
      <c r="B992" t="s">
        <v>66</v>
      </c>
      <c r="C992" t="s">
        <v>81</v>
      </c>
      <c r="D992" s="2">
        <v>0</v>
      </c>
      <c r="E992" s="2">
        <v>0</v>
      </c>
    </row>
    <row r="993" spans="1:5" x14ac:dyDescent="0.2">
      <c r="A993" t="s">
        <v>96</v>
      </c>
      <c r="B993" t="s">
        <v>66</v>
      </c>
      <c r="C993" t="s">
        <v>81</v>
      </c>
      <c r="D993" s="2">
        <v>0</v>
      </c>
      <c r="E993" s="2">
        <v>0</v>
      </c>
    </row>
    <row r="994" spans="1:5" x14ac:dyDescent="0.2">
      <c r="A994" t="s">
        <v>93</v>
      </c>
      <c r="B994" t="s">
        <v>44</v>
      </c>
      <c r="C994" t="s">
        <v>81</v>
      </c>
      <c r="D994" s="2">
        <v>0</v>
      </c>
      <c r="E994" s="2">
        <v>0</v>
      </c>
    </row>
    <row r="995" spans="1:5" x14ac:dyDescent="0.2">
      <c r="A995" t="s">
        <v>93</v>
      </c>
      <c r="B995" t="s">
        <v>44</v>
      </c>
      <c r="C995" t="s">
        <v>81</v>
      </c>
      <c r="D995" s="2">
        <v>0</v>
      </c>
      <c r="E995" s="2">
        <v>0</v>
      </c>
    </row>
    <row r="996" spans="1:5" x14ac:dyDescent="0.2">
      <c r="A996" t="s">
        <v>93</v>
      </c>
      <c r="B996" t="s">
        <v>44</v>
      </c>
      <c r="C996" t="s">
        <v>81</v>
      </c>
      <c r="D996" s="2">
        <v>49.9882998</v>
      </c>
      <c r="E996" s="2">
        <v>52</v>
      </c>
    </row>
    <row r="997" spans="1:5" x14ac:dyDescent="0.2">
      <c r="A997" t="s">
        <v>93</v>
      </c>
      <c r="B997" t="s">
        <v>44</v>
      </c>
      <c r="C997" t="s">
        <v>81</v>
      </c>
      <c r="D997" s="2">
        <v>39.733646399999998</v>
      </c>
      <c r="E997" s="2">
        <v>6</v>
      </c>
    </row>
    <row r="998" spans="1:5" x14ac:dyDescent="0.2">
      <c r="A998" t="s">
        <v>95</v>
      </c>
      <c r="B998" t="s">
        <v>44</v>
      </c>
      <c r="C998" t="s">
        <v>81</v>
      </c>
      <c r="D998" s="2">
        <v>0</v>
      </c>
      <c r="E998" s="2">
        <v>0</v>
      </c>
    </row>
    <row r="999" spans="1:5" x14ac:dyDescent="0.2">
      <c r="A999" t="s">
        <v>95</v>
      </c>
      <c r="B999" t="s">
        <v>44</v>
      </c>
      <c r="C999" t="s">
        <v>81</v>
      </c>
      <c r="D999" s="2">
        <v>0</v>
      </c>
      <c r="E999" s="2">
        <v>0</v>
      </c>
    </row>
    <row r="1000" spans="1:5" x14ac:dyDescent="0.2">
      <c r="A1000" t="s">
        <v>95</v>
      </c>
      <c r="B1000" t="s">
        <v>44</v>
      </c>
      <c r="C1000" t="s">
        <v>81</v>
      </c>
      <c r="D1000" s="2">
        <v>0</v>
      </c>
      <c r="E1000" s="2">
        <v>0</v>
      </c>
    </row>
    <row r="1001" spans="1:5" x14ac:dyDescent="0.2">
      <c r="A1001" t="s">
        <v>95</v>
      </c>
      <c r="B1001" t="s">
        <v>44</v>
      </c>
      <c r="C1001" t="s">
        <v>81</v>
      </c>
      <c r="D1001" s="2">
        <v>0</v>
      </c>
      <c r="E1001" s="2">
        <v>0</v>
      </c>
    </row>
    <row r="1002" spans="1:5" x14ac:dyDescent="0.2">
      <c r="A1002" t="s">
        <v>95</v>
      </c>
      <c r="B1002" t="s">
        <v>44</v>
      </c>
      <c r="C1002" t="s">
        <v>81</v>
      </c>
      <c r="D1002" s="2">
        <v>0</v>
      </c>
      <c r="E1002" s="2">
        <v>0</v>
      </c>
    </row>
    <row r="1003" spans="1:5" x14ac:dyDescent="0.2">
      <c r="A1003" t="s">
        <v>95</v>
      </c>
      <c r="B1003" t="s">
        <v>44</v>
      </c>
      <c r="C1003" t="s">
        <v>81</v>
      </c>
      <c r="D1003" s="2">
        <v>0</v>
      </c>
      <c r="E1003" s="2">
        <v>0</v>
      </c>
    </row>
    <row r="1004" spans="1:5" x14ac:dyDescent="0.2">
      <c r="A1004" t="s">
        <v>95</v>
      </c>
      <c r="B1004" t="s">
        <v>44</v>
      </c>
      <c r="C1004" t="s">
        <v>81</v>
      </c>
      <c r="D1004" s="2">
        <v>242.27784020000001</v>
      </c>
      <c r="E1004" s="2">
        <v>292</v>
      </c>
    </row>
    <row r="1005" spans="1:5" x14ac:dyDescent="0.2">
      <c r="A1005" t="s">
        <v>95</v>
      </c>
      <c r="B1005" t="s">
        <v>44</v>
      </c>
      <c r="C1005" t="s">
        <v>81</v>
      </c>
      <c r="D1005" s="2">
        <v>266.6158302</v>
      </c>
      <c r="E1005" s="2">
        <v>332</v>
      </c>
    </row>
    <row r="1006" spans="1:5" x14ac:dyDescent="0.2">
      <c r="A1006" t="s">
        <v>95</v>
      </c>
      <c r="B1006" t="s">
        <v>44</v>
      </c>
      <c r="C1006" t="s">
        <v>81</v>
      </c>
      <c r="D1006" s="2">
        <v>0</v>
      </c>
      <c r="E1006" s="2">
        <v>0</v>
      </c>
    </row>
    <row r="1007" spans="1:5" x14ac:dyDescent="0.2">
      <c r="A1007" t="s">
        <v>95</v>
      </c>
      <c r="B1007" t="s">
        <v>44</v>
      </c>
      <c r="C1007" t="s">
        <v>81</v>
      </c>
      <c r="D1007" s="2">
        <v>580.30089999999996</v>
      </c>
      <c r="E1007" s="2">
        <v>422</v>
      </c>
    </row>
    <row r="1008" spans="1:5" x14ac:dyDescent="0.2">
      <c r="A1008" t="s">
        <v>95</v>
      </c>
      <c r="B1008" t="s">
        <v>44</v>
      </c>
      <c r="C1008" t="s">
        <v>81</v>
      </c>
      <c r="D1008" s="2">
        <v>0</v>
      </c>
      <c r="E1008" s="2">
        <v>0</v>
      </c>
    </row>
    <row r="1009" spans="1:5" x14ac:dyDescent="0.2">
      <c r="A1009" t="s">
        <v>95</v>
      </c>
      <c r="B1009" t="s">
        <v>44</v>
      </c>
      <c r="C1009" t="s">
        <v>81</v>
      </c>
      <c r="D1009" s="2">
        <v>0</v>
      </c>
      <c r="E1009" s="2">
        <v>0</v>
      </c>
    </row>
    <row r="1010" spans="1:5" x14ac:dyDescent="0.2">
      <c r="A1010" t="s">
        <v>95</v>
      </c>
      <c r="B1010" t="s">
        <v>44</v>
      </c>
      <c r="C1010" t="s">
        <v>81</v>
      </c>
      <c r="D1010" s="2">
        <v>325.960151</v>
      </c>
      <c r="E1010" s="2">
        <v>486</v>
      </c>
    </row>
    <row r="1011" spans="1:5" x14ac:dyDescent="0.2">
      <c r="A1011" t="s">
        <v>95</v>
      </c>
      <c r="B1011" t="s">
        <v>44</v>
      </c>
      <c r="C1011" t="s">
        <v>81</v>
      </c>
      <c r="D1011" s="2">
        <v>0</v>
      </c>
      <c r="E1011" s="2">
        <v>0</v>
      </c>
    </row>
    <row r="1012" spans="1:5" x14ac:dyDescent="0.2">
      <c r="A1012" t="s">
        <v>94</v>
      </c>
      <c r="B1012" t="s">
        <v>44</v>
      </c>
      <c r="C1012" t="s">
        <v>81</v>
      </c>
      <c r="D1012" s="2">
        <v>0</v>
      </c>
      <c r="E1012" s="2">
        <v>0</v>
      </c>
    </row>
    <row r="1013" spans="1:5" x14ac:dyDescent="0.2">
      <c r="A1013" t="s">
        <v>94</v>
      </c>
      <c r="B1013" t="s">
        <v>44</v>
      </c>
      <c r="C1013" t="s">
        <v>81</v>
      </c>
      <c r="D1013" s="2">
        <v>0</v>
      </c>
      <c r="E1013" s="2">
        <v>0</v>
      </c>
    </row>
    <row r="1014" spans="1:5" x14ac:dyDescent="0.2">
      <c r="A1014" t="s">
        <v>94</v>
      </c>
      <c r="B1014" t="s">
        <v>44</v>
      </c>
      <c r="C1014" t="s">
        <v>81</v>
      </c>
      <c r="D1014" s="2">
        <v>0</v>
      </c>
      <c r="E1014" s="2">
        <v>0</v>
      </c>
    </row>
    <row r="1015" spans="1:5" x14ac:dyDescent="0.2">
      <c r="A1015" t="s">
        <v>94</v>
      </c>
      <c r="B1015" t="s">
        <v>44</v>
      </c>
      <c r="C1015" t="s">
        <v>81</v>
      </c>
      <c r="D1015" s="2">
        <v>107.7722576</v>
      </c>
      <c r="E1015" s="2">
        <v>234</v>
      </c>
    </row>
    <row r="1016" spans="1:5" x14ac:dyDescent="0.2">
      <c r="A1016" t="s">
        <v>94</v>
      </c>
      <c r="B1016" t="s">
        <v>44</v>
      </c>
      <c r="C1016" t="s">
        <v>81</v>
      </c>
      <c r="D1016" s="2">
        <v>0</v>
      </c>
      <c r="E1016" s="2">
        <v>0</v>
      </c>
    </row>
    <row r="1017" spans="1:5" x14ac:dyDescent="0.2">
      <c r="A1017" t="s">
        <v>94</v>
      </c>
      <c r="B1017" t="s">
        <v>44</v>
      </c>
      <c r="C1017" t="s">
        <v>81</v>
      </c>
      <c r="D1017" s="2">
        <v>98.341613600000002</v>
      </c>
      <c r="E1017" s="2">
        <v>42</v>
      </c>
    </row>
    <row r="1018" spans="1:5" x14ac:dyDescent="0.2">
      <c r="A1018" t="s">
        <v>94</v>
      </c>
      <c r="B1018" t="s">
        <v>44</v>
      </c>
      <c r="C1018" t="s">
        <v>81</v>
      </c>
      <c r="D1018" s="2">
        <v>0</v>
      </c>
      <c r="E1018" s="2">
        <v>44</v>
      </c>
    </row>
    <row r="1019" spans="1:5" x14ac:dyDescent="0.2">
      <c r="A1019" t="s">
        <v>96</v>
      </c>
      <c r="B1019" t="s">
        <v>44</v>
      </c>
      <c r="C1019" t="s">
        <v>81</v>
      </c>
      <c r="D1019" s="2">
        <v>164.8908266</v>
      </c>
      <c r="E1019" s="2">
        <v>298</v>
      </c>
    </row>
    <row r="1020" spans="1:5" x14ac:dyDescent="0.2">
      <c r="A1020" t="s">
        <v>96</v>
      </c>
      <c r="B1020" t="s">
        <v>44</v>
      </c>
      <c r="C1020" t="s">
        <v>81</v>
      </c>
      <c r="D1020" s="2">
        <v>113.04780719999999</v>
      </c>
      <c r="E1020" s="2">
        <v>130</v>
      </c>
    </row>
    <row r="1021" spans="1:5" x14ac:dyDescent="0.2">
      <c r="A1021" t="s">
        <v>96</v>
      </c>
      <c r="B1021" t="s">
        <v>44</v>
      </c>
      <c r="C1021" t="s">
        <v>81</v>
      </c>
      <c r="D1021" s="2">
        <v>0</v>
      </c>
      <c r="E1021" s="2">
        <v>0</v>
      </c>
    </row>
    <row r="1022" spans="1:5" x14ac:dyDescent="0.2">
      <c r="A1022" t="s">
        <v>96</v>
      </c>
      <c r="B1022" t="s">
        <v>44</v>
      </c>
      <c r="C1022" t="s">
        <v>81</v>
      </c>
      <c r="D1022" s="2">
        <v>60.560253000000003</v>
      </c>
      <c r="E1022" s="2">
        <v>88</v>
      </c>
    </row>
    <row r="1023" spans="1:5" x14ac:dyDescent="0.2">
      <c r="A1023" t="s">
        <v>96</v>
      </c>
      <c r="B1023" t="s">
        <v>44</v>
      </c>
      <c r="C1023" t="s">
        <v>81</v>
      </c>
      <c r="D1023" s="2">
        <v>0</v>
      </c>
      <c r="E1023" s="2">
        <v>0</v>
      </c>
    </row>
    <row r="1024" spans="1:5" x14ac:dyDescent="0.2">
      <c r="A1024" t="s">
        <v>96</v>
      </c>
      <c r="B1024" t="s">
        <v>44</v>
      </c>
      <c r="C1024" t="s">
        <v>81</v>
      </c>
      <c r="D1024" s="2">
        <v>0</v>
      </c>
      <c r="E1024" s="2">
        <v>0</v>
      </c>
    </row>
    <row r="1025" spans="1:5" x14ac:dyDescent="0.2">
      <c r="A1025" t="s">
        <v>96</v>
      </c>
      <c r="B1025" t="s">
        <v>44</v>
      </c>
      <c r="C1025" t="s">
        <v>81</v>
      </c>
      <c r="D1025" s="2">
        <v>0</v>
      </c>
      <c r="E1025" s="2">
        <v>0</v>
      </c>
    </row>
    <row r="1026" spans="1:5" x14ac:dyDescent="0.2">
      <c r="A1026" t="s">
        <v>93</v>
      </c>
      <c r="B1026" t="s">
        <v>78</v>
      </c>
      <c r="C1026" t="s">
        <v>81</v>
      </c>
      <c r="D1026" s="2">
        <v>0</v>
      </c>
      <c r="E1026" s="2">
        <v>0</v>
      </c>
    </row>
    <row r="1027" spans="1:5" x14ac:dyDescent="0.2">
      <c r="A1027" t="s">
        <v>93</v>
      </c>
      <c r="B1027" t="s">
        <v>78</v>
      </c>
      <c r="C1027" t="s">
        <v>81</v>
      </c>
      <c r="D1027" s="2">
        <v>0</v>
      </c>
      <c r="E1027" s="2">
        <v>0</v>
      </c>
    </row>
    <row r="1028" spans="1:5" x14ac:dyDescent="0.2">
      <c r="A1028" t="s">
        <v>93</v>
      </c>
      <c r="B1028" t="s">
        <v>78</v>
      </c>
      <c r="C1028" t="s">
        <v>81</v>
      </c>
      <c r="D1028" s="2">
        <v>50.139215999999998</v>
      </c>
      <c r="E1028" s="2">
        <v>0</v>
      </c>
    </row>
    <row r="1029" spans="1:5" x14ac:dyDescent="0.2">
      <c r="A1029" t="s">
        <v>93</v>
      </c>
      <c r="B1029" t="s">
        <v>78</v>
      </c>
      <c r="C1029" t="s">
        <v>81</v>
      </c>
      <c r="D1029" s="2">
        <v>31.686458600000002</v>
      </c>
      <c r="E1029" s="2">
        <v>0</v>
      </c>
    </row>
    <row r="1030" spans="1:5" x14ac:dyDescent="0.2">
      <c r="A1030" t="s">
        <v>95</v>
      </c>
      <c r="B1030" t="s">
        <v>78</v>
      </c>
      <c r="C1030" t="s">
        <v>81</v>
      </c>
      <c r="D1030" s="2">
        <v>0</v>
      </c>
      <c r="E1030" s="2">
        <v>0</v>
      </c>
    </row>
    <row r="1031" spans="1:5" x14ac:dyDescent="0.2">
      <c r="A1031" t="s">
        <v>95</v>
      </c>
      <c r="B1031" t="s">
        <v>78</v>
      </c>
      <c r="C1031" t="s">
        <v>81</v>
      </c>
      <c r="D1031" s="2">
        <v>0</v>
      </c>
      <c r="E1031" s="2">
        <v>0</v>
      </c>
    </row>
    <row r="1032" spans="1:5" x14ac:dyDescent="0.2">
      <c r="A1032" t="s">
        <v>95</v>
      </c>
      <c r="B1032" t="s">
        <v>78</v>
      </c>
      <c r="C1032" t="s">
        <v>81</v>
      </c>
      <c r="D1032" s="2">
        <v>0</v>
      </c>
      <c r="E1032" s="2">
        <v>0</v>
      </c>
    </row>
    <row r="1033" spans="1:5" x14ac:dyDescent="0.2">
      <c r="A1033" t="s">
        <v>95</v>
      </c>
      <c r="B1033" t="s">
        <v>78</v>
      </c>
      <c r="C1033" t="s">
        <v>81</v>
      </c>
      <c r="D1033" s="2">
        <v>0</v>
      </c>
      <c r="E1033" s="2">
        <v>0</v>
      </c>
    </row>
    <row r="1034" spans="1:5" x14ac:dyDescent="0.2">
      <c r="A1034" t="s">
        <v>95</v>
      </c>
      <c r="B1034" t="s">
        <v>78</v>
      </c>
      <c r="C1034" t="s">
        <v>81</v>
      </c>
      <c r="D1034" s="2">
        <v>0</v>
      </c>
      <c r="E1034" s="2">
        <v>0</v>
      </c>
    </row>
    <row r="1035" spans="1:5" x14ac:dyDescent="0.2">
      <c r="A1035" t="s">
        <v>95</v>
      </c>
      <c r="B1035" t="s">
        <v>78</v>
      </c>
      <c r="C1035" t="s">
        <v>81</v>
      </c>
      <c r="D1035" s="2">
        <v>0</v>
      </c>
      <c r="E1035" s="2">
        <v>0</v>
      </c>
    </row>
    <row r="1036" spans="1:5" x14ac:dyDescent="0.2">
      <c r="A1036" t="s">
        <v>95</v>
      </c>
      <c r="B1036" t="s">
        <v>78</v>
      </c>
      <c r="C1036" t="s">
        <v>81</v>
      </c>
      <c r="D1036" s="2">
        <v>262.5902026</v>
      </c>
      <c r="E1036" s="2">
        <v>0</v>
      </c>
    </row>
    <row r="1037" spans="1:5" x14ac:dyDescent="0.2">
      <c r="A1037" t="s">
        <v>95</v>
      </c>
      <c r="B1037" t="s">
        <v>78</v>
      </c>
      <c r="C1037" t="s">
        <v>81</v>
      </c>
      <c r="D1037" s="2">
        <v>367.29328600000002</v>
      </c>
      <c r="E1037" s="2">
        <v>0</v>
      </c>
    </row>
    <row r="1038" spans="1:5" x14ac:dyDescent="0.2">
      <c r="A1038" t="s">
        <v>95</v>
      </c>
      <c r="B1038" t="s">
        <v>78</v>
      </c>
      <c r="C1038" t="s">
        <v>81</v>
      </c>
      <c r="D1038" s="2">
        <v>0</v>
      </c>
      <c r="E1038" s="2">
        <v>0</v>
      </c>
    </row>
    <row r="1039" spans="1:5" x14ac:dyDescent="0.2">
      <c r="A1039" t="s">
        <v>95</v>
      </c>
      <c r="B1039" t="s">
        <v>78</v>
      </c>
      <c r="C1039" t="s">
        <v>81</v>
      </c>
      <c r="D1039" s="2">
        <v>688.6272682</v>
      </c>
      <c r="E1039" s="2">
        <v>0</v>
      </c>
    </row>
    <row r="1040" spans="1:5" x14ac:dyDescent="0.2">
      <c r="A1040" t="s">
        <v>95</v>
      </c>
      <c r="B1040" t="s">
        <v>78</v>
      </c>
      <c r="C1040" t="s">
        <v>81</v>
      </c>
      <c r="D1040" s="2">
        <v>0</v>
      </c>
      <c r="E1040" s="2">
        <v>0</v>
      </c>
    </row>
    <row r="1041" spans="1:5" x14ac:dyDescent="0.2">
      <c r="A1041" t="s">
        <v>95</v>
      </c>
      <c r="B1041" t="s">
        <v>78</v>
      </c>
      <c r="C1041" t="s">
        <v>81</v>
      </c>
      <c r="D1041" s="2">
        <v>0</v>
      </c>
      <c r="E1041" s="2">
        <v>0</v>
      </c>
    </row>
    <row r="1042" spans="1:5" x14ac:dyDescent="0.2">
      <c r="A1042" t="s">
        <v>95</v>
      </c>
      <c r="B1042" t="s">
        <v>78</v>
      </c>
      <c r="C1042" t="s">
        <v>81</v>
      </c>
      <c r="D1042" s="2">
        <v>464.7372704</v>
      </c>
      <c r="E1042" s="2">
        <v>0</v>
      </c>
    </row>
    <row r="1043" spans="1:5" x14ac:dyDescent="0.2">
      <c r="A1043" t="s">
        <v>95</v>
      </c>
      <c r="B1043" t="s">
        <v>78</v>
      </c>
      <c r="C1043" t="s">
        <v>81</v>
      </c>
      <c r="D1043" s="2">
        <v>0</v>
      </c>
      <c r="E1043" s="2">
        <v>0</v>
      </c>
    </row>
    <row r="1044" spans="1:5" x14ac:dyDescent="0.2">
      <c r="A1044" t="s">
        <v>94</v>
      </c>
      <c r="B1044" t="s">
        <v>78</v>
      </c>
      <c r="C1044" t="s">
        <v>81</v>
      </c>
      <c r="D1044" s="2">
        <v>0</v>
      </c>
      <c r="E1044" s="2">
        <v>0</v>
      </c>
    </row>
    <row r="1045" spans="1:5" x14ac:dyDescent="0.2">
      <c r="A1045" t="s">
        <v>94</v>
      </c>
      <c r="B1045" t="s">
        <v>78</v>
      </c>
      <c r="C1045" t="s">
        <v>81</v>
      </c>
      <c r="D1045" s="2">
        <v>0</v>
      </c>
      <c r="E1045" s="2">
        <v>0</v>
      </c>
    </row>
    <row r="1046" spans="1:5" x14ac:dyDescent="0.2">
      <c r="A1046" t="s">
        <v>94</v>
      </c>
      <c r="B1046" t="s">
        <v>78</v>
      </c>
      <c r="C1046" t="s">
        <v>81</v>
      </c>
      <c r="D1046" s="2">
        <v>0</v>
      </c>
      <c r="E1046" s="2">
        <v>0</v>
      </c>
    </row>
    <row r="1047" spans="1:5" x14ac:dyDescent="0.2">
      <c r="A1047" t="s">
        <v>94</v>
      </c>
      <c r="B1047" t="s">
        <v>78</v>
      </c>
      <c r="C1047" t="s">
        <v>81</v>
      </c>
      <c r="D1047" s="2">
        <v>537.93193199999996</v>
      </c>
      <c r="E1047" s="2">
        <v>0</v>
      </c>
    </row>
    <row r="1048" spans="1:5" x14ac:dyDescent="0.2">
      <c r="A1048" t="s">
        <v>94</v>
      </c>
      <c r="B1048" t="s">
        <v>78</v>
      </c>
      <c r="C1048" t="s">
        <v>81</v>
      </c>
      <c r="D1048" s="2">
        <v>0</v>
      </c>
      <c r="E1048" s="2">
        <v>0</v>
      </c>
    </row>
    <row r="1049" spans="1:5" x14ac:dyDescent="0.2">
      <c r="A1049" t="s">
        <v>94</v>
      </c>
      <c r="B1049" t="s">
        <v>78</v>
      </c>
      <c r="C1049" t="s">
        <v>81</v>
      </c>
      <c r="D1049" s="2">
        <v>216.85143339999999</v>
      </c>
      <c r="E1049" s="2">
        <v>0</v>
      </c>
    </row>
    <row r="1050" spans="1:5" x14ac:dyDescent="0.2">
      <c r="A1050" t="s">
        <v>94</v>
      </c>
      <c r="B1050" t="s">
        <v>78</v>
      </c>
      <c r="C1050" t="s">
        <v>81</v>
      </c>
      <c r="D1050" s="2">
        <v>152.59273200000001</v>
      </c>
      <c r="E1050" s="2">
        <v>0</v>
      </c>
    </row>
    <row r="1051" spans="1:5" x14ac:dyDescent="0.2">
      <c r="A1051" t="s">
        <v>96</v>
      </c>
      <c r="B1051" t="s">
        <v>78</v>
      </c>
      <c r="C1051" t="s">
        <v>81</v>
      </c>
      <c r="D1051" s="2">
        <v>257.91340400000001</v>
      </c>
      <c r="E1051" s="2">
        <v>0</v>
      </c>
    </row>
    <row r="1052" spans="1:5" x14ac:dyDescent="0.2">
      <c r="A1052" t="s">
        <v>96</v>
      </c>
      <c r="B1052" t="s">
        <v>78</v>
      </c>
      <c r="C1052" t="s">
        <v>81</v>
      </c>
      <c r="D1052" s="2">
        <v>197.81089399999999</v>
      </c>
      <c r="E1052" s="2">
        <v>0</v>
      </c>
    </row>
    <row r="1053" spans="1:5" x14ac:dyDescent="0.2">
      <c r="A1053" t="s">
        <v>96</v>
      </c>
      <c r="B1053" t="s">
        <v>78</v>
      </c>
      <c r="C1053" t="s">
        <v>81</v>
      </c>
      <c r="D1053" s="2">
        <v>74.797998000000007</v>
      </c>
      <c r="E1053" s="2">
        <v>0</v>
      </c>
    </row>
    <row r="1054" spans="1:5" x14ac:dyDescent="0.2">
      <c r="A1054" t="s">
        <v>96</v>
      </c>
      <c r="B1054" t="s">
        <v>78</v>
      </c>
      <c r="C1054" t="s">
        <v>81</v>
      </c>
      <c r="D1054" s="2">
        <v>62.335383999999998</v>
      </c>
      <c r="E1054" s="2">
        <v>0</v>
      </c>
    </row>
    <row r="1055" spans="1:5" x14ac:dyDescent="0.2">
      <c r="A1055" t="s">
        <v>96</v>
      </c>
      <c r="B1055" t="s">
        <v>78</v>
      </c>
      <c r="C1055" t="s">
        <v>81</v>
      </c>
      <c r="D1055" s="2">
        <v>0</v>
      </c>
      <c r="E1055" s="2">
        <v>0</v>
      </c>
    </row>
    <row r="1056" spans="1:5" x14ac:dyDescent="0.2">
      <c r="A1056" t="s">
        <v>96</v>
      </c>
      <c r="B1056" t="s">
        <v>78</v>
      </c>
      <c r="C1056" t="s">
        <v>81</v>
      </c>
      <c r="D1056" s="2">
        <v>0</v>
      </c>
      <c r="E1056" s="2">
        <v>0</v>
      </c>
    </row>
    <row r="1057" spans="1:5" x14ac:dyDescent="0.2">
      <c r="A1057" t="s">
        <v>96</v>
      </c>
      <c r="B1057" t="s">
        <v>78</v>
      </c>
      <c r="C1057" t="s">
        <v>81</v>
      </c>
      <c r="D1057" s="2">
        <v>0</v>
      </c>
      <c r="E1057" s="2">
        <v>0</v>
      </c>
    </row>
    <row r="1058" spans="1:5" x14ac:dyDescent="0.2">
      <c r="A1058" t="s">
        <v>93</v>
      </c>
      <c r="B1058" t="s">
        <v>65</v>
      </c>
      <c r="C1058" t="s">
        <v>81</v>
      </c>
      <c r="D1058" s="2">
        <v>0</v>
      </c>
      <c r="E1058" s="2">
        <v>0</v>
      </c>
    </row>
    <row r="1059" spans="1:5" x14ac:dyDescent="0.2">
      <c r="A1059" t="s">
        <v>93</v>
      </c>
      <c r="B1059" t="s">
        <v>65</v>
      </c>
      <c r="C1059" t="s">
        <v>81</v>
      </c>
      <c r="D1059" s="2">
        <v>0</v>
      </c>
      <c r="E1059" s="2">
        <v>0</v>
      </c>
    </row>
    <row r="1060" spans="1:5" x14ac:dyDescent="0.2">
      <c r="A1060" t="s">
        <v>93</v>
      </c>
      <c r="B1060" t="s">
        <v>65</v>
      </c>
      <c r="C1060" t="s">
        <v>81</v>
      </c>
      <c r="D1060" s="2">
        <v>0</v>
      </c>
      <c r="E1060" s="2">
        <v>48</v>
      </c>
    </row>
    <row r="1061" spans="1:5" x14ac:dyDescent="0.2">
      <c r="A1061" t="s">
        <v>93</v>
      </c>
      <c r="B1061" t="s">
        <v>65</v>
      </c>
      <c r="C1061" t="s">
        <v>81</v>
      </c>
      <c r="D1061" s="2">
        <v>0</v>
      </c>
      <c r="E1061" s="2">
        <v>20</v>
      </c>
    </row>
    <row r="1062" spans="1:5" x14ac:dyDescent="0.2">
      <c r="A1062" t="s">
        <v>95</v>
      </c>
      <c r="B1062" t="s">
        <v>65</v>
      </c>
      <c r="C1062" t="s">
        <v>81</v>
      </c>
      <c r="D1062" s="2">
        <v>0</v>
      </c>
      <c r="E1062" s="2">
        <v>0</v>
      </c>
    </row>
    <row r="1063" spans="1:5" x14ac:dyDescent="0.2">
      <c r="A1063" t="s">
        <v>95</v>
      </c>
      <c r="B1063" t="s">
        <v>65</v>
      </c>
      <c r="C1063" t="s">
        <v>81</v>
      </c>
      <c r="D1063" s="2">
        <v>0</v>
      </c>
      <c r="E1063" s="2">
        <v>0</v>
      </c>
    </row>
    <row r="1064" spans="1:5" x14ac:dyDescent="0.2">
      <c r="A1064" t="s">
        <v>95</v>
      </c>
      <c r="B1064" t="s">
        <v>65</v>
      </c>
      <c r="C1064" t="s">
        <v>81</v>
      </c>
      <c r="D1064" s="2">
        <v>0</v>
      </c>
      <c r="E1064" s="2">
        <v>0</v>
      </c>
    </row>
    <row r="1065" spans="1:5" x14ac:dyDescent="0.2">
      <c r="A1065" t="s">
        <v>95</v>
      </c>
      <c r="B1065" t="s">
        <v>65</v>
      </c>
      <c r="C1065" t="s">
        <v>81</v>
      </c>
      <c r="D1065" s="2">
        <v>0</v>
      </c>
      <c r="E1065" s="2">
        <v>0</v>
      </c>
    </row>
    <row r="1066" spans="1:5" x14ac:dyDescent="0.2">
      <c r="A1066" t="s">
        <v>95</v>
      </c>
      <c r="B1066" t="s">
        <v>65</v>
      </c>
      <c r="C1066" t="s">
        <v>81</v>
      </c>
      <c r="D1066" s="2">
        <v>0</v>
      </c>
      <c r="E1066" s="2">
        <v>0</v>
      </c>
    </row>
    <row r="1067" spans="1:5" x14ac:dyDescent="0.2">
      <c r="A1067" t="s">
        <v>95</v>
      </c>
      <c r="B1067" t="s">
        <v>65</v>
      </c>
      <c r="C1067" t="s">
        <v>81</v>
      </c>
      <c r="D1067" s="2">
        <v>0</v>
      </c>
      <c r="E1067" s="2">
        <v>0</v>
      </c>
    </row>
    <row r="1068" spans="1:5" x14ac:dyDescent="0.2">
      <c r="A1068" t="s">
        <v>95</v>
      </c>
      <c r="B1068" t="s">
        <v>65</v>
      </c>
      <c r="C1068" t="s">
        <v>81</v>
      </c>
      <c r="D1068" s="2">
        <v>0</v>
      </c>
      <c r="E1068" s="2">
        <v>248</v>
      </c>
    </row>
    <row r="1069" spans="1:5" x14ac:dyDescent="0.2">
      <c r="A1069" t="s">
        <v>95</v>
      </c>
      <c r="B1069" t="s">
        <v>65</v>
      </c>
      <c r="C1069" t="s">
        <v>81</v>
      </c>
      <c r="D1069" s="2">
        <v>0</v>
      </c>
      <c r="E1069" s="2">
        <v>296</v>
      </c>
    </row>
    <row r="1070" spans="1:5" x14ac:dyDescent="0.2">
      <c r="A1070" t="s">
        <v>95</v>
      </c>
      <c r="B1070" t="s">
        <v>65</v>
      </c>
      <c r="C1070" t="s">
        <v>81</v>
      </c>
      <c r="D1070" s="2">
        <v>0</v>
      </c>
      <c r="E1070" s="2">
        <v>0</v>
      </c>
    </row>
    <row r="1071" spans="1:5" x14ac:dyDescent="0.2">
      <c r="A1071" t="s">
        <v>95</v>
      </c>
      <c r="B1071" t="s">
        <v>65</v>
      </c>
      <c r="C1071" t="s">
        <v>81</v>
      </c>
      <c r="D1071" s="2">
        <v>0</v>
      </c>
      <c r="E1071" s="2">
        <v>306</v>
      </c>
    </row>
    <row r="1072" spans="1:5" x14ac:dyDescent="0.2">
      <c r="A1072" t="s">
        <v>95</v>
      </c>
      <c r="B1072" t="s">
        <v>65</v>
      </c>
      <c r="C1072" t="s">
        <v>81</v>
      </c>
      <c r="D1072" s="2">
        <v>0</v>
      </c>
      <c r="E1072" s="2">
        <v>0</v>
      </c>
    </row>
    <row r="1073" spans="1:5" x14ac:dyDescent="0.2">
      <c r="A1073" t="s">
        <v>95</v>
      </c>
      <c r="B1073" t="s">
        <v>65</v>
      </c>
      <c r="C1073" t="s">
        <v>81</v>
      </c>
      <c r="D1073" s="2">
        <v>0</v>
      </c>
      <c r="E1073" s="2">
        <v>0</v>
      </c>
    </row>
    <row r="1074" spans="1:5" x14ac:dyDescent="0.2">
      <c r="A1074" t="s">
        <v>95</v>
      </c>
      <c r="B1074" t="s">
        <v>65</v>
      </c>
      <c r="C1074" t="s">
        <v>81</v>
      </c>
      <c r="D1074" s="2">
        <v>0</v>
      </c>
      <c r="E1074" s="2">
        <v>346</v>
      </c>
    </row>
    <row r="1075" spans="1:5" x14ac:dyDescent="0.2">
      <c r="A1075" t="s">
        <v>95</v>
      </c>
      <c r="B1075" t="s">
        <v>65</v>
      </c>
      <c r="C1075" t="s">
        <v>81</v>
      </c>
      <c r="D1075" s="2">
        <v>0</v>
      </c>
      <c r="E1075" s="2">
        <v>0</v>
      </c>
    </row>
    <row r="1076" spans="1:5" x14ac:dyDescent="0.2">
      <c r="A1076" t="s">
        <v>94</v>
      </c>
      <c r="B1076" t="s">
        <v>65</v>
      </c>
      <c r="C1076" t="s">
        <v>81</v>
      </c>
      <c r="D1076" s="2">
        <v>0</v>
      </c>
      <c r="E1076" s="2">
        <v>0</v>
      </c>
    </row>
    <row r="1077" spans="1:5" x14ac:dyDescent="0.2">
      <c r="A1077" t="s">
        <v>94</v>
      </c>
      <c r="B1077" t="s">
        <v>65</v>
      </c>
      <c r="C1077" t="s">
        <v>81</v>
      </c>
      <c r="D1077" s="2">
        <v>0</v>
      </c>
      <c r="E1077" s="2">
        <v>0</v>
      </c>
    </row>
    <row r="1078" spans="1:5" x14ac:dyDescent="0.2">
      <c r="A1078" t="s">
        <v>94</v>
      </c>
      <c r="B1078" t="s">
        <v>65</v>
      </c>
      <c r="C1078" t="s">
        <v>81</v>
      </c>
      <c r="D1078" s="2">
        <v>0</v>
      </c>
      <c r="E1078" s="2">
        <v>0</v>
      </c>
    </row>
    <row r="1079" spans="1:5" x14ac:dyDescent="0.2">
      <c r="A1079" t="s">
        <v>94</v>
      </c>
      <c r="B1079" t="s">
        <v>65</v>
      </c>
      <c r="C1079" t="s">
        <v>81</v>
      </c>
      <c r="D1079" s="2">
        <v>0</v>
      </c>
      <c r="E1079" s="2">
        <v>38</v>
      </c>
    </row>
    <row r="1080" spans="1:5" x14ac:dyDescent="0.2">
      <c r="A1080" t="s">
        <v>94</v>
      </c>
      <c r="B1080" t="s">
        <v>65</v>
      </c>
      <c r="C1080" t="s">
        <v>81</v>
      </c>
      <c r="D1080" s="2">
        <v>0</v>
      </c>
      <c r="E1080" s="2">
        <v>0</v>
      </c>
    </row>
    <row r="1081" spans="1:5" x14ac:dyDescent="0.2">
      <c r="A1081" t="s">
        <v>94</v>
      </c>
      <c r="B1081" t="s">
        <v>65</v>
      </c>
      <c r="C1081" t="s">
        <v>81</v>
      </c>
      <c r="D1081" s="2">
        <v>0</v>
      </c>
      <c r="E1081" s="2">
        <v>12</v>
      </c>
    </row>
    <row r="1082" spans="1:5" x14ac:dyDescent="0.2">
      <c r="A1082" t="s">
        <v>94</v>
      </c>
      <c r="B1082" t="s">
        <v>65</v>
      </c>
      <c r="C1082" t="s">
        <v>81</v>
      </c>
      <c r="D1082" s="2">
        <v>0</v>
      </c>
      <c r="E1082" s="2">
        <v>0</v>
      </c>
    </row>
    <row r="1083" spans="1:5" x14ac:dyDescent="0.2">
      <c r="A1083" t="s">
        <v>96</v>
      </c>
      <c r="B1083" t="s">
        <v>65</v>
      </c>
      <c r="C1083" t="s">
        <v>81</v>
      </c>
      <c r="D1083" s="2">
        <v>0</v>
      </c>
      <c r="E1083" s="2">
        <v>232</v>
      </c>
    </row>
    <row r="1084" spans="1:5" x14ac:dyDescent="0.2">
      <c r="A1084" t="s">
        <v>96</v>
      </c>
      <c r="B1084" t="s">
        <v>65</v>
      </c>
      <c r="C1084" t="s">
        <v>81</v>
      </c>
      <c r="D1084" s="2">
        <v>0</v>
      </c>
      <c r="E1084" s="2">
        <v>74</v>
      </c>
    </row>
    <row r="1085" spans="1:5" x14ac:dyDescent="0.2">
      <c r="A1085" t="s">
        <v>96</v>
      </c>
      <c r="B1085" t="s">
        <v>65</v>
      </c>
      <c r="C1085" t="s">
        <v>81</v>
      </c>
      <c r="D1085" s="2">
        <v>0</v>
      </c>
      <c r="E1085" s="2">
        <v>10</v>
      </c>
    </row>
    <row r="1086" spans="1:5" x14ac:dyDescent="0.2">
      <c r="A1086" t="s">
        <v>96</v>
      </c>
      <c r="B1086" t="s">
        <v>65</v>
      </c>
      <c r="C1086" t="s">
        <v>81</v>
      </c>
      <c r="D1086" s="2">
        <v>0</v>
      </c>
      <c r="E1086" s="2">
        <v>24</v>
      </c>
    </row>
    <row r="1087" spans="1:5" x14ac:dyDescent="0.2">
      <c r="A1087" t="s">
        <v>96</v>
      </c>
      <c r="B1087" t="s">
        <v>65</v>
      </c>
      <c r="C1087" t="s">
        <v>81</v>
      </c>
      <c r="D1087" s="2">
        <v>0</v>
      </c>
      <c r="E1087" s="2">
        <v>0</v>
      </c>
    </row>
    <row r="1088" spans="1:5" x14ac:dyDescent="0.2">
      <c r="A1088" t="s">
        <v>96</v>
      </c>
      <c r="B1088" t="s">
        <v>65</v>
      </c>
      <c r="C1088" t="s">
        <v>81</v>
      </c>
      <c r="D1088" s="2">
        <v>0</v>
      </c>
      <c r="E1088" s="2">
        <v>0</v>
      </c>
    </row>
    <row r="1089" spans="1:5" x14ac:dyDescent="0.2">
      <c r="A1089" t="s">
        <v>96</v>
      </c>
      <c r="B1089" t="s">
        <v>65</v>
      </c>
      <c r="C1089" t="s">
        <v>81</v>
      </c>
      <c r="D1089" s="2">
        <v>0</v>
      </c>
      <c r="E1089" s="2">
        <v>0</v>
      </c>
    </row>
    <row r="1090" spans="1:5" x14ac:dyDescent="0.2">
      <c r="A1090" t="s">
        <v>93</v>
      </c>
      <c r="B1090" t="s">
        <v>43</v>
      </c>
      <c r="C1090" t="s">
        <v>81</v>
      </c>
      <c r="D1090" s="2">
        <v>0</v>
      </c>
      <c r="E1090" s="2">
        <v>0</v>
      </c>
    </row>
    <row r="1091" spans="1:5" x14ac:dyDescent="0.2">
      <c r="A1091" t="s">
        <v>93</v>
      </c>
      <c r="B1091" t="s">
        <v>43</v>
      </c>
      <c r="C1091" t="s">
        <v>81</v>
      </c>
      <c r="D1091" s="2">
        <v>0</v>
      </c>
      <c r="E1091" s="2">
        <v>0</v>
      </c>
    </row>
    <row r="1092" spans="1:5" x14ac:dyDescent="0.2">
      <c r="A1092" t="s">
        <v>93</v>
      </c>
      <c r="B1092" t="s">
        <v>43</v>
      </c>
      <c r="C1092" t="s">
        <v>81</v>
      </c>
      <c r="D1092" s="2">
        <v>52.309148800000003</v>
      </c>
      <c r="E1092" s="2">
        <v>76</v>
      </c>
    </row>
    <row r="1093" spans="1:5" x14ac:dyDescent="0.2">
      <c r="A1093" t="s">
        <v>93</v>
      </c>
      <c r="B1093" t="s">
        <v>43</v>
      </c>
      <c r="C1093" t="s">
        <v>81</v>
      </c>
      <c r="D1093" s="2">
        <v>38.008918999999999</v>
      </c>
      <c r="E1093" s="2">
        <v>16</v>
      </c>
    </row>
    <row r="1094" spans="1:5" x14ac:dyDescent="0.2">
      <c r="A1094" t="s">
        <v>95</v>
      </c>
      <c r="B1094" t="s">
        <v>43</v>
      </c>
      <c r="C1094" t="s">
        <v>81</v>
      </c>
      <c r="D1094" s="2">
        <v>0</v>
      </c>
      <c r="E1094" s="2">
        <v>0</v>
      </c>
    </row>
    <row r="1095" spans="1:5" x14ac:dyDescent="0.2">
      <c r="A1095" t="s">
        <v>95</v>
      </c>
      <c r="B1095" t="s">
        <v>43</v>
      </c>
      <c r="C1095" t="s">
        <v>81</v>
      </c>
      <c r="D1095" s="2">
        <v>0</v>
      </c>
      <c r="E1095" s="2">
        <v>0</v>
      </c>
    </row>
    <row r="1096" spans="1:5" x14ac:dyDescent="0.2">
      <c r="A1096" t="s">
        <v>95</v>
      </c>
      <c r="B1096" t="s">
        <v>43</v>
      </c>
      <c r="C1096" t="s">
        <v>81</v>
      </c>
      <c r="D1096" s="2">
        <v>0</v>
      </c>
      <c r="E1096" s="2">
        <v>0</v>
      </c>
    </row>
    <row r="1097" spans="1:5" x14ac:dyDescent="0.2">
      <c r="A1097" t="s">
        <v>95</v>
      </c>
      <c r="B1097" t="s">
        <v>43</v>
      </c>
      <c r="C1097" t="s">
        <v>81</v>
      </c>
      <c r="D1097" s="2">
        <v>0</v>
      </c>
      <c r="E1097" s="2">
        <v>0</v>
      </c>
    </row>
    <row r="1098" spans="1:5" x14ac:dyDescent="0.2">
      <c r="A1098" t="s">
        <v>95</v>
      </c>
      <c r="B1098" t="s">
        <v>43</v>
      </c>
      <c r="C1098" t="s">
        <v>81</v>
      </c>
      <c r="D1098" s="2">
        <v>0</v>
      </c>
      <c r="E1098" s="2">
        <v>0</v>
      </c>
    </row>
    <row r="1099" spans="1:5" x14ac:dyDescent="0.2">
      <c r="A1099" t="s">
        <v>95</v>
      </c>
      <c r="B1099" t="s">
        <v>43</v>
      </c>
      <c r="C1099" t="s">
        <v>81</v>
      </c>
      <c r="D1099" s="2">
        <v>0</v>
      </c>
      <c r="E1099" s="2">
        <v>0</v>
      </c>
    </row>
    <row r="1100" spans="1:5" x14ac:dyDescent="0.2">
      <c r="A1100" t="s">
        <v>95</v>
      </c>
      <c r="B1100" t="s">
        <v>43</v>
      </c>
      <c r="C1100" t="s">
        <v>81</v>
      </c>
      <c r="D1100" s="2">
        <v>258.92981459999999</v>
      </c>
      <c r="E1100" s="2">
        <v>282</v>
      </c>
    </row>
    <row r="1101" spans="1:5" x14ac:dyDescent="0.2">
      <c r="A1101" t="s">
        <v>95</v>
      </c>
      <c r="B1101" t="s">
        <v>43</v>
      </c>
      <c r="C1101" t="s">
        <v>81</v>
      </c>
      <c r="D1101" s="2">
        <v>263.474084</v>
      </c>
      <c r="E1101" s="2">
        <v>332</v>
      </c>
    </row>
    <row r="1102" spans="1:5" x14ac:dyDescent="0.2">
      <c r="A1102" t="s">
        <v>95</v>
      </c>
      <c r="B1102" t="s">
        <v>43</v>
      </c>
      <c r="C1102" t="s">
        <v>81</v>
      </c>
      <c r="D1102" s="2">
        <v>0</v>
      </c>
      <c r="E1102" s="2">
        <v>0</v>
      </c>
    </row>
    <row r="1103" spans="1:5" x14ac:dyDescent="0.2">
      <c r="A1103" t="s">
        <v>95</v>
      </c>
      <c r="B1103" t="s">
        <v>43</v>
      </c>
      <c r="C1103" t="s">
        <v>81</v>
      </c>
      <c r="D1103" s="2">
        <v>599.52135820000001</v>
      </c>
      <c r="E1103" s="2">
        <v>404</v>
      </c>
    </row>
    <row r="1104" spans="1:5" x14ac:dyDescent="0.2">
      <c r="A1104" t="s">
        <v>95</v>
      </c>
      <c r="B1104" t="s">
        <v>43</v>
      </c>
      <c r="C1104" t="s">
        <v>81</v>
      </c>
      <c r="D1104" s="2">
        <v>0</v>
      </c>
      <c r="E1104" s="2">
        <v>0</v>
      </c>
    </row>
    <row r="1105" spans="1:5" x14ac:dyDescent="0.2">
      <c r="A1105" t="s">
        <v>95</v>
      </c>
      <c r="B1105" t="s">
        <v>43</v>
      </c>
      <c r="C1105" t="s">
        <v>81</v>
      </c>
      <c r="D1105" s="2">
        <v>0</v>
      </c>
      <c r="E1105" s="2">
        <v>0</v>
      </c>
    </row>
    <row r="1106" spans="1:5" x14ac:dyDescent="0.2">
      <c r="A1106" t="s">
        <v>95</v>
      </c>
      <c r="B1106" t="s">
        <v>43</v>
      </c>
      <c r="C1106" t="s">
        <v>81</v>
      </c>
      <c r="D1106" s="2">
        <v>335.9641216</v>
      </c>
      <c r="E1106" s="2">
        <v>400</v>
      </c>
    </row>
    <row r="1107" spans="1:5" x14ac:dyDescent="0.2">
      <c r="A1107" t="s">
        <v>95</v>
      </c>
      <c r="B1107" t="s">
        <v>43</v>
      </c>
      <c r="C1107" t="s">
        <v>81</v>
      </c>
      <c r="D1107" s="2">
        <v>0</v>
      </c>
      <c r="E1107" s="2">
        <v>0</v>
      </c>
    </row>
    <row r="1108" spans="1:5" x14ac:dyDescent="0.2">
      <c r="A1108" t="s">
        <v>94</v>
      </c>
      <c r="B1108" t="s">
        <v>43</v>
      </c>
      <c r="C1108" t="s">
        <v>81</v>
      </c>
      <c r="D1108" s="2">
        <v>0</v>
      </c>
      <c r="E1108" s="2">
        <v>0</v>
      </c>
    </row>
    <row r="1109" spans="1:5" x14ac:dyDescent="0.2">
      <c r="A1109" t="s">
        <v>94</v>
      </c>
      <c r="B1109" t="s">
        <v>43</v>
      </c>
      <c r="C1109" t="s">
        <v>81</v>
      </c>
      <c r="D1109" s="2">
        <v>0</v>
      </c>
      <c r="E1109" s="2">
        <v>0</v>
      </c>
    </row>
    <row r="1110" spans="1:5" x14ac:dyDescent="0.2">
      <c r="A1110" t="s">
        <v>94</v>
      </c>
      <c r="B1110" t="s">
        <v>43</v>
      </c>
      <c r="C1110" t="s">
        <v>81</v>
      </c>
      <c r="D1110" s="2">
        <v>0</v>
      </c>
      <c r="E1110" s="2">
        <v>0</v>
      </c>
    </row>
    <row r="1111" spans="1:5" x14ac:dyDescent="0.2">
      <c r="A1111" t="s">
        <v>94</v>
      </c>
      <c r="B1111" t="s">
        <v>43</v>
      </c>
      <c r="C1111" t="s">
        <v>81</v>
      </c>
      <c r="D1111" s="2">
        <v>114.46141780000001</v>
      </c>
      <c r="E1111" s="2">
        <v>194</v>
      </c>
    </row>
    <row r="1112" spans="1:5" x14ac:dyDescent="0.2">
      <c r="A1112" t="s">
        <v>94</v>
      </c>
      <c r="B1112" t="s">
        <v>43</v>
      </c>
      <c r="C1112" t="s">
        <v>81</v>
      </c>
      <c r="D1112" s="2">
        <v>0</v>
      </c>
      <c r="E1112" s="2">
        <v>0</v>
      </c>
    </row>
    <row r="1113" spans="1:5" x14ac:dyDescent="0.2">
      <c r="A1113" t="s">
        <v>94</v>
      </c>
      <c r="B1113" t="s">
        <v>43</v>
      </c>
      <c r="C1113" t="s">
        <v>81</v>
      </c>
      <c r="D1113" s="2">
        <v>107.30787340000001</v>
      </c>
      <c r="E1113" s="2">
        <v>56</v>
      </c>
    </row>
    <row r="1114" spans="1:5" x14ac:dyDescent="0.2">
      <c r="A1114" t="s">
        <v>94</v>
      </c>
      <c r="B1114" t="s">
        <v>43</v>
      </c>
      <c r="C1114" t="s">
        <v>81</v>
      </c>
      <c r="D1114" s="2">
        <v>0</v>
      </c>
      <c r="E1114" s="2">
        <v>20</v>
      </c>
    </row>
    <row r="1115" spans="1:5" x14ac:dyDescent="0.2">
      <c r="A1115" t="s">
        <v>96</v>
      </c>
      <c r="B1115" t="s">
        <v>43</v>
      </c>
      <c r="C1115" t="s">
        <v>81</v>
      </c>
      <c r="D1115" s="2">
        <v>168.70798780000001</v>
      </c>
      <c r="E1115" s="2">
        <v>208</v>
      </c>
    </row>
    <row r="1116" spans="1:5" x14ac:dyDescent="0.2">
      <c r="A1116" t="s">
        <v>96</v>
      </c>
      <c r="B1116" t="s">
        <v>43</v>
      </c>
      <c r="C1116" t="s">
        <v>81</v>
      </c>
      <c r="D1116" s="2">
        <v>140.88254620000001</v>
      </c>
      <c r="E1116" s="2">
        <v>126</v>
      </c>
    </row>
    <row r="1117" spans="1:5" x14ac:dyDescent="0.2">
      <c r="A1117" t="s">
        <v>96</v>
      </c>
      <c r="B1117" t="s">
        <v>43</v>
      </c>
      <c r="C1117" t="s">
        <v>81</v>
      </c>
      <c r="D1117" s="2">
        <v>0</v>
      </c>
      <c r="E1117" s="2">
        <v>4</v>
      </c>
    </row>
    <row r="1118" spans="1:5" x14ac:dyDescent="0.2">
      <c r="A1118" t="s">
        <v>96</v>
      </c>
      <c r="B1118" t="s">
        <v>43</v>
      </c>
      <c r="C1118" t="s">
        <v>81</v>
      </c>
      <c r="D1118" s="2">
        <v>68.612102199999995</v>
      </c>
      <c r="E1118" s="2">
        <v>74</v>
      </c>
    </row>
    <row r="1119" spans="1:5" x14ac:dyDescent="0.2">
      <c r="A1119" t="s">
        <v>96</v>
      </c>
      <c r="B1119" t="s">
        <v>43</v>
      </c>
      <c r="C1119" t="s">
        <v>81</v>
      </c>
      <c r="D1119" s="2">
        <v>0</v>
      </c>
      <c r="E1119" s="2">
        <v>0</v>
      </c>
    </row>
    <row r="1120" spans="1:5" x14ac:dyDescent="0.2">
      <c r="A1120" t="s">
        <v>96</v>
      </c>
      <c r="B1120" t="s">
        <v>43</v>
      </c>
      <c r="C1120" t="s">
        <v>81</v>
      </c>
      <c r="D1120" s="2">
        <v>0</v>
      </c>
      <c r="E1120" s="2">
        <v>0</v>
      </c>
    </row>
    <row r="1121" spans="1:5" x14ac:dyDescent="0.2">
      <c r="A1121" t="s">
        <v>96</v>
      </c>
      <c r="B1121" t="s">
        <v>43</v>
      </c>
      <c r="C1121" t="s">
        <v>81</v>
      </c>
      <c r="D1121" s="2">
        <v>0</v>
      </c>
      <c r="E1121" s="2">
        <v>0</v>
      </c>
    </row>
    <row r="1122" spans="1:5" x14ac:dyDescent="0.2">
      <c r="A1122" t="s">
        <v>93</v>
      </c>
      <c r="B1122" t="s">
        <v>77</v>
      </c>
      <c r="C1122" t="s">
        <v>81</v>
      </c>
      <c r="D1122" s="2">
        <v>0</v>
      </c>
      <c r="E1122" s="2">
        <v>0</v>
      </c>
    </row>
    <row r="1123" spans="1:5" x14ac:dyDescent="0.2">
      <c r="A1123" t="s">
        <v>93</v>
      </c>
      <c r="B1123" t="s">
        <v>77</v>
      </c>
      <c r="C1123" t="s">
        <v>81</v>
      </c>
      <c r="D1123" s="2">
        <v>0</v>
      </c>
      <c r="E1123" s="2">
        <v>0</v>
      </c>
    </row>
    <row r="1124" spans="1:5" x14ac:dyDescent="0.2">
      <c r="A1124" t="s">
        <v>93</v>
      </c>
      <c r="B1124" t="s">
        <v>77</v>
      </c>
      <c r="C1124" t="s">
        <v>81</v>
      </c>
      <c r="D1124" s="2">
        <v>66.197347399999998</v>
      </c>
      <c r="E1124" s="2">
        <v>0</v>
      </c>
    </row>
    <row r="1125" spans="1:5" x14ac:dyDescent="0.2">
      <c r="A1125" t="s">
        <v>93</v>
      </c>
      <c r="B1125" t="s">
        <v>77</v>
      </c>
      <c r="C1125" t="s">
        <v>81</v>
      </c>
      <c r="D1125" s="2">
        <v>24.808955399999999</v>
      </c>
      <c r="E1125" s="2">
        <v>0</v>
      </c>
    </row>
    <row r="1126" spans="1:5" x14ac:dyDescent="0.2">
      <c r="A1126" t="s">
        <v>95</v>
      </c>
      <c r="B1126" t="s">
        <v>77</v>
      </c>
      <c r="C1126" t="s">
        <v>81</v>
      </c>
      <c r="D1126" s="2">
        <v>0</v>
      </c>
      <c r="E1126" s="2">
        <v>0</v>
      </c>
    </row>
    <row r="1127" spans="1:5" x14ac:dyDescent="0.2">
      <c r="A1127" t="s">
        <v>95</v>
      </c>
      <c r="B1127" t="s">
        <v>77</v>
      </c>
      <c r="C1127" t="s">
        <v>81</v>
      </c>
      <c r="D1127" s="2">
        <v>0</v>
      </c>
      <c r="E1127" s="2">
        <v>0</v>
      </c>
    </row>
    <row r="1128" spans="1:5" x14ac:dyDescent="0.2">
      <c r="A1128" t="s">
        <v>95</v>
      </c>
      <c r="B1128" t="s">
        <v>77</v>
      </c>
      <c r="C1128" t="s">
        <v>81</v>
      </c>
      <c r="D1128" s="2">
        <v>0</v>
      </c>
      <c r="E1128" s="2">
        <v>0</v>
      </c>
    </row>
    <row r="1129" spans="1:5" x14ac:dyDescent="0.2">
      <c r="A1129" t="s">
        <v>95</v>
      </c>
      <c r="B1129" t="s">
        <v>77</v>
      </c>
      <c r="C1129" t="s">
        <v>81</v>
      </c>
      <c r="D1129" s="2">
        <v>0</v>
      </c>
      <c r="E1129" s="2">
        <v>0</v>
      </c>
    </row>
    <row r="1130" spans="1:5" x14ac:dyDescent="0.2">
      <c r="A1130" t="s">
        <v>95</v>
      </c>
      <c r="B1130" t="s">
        <v>77</v>
      </c>
      <c r="C1130" t="s">
        <v>81</v>
      </c>
      <c r="D1130" s="2">
        <v>0</v>
      </c>
      <c r="E1130" s="2">
        <v>0</v>
      </c>
    </row>
    <row r="1131" spans="1:5" x14ac:dyDescent="0.2">
      <c r="A1131" t="s">
        <v>95</v>
      </c>
      <c r="B1131" t="s">
        <v>77</v>
      </c>
      <c r="C1131" t="s">
        <v>81</v>
      </c>
      <c r="D1131" s="2">
        <v>0</v>
      </c>
      <c r="E1131" s="2">
        <v>0</v>
      </c>
    </row>
    <row r="1132" spans="1:5" x14ac:dyDescent="0.2">
      <c r="A1132" t="s">
        <v>95</v>
      </c>
      <c r="B1132" t="s">
        <v>77</v>
      </c>
      <c r="C1132" t="s">
        <v>81</v>
      </c>
      <c r="D1132" s="2">
        <v>266.1969904</v>
      </c>
      <c r="E1132" s="2">
        <v>0</v>
      </c>
    </row>
    <row r="1133" spans="1:5" x14ac:dyDescent="0.2">
      <c r="A1133" t="s">
        <v>95</v>
      </c>
      <c r="B1133" t="s">
        <v>77</v>
      </c>
      <c r="C1133" t="s">
        <v>81</v>
      </c>
      <c r="D1133" s="2">
        <v>309.04342059999999</v>
      </c>
      <c r="E1133" s="2">
        <v>0</v>
      </c>
    </row>
    <row r="1134" spans="1:5" x14ac:dyDescent="0.2">
      <c r="A1134" t="s">
        <v>95</v>
      </c>
      <c r="B1134" t="s">
        <v>77</v>
      </c>
      <c r="C1134" t="s">
        <v>81</v>
      </c>
      <c r="D1134" s="2">
        <v>0</v>
      </c>
      <c r="E1134" s="2">
        <v>0</v>
      </c>
    </row>
    <row r="1135" spans="1:5" x14ac:dyDescent="0.2">
      <c r="A1135" t="s">
        <v>95</v>
      </c>
      <c r="B1135" t="s">
        <v>77</v>
      </c>
      <c r="C1135" t="s">
        <v>81</v>
      </c>
      <c r="D1135" s="2">
        <v>741.36557600000003</v>
      </c>
      <c r="E1135" s="2">
        <v>0</v>
      </c>
    </row>
    <row r="1136" spans="1:5" x14ac:dyDescent="0.2">
      <c r="A1136" t="s">
        <v>95</v>
      </c>
      <c r="B1136" t="s">
        <v>77</v>
      </c>
      <c r="C1136" t="s">
        <v>81</v>
      </c>
      <c r="D1136" s="2">
        <v>0</v>
      </c>
      <c r="E1136" s="2">
        <v>0</v>
      </c>
    </row>
    <row r="1137" spans="1:5" x14ac:dyDescent="0.2">
      <c r="A1137" t="s">
        <v>95</v>
      </c>
      <c r="B1137" t="s">
        <v>77</v>
      </c>
      <c r="C1137" t="s">
        <v>81</v>
      </c>
      <c r="D1137" s="2">
        <v>0</v>
      </c>
      <c r="E1137" s="2">
        <v>0</v>
      </c>
    </row>
    <row r="1138" spans="1:5" x14ac:dyDescent="0.2">
      <c r="A1138" t="s">
        <v>95</v>
      </c>
      <c r="B1138" t="s">
        <v>77</v>
      </c>
      <c r="C1138" t="s">
        <v>81</v>
      </c>
      <c r="D1138" s="2">
        <v>371.86617219999999</v>
      </c>
      <c r="E1138" s="2">
        <v>0</v>
      </c>
    </row>
    <row r="1139" spans="1:5" x14ac:dyDescent="0.2">
      <c r="A1139" t="s">
        <v>95</v>
      </c>
      <c r="B1139" t="s">
        <v>77</v>
      </c>
      <c r="C1139" t="s">
        <v>81</v>
      </c>
      <c r="D1139" s="2">
        <v>0</v>
      </c>
      <c r="E1139" s="2">
        <v>0</v>
      </c>
    </row>
    <row r="1140" spans="1:5" x14ac:dyDescent="0.2">
      <c r="A1140" t="s">
        <v>94</v>
      </c>
      <c r="B1140" t="s">
        <v>77</v>
      </c>
      <c r="C1140" t="s">
        <v>81</v>
      </c>
      <c r="D1140" s="2">
        <v>0</v>
      </c>
      <c r="E1140" s="2">
        <v>0</v>
      </c>
    </row>
    <row r="1141" spans="1:5" x14ac:dyDescent="0.2">
      <c r="A1141" t="s">
        <v>94</v>
      </c>
      <c r="B1141" t="s">
        <v>77</v>
      </c>
      <c r="C1141" t="s">
        <v>81</v>
      </c>
      <c r="D1141" s="2">
        <v>0</v>
      </c>
      <c r="E1141" s="2">
        <v>0</v>
      </c>
    </row>
    <row r="1142" spans="1:5" x14ac:dyDescent="0.2">
      <c r="A1142" t="s">
        <v>94</v>
      </c>
      <c r="B1142" t="s">
        <v>77</v>
      </c>
      <c r="C1142" t="s">
        <v>81</v>
      </c>
      <c r="D1142" s="2">
        <v>0</v>
      </c>
      <c r="E1142" s="2">
        <v>0</v>
      </c>
    </row>
    <row r="1143" spans="1:5" x14ac:dyDescent="0.2">
      <c r="A1143" t="s">
        <v>94</v>
      </c>
      <c r="B1143" t="s">
        <v>77</v>
      </c>
      <c r="C1143" t="s">
        <v>81</v>
      </c>
      <c r="D1143" s="2">
        <v>491.5965832</v>
      </c>
      <c r="E1143" s="2">
        <v>0</v>
      </c>
    </row>
    <row r="1144" spans="1:5" x14ac:dyDescent="0.2">
      <c r="A1144" t="s">
        <v>94</v>
      </c>
      <c r="B1144" t="s">
        <v>77</v>
      </c>
      <c r="C1144" t="s">
        <v>81</v>
      </c>
      <c r="D1144" s="2">
        <v>0</v>
      </c>
      <c r="E1144" s="2">
        <v>0</v>
      </c>
    </row>
    <row r="1145" spans="1:5" x14ac:dyDescent="0.2">
      <c r="A1145" t="s">
        <v>94</v>
      </c>
      <c r="B1145" t="s">
        <v>77</v>
      </c>
      <c r="C1145" t="s">
        <v>81</v>
      </c>
      <c r="D1145" s="2">
        <v>203.34901020000001</v>
      </c>
      <c r="E1145" s="2">
        <v>0</v>
      </c>
    </row>
    <row r="1146" spans="1:5" x14ac:dyDescent="0.2">
      <c r="A1146" t="s">
        <v>94</v>
      </c>
      <c r="B1146" t="s">
        <v>77</v>
      </c>
      <c r="C1146" t="s">
        <v>81</v>
      </c>
      <c r="D1146" s="2">
        <v>147.4275308</v>
      </c>
      <c r="E1146" s="2">
        <v>0</v>
      </c>
    </row>
    <row r="1147" spans="1:5" x14ac:dyDescent="0.2">
      <c r="A1147" t="s">
        <v>96</v>
      </c>
      <c r="B1147" t="s">
        <v>77</v>
      </c>
      <c r="C1147" t="s">
        <v>81</v>
      </c>
      <c r="D1147" s="2">
        <v>225.33182959999999</v>
      </c>
      <c r="E1147" s="2">
        <v>0</v>
      </c>
    </row>
    <row r="1148" spans="1:5" x14ac:dyDescent="0.2">
      <c r="A1148" t="s">
        <v>96</v>
      </c>
      <c r="B1148" t="s">
        <v>77</v>
      </c>
      <c r="C1148" t="s">
        <v>81</v>
      </c>
      <c r="D1148" s="2">
        <v>182.9879196</v>
      </c>
      <c r="E1148" s="2">
        <v>0</v>
      </c>
    </row>
    <row r="1149" spans="1:5" x14ac:dyDescent="0.2">
      <c r="A1149" t="s">
        <v>96</v>
      </c>
      <c r="B1149" t="s">
        <v>77</v>
      </c>
      <c r="C1149" t="s">
        <v>81</v>
      </c>
      <c r="D1149" s="2">
        <v>49.011711400000003</v>
      </c>
      <c r="E1149" s="2">
        <v>0</v>
      </c>
    </row>
    <row r="1150" spans="1:5" x14ac:dyDescent="0.2">
      <c r="A1150" t="s">
        <v>96</v>
      </c>
      <c r="B1150" t="s">
        <v>77</v>
      </c>
      <c r="C1150" t="s">
        <v>81</v>
      </c>
      <c r="D1150" s="2">
        <v>91.902441999999994</v>
      </c>
      <c r="E1150" s="2">
        <v>0</v>
      </c>
    </row>
    <row r="1151" spans="1:5" x14ac:dyDescent="0.2">
      <c r="A1151" t="s">
        <v>96</v>
      </c>
      <c r="B1151" t="s">
        <v>77</v>
      </c>
      <c r="C1151" t="s">
        <v>81</v>
      </c>
      <c r="D1151" s="2">
        <v>0</v>
      </c>
      <c r="E1151" s="2">
        <v>0</v>
      </c>
    </row>
    <row r="1152" spans="1:5" x14ac:dyDescent="0.2">
      <c r="A1152" t="s">
        <v>96</v>
      </c>
      <c r="B1152" t="s">
        <v>77</v>
      </c>
      <c r="C1152" t="s">
        <v>81</v>
      </c>
      <c r="D1152" s="2">
        <v>0</v>
      </c>
      <c r="E1152" s="2">
        <v>0</v>
      </c>
    </row>
    <row r="1153" spans="1:5" x14ac:dyDescent="0.2">
      <c r="A1153" t="s">
        <v>96</v>
      </c>
      <c r="B1153" t="s">
        <v>77</v>
      </c>
      <c r="C1153" t="s">
        <v>81</v>
      </c>
      <c r="D1153" s="2">
        <v>0</v>
      </c>
      <c r="E1153" s="2">
        <v>0</v>
      </c>
    </row>
  </sheetData>
  <autoFilter ref="A1:E1154" xr:uid="{140EFE4C-8DAE-4F83-A610-D1AA9C685D28}">
    <sortState xmlns:xlrd2="http://schemas.microsoft.com/office/spreadsheetml/2017/richdata2" ref="A2:E1153">
      <sortCondition ref="B1:B1154"/>
    </sortState>
  </autoFilter>
  <pageMargins left="0.7" right="0.7" top="0.75" bottom="0.75" header="0.3" footer="0.3"/>
  <customProperties>
    <customPr name="_pios_id" r:id="rId1"/>
    <customPr name="FPMExcelClientCellBasedFunctionStatus" r:id="rId2"/>
    <customPr name="FPMExcelClientRefreshTime" r:id="rId3"/>
  </customProperties>
  <drawing r:id="rId4"/>
  <legacyDrawing r:id="rId5"/>
  <controls>
    <mc:AlternateContent xmlns:mc="http://schemas.openxmlformats.org/markup-compatibility/2006">
      <mc:Choice Requires="x14">
        <control shapeId="563204" r:id="rId6" name="AnalyzerDynReport000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1219200</xdr:colOff>
                <xdr:row>0</xdr:row>
                <xdr:rowOff>0</xdr:rowOff>
              </to>
            </anchor>
          </controlPr>
        </control>
      </mc:Choice>
      <mc:Fallback>
        <control shapeId="563204" r:id="rId6" name="AnalyzerDynReport000tb1"/>
      </mc:Fallback>
    </mc:AlternateContent>
    <mc:AlternateContent xmlns:mc="http://schemas.openxmlformats.org/markup-compatibility/2006">
      <mc:Choice Requires="x14">
        <control shapeId="563203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1219200</xdr:colOff>
                <xdr:row>0</xdr:row>
                <xdr:rowOff>0</xdr:rowOff>
              </to>
            </anchor>
          </controlPr>
        </control>
      </mc:Choice>
      <mc:Fallback>
        <control shapeId="563203" r:id="rId8" name="MultipleReportManagerInfotb1"/>
      </mc:Fallback>
    </mc:AlternateContent>
    <mc:AlternateContent xmlns:mc="http://schemas.openxmlformats.org/markup-compatibility/2006">
      <mc:Choice Requires="x14">
        <control shapeId="563202" r:id="rId10" name="ConnectionDescriptorsInfo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1219200</xdr:colOff>
                <xdr:row>0</xdr:row>
                <xdr:rowOff>0</xdr:rowOff>
              </to>
            </anchor>
          </controlPr>
        </control>
      </mc:Choice>
      <mc:Fallback>
        <control shapeId="563202" r:id="rId10" name="ConnectionDescriptorsInfotb1"/>
      </mc:Fallback>
    </mc:AlternateContent>
    <mc:AlternateContent xmlns:mc="http://schemas.openxmlformats.org/markup-compatibility/2006">
      <mc:Choice Requires="x14">
        <control shapeId="563201" r:id="rId12" name="FPMExcelClientSheetOptionstb1">
          <controlPr defaultSize="0" autoLine="0" autoPict="0" r:id="rId13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1219200</xdr:colOff>
                <xdr:row>0</xdr:row>
                <xdr:rowOff>0</xdr:rowOff>
              </to>
            </anchor>
          </controlPr>
        </control>
      </mc:Choice>
      <mc:Fallback>
        <control shapeId="563201" r:id="rId12" name="FPMExcelClientSheetOptionstb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7">
    <tabColor rgb="FF50B47F"/>
  </sheetPr>
  <dimension ref="A1:DB29"/>
  <sheetViews>
    <sheetView showGridLines="0" zoomScale="115" zoomScaleNormal="115" workbookViewId="0">
      <pane xSplit="2" ySplit="6" topLeftCell="C7" activePane="bottomRight" state="frozen"/>
      <selection activeCell="D26" sqref="D26"/>
      <selection pane="topRight" activeCell="D26" sqref="D26"/>
      <selection pane="bottomLeft" activeCell="D26" sqref="D26"/>
      <selection pane="bottomRight" activeCell="C3" sqref="C3"/>
    </sheetView>
  </sheetViews>
  <sheetFormatPr defaultRowHeight="12.75" outlineLevelRow="1" x14ac:dyDescent="0.2"/>
  <cols>
    <col min="1" max="1" width="3.7109375" style="1" customWidth="1"/>
    <col min="2" max="2" width="19.140625" style="1" customWidth="1"/>
    <col min="3" max="5" width="14.28515625" style="14" customWidth="1"/>
    <col min="6" max="6" width="1.42578125" style="15" customWidth="1"/>
    <col min="7" max="10" width="11.42578125" style="1" customWidth="1"/>
    <col min="11" max="11" width="0.7109375" style="1" customWidth="1"/>
    <col min="12" max="14" width="14.28515625" style="1" customWidth="1"/>
    <col min="15" max="15" width="0.7109375" style="1" customWidth="1"/>
    <col min="16" max="19" width="11.42578125" style="1" customWidth="1"/>
    <col min="20" max="20" width="1.42578125" style="1" customWidth="1"/>
    <col min="21" max="23" width="14.28515625" style="1" customWidth="1"/>
    <col min="24" max="24" width="1.42578125" style="1" customWidth="1"/>
    <col min="25" max="28" width="11.42578125" style="1" customWidth="1"/>
    <col min="29" max="30" width="16.42578125" style="1" hidden="1" customWidth="1"/>
    <col min="31" max="31" width="1.42578125" style="1" customWidth="1"/>
    <col min="32" max="34" width="16.42578125" style="1" customWidth="1"/>
    <col min="35" max="35" width="4.140625" style="1" customWidth="1"/>
    <col min="36" max="40" width="16.42578125" style="1" customWidth="1"/>
    <col min="41" max="41" width="4.140625" style="1" customWidth="1"/>
    <col min="42" max="43" width="16.42578125" style="1" customWidth="1"/>
    <col min="44" max="44" width="4.140625" style="1" customWidth="1"/>
    <col min="45" max="57" width="13.42578125" style="1" customWidth="1"/>
    <col min="58" max="58" width="4.140625" style="1" customWidth="1"/>
    <col min="59" max="70" width="13.42578125" style="1" customWidth="1"/>
    <col min="71" max="71" width="4.140625" style="1" customWidth="1"/>
    <col min="72" max="84" width="13.42578125" style="1" customWidth="1"/>
    <col min="85" max="85" width="4.140625" style="1" customWidth="1"/>
    <col min="86" max="98" width="13.42578125" style="1" customWidth="1"/>
    <col min="99" max="99" width="4.140625" style="1" customWidth="1"/>
    <col min="100" max="100" width="15.7109375" style="1" customWidth="1"/>
    <col min="101" max="102" width="13.42578125" style="1" customWidth="1"/>
    <col min="103" max="103" width="4.140625" style="1" customWidth="1"/>
    <col min="104" max="104" width="13.42578125" style="1" customWidth="1"/>
    <col min="105" max="105" width="16.42578125" style="1" customWidth="1"/>
    <col min="106" max="106" width="17" style="1" customWidth="1"/>
    <col min="107" max="16384" width="9.140625" style="1"/>
  </cols>
  <sheetData>
    <row r="1" spans="1:106" ht="15" outlineLevel="1" x14ac:dyDescent="0.25">
      <c r="A1" s="13"/>
      <c r="B1" s="7"/>
      <c r="C1" s="7" t="s">
        <v>92</v>
      </c>
      <c r="D1" s="8" t="s">
        <v>15</v>
      </c>
      <c r="E1" s="8" t="s">
        <v>16</v>
      </c>
      <c r="BG1" s="16">
        <f t="shared" ref="BG1:BR1" si="0">MONTH(DATEVALUE(LEFT(BG6,3)&amp;"1"))</f>
        <v>8</v>
      </c>
      <c r="BH1" s="16">
        <f t="shared" si="0"/>
        <v>9</v>
      </c>
      <c r="BI1" s="16">
        <f t="shared" si="0"/>
        <v>10</v>
      </c>
      <c r="BJ1" s="16">
        <f t="shared" si="0"/>
        <v>11</v>
      </c>
      <c r="BK1" s="16">
        <f t="shared" si="0"/>
        <v>12</v>
      </c>
      <c r="BL1" s="16">
        <f t="shared" si="0"/>
        <v>1</v>
      </c>
      <c r="BM1" s="16">
        <f t="shared" si="0"/>
        <v>2</v>
      </c>
      <c r="BN1" s="16">
        <f t="shared" si="0"/>
        <v>3</v>
      </c>
      <c r="BO1" s="16">
        <f t="shared" si="0"/>
        <v>4</v>
      </c>
      <c r="BP1" s="16">
        <f t="shared" si="0"/>
        <v>5</v>
      </c>
      <c r="BQ1" s="16">
        <f t="shared" si="0"/>
        <v>6</v>
      </c>
      <c r="BR1" s="16">
        <f t="shared" si="0"/>
        <v>7</v>
      </c>
      <c r="BT1" s="16">
        <v>13</v>
      </c>
      <c r="BU1" s="16">
        <v>14</v>
      </c>
      <c r="BV1" s="16">
        <v>15</v>
      </c>
      <c r="BW1" s="16">
        <v>16</v>
      </c>
      <c r="BX1" s="16">
        <v>17</v>
      </c>
      <c r="BY1" s="16">
        <v>18</v>
      </c>
      <c r="BZ1" s="16">
        <v>19</v>
      </c>
      <c r="CA1" s="16">
        <v>20</v>
      </c>
      <c r="CB1" s="16">
        <v>21</v>
      </c>
      <c r="CC1" s="16">
        <v>22</v>
      </c>
      <c r="CD1" s="16">
        <v>23</v>
      </c>
      <c r="CE1" s="16">
        <v>24</v>
      </c>
      <c r="CH1" s="16">
        <v>13</v>
      </c>
      <c r="CI1" s="16">
        <v>14</v>
      </c>
      <c r="CJ1" s="16">
        <v>15</v>
      </c>
      <c r="CK1" s="16">
        <v>16</v>
      </c>
      <c r="CL1" s="16">
        <v>17</v>
      </c>
      <c r="CM1" s="16">
        <v>18</v>
      </c>
      <c r="CN1" s="16">
        <v>19</v>
      </c>
      <c r="CO1" s="16">
        <v>20</v>
      </c>
      <c r="CP1" s="16">
        <v>21</v>
      </c>
      <c r="CQ1" s="16">
        <v>22</v>
      </c>
      <c r="CR1" s="16">
        <v>23</v>
      </c>
      <c r="CS1" s="16">
        <v>24</v>
      </c>
    </row>
    <row r="2" spans="1:106" outlineLevel="1" x14ac:dyDescent="0.2">
      <c r="A2" s="13"/>
      <c r="B2" s="9" t="s">
        <v>120</v>
      </c>
      <c r="C2" s="10">
        <v>2020</v>
      </c>
      <c r="D2" s="11"/>
      <c r="E2" s="11"/>
    </row>
    <row r="3" spans="1:106" s="162" customFormat="1" ht="15.75" customHeight="1" outlineLevel="1" x14ac:dyDescent="0.2">
      <c r="B3" s="9" t="s">
        <v>83</v>
      </c>
      <c r="C3" s="12" t="s">
        <v>8</v>
      </c>
      <c r="D3" s="8">
        <f>MONTH(DATEVALUE(C3&amp;"1"))</f>
        <v>7</v>
      </c>
      <c r="E3" s="8">
        <f>12-D3</f>
        <v>5</v>
      </c>
      <c r="F3" s="208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</row>
    <row r="4" spans="1:106" s="208" customFormat="1" ht="12.75" customHeight="1" x14ac:dyDescent="0.2"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T4" s="222" t="s">
        <v>125</v>
      </c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H4" s="222" t="s">
        <v>124</v>
      </c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V4" s="223" t="s">
        <v>47</v>
      </c>
      <c r="CW4" s="223"/>
      <c r="CX4" s="223"/>
    </row>
    <row r="5" spans="1:106" ht="12.75" customHeight="1" x14ac:dyDescent="0.2">
      <c r="C5" s="228" t="str">
        <f>"MTD "&amp;$C$3</f>
        <v>MTD Jul</v>
      </c>
      <c r="D5" s="228"/>
      <c r="E5" s="228"/>
      <c r="F5" s="17"/>
      <c r="G5" s="228" t="s">
        <v>48</v>
      </c>
      <c r="H5" s="228"/>
      <c r="I5" s="228"/>
      <c r="J5" s="228"/>
      <c r="K5" s="11"/>
      <c r="L5" s="228" t="str">
        <f>"YTD "&amp;$C$3</f>
        <v>YTD Jul</v>
      </c>
      <c r="M5" s="228"/>
      <c r="N5" s="228"/>
      <c r="P5" s="228" t="s">
        <v>48</v>
      </c>
      <c r="Q5" s="228"/>
      <c r="R5" s="228"/>
      <c r="S5" s="228"/>
      <c r="U5" s="228" t="s">
        <v>31</v>
      </c>
      <c r="V5" s="228"/>
      <c r="W5" s="228"/>
      <c r="Y5" s="228" t="s">
        <v>48</v>
      </c>
      <c r="Z5" s="228"/>
      <c r="AA5" s="228"/>
      <c r="AB5" s="228"/>
      <c r="AC5" s="228"/>
      <c r="AD5" s="228"/>
      <c r="AF5" s="228" t="s">
        <v>47</v>
      </c>
      <c r="AG5" s="228"/>
      <c r="AH5" s="228"/>
      <c r="AJ5" s="228" t="s">
        <v>100</v>
      </c>
      <c r="AK5" s="228"/>
      <c r="AL5" s="228"/>
      <c r="AM5" s="228"/>
      <c r="AN5" s="228"/>
      <c r="AS5" s="224" t="str">
        <f>"Act "&amp;Summary!$C$2</f>
        <v>Act 2020</v>
      </c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18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8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8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Z5" s="225" t="s">
        <v>49</v>
      </c>
      <c r="DA5" s="226"/>
      <c r="DB5" s="227"/>
    </row>
    <row r="6" spans="1:106" s="63" customFormat="1" ht="45" x14ac:dyDescent="0.2">
      <c r="B6" s="64" t="str">
        <f>IF(Mapping!$C$2=1000,"Total Sales in kUSD",IF(Mapping!C2=1,"Total Sales in USD",IF(Mapping!C2=1000000,"Total Sales in mUSD","Error")))</f>
        <v>Total Sales in kUSD</v>
      </c>
      <c r="C6" s="59" t="str">
        <f>"Act "&amp;Summary!$C$2-1</f>
        <v>Act 2019</v>
      </c>
      <c r="D6" s="59" t="str">
        <f>Mapping!$B$3&amp;" "&amp;Summary!$C$2</f>
        <v>Budget 2020</v>
      </c>
      <c r="E6" s="60" t="str">
        <f>"Act "&amp;Summary!$C$2</f>
        <v>Act 2020</v>
      </c>
      <c r="F6" s="65"/>
      <c r="G6" s="220" t="s">
        <v>50</v>
      </c>
      <c r="H6" s="221"/>
      <c r="I6" s="220" t="s">
        <v>32</v>
      </c>
      <c r="J6" s="221"/>
      <c r="L6" s="59" t="str">
        <f>C6</f>
        <v>Act 2019</v>
      </c>
      <c r="M6" s="59" t="str">
        <f>D6</f>
        <v>Budget 2020</v>
      </c>
      <c r="N6" s="59" t="str">
        <f>E6</f>
        <v>Act 2020</v>
      </c>
      <c r="P6" s="220" t="s">
        <v>50</v>
      </c>
      <c r="Q6" s="221"/>
      <c r="R6" s="220" t="s">
        <v>32</v>
      </c>
      <c r="S6" s="221"/>
      <c r="U6" s="59" t="str">
        <f>L6</f>
        <v>Act 2019</v>
      </c>
      <c r="V6" s="59" t="str">
        <f>M6</f>
        <v>Budget 2020</v>
      </c>
      <c r="W6" s="59" t="str">
        <f>"Act "&amp;Summary!$C$2</f>
        <v>Act 2020</v>
      </c>
      <c r="Y6" s="220" t="s">
        <v>50</v>
      </c>
      <c r="Z6" s="221"/>
      <c r="AA6" s="220" t="s">
        <v>32</v>
      </c>
      <c r="AB6" s="221"/>
      <c r="AC6" s="60" t="e">
        <f>"vs "&amp;LEFT(#REF!,6)</f>
        <v>#REF!</v>
      </c>
      <c r="AD6" s="60"/>
      <c r="AF6" s="59" t="s">
        <v>15</v>
      </c>
      <c r="AG6" s="59" t="s">
        <v>16</v>
      </c>
      <c r="AH6" s="60" t="s">
        <v>33</v>
      </c>
      <c r="AJ6" s="60" t="s">
        <v>101</v>
      </c>
      <c r="AK6" s="60" t="s">
        <v>102</v>
      </c>
      <c r="AL6" s="60" t="s">
        <v>103</v>
      </c>
      <c r="AM6" s="60" t="s">
        <v>124</v>
      </c>
      <c r="AN6" s="61" t="s">
        <v>125</v>
      </c>
      <c r="AP6" s="59" t="str">
        <f>"YTG "&amp;RIGHT(Summary!$C$2,2)-1</f>
        <v>YTG 19</v>
      </c>
      <c r="AQ6" s="60" t="str">
        <f>"YTG "&amp;RIGHT(Summary!$C$2,2)</f>
        <v>YTG 20</v>
      </c>
      <c r="AS6" s="20" t="str">
        <f>'Bridges for Trends'!$A$4</f>
        <v>Jan 2020</v>
      </c>
      <c r="AT6" s="20" t="str">
        <f>'Bridges for Trends'!$A$5</f>
        <v>Feb 2020</v>
      </c>
      <c r="AU6" s="20" t="str">
        <f>'Bridges for Trends'!$A$6</f>
        <v>Mar 2020</v>
      </c>
      <c r="AV6" s="20" t="str">
        <f>'Bridges for Trends'!$A$7</f>
        <v>Apr 2020</v>
      </c>
      <c r="AW6" s="20" t="str">
        <f>'Bridges for Trends'!$A$8</f>
        <v>May 2020</v>
      </c>
      <c r="AX6" s="20" t="str">
        <f>'Bridges for Trends'!$A$9</f>
        <v>Jun 2020</v>
      </c>
      <c r="AY6" s="20" t="str">
        <f>'Bridges for Trends'!$A$10</f>
        <v>Jul 2020</v>
      </c>
      <c r="AZ6" s="20" t="str">
        <f>'Bridges for Trends'!$A$11</f>
        <v>Aug 2020</v>
      </c>
      <c r="BA6" s="20" t="str">
        <f>'Bridges for Trends'!$A$12</f>
        <v>Sep 2020</v>
      </c>
      <c r="BB6" s="20" t="str">
        <f>'Bridges for Trends'!$A$13</f>
        <v>Oct 2020</v>
      </c>
      <c r="BC6" s="20" t="str">
        <f>'Bridges for Trends'!$A$14</f>
        <v>Nov 2020</v>
      </c>
      <c r="BD6" s="20" t="str">
        <f>'Bridges for Trends'!$A$15</f>
        <v>Dec 2020</v>
      </c>
      <c r="BE6" s="20" t="s">
        <v>14</v>
      </c>
      <c r="BF6" s="66"/>
      <c r="BG6" s="20" t="str">
        <f>VLOOKUP($BR6,'Bridges for Trends'!$A:$M,12,FALSE)</f>
        <v>Aug 2019</v>
      </c>
      <c r="BH6" s="20" t="str">
        <f>VLOOKUP($BR6,'Bridges for Trends'!$A:$M,11,FALSE)</f>
        <v>Sep 2019</v>
      </c>
      <c r="BI6" s="20" t="str">
        <f>VLOOKUP($BR6,'Bridges for Trends'!$A:$M,10,FALSE)</f>
        <v>Oct 2019</v>
      </c>
      <c r="BJ6" s="20" t="str">
        <f>VLOOKUP($BR6,'Bridges for Trends'!$A:$M,9,FALSE)</f>
        <v>Nov 2019</v>
      </c>
      <c r="BK6" s="20" t="str">
        <f>VLOOKUP($BR6,'Bridges for Trends'!$A:$M,8,FALSE)</f>
        <v>Dec 2019</v>
      </c>
      <c r="BL6" s="20" t="str">
        <f>VLOOKUP($BR6,'Bridges for Trends'!$A:$M,7,FALSE)</f>
        <v>Jan 2020</v>
      </c>
      <c r="BM6" s="20" t="str">
        <f>VLOOKUP($BR6,'Bridges for Trends'!$A:$M,6,FALSE)</f>
        <v>Feb 2020</v>
      </c>
      <c r="BN6" s="20" t="str">
        <f>VLOOKUP($BR6,'Bridges for Trends'!$A:$M,5,FALSE)</f>
        <v>Mar 2020</v>
      </c>
      <c r="BO6" s="20" t="str">
        <f>VLOOKUP($BR6,'Bridges for Trends'!$A:$M,4,FALSE)</f>
        <v>Apr 2020</v>
      </c>
      <c r="BP6" s="20" t="str">
        <f>VLOOKUP($BR6,'Bridges for Trends'!$A:$M,3,FALSE)</f>
        <v>May 2020</v>
      </c>
      <c r="BQ6" s="20" t="str">
        <f>VLOOKUP($BR6,'Bridges for Trends'!$A:$M,2,FALSE)</f>
        <v>Jun 2020</v>
      </c>
      <c r="BR6" s="20" t="str">
        <f>Summary!$C$3&amp;" "&amp;Summary!$C$2</f>
        <v>Jul 2020</v>
      </c>
      <c r="BS6" s="66"/>
      <c r="BT6" s="20" t="str">
        <f>Mapping!$D$2</f>
        <v>Jan</v>
      </c>
      <c r="BU6" s="20" t="str">
        <f>Mapping!$D$3</f>
        <v>Feb</v>
      </c>
      <c r="BV6" s="20" t="str">
        <f>Mapping!$D$4</f>
        <v>Mar</v>
      </c>
      <c r="BW6" s="20" t="str">
        <f>Mapping!$D$5</f>
        <v>Apr</v>
      </c>
      <c r="BX6" s="20" t="str">
        <f>Mapping!$D$6</f>
        <v>May</v>
      </c>
      <c r="BY6" s="20" t="str">
        <f>Mapping!$D$7</f>
        <v>Jun</v>
      </c>
      <c r="BZ6" s="20" t="str">
        <f>Mapping!$D$8</f>
        <v>Jul</v>
      </c>
      <c r="CA6" s="20" t="str">
        <f>Mapping!$D$9</f>
        <v>Aug</v>
      </c>
      <c r="CB6" s="20" t="str">
        <f>Mapping!$D$10</f>
        <v>Sep</v>
      </c>
      <c r="CC6" s="20" t="str">
        <f>Mapping!$D$11</f>
        <v>Oct</v>
      </c>
      <c r="CD6" s="20" t="str">
        <f>Mapping!$D$12</f>
        <v>Nov</v>
      </c>
      <c r="CE6" s="20" t="str">
        <f>Mapping!$D$13</f>
        <v>Dec</v>
      </c>
      <c r="CF6" s="20" t="s">
        <v>14</v>
      </c>
      <c r="CG6" s="66"/>
      <c r="CH6" s="20" t="str">
        <f>Mapping!$D$2</f>
        <v>Jan</v>
      </c>
      <c r="CI6" s="20" t="str">
        <f>Mapping!$D$3</f>
        <v>Feb</v>
      </c>
      <c r="CJ6" s="20" t="str">
        <f>Mapping!$D$4</f>
        <v>Mar</v>
      </c>
      <c r="CK6" s="20" t="str">
        <f>Mapping!$D$5</f>
        <v>Apr</v>
      </c>
      <c r="CL6" s="20" t="str">
        <f>Mapping!$D$6</f>
        <v>May</v>
      </c>
      <c r="CM6" s="20" t="str">
        <f>Mapping!$D$7</f>
        <v>Jun</v>
      </c>
      <c r="CN6" s="20" t="str">
        <f>Mapping!$D$8</f>
        <v>Jul</v>
      </c>
      <c r="CO6" s="20" t="str">
        <f>Mapping!$D$9</f>
        <v>Aug</v>
      </c>
      <c r="CP6" s="20" t="str">
        <f>Mapping!$D$10</f>
        <v>Sep</v>
      </c>
      <c r="CQ6" s="20" t="str">
        <f>Mapping!$D$11</f>
        <v>Oct</v>
      </c>
      <c r="CR6" s="20" t="str">
        <f>Mapping!$D$12</f>
        <v>Nov</v>
      </c>
      <c r="CS6" s="20" t="str">
        <f>Mapping!$D$13</f>
        <v>Dec</v>
      </c>
      <c r="CT6" s="20" t="s">
        <v>14</v>
      </c>
      <c r="CV6" s="21" t="s">
        <v>51</v>
      </c>
      <c r="CW6" s="21" t="s">
        <v>52</v>
      </c>
      <c r="CX6" s="21" t="s">
        <v>53</v>
      </c>
      <c r="CZ6" s="60" t="s">
        <v>126</v>
      </c>
      <c r="DA6" s="60" t="s">
        <v>127</v>
      </c>
      <c r="DB6" s="60" t="s">
        <v>128</v>
      </c>
    </row>
    <row r="7" spans="1:106" s="15" customFormat="1" ht="15" x14ac:dyDescent="0.25">
      <c r="A7" s="1"/>
      <c r="B7" s="22" t="str">
        <f>Mapping!A2</f>
        <v>Tables</v>
      </c>
      <c r="C7" s="23">
        <f>SUMIFS('Sales Data'!$E:$E,'Sales Data'!$A:$A,$B7,'Sales Data'!$B:$B,Summary!$C$3&amp;" "&amp;Summary!$C$2-1,'Sales Data'!$C:$C,"Periodic")/Mapping!$C$2</f>
        <v>445.98745644892921</v>
      </c>
      <c r="D7" s="23">
        <f>SUMIFS('Sales Data'!$D:$D,'Sales Data'!$A:$A,$B7,'Sales Data'!$B:$B,Summary!$C$3&amp;" "&amp;Summary!$C$2,'Sales Data'!$C:$C,"Periodic")/Mapping!$C$2</f>
        <v>451.00764205129218</v>
      </c>
      <c r="E7" s="23">
        <f>SUMIFS('Sales Data'!$E:$E,'Sales Data'!$A:$A,$B7,'Sales Data'!$B:$B,Summary!$C$3&amp;" "&amp;Summary!$C$2,'Sales Data'!$C:$C,"Periodic")/Mapping!$C$2</f>
        <v>321.86195075999996</v>
      </c>
      <c r="G7" s="24">
        <f>E7-C7</f>
        <v>-124.12550568892925</v>
      </c>
      <c r="H7" s="25">
        <f>IF(ISERROR((E7/C7)-1),"N/A",(E7/C7)-1)</f>
        <v>-0.27831613623676676</v>
      </c>
      <c r="I7" s="24">
        <f>E7-D7</f>
        <v>-129.14569129129222</v>
      </c>
      <c r="J7" s="25">
        <f>IF(ISERROR((E7/D7)-1),"N/A",(E7/D7)-1)</f>
        <v>-0.28634923058932282</v>
      </c>
      <c r="K7" s="1"/>
      <c r="L7" s="26">
        <f>SUMIFS('Sales Data'!$E:$E,'Sales Data'!$A:$A,$B7,'Sales Data'!$F:$F,$C$2-1,'Sales Data'!$G:$G,"&lt;="&amp;$D$3)/Mapping!$C$2</f>
        <v>3292.3215945309175</v>
      </c>
      <c r="M7" s="26">
        <f>SUMIFS('Sales Data'!$D:$D,'Sales Data'!$A:$A,$B7,'Sales Data'!$F:$F,$C$2,'Sales Data'!$G:$G,"&lt;="&amp;$D$3)/Mapping!$C$2</f>
        <v>3514.9751424899246</v>
      </c>
      <c r="N7" s="23">
        <f>SUMIFS('Sales Data'!$E:$E,'Sales Data'!$A:$A,$B7,'Sales Data'!$F:$F,$C$2,'Sales Data'!$G:$G,"&lt;="&amp;$D$3)/Mapping!$C$2</f>
        <v>2793.6431690429999</v>
      </c>
      <c r="O7" s="1"/>
      <c r="P7" s="24">
        <f>N7-L7</f>
        <v>-498.67842548791759</v>
      </c>
      <c r="Q7" s="25">
        <f>IF(ISERROR((N7/L7)-1),"N/A",(N7/L7)-1)</f>
        <v>-0.15146710646867056</v>
      </c>
      <c r="R7" s="24">
        <f>N7-M7</f>
        <v>-721.33197344692462</v>
      </c>
      <c r="S7" s="25">
        <f>IF(ISERROR((N7/M7)-1),"N/A",(N7/M7)-1)</f>
        <v>-0.20521680643691553</v>
      </c>
      <c r="T7" s="1"/>
      <c r="U7" s="26">
        <f>SUMIFS('Sales Data'!$E:$E,'Sales Data'!$A:$A,$B7,'Sales Data'!$F:$F,$C$2-1,'Sales Data'!$G:$G,"&lt;="&amp;12)/Mapping!$C$2</f>
        <v>5941.2574600047583</v>
      </c>
      <c r="V7" s="23">
        <f>SUMIFS('Sales Data'!$D:$D,'Sales Data'!$A:$A,$B7,'Sales Data'!$F:$F,$C$2,'Sales Data'!$G:$G,"&lt;="&amp;12)/Mapping!$C$2</f>
        <v>5937.3393478822136</v>
      </c>
      <c r="W7" s="23">
        <f>SUMIFS('Sales Data'!$E:$E,'Sales Data'!$A:$A,$B7,'Sales Data'!$F:$F,$C$2,'Sales Data'!$G:$G,"&lt;="&amp;12)/Mapping!$C$2</f>
        <v>2793.6431690429999</v>
      </c>
      <c r="Y7" s="24">
        <f>W7-U7</f>
        <v>-3147.6142909617583</v>
      </c>
      <c r="Z7" s="25">
        <f>IF(ISERROR((W7/U7)-1),"N/A",(W7/U7)-1)</f>
        <v>-0.52978924279090867</v>
      </c>
      <c r="AA7" s="24">
        <f>W7-V7</f>
        <v>-3143.6961788392136</v>
      </c>
      <c r="AB7" s="25">
        <f>IF(ISERROR((W7/V7)-1),"N/A",(W7/V7)-1)</f>
        <v>-0.52947894581106214</v>
      </c>
      <c r="AC7" s="24" t="e">
        <f>W7-#REF!</f>
        <v>#REF!</v>
      </c>
      <c r="AD7" s="27" t="str">
        <f>IF(ISERROR((W7/#REF!)-1),"N/A",(W7/#REF!)-1)</f>
        <v>N/A</v>
      </c>
      <c r="AF7" s="28">
        <f>N7/Summary!$D$3</f>
        <v>399.09188129185713</v>
      </c>
      <c r="AG7" s="28">
        <f>(V7-N7)/Summary!$E$3</f>
        <v>628.73923576784273</v>
      </c>
      <c r="AH7" s="29">
        <f>AG7-AF7</f>
        <v>229.64735447598559</v>
      </c>
      <c r="AJ7" s="30">
        <f>CZ7-W7</f>
        <v>2115.0614669699999</v>
      </c>
      <c r="AK7" s="30">
        <f>DA7-W7</f>
        <v>1954.3022815200002</v>
      </c>
      <c r="AL7" s="30">
        <f>DB7-W7</f>
        <v>2267.7412643820162</v>
      </c>
      <c r="AM7" s="30">
        <f>CT7-W7</f>
        <v>2227.3197948449988</v>
      </c>
      <c r="AN7" s="31">
        <f>CF7-W7</f>
        <v>3456.9441354107685</v>
      </c>
      <c r="AP7" s="32">
        <f>U7-L7</f>
        <v>2648.9358654738407</v>
      </c>
      <c r="AQ7" s="32">
        <f>V7-N7</f>
        <v>3143.6961788392136</v>
      </c>
      <c r="AS7" s="33">
        <f>SUMIFS('Sales Data'!$E:$E,'Sales Data'!$A:$A,$B7,'Sales Data'!$B:$B,AS$6,'Sales Data'!$C:$C,"Periodic")/Mapping!$C$2</f>
        <v>448.48043121900002</v>
      </c>
      <c r="AT7" s="33">
        <f>SUMIFS('Sales Data'!$E:$E,'Sales Data'!$A:$A,$B7,'Sales Data'!$B:$B,AT$6,'Sales Data'!$C:$C,"Periodic")/Mapping!$C$2</f>
        <v>404.02749370800007</v>
      </c>
      <c r="AU7" s="33">
        <f>SUMIFS('Sales Data'!$E:$E,'Sales Data'!$A:$A,$B7,'Sales Data'!$B:$B,AU$6,'Sales Data'!$C:$C,"Periodic")/Mapping!$C$2</f>
        <v>362.43555380999999</v>
      </c>
      <c r="AV7" s="33">
        <f>SUMIFS('Sales Data'!$E:$E,'Sales Data'!$A:$A,$B7,'Sales Data'!$B:$B,AV$6,'Sales Data'!$C:$C,"Periodic")/Mapping!$C$2</f>
        <v>309.66281012400003</v>
      </c>
      <c r="AW7" s="33">
        <f>SUMIFS('Sales Data'!$E:$E,'Sales Data'!$A:$A,$B7,'Sales Data'!$B:$B,AW$6,'Sales Data'!$C:$C,"Periodic")/Mapping!$C$2</f>
        <v>462.26029832099994</v>
      </c>
      <c r="AX7" s="33">
        <f>SUMIFS('Sales Data'!$E:$E,'Sales Data'!$A:$A,$B7,'Sales Data'!$B:$B,AX$6,'Sales Data'!$C:$C,"Periodic")/Mapping!$C$2</f>
        <v>484.914631101</v>
      </c>
      <c r="AY7" s="33">
        <f>SUMIFS('Sales Data'!$E:$E,'Sales Data'!$A:$A,$B7,'Sales Data'!$B:$B,AY$6,'Sales Data'!$C:$C,"Periodic")/Mapping!$C$2</f>
        <v>321.86195075999996</v>
      </c>
      <c r="AZ7" s="33">
        <f>SUMIFS('Sales Data'!$E:$E,'Sales Data'!$A:$A,$B7,'Sales Data'!$B:$B,AZ$6,'Sales Data'!$C:$C,"Periodic")/Mapping!$C$2</f>
        <v>0</v>
      </c>
      <c r="BA7" s="33">
        <f>SUMIFS('Sales Data'!$E:$E,'Sales Data'!$A:$A,$B7,'Sales Data'!$B:$B,BA$6,'Sales Data'!$C:$C,"Periodic")/Mapping!$C$2</f>
        <v>0</v>
      </c>
      <c r="BB7" s="33">
        <f>SUMIFS('Sales Data'!$E:$E,'Sales Data'!$A:$A,$B7,'Sales Data'!$B:$B,BB$6,'Sales Data'!$C:$C,"Periodic")/Mapping!$C$2</f>
        <v>0</v>
      </c>
      <c r="BC7" s="33">
        <f>SUMIFS('Sales Data'!$E:$E,'Sales Data'!$A:$A,$B7,'Sales Data'!$B:$B,BC$6,'Sales Data'!$C:$C,"Periodic")/Mapping!$C$2</f>
        <v>0</v>
      </c>
      <c r="BD7" s="33">
        <f>SUMIFS('Sales Data'!$E:$E,'Sales Data'!$A:$A,$B7,'Sales Data'!$B:$B,BD$6,'Sales Data'!$C:$C,"Periodic")/Mapping!$C$2</f>
        <v>0</v>
      </c>
      <c r="BE7" s="33">
        <f>SUM(AS7:BD7)</f>
        <v>2793.6431690430004</v>
      </c>
      <c r="BF7" s="33"/>
      <c r="BG7" s="33">
        <f>SUMIFS('Sales Data'!$E:$E,'Sales Data'!$A:$A,$B7,'Sales Data'!$B:$B,BG$6,'Sales Data'!$C:$C,"Periodic")/Mapping!$C$2</f>
        <v>508.46155316924569</v>
      </c>
      <c r="BH7" s="33">
        <f>SUMIFS('Sales Data'!$E:$E,'Sales Data'!$A:$A,$B7,'Sales Data'!$B:$B,BH$6,'Sales Data'!$C:$C,"Periodic")/Mapping!$C$2</f>
        <v>424.09441453268971</v>
      </c>
      <c r="BI7" s="33">
        <f>SUMIFS('Sales Data'!$E:$E,'Sales Data'!$A:$A,$B7,'Sales Data'!$B:$B,BI$6,'Sales Data'!$C:$C,"Periodic")/Mapping!$C$2</f>
        <v>633.17249457973378</v>
      </c>
      <c r="BJ7" s="33">
        <f>SUMIFS('Sales Data'!$E:$E,'Sales Data'!$A:$A,$B7,'Sales Data'!$B:$B,BJ$6,'Sales Data'!$C:$C,"Periodic")/Mapping!$C$2</f>
        <v>700.03736602136826</v>
      </c>
      <c r="BK7" s="33">
        <f>SUMIFS('Sales Data'!$E:$E,'Sales Data'!$A:$A,$B7,'Sales Data'!$B:$B,BK$6,'Sales Data'!$C:$C,"Periodic")/Mapping!$C$2</f>
        <v>383.17003717080217</v>
      </c>
      <c r="BL7" s="33">
        <f>SUMIFS('Sales Data'!$E:$E,'Sales Data'!$A:$A,$B7,'Sales Data'!$B:$B,BL$6,'Sales Data'!$C:$C,"Periodic")/Mapping!$C$2</f>
        <v>448.48043121900002</v>
      </c>
      <c r="BM7" s="33">
        <f>SUMIFS('Sales Data'!$E:$E,'Sales Data'!$A:$A,$B7,'Sales Data'!$B:$B,BM$6,'Sales Data'!$C:$C,"Periodic")/Mapping!$C$2</f>
        <v>404.02749370800007</v>
      </c>
      <c r="BN7" s="33">
        <f>SUMIFS('Sales Data'!$E:$E,'Sales Data'!$A:$A,$B7,'Sales Data'!$B:$B,BN$6,'Sales Data'!$C:$C,"Periodic")/Mapping!$C$2</f>
        <v>362.43555380999999</v>
      </c>
      <c r="BO7" s="33">
        <f>SUMIFS('Sales Data'!$E:$E,'Sales Data'!$A:$A,$B7,'Sales Data'!$B:$B,BO$6,'Sales Data'!$C:$C,"Periodic")/Mapping!$C$2</f>
        <v>309.66281012400003</v>
      </c>
      <c r="BP7" s="33">
        <f>SUMIFS('Sales Data'!$E:$E,'Sales Data'!$A:$A,$B7,'Sales Data'!$B:$B,BP$6,'Sales Data'!$C:$C,"Periodic")/Mapping!$C$2</f>
        <v>462.26029832099994</v>
      </c>
      <c r="BQ7" s="33">
        <f>SUMIFS('Sales Data'!$E:$E,'Sales Data'!$A:$A,$B7,'Sales Data'!$B:$B,BQ$6,'Sales Data'!$C:$C,"Periodic")/Mapping!$C$2</f>
        <v>484.914631101</v>
      </c>
      <c r="BR7" s="33">
        <f>SUMIFS('Sales Data'!$E:$E,'Sales Data'!$A:$A,$B7,'Sales Data'!$B:$B,BR$6,'Sales Data'!$C:$C,"Periodic")/Mapping!$C$2</f>
        <v>321.86195075999996</v>
      </c>
      <c r="BS7" s="33"/>
      <c r="BT7" s="33">
        <f t="shared" ref="BT7:BT24" si="1">IFERROR(IF(AS7&lt;&gt;0,AS7,FORECAST(BT$1,$BG7:$BR7,$BG$1:$BR$1)),"")</f>
        <v>448.48043121900002</v>
      </c>
      <c r="BU7" s="33">
        <f t="shared" ref="BU7:BU24" si="2">IFERROR(IF(AT7&lt;&gt;0,AT7,FORECAST(BU$1,$BG7:$BR7,$BG$1:$BR$1)),"")</f>
        <v>404.02749370800007</v>
      </c>
      <c r="BV7" s="33">
        <f t="shared" ref="BV7:BV24" si="3">IFERROR(IF(AU7&lt;&gt;0,AU7,FORECAST(BV$1,$BG7:$BR7,$BG$1:$BR$1)),"")</f>
        <v>362.43555380999999</v>
      </c>
      <c r="BW7" s="33">
        <f t="shared" ref="BW7:BW24" si="4">IFERROR(IF(AV7&lt;&gt;0,AV7,FORECAST(BW$1,$BG7:$BR7,$BG$1:$BR$1)),"")</f>
        <v>309.66281012400003</v>
      </c>
      <c r="BX7" s="33">
        <f t="shared" ref="BX7:BX24" si="5">IFERROR(IF(AW7&lt;&gt;0,AW7,FORECAST(BX$1,$BG7:$BR7,$BG$1:$BR$1)),"")</f>
        <v>462.26029832099994</v>
      </c>
      <c r="BY7" s="33">
        <f t="shared" ref="BY7:BY24" si="6">IFERROR(IF(AX7&lt;&gt;0,AX7,FORECAST(BY$1,$BG7:$BR7,$BG$1:$BR$1)),"")</f>
        <v>484.914631101</v>
      </c>
      <c r="BZ7" s="33">
        <f t="shared" ref="BZ7:BZ24" si="7">IFERROR(IF(AY7&lt;&gt;0,AY7,FORECAST(BZ$1,$BG7:$BR7,$BG$1:$BR$1)),"")</f>
        <v>321.86195075999996</v>
      </c>
      <c r="CA7" s="33">
        <f t="shared" ref="CA7:CA24" si="8">IFERROR(IF(AZ7&lt;&gt;0,AZ7,FORECAST(CA$1,$BG7:$BR7,$BG$1:$BR$1)),"")</f>
        <v>660.69972073302461</v>
      </c>
      <c r="CB7" s="33">
        <f t="shared" ref="CB7:CB24" si="9">IFERROR(IF(BA7&lt;&gt;0,BA7,FORECAST(CB$1,$BG7:$BR7,$BG$1:$BR$1)),"")</f>
        <v>676.04427390758906</v>
      </c>
      <c r="CC7" s="33">
        <f t="shared" ref="CC7:CC24" si="10">IFERROR(IF(BB7&lt;&gt;0,BB7,FORECAST(CC$1,$BG7:$BR7,$BG$1:$BR$1)),"")</f>
        <v>691.38882708215363</v>
      </c>
      <c r="CD7" s="33">
        <f t="shared" ref="CD7:CD24" si="11">IFERROR(IF(BC7&lt;&gt;0,BC7,FORECAST(CD$1,$BG7:$BR7,$BG$1:$BR$1)),"")</f>
        <v>706.73338025671819</v>
      </c>
      <c r="CE7" s="33">
        <f t="shared" ref="CE7:CE24" si="12">IFERROR(IF(BD7&lt;&gt;0,BD7,FORECAST(CE$1,$BG7:$BR7,$BG$1:$BR$1)),"")</f>
        <v>722.07793343128264</v>
      </c>
      <c r="CF7" s="33">
        <f>SUM(BT7:CE7)</f>
        <v>6250.5873044537684</v>
      </c>
      <c r="CH7" s="34">
        <f t="shared" ref="CH7:CH24" si="13">IFERROR(IF(AS7&lt;&gt;0,AS7,FORECAST(CH$1,$BM7:$BR7,$BM$1:$BR$1)),"")</f>
        <v>448.48043121900002</v>
      </c>
      <c r="CI7" s="34">
        <f t="shared" ref="CI7:CI24" si="14">IFERROR(IF(AT7&lt;&gt;0,AT7,FORECAST(CI$1,$BM7:$BR7,$BM$1:$BR$1)),"")</f>
        <v>404.02749370800007</v>
      </c>
      <c r="CJ7" s="34">
        <f t="shared" ref="CJ7:CJ24" si="15">IFERROR(IF(AU7&lt;&gt;0,AU7,FORECAST(CJ$1,$BM7:$BR7,$BM$1:$BR$1)),"")</f>
        <v>362.43555380999999</v>
      </c>
      <c r="CK7" s="34">
        <f t="shared" ref="CK7:CK24" si="16">IFERROR(IF(AV7&lt;&gt;0,AV7,FORECAST(CK$1,$BM7:$BR7,$BM$1:$BR$1)),"")</f>
        <v>309.66281012400003</v>
      </c>
      <c r="CL7" s="34">
        <f t="shared" ref="CL7:CL24" si="17">IFERROR(IF(AW7&lt;&gt;0,AW7,FORECAST(CL$1,$BM7:$BR7,$BM$1:$BR$1)),"")</f>
        <v>462.26029832099994</v>
      </c>
      <c r="CM7" s="34">
        <f t="shared" ref="CM7:CM24" si="18">IFERROR(IF(AX7&lt;&gt;0,AX7,FORECAST(CM$1,$BM7:$BR7,$BM$1:$BR$1)),"")</f>
        <v>484.914631101</v>
      </c>
      <c r="CN7" s="34">
        <f t="shared" ref="CN7:CN24" si="19">IFERROR(IF(AY7&lt;&gt;0,AY7,FORECAST(CN$1,$BM7:$BR7,$BM$1:$BR$1)),"")</f>
        <v>321.86195075999996</v>
      </c>
      <c r="CO7" s="34">
        <f t="shared" ref="CO7:CO24" si="20">IFERROR(IF(AZ7&lt;&gt;0,AZ7,FORECAST(CO$1,$BM7:$BR7,$BM$1:$BR$1)),"")</f>
        <v>439.22355866442831</v>
      </c>
      <c r="CP7" s="34">
        <f t="shared" ref="CP7:CP24" si="21">IFERROR(IF(BA7&lt;&gt;0,BA7,FORECAST(CP$1,$BM7:$BR7,$BM$1:$BR$1)),"")</f>
        <v>442.34375881671406</v>
      </c>
      <c r="CQ7" s="34">
        <f t="shared" ref="CQ7:CQ24" si="22">IFERROR(IF(BB7&lt;&gt;0,BB7,FORECAST(CQ$1,$BM7:$BR7,$BM$1:$BR$1)),"")</f>
        <v>445.46395896899969</v>
      </c>
      <c r="CR7" s="34">
        <f t="shared" ref="CR7:CR24" si="23">IFERROR(IF(BC7&lt;&gt;0,BC7,FORECAST(CR$1,$BM7:$BR7,$BM$1:$BR$1)),"")</f>
        <v>448.58415912128544</v>
      </c>
      <c r="CS7" s="34">
        <f t="shared" ref="CS7:CS24" si="24">IFERROR(IF(BD7&lt;&gt;0,BD7,FORECAST(CS$1,$BM7:$BR7,$BM$1:$BR$1)),"")</f>
        <v>451.70435927357113</v>
      </c>
      <c r="CT7" s="35">
        <f>SUM(CH7:CS7)</f>
        <v>5020.9629638879987</v>
      </c>
      <c r="CV7" s="35">
        <f>SUM(BP7:BR7)/3</f>
        <v>423.01229339399993</v>
      </c>
      <c r="CW7" s="35">
        <f>SUM(BM7:BR7)/6</f>
        <v>390.86045630400002</v>
      </c>
      <c r="CX7" s="35">
        <f>SUM(BG7:BR7)/12</f>
        <v>453.54825287640324</v>
      </c>
      <c r="CZ7" s="28">
        <f>N7+Summary!$E$3*CV7</f>
        <v>4908.7046360129998</v>
      </c>
      <c r="DA7" s="28">
        <f>N7+CW7*Summary!$E$3</f>
        <v>4747.9454505630001</v>
      </c>
      <c r="DB7" s="36">
        <f>N7+CX7*Summary!$E$3</f>
        <v>5061.3844334250161</v>
      </c>
    </row>
    <row r="8" spans="1:106" s="15" customFormat="1" ht="15" x14ac:dyDescent="0.25">
      <c r="A8" s="1"/>
      <c r="B8" s="22" t="str">
        <f>Mapping!A3</f>
        <v>Kitchen</v>
      </c>
      <c r="C8" s="37">
        <f>SUMIFS('Sales Data'!$E:$E,'Sales Data'!$A:$A,$B8,'Sales Data'!$B:$B,Summary!$C$3&amp;" "&amp;Summary!$C$2-1,'Sales Data'!$C:$C,"Periodic")/Mapping!$C$2</f>
        <v>141.73287703650118</v>
      </c>
      <c r="D8" s="37">
        <f>SUMIFS('Sales Data'!$D:$D,'Sales Data'!$A:$A,$B8,'Sales Data'!$B:$B,Summary!$C$3&amp;" "&amp;Summary!$C$2,'Sales Data'!$C:$C,"Periodic")/Mapping!$C$2</f>
        <v>417.69260545373788</v>
      </c>
      <c r="E8" s="37">
        <f>SUMIFS('Sales Data'!$E:$E,'Sales Data'!$A:$A,$B8,'Sales Data'!$B:$B,Summary!$C$3&amp;" "&amp;Summary!$C$2,'Sales Data'!$C:$C,"Periodic")/Mapping!$C$2</f>
        <v>294.97234411200003</v>
      </c>
      <c r="G8" s="38">
        <f>E8-C8</f>
        <v>153.23946707549885</v>
      </c>
      <c r="H8" s="39">
        <f>IF(ISERROR((E8/C8)-1),"N/A",(E8/C8)-1)</f>
        <v>1.0811850452738239</v>
      </c>
      <c r="I8" s="38">
        <f>E8-D8</f>
        <v>-122.72026134173785</v>
      </c>
      <c r="J8" s="39">
        <f>IF(ISERROR((E8/D8)-1),"N/A",(E8/D8)-1)</f>
        <v>-0.2938052044479631</v>
      </c>
      <c r="K8" s="1"/>
      <c r="L8" s="40">
        <f>SUMIFS('Sales Data'!$E:$E,'Sales Data'!$A:$A,$B8,'Sales Data'!$F:$F,$C$2-1,'Sales Data'!$G:$G,"&lt;="&amp;$D$3)/Mapping!$C$2</f>
        <v>754.79523840525917</v>
      </c>
      <c r="M8" s="37">
        <f>SUMIFS('Sales Data'!$D:$D,'Sales Data'!$A:$A,$B8,'Sales Data'!$F:$F,$C$2,'Sales Data'!$G:$G,"&lt;="&amp;$D$3)/Mapping!$C$2</f>
        <v>2282.5056507311715</v>
      </c>
      <c r="N8" s="37">
        <f>SUMIFS('Sales Data'!$E:$E,'Sales Data'!$A:$A,$B8,'Sales Data'!$F:$F,$C$2,'Sales Data'!$G:$G,"&lt;="&amp;$D$3)/Mapping!$C$2</f>
        <v>1731.7656407460001</v>
      </c>
      <c r="O8" s="1"/>
      <c r="P8" s="38">
        <f>N8-L8</f>
        <v>976.97040234074097</v>
      </c>
      <c r="Q8" s="39">
        <f>IF(ISERROR((N8/L8)-1),"N/A",(N8/L8)-1)</f>
        <v>1.2943515706390731</v>
      </c>
      <c r="R8" s="38">
        <f>N8-M8</f>
        <v>-550.74000998517135</v>
      </c>
      <c r="S8" s="39">
        <f>IF(ISERROR((N8/M8)-1),"N/A",(N8/M8)-1)</f>
        <v>-0.24128746836124981</v>
      </c>
      <c r="T8" s="1"/>
      <c r="U8" s="40">
        <f>SUMIFS('Sales Data'!$E:$E,'Sales Data'!$A:$A,$B8,'Sales Data'!$F:$F,$C$2-1,'Sales Data'!$G:$G,"&lt;="&amp;12)/Mapping!$C$2</f>
        <v>1792.1636295417372</v>
      </c>
      <c r="V8" s="37">
        <f>SUMIFS('Sales Data'!$D:$D,'Sales Data'!$A:$A,$B8,'Sales Data'!$F:$F,$C$2,'Sales Data'!$G:$G,"&lt;="&amp;12)/Mapping!$C$2</f>
        <v>4921.3565580202476</v>
      </c>
      <c r="W8" s="37">
        <f>SUMIFS('Sales Data'!$E:$E,'Sales Data'!$A:$A,$B8,'Sales Data'!$F:$F,$C$2,'Sales Data'!$G:$G,"&lt;="&amp;12)/Mapping!$C$2</f>
        <v>1731.7656407460001</v>
      </c>
      <c r="Y8" s="38">
        <f>W8-U8</f>
        <v>-60.397988795737092</v>
      </c>
      <c r="Z8" s="39">
        <f>IF(ISERROR((W8/U8)-1),"N/A",(W8/U8)-1)</f>
        <v>-3.3701157528334136E-2</v>
      </c>
      <c r="AA8" s="38">
        <f>W8-V8</f>
        <v>-3189.5909172742477</v>
      </c>
      <c r="AB8" s="39">
        <f>IF(ISERROR((W8/V8)-1),"N/A",(W8/V8)-1)</f>
        <v>-0.64811213730820372</v>
      </c>
      <c r="AC8" s="38" t="e">
        <f>W8-#REF!</f>
        <v>#REF!</v>
      </c>
      <c r="AD8" s="41" t="str">
        <f>IF(ISERROR((W8/#REF!)-1),"N/A",(W8/#REF!)-1)</f>
        <v>N/A</v>
      </c>
      <c r="AF8" s="42">
        <f>N8/Summary!$D$3</f>
        <v>247.39509153514288</v>
      </c>
      <c r="AG8" s="42">
        <f>(V8-N8)/Summary!$E$3</f>
        <v>637.91818345484955</v>
      </c>
      <c r="AH8" s="30">
        <f t="shared" ref="AH8:AH25" si="25">AG8-AF8</f>
        <v>390.52309191970664</v>
      </c>
      <c r="AJ8" s="30">
        <f>CZ8-V8</f>
        <v>-1874.2471444992475</v>
      </c>
      <c r="AK8" s="30">
        <f>DA8-V8</f>
        <v>-1926.1317339592474</v>
      </c>
      <c r="AL8" s="30">
        <f>DB8-V8</f>
        <v>-2035.7850706565487</v>
      </c>
      <c r="AM8" s="30">
        <f>CT8-V8</f>
        <v>-1246.7198348092465</v>
      </c>
      <c r="AN8" s="31">
        <f>CF8-V8</f>
        <v>-2178.576163218961</v>
      </c>
      <c r="AP8" s="32">
        <f>U8-L8</f>
        <v>1037.3683911364781</v>
      </c>
      <c r="AQ8" s="32">
        <f t="shared" ref="AQ8:AQ25" si="26">V8-N8</f>
        <v>3189.5909172742477</v>
      </c>
      <c r="AS8" s="33">
        <f>SUMIFS('Sales Data'!$E:$E,'Sales Data'!$A:$A,$B8,'Sales Data'!$B:$B,AS$6,'Sales Data'!$C:$C,"Periodic")/Mapping!$C$2</f>
        <v>215.61462076800001</v>
      </c>
      <c r="AT8" s="33">
        <f>SUMIFS('Sales Data'!$E:$E,'Sales Data'!$A:$A,$B8,'Sales Data'!$B:$B,AT$6,'Sales Data'!$C:$C,"Periodic")/Mapping!$C$2</f>
        <v>214.22626620299999</v>
      </c>
      <c r="AU8" s="33">
        <f>SUMIFS('Sales Data'!$E:$E,'Sales Data'!$A:$A,$B8,'Sales Data'!$B:$B,AU$6,'Sales Data'!$C:$C,"Periodic")/Mapping!$C$2</f>
        <v>306.67822567799999</v>
      </c>
      <c r="AV8" s="33">
        <f>SUMIFS('Sales Data'!$E:$E,'Sales Data'!$A:$A,$B8,'Sales Data'!$B:$B,AV$6,'Sales Data'!$C:$C,"Periodic")/Mapping!$C$2</f>
        <v>206.04026443199999</v>
      </c>
      <c r="AW8" s="33">
        <f>SUMIFS('Sales Data'!$E:$E,'Sales Data'!$A:$A,$B8,'Sales Data'!$B:$B,AW$6,'Sales Data'!$C:$C,"Periodic")/Mapping!$C$2</f>
        <v>244.29622353899998</v>
      </c>
      <c r="AX8" s="33">
        <f>SUMIFS('Sales Data'!$E:$E,'Sales Data'!$A:$A,$B8,'Sales Data'!$B:$B,AX$6,'Sales Data'!$C:$C,"Periodic")/Mapping!$C$2</f>
        <v>249.93769601399998</v>
      </c>
      <c r="AY8" s="33">
        <f>SUMIFS('Sales Data'!$E:$E,'Sales Data'!$A:$A,$B8,'Sales Data'!$B:$B,AY$6,'Sales Data'!$C:$C,"Periodic")/Mapping!$C$2</f>
        <v>294.97234411200003</v>
      </c>
      <c r="AZ8" s="33">
        <f>SUMIFS('Sales Data'!$E:$E,'Sales Data'!$A:$A,$B8,'Sales Data'!$B:$B,AZ$6,'Sales Data'!$C:$C,"Periodic")/Mapping!$C$2</f>
        <v>0</v>
      </c>
      <c r="BA8" s="33">
        <f>SUMIFS('Sales Data'!$E:$E,'Sales Data'!$A:$A,$B8,'Sales Data'!$B:$B,BA$6,'Sales Data'!$C:$C,"Periodic")/Mapping!$C$2</f>
        <v>0</v>
      </c>
      <c r="BB8" s="33">
        <f>SUMIFS('Sales Data'!$E:$E,'Sales Data'!$A:$A,$B8,'Sales Data'!$B:$B,BB$6,'Sales Data'!$C:$C,"Periodic")/Mapping!$C$2</f>
        <v>0</v>
      </c>
      <c r="BC8" s="33">
        <f>SUMIFS('Sales Data'!$E:$E,'Sales Data'!$A:$A,$B8,'Sales Data'!$B:$B,BC$6,'Sales Data'!$C:$C,"Periodic")/Mapping!$C$2</f>
        <v>0</v>
      </c>
      <c r="BD8" s="33">
        <f>SUMIFS('Sales Data'!$E:$E,'Sales Data'!$A:$A,$B8,'Sales Data'!$B:$B,BD$6,'Sales Data'!$C:$C,"Periodic")/Mapping!$C$2</f>
        <v>0</v>
      </c>
      <c r="BE8" s="33">
        <f t="shared" ref="BE8:BE24" si="27">SUM(AS8:BD8)</f>
        <v>1731.7656407459999</v>
      </c>
      <c r="BF8" s="33"/>
      <c r="BG8" s="33">
        <f>SUMIFS('Sales Data'!$E:$E,'Sales Data'!$A:$A,$B8,'Sales Data'!$B:$B,BG$6,'Sales Data'!$C:$C,"Periodic")/Mapping!$C$2</f>
        <v>171.96272132692715</v>
      </c>
      <c r="BH8" s="33">
        <f>SUMIFS('Sales Data'!$E:$E,'Sales Data'!$A:$A,$B8,'Sales Data'!$B:$B,BH$6,'Sales Data'!$C:$C,"Periodic")/Mapping!$C$2</f>
        <v>171.6325823685728</v>
      </c>
      <c r="BI8" s="33">
        <f>SUMIFS('Sales Data'!$E:$E,'Sales Data'!$A:$A,$B8,'Sales Data'!$B:$B,BI$6,'Sales Data'!$C:$C,"Periodic")/Mapping!$C$2</f>
        <v>212.70068453824723</v>
      </c>
      <c r="BJ8" s="33">
        <f>SUMIFS('Sales Data'!$E:$E,'Sales Data'!$A:$A,$B8,'Sales Data'!$B:$B,BJ$6,'Sales Data'!$C:$C,"Periodic")/Mapping!$C$2</f>
        <v>258.54867200973763</v>
      </c>
      <c r="BK8" s="33">
        <f>SUMIFS('Sales Data'!$E:$E,'Sales Data'!$A:$A,$B8,'Sales Data'!$B:$B,BK$6,'Sales Data'!$C:$C,"Periodic")/Mapping!$C$2</f>
        <v>222.52373089299294</v>
      </c>
      <c r="BL8" s="33">
        <f>SUMIFS('Sales Data'!$E:$E,'Sales Data'!$A:$A,$B8,'Sales Data'!$B:$B,BL$6,'Sales Data'!$C:$C,"Periodic")/Mapping!$C$2</f>
        <v>215.61462076800001</v>
      </c>
      <c r="BM8" s="33">
        <f>SUMIFS('Sales Data'!$E:$E,'Sales Data'!$A:$A,$B8,'Sales Data'!$B:$B,BM$6,'Sales Data'!$C:$C,"Periodic")/Mapping!$C$2</f>
        <v>214.22626620299999</v>
      </c>
      <c r="BN8" s="33">
        <f>SUMIFS('Sales Data'!$E:$E,'Sales Data'!$A:$A,$B8,'Sales Data'!$B:$B,BN$6,'Sales Data'!$C:$C,"Periodic")/Mapping!$C$2</f>
        <v>306.67822567799999</v>
      </c>
      <c r="BO8" s="33">
        <f>SUMIFS('Sales Data'!$E:$E,'Sales Data'!$A:$A,$B8,'Sales Data'!$B:$B,BO$6,'Sales Data'!$C:$C,"Periodic")/Mapping!$C$2</f>
        <v>206.04026443199999</v>
      </c>
      <c r="BP8" s="33">
        <f>SUMIFS('Sales Data'!$E:$E,'Sales Data'!$A:$A,$B8,'Sales Data'!$B:$B,BP$6,'Sales Data'!$C:$C,"Periodic")/Mapping!$C$2</f>
        <v>244.29622353899998</v>
      </c>
      <c r="BQ8" s="33">
        <f>SUMIFS('Sales Data'!$E:$E,'Sales Data'!$A:$A,$B8,'Sales Data'!$B:$B,BQ$6,'Sales Data'!$C:$C,"Periodic")/Mapping!$C$2</f>
        <v>249.93769601399998</v>
      </c>
      <c r="BR8" s="33">
        <f>SUMIFS('Sales Data'!$E:$E,'Sales Data'!$A:$A,$B8,'Sales Data'!$B:$B,BR$6,'Sales Data'!$C:$C,"Periodic")/Mapping!$C$2</f>
        <v>294.97234411200003</v>
      </c>
      <c r="BS8" s="33"/>
      <c r="BT8" s="33">
        <f t="shared" si="1"/>
        <v>215.61462076800001</v>
      </c>
      <c r="BU8" s="33">
        <f t="shared" si="2"/>
        <v>214.22626620299999</v>
      </c>
      <c r="BV8" s="33">
        <f t="shared" si="3"/>
        <v>306.67822567799999</v>
      </c>
      <c r="BW8" s="33">
        <f t="shared" si="4"/>
        <v>206.04026443199999</v>
      </c>
      <c r="BX8" s="33">
        <f t="shared" si="5"/>
        <v>244.29622353899998</v>
      </c>
      <c r="BY8" s="33">
        <f t="shared" si="6"/>
        <v>249.93769601399998</v>
      </c>
      <c r="BZ8" s="33">
        <f t="shared" si="7"/>
        <v>294.97234411200003</v>
      </c>
      <c r="CA8" s="33">
        <f t="shared" si="8"/>
        <v>205.88788223202283</v>
      </c>
      <c r="CB8" s="33">
        <f t="shared" si="9"/>
        <v>204.04541652154006</v>
      </c>
      <c r="CC8" s="33">
        <f t="shared" si="10"/>
        <v>202.20295081105735</v>
      </c>
      <c r="CD8" s="33">
        <f t="shared" si="11"/>
        <v>200.36048510057461</v>
      </c>
      <c r="CE8" s="33">
        <f t="shared" si="12"/>
        <v>198.51801939009187</v>
      </c>
      <c r="CF8" s="33">
        <f t="shared" ref="CF8:CF24" si="28">SUM(BT8:CE8)</f>
        <v>2742.7803948012865</v>
      </c>
      <c r="CH8" s="33">
        <f t="shared" si="13"/>
        <v>215.61462076800001</v>
      </c>
      <c r="CI8" s="33">
        <f t="shared" si="14"/>
        <v>214.22626620299999</v>
      </c>
      <c r="CJ8" s="33">
        <f t="shared" si="15"/>
        <v>306.67822567799999</v>
      </c>
      <c r="CK8" s="33">
        <f t="shared" si="16"/>
        <v>206.04026443199999</v>
      </c>
      <c r="CL8" s="33">
        <f t="shared" si="17"/>
        <v>244.29622353899998</v>
      </c>
      <c r="CM8" s="33">
        <f t="shared" si="18"/>
        <v>249.93769601399998</v>
      </c>
      <c r="CN8" s="33">
        <f t="shared" si="19"/>
        <v>294.97234411200003</v>
      </c>
      <c r="CO8" s="33">
        <f t="shared" si="20"/>
        <v>373.04480165528577</v>
      </c>
      <c r="CP8" s="33">
        <f t="shared" si="21"/>
        <v>380.80950907414291</v>
      </c>
      <c r="CQ8" s="33">
        <f t="shared" si="22"/>
        <v>388.57421649300005</v>
      </c>
      <c r="CR8" s="33">
        <f t="shared" si="23"/>
        <v>396.33892391185725</v>
      </c>
      <c r="CS8" s="33">
        <f t="shared" si="24"/>
        <v>404.10363133071439</v>
      </c>
      <c r="CT8" s="35">
        <f t="shared" ref="CT8:CT24" si="29">SUM(CH8:CS8)</f>
        <v>3674.636723211001</v>
      </c>
      <c r="CV8" s="35">
        <f t="shared" ref="CV8:CV25" si="30">SUM(BP8:BR8)/3</f>
        <v>263.068754555</v>
      </c>
      <c r="CW8" s="35">
        <f t="shared" ref="CW8:CW25" si="31">SUM(BM8:BR8)/6</f>
        <v>252.691836663</v>
      </c>
      <c r="CX8" s="35">
        <f t="shared" ref="CX8:CX25" si="32">SUM(BG8:BR8)/12</f>
        <v>230.76116932353978</v>
      </c>
      <c r="CZ8" s="42">
        <f>N8+Summary!$E$3*CV8</f>
        <v>3047.1094135210001</v>
      </c>
      <c r="DA8" s="42">
        <f>N8+CW8*Summary!$E$3</f>
        <v>2995.2248240610002</v>
      </c>
      <c r="DB8" s="32">
        <f>N8+CX8*Summary!$E$3</f>
        <v>2885.5714873636989</v>
      </c>
    </row>
    <row r="9" spans="1:106" s="15" customFormat="1" ht="15" x14ac:dyDescent="0.25">
      <c r="A9" s="1"/>
      <c r="B9" s="22" t="str">
        <f>Mapping!A4</f>
        <v>Chairs</v>
      </c>
      <c r="C9" s="37">
        <f>SUMIFS('Sales Data'!$E:$E,'Sales Data'!$A:$A,$B9,'Sales Data'!$B:$B,Summary!$C$3&amp;" "&amp;Summary!$C$2-1,'Sales Data'!$C:$C,"Periodic")/Mapping!$C$2</f>
        <v>330.4977830078887</v>
      </c>
      <c r="D9" s="37">
        <f>SUMIFS('Sales Data'!$D:$D,'Sales Data'!$A:$A,$B9,'Sales Data'!$B:$B,Summary!$C$3&amp;" "&amp;Summary!$C$2,'Sales Data'!$C:$C,"Periodic")/Mapping!$C$2</f>
        <v>329.69726462469686</v>
      </c>
      <c r="E9" s="37">
        <f>SUMIFS('Sales Data'!$E:$E,'Sales Data'!$A:$A,$B9,'Sales Data'!$B:$B,Summary!$C$3&amp;" "&amp;Summary!$C$2,'Sales Data'!$C:$C,"Periodic")/Mapping!$C$2</f>
        <v>348.54445078499998</v>
      </c>
      <c r="G9" s="38">
        <f>E9-C9</f>
        <v>18.046667777111281</v>
      </c>
      <c r="H9" s="39">
        <f>IF(ISERROR((E9/C9)-1),"N/A",(E9/C9)-1)</f>
        <v>5.4604504795363606E-2</v>
      </c>
      <c r="I9" s="38">
        <f>E9-D9</f>
        <v>18.847186160303124</v>
      </c>
      <c r="J9" s="39">
        <f>IF(ISERROR((E9/D9)-1),"N/A",(E9/D9)-1)</f>
        <v>5.7165127474616328E-2</v>
      </c>
      <c r="K9" s="1"/>
      <c r="L9" s="40">
        <f>SUMIFS('Sales Data'!$E:$E,'Sales Data'!$A:$A,$B9,'Sales Data'!$F:$F,$C$2-1,'Sales Data'!$G:$G,"&lt;="&amp;$D$3)/Mapping!$C$2</f>
        <v>2028.7036440648662</v>
      </c>
      <c r="M9" s="37">
        <f>SUMIFS('Sales Data'!$D:$D,'Sales Data'!$A:$A,$B9,'Sales Data'!$F:$F,$C$2,'Sales Data'!$G:$G,"&lt;="&amp;$D$3)/Mapping!$C$2</f>
        <v>2129.531723895263</v>
      </c>
      <c r="N9" s="37">
        <f>SUMIFS('Sales Data'!$E:$E,'Sales Data'!$A:$A,$B9,'Sales Data'!$F:$F,$C$2,'Sales Data'!$G:$G,"&lt;="&amp;$D$3)/Mapping!$C$2</f>
        <v>2203.3072247190003</v>
      </c>
      <c r="O9" s="1"/>
      <c r="P9" s="38">
        <f>N9-L9</f>
        <v>174.60358065413402</v>
      </c>
      <c r="Q9" s="39">
        <f>IF(ISERROR((N9/L9)-1),"N/A",(N9/L9)-1)</f>
        <v>8.6066578115019832E-2</v>
      </c>
      <c r="R9" s="38">
        <f>N9-M9</f>
        <v>73.775500823737275</v>
      </c>
      <c r="S9" s="39">
        <f>IF(ISERROR((N9/M9)-1),"N/A",(N9/M9)-1)</f>
        <v>3.4644001775559374E-2</v>
      </c>
      <c r="T9" s="1"/>
      <c r="U9" s="40">
        <f>SUMIFS('Sales Data'!$E:$E,'Sales Data'!$A:$A,$B9,'Sales Data'!$F:$F,$C$2-1,'Sales Data'!$G:$G,"&lt;="&amp;12)/Mapping!$C$2</f>
        <v>3274.8720241281508</v>
      </c>
      <c r="V9" s="37">
        <f>SUMIFS('Sales Data'!$D:$D,'Sales Data'!$A:$A,$B9,'Sales Data'!$F:$F,$C$2,'Sales Data'!$G:$G,"&lt;="&amp;12)/Mapping!$C$2</f>
        <v>3681.2957584788055</v>
      </c>
      <c r="W9" s="37">
        <f>SUMIFS('Sales Data'!$E:$E,'Sales Data'!$A:$A,$B9,'Sales Data'!$F:$F,$C$2,'Sales Data'!$G:$G,"&lt;="&amp;12)/Mapping!$C$2</f>
        <v>2203.3072247190003</v>
      </c>
      <c r="Y9" s="38">
        <f>W9-U9</f>
        <v>-1071.5647994091505</v>
      </c>
      <c r="Z9" s="39">
        <f>IF(ISERROR((W9/U9)-1),"N/A",(W9/U9)-1)</f>
        <v>-0.32720814478068849</v>
      </c>
      <c r="AA9" s="38">
        <f>W9-V9</f>
        <v>-1477.9885337598053</v>
      </c>
      <c r="AB9" s="39">
        <f>IF(ISERROR((W9/V9)-1),"N/A",(W9/V9)-1)</f>
        <v>-0.40148595242739837</v>
      </c>
      <c r="AC9" s="38" t="e">
        <f>W9-#REF!</f>
        <v>#REF!</v>
      </c>
      <c r="AD9" s="41" t="str">
        <f>IF(ISERROR((W9/#REF!)-1),"N/A",(W9/#REF!)-1)</f>
        <v>N/A</v>
      </c>
      <c r="AF9" s="42">
        <f>N9/Summary!$D$3</f>
        <v>314.75817495985717</v>
      </c>
      <c r="AG9" s="42">
        <f>(V9-N9)/Summary!$E$3</f>
        <v>295.59770675196103</v>
      </c>
      <c r="AH9" s="30">
        <f t="shared" si="25"/>
        <v>-19.160468207896145</v>
      </c>
      <c r="AJ9" s="30">
        <f>CZ9-V9</f>
        <v>186.6817557551949</v>
      </c>
      <c r="AK9" s="30">
        <f>DA9-V9</f>
        <v>69.078110937694873</v>
      </c>
      <c r="AL9" s="30">
        <f>DB9-V9</f>
        <v>-40.707031767186891</v>
      </c>
      <c r="AM9" s="30">
        <f>CT9-V9</f>
        <v>2024.2416093201937</v>
      </c>
      <c r="AN9" s="31">
        <f>CF9-V9</f>
        <v>-529.1015898492351</v>
      </c>
      <c r="AP9" s="32">
        <f>U9-L9</f>
        <v>1246.1683800632845</v>
      </c>
      <c r="AQ9" s="32">
        <f t="shared" si="26"/>
        <v>1477.9885337598053</v>
      </c>
      <c r="AS9" s="33">
        <f>SUMIFS('Sales Data'!$E:$E,'Sales Data'!$A:$A,$B9,'Sales Data'!$B:$B,AS$6,'Sales Data'!$C:$C,"Periodic")/Mapping!$C$2</f>
        <v>346.82725108199998</v>
      </c>
      <c r="AT9" s="33">
        <f>SUMIFS('Sales Data'!$E:$E,'Sales Data'!$A:$A,$B9,'Sales Data'!$B:$B,AT$6,'Sales Data'!$C:$C,"Periodic")/Mapping!$C$2</f>
        <v>238.79549961599997</v>
      </c>
      <c r="AU9" s="33">
        <f>SUMIFS('Sales Data'!$E:$E,'Sales Data'!$A:$A,$B9,'Sales Data'!$B:$B,AU$6,'Sales Data'!$C:$C,"Periodic")/Mapping!$C$2</f>
        <v>350.51170027500001</v>
      </c>
      <c r="AV9" s="33">
        <f>SUMIFS('Sales Data'!$E:$E,'Sales Data'!$A:$A,$B9,'Sales Data'!$B:$B,AV$6,'Sales Data'!$C:$C,"Periodic")/Mapping!$C$2</f>
        <v>268.37060003700003</v>
      </c>
      <c r="AW9" s="33">
        <f>SUMIFS('Sales Data'!$E:$E,'Sales Data'!$A:$A,$B9,'Sales Data'!$B:$B,AW$6,'Sales Data'!$C:$C,"Periodic")/Mapping!$C$2</f>
        <v>198.77341220100004</v>
      </c>
      <c r="AX9" s="33">
        <f>SUMIFS('Sales Data'!$E:$E,'Sales Data'!$A:$A,$B9,'Sales Data'!$B:$B,AX$6,'Sales Data'!$C:$C,"Periodic")/Mapping!$C$2</f>
        <v>451.48431072299996</v>
      </c>
      <c r="AY9" s="33">
        <f>SUMIFS('Sales Data'!$E:$E,'Sales Data'!$A:$A,$B9,'Sales Data'!$B:$B,AY$6,'Sales Data'!$C:$C,"Periodic")/Mapping!$C$2</f>
        <v>348.54445078499998</v>
      </c>
      <c r="AZ9" s="33">
        <f>SUMIFS('Sales Data'!$E:$E,'Sales Data'!$A:$A,$B9,'Sales Data'!$B:$B,AZ$6,'Sales Data'!$C:$C,"Periodic")/Mapping!$C$2</f>
        <v>0</v>
      </c>
      <c r="BA9" s="33">
        <f>SUMIFS('Sales Data'!$E:$E,'Sales Data'!$A:$A,$B9,'Sales Data'!$B:$B,BA$6,'Sales Data'!$C:$C,"Periodic")/Mapping!$C$2</f>
        <v>0</v>
      </c>
      <c r="BB9" s="33">
        <f>SUMIFS('Sales Data'!$E:$E,'Sales Data'!$A:$A,$B9,'Sales Data'!$B:$B,BB$6,'Sales Data'!$C:$C,"Periodic")/Mapping!$C$2</f>
        <v>0</v>
      </c>
      <c r="BC9" s="33">
        <f>SUMIFS('Sales Data'!$E:$E,'Sales Data'!$A:$A,$B9,'Sales Data'!$B:$B,BC$6,'Sales Data'!$C:$C,"Periodic")/Mapping!$C$2</f>
        <v>0</v>
      </c>
      <c r="BD9" s="33">
        <f>SUMIFS('Sales Data'!$E:$E,'Sales Data'!$A:$A,$B9,'Sales Data'!$B:$B,BD$6,'Sales Data'!$C:$C,"Periodic")/Mapping!$C$2</f>
        <v>0</v>
      </c>
      <c r="BE9" s="33">
        <f t="shared" si="27"/>
        <v>2203.3072247190003</v>
      </c>
      <c r="BF9" s="33"/>
      <c r="BG9" s="33">
        <f>SUMIFS('Sales Data'!$E:$E,'Sales Data'!$A:$A,$B9,'Sales Data'!$B:$B,BG$6,'Sales Data'!$C:$C,"Periodic")/Mapping!$C$2</f>
        <v>207.34383916267058</v>
      </c>
      <c r="BH9" s="33">
        <f>SUMIFS('Sales Data'!$E:$E,'Sales Data'!$A:$A,$B9,'Sales Data'!$B:$B,BH$6,'Sales Data'!$C:$C,"Periodic")/Mapping!$C$2</f>
        <v>331.0604260942003</v>
      </c>
      <c r="BI9" s="33">
        <f>SUMIFS('Sales Data'!$E:$E,'Sales Data'!$A:$A,$B9,'Sales Data'!$B:$B,BI$6,'Sales Data'!$C:$C,"Periodic")/Mapping!$C$2</f>
        <v>191.55252713425921</v>
      </c>
      <c r="BJ9" s="33">
        <f>SUMIFS('Sales Data'!$E:$E,'Sales Data'!$A:$A,$B9,'Sales Data'!$B:$B,BJ$6,'Sales Data'!$C:$C,"Periodic")/Mapping!$C$2</f>
        <v>319.95400557495987</v>
      </c>
      <c r="BK9" s="33">
        <f>SUMIFS('Sales Data'!$E:$E,'Sales Data'!$A:$A,$B9,'Sales Data'!$B:$B,BK$6,'Sales Data'!$C:$C,"Periodic")/Mapping!$C$2</f>
        <v>196.25758209719424</v>
      </c>
      <c r="BL9" s="33">
        <f>SUMIFS('Sales Data'!$E:$E,'Sales Data'!$A:$A,$B9,'Sales Data'!$B:$B,BL$6,'Sales Data'!$C:$C,"Periodic")/Mapping!$C$2</f>
        <v>346.82725108199998</v>
      </c>
      <c r="BM9" s="33">
        <f>SUMIFS('Sales Data'!$E:$E,'Sales Data'!$A:$A,$B9,'Sales Data'!$B:$B,BM$6,'Sales Data'!$C:$C,"Periodic")/Mapping!$C$2</f>
        <v>238.79549961599997</v>
      </c>
      <c r="BN9" s="33">
        <f>SUMIFS('Sales Data'!$E:$E,'Sales Data'!$A:$A,$B9,'Sales Data'!$B:$B,BN$6,'Sales Data'!$C:$C,"Periodic")/Mapping!$C$2</f>
        <v>350.51170027500001</v>
      </c>
      <c r="BO9" s="33">
        <f>SUMIFS('Sales Data'!$E:$E,'Sales Data'!$A:$A,$B9,'Sales Data'!$B:$B,BO$6,'Sales Data'!$C:$C,"Periodic")/Mapping!$C$2</f>
        <v>268.37060003700003</v>
      </c>
      <c r="BP9" s="33">
        <f>SUMIFS('Sales Data'!$E:$E,'Sales Data'!$A:$A,$B9,'Sales Data'!$B:$B,BP$6,'Sales Data'!$C:$C,"Periodic")/Mapping!$C$2</f>
        <v>198.77341220100004</v>
      </c>
      <c r="BQ9" s="33">
        <f>SUMIFS('Sales Data'!$E:$E,'Sales Data'!$A:$A,$B9,'Sales Data'!$B:$B,BQ$6,'Sales Data'!$C:$C,"Periodic")/Mapping!$C$2</f>
        <v>451.48431072299996</v>
      </c>
      <c r="BR9" s="33">
        <f>SUMIFS('Sales Data'!$E:$E,'Sales Data'!$A:$A,$B9,'Sales Data'!$B:$B,BR$6,'Sales Data'!$C:$C,"Periodic")/Mapping!$C$2</f>
        <v>348.54445078499998</v>
      </c>
      <c r="BS9" s="33"/>
      <c r="BT9" s="33">
        <f t="shared" si="1"/>
        <v>346.82725108199998</v>
      </c>
      <c r="BU9" s="33">
        <f t="shared" si="2"/>
        <v>238.79549961599997</v>
      </c>
      <c r="BV9" s="33">
        <f t="shared" si="3"/>
        <v>350.51170027500001</v>
      </c>
      <c r="BW9" s="33">
        <f t="shared" si="4"/>
        <v>268.37060003700003</v>
      </c>
      <c r="BX9" s="33">
        <f t="shared" si="5"/>
        <v>198.77341220100004</v>
      </c>
      <c r="BY9" s="33">
        <f t="shared" si="6"/>
        <v>451.48431072299996</v>
      </c>
      <c r="BZ9" s="33">
        <f t="shared" si="7"/>
        <v>348.54445078499998</v>
      </c>
      <c r="CA9" s="33">
        <f t="shared" si="8"/>
        <v>202.38111931326367</v>
      </c>
      <c r="CB9" s="33">
        <f t="shared" si="9"/>
        <v>196.07925404768886</v>
      </c>
      <c r="CC9" s="33">
        <f t="shared" si="10"/>
        <v>189.77738878211403</v>
      </c>
      <c r="CD9" s="33">
        <f t="shared" si="11"/>
        <v>183.47552351653923</v>
      </c>
      <c r="CE9" s="33">
        <f t="shared" si="12"/>
        <v>177.17365825096442</v>
      </c>
      <c r="CF9" s="33">
        <f t="shared" si="28"/>
        <v>3152.1941686295704</v>
      </c>
      <c r="CH9" s="33">
        <f t="shared" si="13"/>
        <v>346.82725108199998</v>
      </c>
      <c r="CI9" s="33">
        <f t="shared" si="14"/>
        <v>238.79549961599997</v>
      </c>
      <c r="CJ9" s="33">
        <f t="shared" si="15"/>
        <v>350.51170027500001</v>
      </c>
      <c r="CK9" s="33">
        <f t="shared" si="16"/>
        <v>268.37060003700003</v>
      </c>
      <c r="CL9" s="33">
        <f t="shared" si="17"/>
        <v>198.77341220100004</v>
      </c>
      <c r="CM9" s="33">
        <f t="shared" si="18"/>
        <v>451.48431072299996</v>
      </c>
      <c r="CN9" s="33">
        <f t="shared" si="19"/>
        <v>348.54445078499998</v>
      </c>
      <c r="CO9" s="33">
        <f t="shared" si="20"/>
        <v>655.75657722439996</v>
      </c>
      <c r="CP9" s="33">
        <f t="shared" si="21"/>
        <v>678.10130292019994</v>
      </c>
      <c r="CQ9" s="33">
        <f t="shared" si="22"/>
        <v>700.44602861599992</v>
      </c>
      <c r="CR9" s="33">
        <f t="shared" si="23"/>
        <v>722.79075431180001</v>
      </c>
      <c r="CS9" s="33">
        <f t="shared" si="24"/>
        <v>745.13548000759999</v>
      </c>
      <c r="CT9" s="35">
        <f t="shared" si="29"/>
        <v>5705.5373677989992</v>
      </c>
      <c r="CV9" s="35">
        <f t="shared" si="30"/>
        <v>332.934057903</v>
      </c>
      <c r="CW9" s="35">
        <f t="shared" si="31"/>
        <v>309.41332893949999</v>
      </c>
      <c r="CX9" s="35">
        <f t="shared" si="32"/>
        <v>287.45630039852364</v>
      </c>
      <c r="CZ9" s="42">
        <f>N9+Summary!$E$3*CV9</f>
        <v>3867.9775142340004</v>
      </c>
      <c r="DA9" s="42">
        <f>N9+CW9*Summary!$E$3</f>
        <v>3750.3738694165004</v>
      </c>
      <c r="DB9" s="32">
        <f>N9+CX9*Summary!$E$3</f>
        <v>3640.5887267116186</v>
      </c>
    </row>
    <row r="10" spans="1:106" s="15" customFormat="1" ht="15" x14ac:dyDescent="0.25">
      <c r="A10" s="1"/>
      <c r="B10" s="22" t="str">
        <f>Mapping!A5</f>
        <v>Accessories</v>
      </c>
      <c r="C10" s="37">
        <f>SUMIFS('Sales Data'!$E:$E,'Sales Data'!$A:$A,$B10,'Sales Data'!$B:$B,Summary!$C$3&amp;" "&amp;Summary!$C$2-1,'Sales Data'!$C:$C,"Periodic")/Mapping!$C$2</f>
        <v>2447.2910734761708</v>
      </c>
      <c r="D10" s="37">
        <f>SUMIFS('Sales Data'!$D:$D,'Sales Data'!$A:$A,$B10,'Sales Data'!$B:$B,Summary!$C$3&amp;" "&amp;Summary!$C$2,'Sales Data'!$C:$C,"Periodic")/Mapping!$C$2</f>
        <v>2295.1582137395931</v>
      </c>
      <c r="E10" s="37">
        <f>SUMIFS('Sales Data'!$E:$E,'Sales Data'!$A:$A,$B10,'Sales Data'!$B:$B,Summary!$C$3&amp;" "&amp;Summary!$C$2,'Sales Data'!$C:$C,"Periodic")/Mapping!$C$2</f>
        <v>2230.7593678140001</v>
      </c>
      <c r="G10" s="38">
        <f t="shared" ref="G10:G23" si="33">E10-C10</f>
        <v>-216.53170566217068</v>
      </c>
      <c r="H10" s="39">
        <f t="shared" ref="H10:H23" si="34">IF(ISERROR((E10/C10)-1),"N/A",(E10/C10)-1)</f>
        <v>-8.8478116889710856E-2</v>
      </c>
      <c r="I10" s="38">
        <f t="shared" ref="I10:I23" si="35">E10-D10</f>
        <v>-64.398845925592923</v>
      </c>
      <c r="J10" s="39">
        <f t="shared" ref="J10:J23" si="36">IF(ISERROR((E10/D10)-1),"N/A",(E10/D10)-1)</f>
        <v>-2.8058565000042113E-2</v>
      </c>
      <c r="K10" s="1"/>
      <c r="L10" s="40">
        <f>SUMIFS('Sales Data'!$E:$E,'Sales Data'!$A:$A,$B10,'Sales Data'!$F:$F,$C$2-1,'Sales Data'!$G:$G,"&lt;="&amp;$D$3)/Mapping!$C$2</f>
        <v>13676.597083579018</v>
      </c>
      <c r="M10" s="37">
        <f>SUMIFS('Sales Data'!$D:$D,'Sales Data'!$A:$A,$B10,'Sales Data'!$F:$F,$C$2,'Sales Data'!$G:$G,"&lt;="&amp;$D$3)/Mapping!$C$2</f>
        <v>14669.68963533943</v>
      </c>
      <c r="N10" s="37">
        <f>SUMIFS('Sales Data'!$E:$E,'Sales Data'!$A:$A,$B10,'Sales Data'!$F:$F,$C$2,'Sales Data'!$G:$G,"&lt;="&amp;$D$3)/Mapping!$C$2</f>
        <v>15745.227913299004</v>
      </c>
      <c r="O10" s="1"/>
      <c r="P10" s="38">
        <f t="shared" ref="P10:P23" si="37">N10-L10</f>
        <v>2068.6308297199867</v>
      </c>
      <c r="Q10" s="39">
        <f t="shared" ref="Q10:Q23" si="38">IF(ISERROR((N10/L10)-1),"N/A",(N10/L10)-1)</f>
        <v>0.15125332837389172</v>
      </c>
      <c r="R10" s="38">
        <f t="shared" ref="R10:R23" si="39">N10-M10</f>
        <v>1075.5382779595748</v>
      </c>
      <c r="S10" s="39">
        <f t="shared" ref="S10:S23" si="40">IF(ISERROR((N10/M10)-1),"N/A",(N10/M10)-1)</f>
        <v>7.3317043829515871E-2</v>
      </c>
      <c r="T10" s="1"/>
      <c r="U10" s="40">
        <f>SUMIFS('Sales Data'!$E:$E,'Sales Data'!$A:$A,$B10,'Sales Data'!$F:$F,$C$2-1,'Sales Data'!$G:$G,"&lt;="&amp;12)/Mapping!$C$2</f>
        <v>23640.903489164757</v>
      </c>
      <c r="V10" s="37">
        <f>SUMIFS('Sales Data'!$D:$D,'Sales Data'!$A:$A,$B10,'Sales Data'!$F:$F,$C$2,'Sales Data'!$G:$G,"&lt;="&amp;12)/Mapping!$C$2</f>
        <v>25060.10992907354</v>
      </c>
      <c r="W10" s="37">
        <f>SUMIFS('Sales Data'!$E:$E,'Sales Data'!$A:$A,$B10,'Sales Data'!$F:$F,$C$2,'Sales Data'!$G:$G,"&lt;="&amp;12)/Mapping!$C$2</f>
        <v>15745.227913299004</v>
      </c>
      <c r="Y10" s="38">
        <f t="shared" ref="Y10:Y23" si="41">W10-U10</f>
        <v>-7895.6755758657528</v>
      </c>
      <c r="Z10" s="39">
        <f t="shared" ref="Z10:Z23" si="42">IF(ISERROR((W10/U10)-1),"N/A",(W10/U10)-1)</f>
        <v>-0.33398366435041482</v>
      </c>
      <c r="AA10" s="38">
        <f t="shared" ref="AA10:AA23" si="43">W10-V10</f>
        <v>-9314.8820157745358</v>
      </c>
      <c r="AB10" s="39">
        <f t="shared" ref="AB10:AB23" si="44">IF(ISERROR((W10/V10)-1),"N/A",(W10/V10)-1)</f>
        <v>-0.37170156244876862</v>
      </c>
      <c r="AC10" s="38" t="e">
        <f>W10-#REF!</f>
        <v>#REF!</v>
      </c>
      <c r="AD10" s="41" t="str">
        <f>IF(ISERROR((W10/#REF!)-1),"N/A",(W10/#REF!)-1)</f>
        <v>N/A</v>
      </c>
      <c r="AF10" s="42">
        <f>N10/Summary!$D$3</f>
        <v>2249.3182733284293</v>
      </c>
      <c r="AG10" s="42">
        <f>(V10-N10)/Summary!$E$3</f>
        <v>1862.9764031549071</v>
      </c>
      <c r="AH10" s="30">
        <f t="shared" ref="AH10:AH23" si="45">AG10-AF10</f>
        <v>-386.34187017352224</v>
      </c>
      <c r="AJ10" s="30">
        <f t="shared" ref="AJ10:AJ23" si="46">CZ10-V10</f>
        <v>1795.9351823654652</v>
      </c>
      <c r="AK10" s="30">
        <f t="shared" ref="AK10:AK23" si="47">DA10-V10</f>
        <v>1827.1331779654647</v>
      </c>
      <c r="AL10" s="30">
        <f t="shared" ref="AL10:AL23" si="48">DB10-V10</f>
        <v>1397.423950427441</v>
      </c>
      <c r="AM10" s="30">
        <f t="shared" ref="AM10:AM23" si="49">CT10-V10</f>
        <v>2601.2067698554565</v>
      </c>
      <c r="AN10" s="31">
        <f t="shared" ref="AN10:AN23" si="50">CF10-V10</f>
        <v>-784.9653410984829</v>
      </c>
      <c r="AP10" s="32">
        <f t="shared" ref="AP10:AP23" si="51">U10-L10</f>
        <v>9964.3064055857394</v>
      </c>
      <c r="AQ10" s="32">
        <f t="shared" ref="AQ10:AQ23" si="52">V10-N10</f>
        <v>9314.8820157745358</v>
      </c>
      <c r="AS10" s="33">
        <f>SUMIFS('Sales Data'!$E:$E,'Sales Data'!$A:$A,$B10,'Sales Data'!$B:$B,AS$6,'Sales Data'!$C:$C,"Periodic")/Mapping!$C$2</f>
        <v>2374.8096808109999</v>
      </c>
      <c r="AT10" s="33">
        <f>SUMIFS('Sales Data'!$E:$E,'Sales Data'!$A:$A,$B10,'Sales Data'!$B:$B,AT$6,'Sales Data'!$C:$C,"Periodic")/Mapping!$C$2</f>
        <v>1899.9102903480002</v>
      </c>
      <c r="AU10" s="33">
        <f>SUMIFS('Sales Data'!$E:$E,'Sales Data'!$A:$A,$B10,'Sales Data'!$B:$B,AU$6,'Sales Data'!$C:$C,"Periodic")/Mapping!$C$2</f>
        <v>2876.2979462190001</v>
      </c>
      <c r="AV10" s="33">
        <f>SUMIFS('Sales Data'!$E:$E,'Sales Data'!$A:$A,$B10,'Sales Data'!$B:$B,AV$6,'Sales Data'!$C:$C,"Periodic")/Mapping!$C$2</f>
        <v>1927.7196770369999</v>
      </c>
      <c r="AW10" s="33">
        <f>SUMIFS('Sales Data'!$E:$E,'Sales Data'!$A:$A,$B10,'Sales Data'!$B:$B,AW$6,'Sales Data'!$C:$C,"Periodic")/Mapping!$C$2</f>
        <v>2047.5976440450002</v>
      </c>
      <c r="AX10" s="33">
        <f>SUMIFS('Sales Data'!$E:$E,'Sales Data'!$A:$A,$B10,'Sales Data'!$B:$B,AX$6,'Sales Data'!$C:$C,"Periodic")/Mapping!$C$2</f>
        <v>2388.1333070249998</v>
      </c>
      <c r="AY10" s="33">
        <f>SUMIFS('Sales Data'!$E:$E,'Sales Data'!$A:$A,$B10,'Sales Data'!$B:$B,AY$6,'Sales Data'!$C:$C,"Periodic")/Mapping!$C$2</f>
        <v>2230.7593678140001</v>
      </c>
      <c r="AZ10" s="33">
        <f>SUMIFS('Sales Data'!$E:$E,'Sales Data'!$A:$A,$B10,'Sales Data'!$B:$B,AZ$6,'Sales Data'!$C:$C,"Periodic")/Mapping!$C$2</f>
        <v>0</v>
      </c>
      <c r="BA10" s="33">
        <f>SUMIFS('Sales Data'!$E:$E,'Sales Data'!$A:$A,$B10,'Sales Data'!$B:$B,BA$6,'Sales Data'!$C:$C,"Periodic")/Mapping!$C$2</f>
        <v>0</v>
      </c>
      <c r="BB10" s="33">
        <f>SUMIFS('Sales Data'!$E:$E,'Sales Data'!$A:$A,$B10,'Sales Data'!$B:$B,BB$6,'Sales Data'!$C:$C,"Periodic")/Mapping!$C$2</f>
        <v>0</v>
      </c>
      <c r="BC10" s="33">
        <f>SUMIFS('Sales Data'!$E:$E,'Sales Data'!$A:$A,$B10,'Sales Data'!$B:$B,BC$6,'Sales Data'!$C:$C,"Periodic")/Mapping!$C$2</f>
        <v>0</v>
      </c>
      <c r="BD10" s="33">
        <f>SUMIFS('Sales Data'!$E:$E,'Sales Data'!$A:$A,$B10,'Sales Data'!$B:$B,BD$6,'Sales Data'!$C:$C,"Periodic")/Mapping!$C$2</f>
        <v>0</v>
      </c>
      <c r="BE10" s="33">
        <f t="shared" ref="BE10:BE23" si="53">SUM(AS10:BD10)</f>
        <v>15745.227913298999</v>
      </c>
      <c r="BF10" s="33"/>
      <c r="BG10" s="33">
        <f>SUMIFS('Sales Data'!$E:$E,'Sales Data'!$A:$A,$B10,'Sales Data'!$B:$B,BG$6,'Sales Data'!$C:$C,"Periodic")/Mapping!$C$2</f>
        <v>1799.0383362456187</v>
      </c>
      <c r="BH10" s="33">
        <f>SUMIFS('Sales Data'!$E:$E,'Sales Data'!$A:$A,$B10,'Sales Data'!$B:$B,BH$6,'Sales Data'!$C:$C,"Periodic")/Mapping!$C$2</f>
        <v>1950.4351278270096</v>
      </c>
      <c r="BI10" s="33">
        <f>SUMIFS('Sales Data'!$E:$E,'Sales Data'!$A:$A,$B10,'Sales Data'!$B:$B,BI$6,'Sales Data'!$C:$C,"Periodic")/Mapping!$C$2</f>
        <v>2097.4438525737464</v>
      </c>
      <c r="BJ10" s="33">
        <f>SUMIFS('Sales Data'!$E:$E,'Sales Data'!$A:$A,$B10,'Sales Data'!$B:$B,BJ$6,'Sales Data'!$C:$C,"Periodic")/Mapping!$C$2</f>
        <v>1940.7240471902387</v>
      </c>
      <c r="BK10" s="33">
        <f>SUMIFS('Sales Data'!$E:$E,'Sales Data'!$A:$A,$B10,'Sales Data'!$B:$B,BK$6,'Sales Data'!$C:$C,"Periodic")/Mapping!$C$2</f>
        <v>2176.6650417491296</v>
      </c>
      <c r="BL10" s="33">
        <f>SUMIFS('Sales Data'!$E:$E,'Sales Data'!$A:$A,$B10,'Sales Data'!$B:$B,BL$6,'Sales Data'!$C:$C,"Periodic")/Mapping!$C$2</f>
        <v>2374.8096808109999</v>
      </c>
      <c r="BM10" s="33">
        <f>SUMIFS('Sales Data'!$E:$E,'Sales Data'!$A:$A,$B10,'Sales Data'!$B:$B,BM$6,'Sales Data'!$C:$C,"Periodic")/Mapping!$C$2</f>
        <v>1899.9102903480002</v>
      </c>
      <c r="BN10" s="33">
        <f>SUMIFS('Sales Data'!$E:$E,'Sales Data'!$A:$A,$B10,'Sales Data'!$B:$B,BN$6,'Sales Data'!$C:$C,"Periodic")/Mapping!$C$2</f>
        <v>2876.2979462190001</v>
      </c>
      <c r="BO10" s="33">
        <f>SUMIFS('Sales Data'!$E:$E,'Sales Data'!$A:$A,$B10,'Sales Data'!$B:$B,BO$6,'Sales Data'!$C:$C,"Periodic")/Mapping!$C$2</f>
        <v>1927.7196770369999</v>
      </c>
      <c r="BP10" s="33">
        <f>SUMIFS('Sales Data'!$E:$E,'Sales Data'!$A:$A,$B10,'Sales Data'!$B:$B,BP$6,'Sales Data'!$C:$C,"Periodic")/Mapping!$C$2</f>
        <v>2047.5976440450002</v>
      </c>
      <c r="BQ10" s="33">
        <f>SUMIFS('Sales Data'!$E:$E,'Sales Data'!$A:$A,$B10,'Sales Data'!$B:$B,BQ$6,'Sales Data'!$C:$C,"Periodic")/Mapping!$C$2</f>
        <v>2388.1333070249998</v>
      </c>
      <c r="BR10" s="33">
        <f>SUMIFS('Sales Data'!$E:$E,'Sales Data'!$A:$A,$B10,'Sales Data'!$B:$B,BR$6,'Sales Data'!$C:$C,"Periodic")/Mapping!$C$2</f>
        <v>2230.7593678140001</v>
      </c>
      <c r="BS10" s="33"/>
      <c r="BT10" s="33">
        <f t="shared" ref="BT10:BT23" si="54">IFERROR(IF(AS10&lt;&gt;0,AS10,FORECAST(BT$1,$BG10:$BR10,$BG$1:$BR$1)),"")</f>
        <v>2374.8096808109999</v>
      </c>
      <c r="BU10" s="33">
        <f t="shared" ref="BU10:BU23" si="55">IFERROR(IF(AT10&lt;&gt;0,AT10,FORECAST(BU$1,$BG10:$BR10,$BG$1:$BR$1)),"")</f>
        <v>1899.9102903480002</v>
      </c>
      <c r="BV10" s="33">
        <f t="shared" ref="BV10:BV23" si="56">IFERROR(IF(AU10&lt;&gt;0,AU10,FORECAST(BV$1,$BG10:$BR10,$BG$1:$BR$1)),"")</f>
        <v>2876.2979462190001</v>
      </c>
      <c r="BW10" s="33">
        <f t="shared" ref="BW10:BW23" si="57">IFERROR(IF(AV10&lt;&gt;0,AV10,FORECAST(BW$1,$BG10:$BR10,$BG$1:$BR$1)),"")</f>
        <v>1927.7196770369999</v>
      </c>
      <c r="BX10" s="33">
        <f t="shared" ref="BX10:BX23" si="58">IFERROR(IF(AW10&lt;&gt;0,AW10,FORECAST(BX$1,$BG10:$BR10,$BG$1:$BR$1)),"")</f>
        <v>2047.5976440450002</v>
      </c>
      <c r="BY10" s="33">
        <f t="shared" ref="BY10:BY23" si="59">IFERROR(IF(AX10&lt;&gt;0,AX10,FORECAST(BY$1,$BG10:$BR10,$BG$1:$BR$1)),"")</f>
        <v>2388.1333070249998</v>
      </c>
      <c r="BZ10" s="33">
        <f t="shared" ref="BZ10:BZ23" si="60">IFERROR(IF(AY10&lt;&gt;0,AY10,FORECAST(BZ$1,$BG10:$BR10,$BG$1:$BR$1)),"")</f>
        <v>2230.7593678140001</v>
      </c>
      <c r="CA10" s="33">
        <f t="shared" ref="CA10:CA23" si="61">IFERROR(IF(AZ10&lt;&gt;0,AZ10,FORECAST(CA$1,$BG10:$BR10,$BG$1:$BR$1)),"")</f>
        <v>1762.3030585874935</v>
      </c>
      <c r="CB10" s="33">
        <f t="shared" ref="CB10:CB23" si="62">IFERROR(IF(BA10&lt;&gt;0,BA10,FORECAST(CB$1,$BG10:$BR10,$BG$1:$BR$1)),"")</f>
        <v>1734.1431967613526</v>
      </c>
      <c r="CC10" s="33">
        <f t="shared" ref="CC10:CC23" si="63">IFERROR(IF(BB10&lt;&gt;0,BB10,FORECAST(CC$1,$BG10:$BR10,$BG$1:$BR$1)),"")</f>
        <v>1705.9833349352116</v>
      </c>
      <c r="CD10" s="33">
        <f t="shared" ref="CD10:CD23" si="64">IFERROR(IF(BC10&lt;&gt;0,BC10,FORECAST(CD$1,$BG10:$BR10,$BG$1:$BR$1)),"")</f>
        <v>1677.8234731090706</v>
      </c>
      <c r="CE10" s="33">
        <f t="shared" ref="CE10:CE23" si="65">IFERROR(IF(BD10&lt;&gt;0,BD10,FORECAST(CE$1,$BG10:$BR10,$BG$1:$BR$1)),"")</f>
        <v>1649.6636112829297</v>
      </c>
      <c r="CF10" s="33">
        <f t="shared" ref="CF10:CF23" si="66">SUM(BT10:CE10)</f>
        <v>24275.144587975057</v>
      </c>
      <c r="CH10" s="33">
        <f t="shared" ref="CH10:CH23" si="67">IFERROR(IF(AS10&lt;&gt;0,AS10,FORECAST(CH$1,$BM10:$BR10,$BM$1:$BR$1)),"")</f>
        <v>2374.8096808109999</v>
      </c>
      <c r="CI10" s="33">
        <f t="shared" ref="CI10:CI23" si="68">IFERROR(IF(AT10&lt;&gt;0,AT10,FORECAST(CI$1,$BM10:$BR10,$BM$1:$BR$1)),"")</f>
        <v>1899.9102903480002</v>
      </c>
      <c r="CJ10" s="33">
        <f t="shared" ref="CJ10:CJ23" si="69">IFERROR(IF(AU10&lt;&gt;0,AU10,FORECAST(CJ$1,$BM10:$BR10,$BM$1:$BR$1)),"")</f>
        <v>2876.2979462190001</v>
      </c>
      <c r="CK10" s="33">
        <f t="shared" ref="CK10:CK23" si="70">IFERROR(IF(AV10&lt;&gt;0,AV10,FORECAST(CK$1,$BM10:$BR10,$BM$1:$BR$1)),"")</f>
        <v>1927.7196770369999</v>
      </c>
      <c r="CL10" s="33">
        <f t="shared" ref="CL10:CL23" si="71">IFERROR(IF(AW10&lt;&gt;0,AW10,FORECAST(CL$1,$BM10:$BR10,$BM$1:$BR$1)),"")</f>
        <v>2047.5976440450002</v>
      </c>
      <c r="CM10" s="33">
        <f t="shared" ref="CM10:CM23" si="72">IFERROR(IF(AX10&lt;&gt;0,AX10,FORECAST(CM$1,$BM10:$BR10,$BM$1:$BR$1)),"")</f>
        <v>2388.1333070249998</v>
      </c>
      <c r="CN10" s="33">
        <f t="shared" ref="CN10:CN23" si="73">IFERROR(IF(AY10&lt;&gt;0,AY10,FORECAST(CN$1,$BM10:$BR10,$BM$1:$BR$1)),"")</f>
        <v>2230.7593678140001</v>
      </c>
      <c r="CO10" s="33">
        <f t="shared" ref="CO10:CO23" si="74">IFERROR(IF(AZ10&lt;&gt;0,AZ10,FORECAST(CO$1,$BM10:$BR10,$BM$1:$BR$1)),"")</f>
        <v>2365.5246464542283</v>
      </c>
      <c r="CP10" s="33">
        <f t="shared" ref="CP10:CP23" si="75">IFERROR(IF(BA10&lt;&gt;0,BA10,FORECAST(CP$1,$BM10:$BR10,$BM$1:$BR$1)),"")</f>
        <v>2374.3712017901139</v>
      </c>
      <c r="CQ10" s="33">
        <f t="shared" ref="CQ10:CQ23" si="76">IFERROR(IF(BB10&lt;&gt;0,BB10,FORECAST(CQ$1,$BM10:$BR10,$BM$1:$BR$1)),"")</f>
        <v>2383.2177571259999</v>
      </c>
      <c r="CR10" s="33">
        <f t="shared" ref="CR10:CR23" si="77">IFERROR(IF(BC10&lt;&gt;0,BC10,FORECAST(CR$1,$BM10:$BR10,$BM$1:$BR$1)),"")</f>
        <v>2392.0643124618855</v>
      </c>
      <c r="CS10" s="33">
        <f t="shared" ref="CS10:CS23" si="78">IFERROR(IF(BD10&lt;&gt;0,BD10,FORECAST(CS$1,$BM10:$BR10,$BM$1:$BR$1)),"")</f>
        <v>2400.9108677977711</v>
      </c>
      <c r="CT10" s="35">
        <f t="shared" ref="CT10:CT23" si="79">SUM(CH10:CS10)</f>
        <v>27661.316698928997</v>
      </c>
      <c r="CV10" s="35">
        <f t="shared" ref="CV10:CV23" si="80">SUM(BP10:BR10)/3</f>
        <v>2222.1634396280001</v>
      </c>
      <c r="CW10" s="35">
        <f t="shared" ref="CW10:CW23" si="81">SUM(BM10:BR10)/6</f>
        <v>2228.4030387480002</v>
      </c>
      <c r="CX10" s="35">
        <f t="shared" ref="CX10:CX23" si="82">SUM(BG10:BR10)/12</f>
        <v>2142.4611932403955</v>
      </c>
      <c r="CZ10" s="42">
        <f>N10+Summary!$E$3*CV10</f>
        <v>26856.045111439005</v>
      </c>
      <c r="DA10" s="42">
        <f>N10+CW10*Summary!$E$3</f>
        <v>26887.243107039005</v>
      </c>
      <c r="DB10" s="32">
        <f>N10+CX10*Summary!$E$3</f>
        <v>26457.533879500981</v>
      </c>
    </row>
    <row r="11" spans="1:106" s="15" customFormat="1" ht="15" outlineLevel="1" x14ac:dyDescent="0.25">
      <c r="A11" s="1"/>
      <c r="B11" s="22" t="str">
        <f>Mapping!A6</f>
        <v>Placeholder 1</v>
      </c>
      <c r="C11" s="37">
        <f>SUMIFS('Sales Data'!$E:$E,'Sales Data'!$A:$A,$B11,'Sales Data'!$B:$B,Summary!$C$3&amp;" "&amp;Summary!$C$2-1,'Sales Data'!$C:$C,"Periodic")/Mapping!$C$2</f>
        <v>0</v>
      </c>
      <c r="D11" s="37">
        <f>SUMIFS('Sales Data'!$D:$D,'Sales Data'!$A:$A,$B11,'Sales Data'!$B:$B,Summary!$C$3&amp;" "&amp;Summary!$C$2,'Sales Data'!$C:$C,"Periodic")/Mapping!$C$2</f>
        <v>0</v>
      </c>
      <c r="E11" s="37">
        <f>SUMIFS('Sales Data'!$E:$E,'Sales Data'!$A:$A,$B11,'Sales Data'!$B:$B,Summary!$C$3&amp;" "&amp;Summary!$C$2,'Sales Data'!$C:$C,"Periodic")/Mapping!$C$2</f>
        <v>0</v>
      </c>
      <c r="G11" s="38">
        <f t="shared" si="33"/>
        <v>0</v>
      </c>
      <c r="H11" s="39" t="str">
        <f t="shared" si="34"/>
        <v>N/A</v>
      </c>
      <c r="I11" s="38">
        <f t="shared" si="35"/>
        <v>0</v>
      </c>
      <c r="J11" s="39" t="str">
        <f t="shared" si="36"/>
        <v>N/A</v>
      </c>
      <c r="K11" s="1"/>
      <c r="L11" s="40">
        <f>SUMIFS('Sales Data'!$E:$E,'Sales Data'!$A:$A,$B11,'Sales Data'!$F:$F,$C$2-1,'Sales Data'!$G:$G,"&lt;="&amp;$D$3)/Mapping!$C$2</f>
        <v>0</v>
      </c>
      <c r="M11" s="37">
        <f>SUMIFS('Sales Data'!$D:$D,'Sales Data'!$A:$A,$B11,'Sales Data'!$F:$F,$C$2,'Sales Data'!$G:$G,"&lt;="&amp;$D$3)/Mapping!$C$2</f>
        <v>0</v>
      </c>
      <c r="N11" s="37">
        <f>SUMIFS('Sales Data'!$E:$E,'Sales Data'!$A:$A,$B11,'Sales Data'!$F:$F,$C$2,'Sales Data'!$G:$G,"&lt;="&amp;$D$3)/Mapping!$C$2</f>
        <v>0</v>
      </c>
      <c r="O11" s="1"/>
      <c r="P11" s="38">
        <f t="shared" si="37"/>
        <v>0</v>
      </c>
      <c r="Q11" s="39" t="str">
        <f t="shared" si="38"/>
        <v>N/A</v>
      </c>
      <c r="R11" s="38">
        <f t="shared" si="39"/>
        <v>0</v>
      </c>
      <c r="S11" s="39" t="str">
        <f t="shared" si="40"/>
        <v>N/A</v>
      </c>
      <c r="T11" s="1"/>
      <c r="U11" s="40">
        <f>SUMIFS('Sales Data'!$E:$E,'Sales Data'!$A:$A,$B11,'Sales Data'!$F:$F,$C$2-1,'Sales Data'!$G:$G,"&lt;="&amp;12)/Mapping!$C$2</f>
        <v>0</v>
      </c>
      <c r="V11" s="37">
        <f>SUMIFS('Sales Data'!$D:$D,'Sales Data'!$A:$A,$B11,'Sales Data'!$F:$F,$C$2,'Sales Data'!$G:$G,"&lt;="&amp;12)/Mapping!$C$2</f>
        <v>0</v>
      </c>
      <c r="W11" s="37">
        <f>SUMIFS('Sales Data'!$E:$E,'Sales Data'!$A:$A,$B11,'Sales Data'!$F:$F,$C$2,'Sales Data'!$G:$G,"&lt;="&amp;12)/Mapping!$C$2</f>
        <v>0</v>
      </c>
      <c r="Y11" s="38">
        <f t="shared" si="41"/>
        <v>0</v>
      </c>
      <c r="Z11" s="39" t="str">
        <f t="shared" si="42"/>
        <v>N/A</v>
      </c>
      <c r="AA11" s="38">
        <f t="shared" si="43"/>
        <v>0</v>
      </c>
      <c r="AB11" s="39" t="str">
        <f t="shared" si="44"/>
        <v>N/A</v>
      </c>
      <c r="AC11" s="38" t="e">
        <f>W11-#REF!</f>
        <v>#REF!</v>
      </c>
      <c r="AD11" s="41" t="str">
        <f>IF(ISERROR((W11/#REF!)-1),"N/A",(W11/#REF!)-1)</f>
        <v>N/A</v>
      </c>
      <c r="AF11" s="42">
        <f>N11/Summary!$D$3</f>
        <v>0</v>
      </c>
      <c r="AG11" s="42">
        <f>(V11-N11)/Summary!$E$3</f>
        <v>0</v>
      </c>
      <c r="AH11" s="30">
        <f t="shared" si="45"/>
        <v>0</v>
      </c>
      <c r="AJ11" s="30">
        <f t="shared" si="46"/>
        <v>0</v>
      </c>
      <c r="AK11" s="30">
        <f t="shared" si="47"/>
        <v>0</v>
      </c>
      <c r="AL11" s="30">
        <f t="shared" si="48"/>
        <v>0</v>
      </c>
      <c r="AM11" s="30">
        <f t="shared" si="49"/>
        <v>0</v>
      </c>
      <c r="AN11" s="31">
        <f t="shared" si="50"/>
        <v>0</v>
      </c>
      <c r="AP11" s="32">
        <f t="shared" si="51"/>
        <v>0</v>
      </c>
      <c r="AQ11" s="32">
        <f t="shared" si="52"/>
        <v>0</v>
      </c>
      <c r="AS11" s="33">
        <f>SUMIFS('Sales Data'!$E:$E,'Sales Data'!$A:$A,$B11,'Sales Data'!$B:$B,AS$6,'Sales Data'!$C:$C,"Periodic")/Mapping!$C$2</f>
        <v>0</v>
      </c>
      <c r="AT11" s="33">
        <f>SUMIFS('Sales Data'!$E:$E,'Sales Data'!$A:$A,$B11,'Sales Data'!$B:$B,AT$6,'Sales Data'!$C:$C,"Periodic")/Mapping!$C$2</f>
        <v>0</v>
      </c>
      <c r="AU11" s="33">
        <f>SUMIFS('Sales Data'!$E:$E,'Sales Data'!$A:$A,$B11,'Sales Data'!$B:$B,AU$6,'Sales Data'!$C:$C,"Periodic")/Mapping!$C$2</f>
        <v>0</v>
      </c>
      <c r="AV11" s="33">
        <f>SUMIFS('Sales Data'!$E:$E,'Sales Data'!$A:$A,$B11,'Sales Data'!$B:$B,AV$6,'Sales Data'!$C:$C,"Periodic")/Mapping!$C$2</f>
        <v>0</v>
      </c>
      <c r="AW11" s="33">
        <f>SUMIFS('Sales Data'!$E:$E,'Sales Data'!$A:$A,$B11,'Sales Data'!$B:$B,AW$6,'Sales Data'!$C:$C,"Periodic")/Mapping!$C$2</f>
        <v>0</v>
      </c>
      <c r="AX11" s="33">
        <f>SUMIFS('Sales Data'!$E:$E,'Sales Data'!$A:$A,$B11,'Sales Data'!$B:$B,AX$6,'Sales Data'!$C:$C,"Periodic")/Mapping!$C$2</f>
        <v>0</v>
      </c>
      <c r="AY11" s="33">
        <f>SUMIFS('Sales Data'!$E:$E,'Sales Data'!$A:$A,$B11,'Sales Data'!$B:$B,AY$6,'Sales Data'!$C:$C,"Periodic")/Mapping!$C$2</f>
        <v>0</v>
      </c>
      <c r="AZ11" s="33">
        <f>SUMIFS('Sales Data'!$E:$E,'Sales Data'!$A:$A,$B11,'Sales Data'!$B:$B,AZ$6,'Sales Data'!$C:$C,"Periodic")/Mapping!$C$2</f>
        <v>0</v>
      </c>
      <c r="BA11" s="33">
        <f>SUMIFS('Sales Data'!$E:$E,'Sales Data'!$A:$A,$B11,'Sales Data'!$B:$B,BA$6,'Sales Data'!$C:$C,"Periodic")/Mapping!$C$2</f>
        <v>0</v>
      </c>
      <c r="BB11" s="33">
        <f>SUMIFS('Sales Data'!$E:$E,'Sales Data'!$A:$A,$B11,'Sales Data'!$B:$B,BB$6,'Sales Data'!$C:$C,"Periodic")/Mapping!$C$2</f>
        <v>0</v>
      </c>
      <c r="BC11" s="33">
        <f>SUMIFS('Sales Data'!$E:$E,'Sales Data'!$A:$A,$B11,'Sales Data'!$B:$B,BC$6,'Sales Data'!$C:$C,"Periodic")/Mapping!$C$2</f>
        <v>0</v>
      </c>
      <c r="BD11" s="33">
        <f>SUMIFS('Sales Data'!$E:$E,'Sales Data'!$A:$A,$B11,'Sales Data'!$B:$B,BD$6,'Sales Data'!$C:$C,"Periodic")/Mapping!$C$2</f>
        <v>0</v>
      </c>
      <c r="BE11" s="33">
        <f t="shared" si="53"/>
        <v>0</v>
      </c>
      <c r="BF11" s="33"/>
      <c r="BG11" s="33">
        <f>SUMIFS('Sales Data'!$E:$E,'Sales Data'!$A:$A,$B11,'Sales Data'!$B:$B,BG$6,'Sales Data'!$C:$C,"Periodic")/Mapping!$C$2</f>
        <v>0</v>
      </c>
      <c r="BH11" s="33">
        <f>SUMIFS('Sales Data'!$E:$E,'Sales Data'!$A:$A,$B11,'Sales Data'!$B:$B,BH$6,'Sales Data'!$C:$C,"Periodic")/Mapping!$C$2</f>
        <v>0</v>
      </c>
      <c r="BI11" s="33">
        <f>SUMIFS('Sales Data'!$E:$E,'Sales Data'!$A:$A,$B11,'Sales Data'!$B:$B,BI$6,'Sales Data'!$C:$C,"Periodic")/Mapping!$C$2</f>
        <v>0</v>
      </c>
      <c r="BJ11" s="33">
        <f>SUMIFS('Sales Data'!$E:$E,'Sales Data'!$A:$A,$B11,'Sales Data'!$B:$B,BJ$6,'Sales Data'!$C:$C,"Periodic")/Mapping!$C$2</f>
        <v>0</v>
      </c>
      <c r="BK11" s="33">
        <f>SUMIFS('Sales Data'!$E:$E,'Sales Data'!$A:$A,$B11,'Sales Data'!$B:$B,BK$6,'Sales Data'!$C:$C,"Periodic")/Mapping!$C$2</f>
        <v>0</v>
      </c>
      <c r="BL11" s="33">
        <f>SUMIFS('Sales Data'!$E:$E,'Sales Data'!$A:$A,$B11,'Sales Data'!$B:$B,BL$6,'Sales Data'!$C:$C,"Periodic")/Mapping!$C$2</f>
        <v>0</v>
      </c>
      <c r="BM11" s="33">
        <f>SUMIFS('Sales Data'!$E:$E,'Sales Data'!$A:$A,$B11,'Sales Data'!$B:$B,BM$6,'Sales Data'!$C:$C,"Periodic")/Mapping!$C$2</f>
        <v>0</v>
      </c>
      <c r="BN11" s="33">
        <f>SUMIFS('Sales Data'!$E:$E,'Sales Data'!$A:$A,$B11,'Sales Data'!$B:$B,BN$6,'Sales Data'!$C:$C,"Periodic")/Mapping!$C$2</f>
        <v>0</v>
      </c>
      <c r="BO11" s="33">
        <f>SUMIFS('Sales Data'!$E:$E,'Sales Data'!$A:$A,$B11,'Sales Data'!$B:$B,BO$6,'Sales Data'!$C:$C,"Periodic")/Mapping!$C$2</f>
        <v>0</v>
      </c>
      <c r="BP11" s="33">
        <f>SUMIFS('Sales Data'!$E:$E,'Sales Data'!$A:$A,$B11,'Sales Data'!$B:$B,BP$6,'Sales Data'!$C:$C,"Periodic")/Mapping!$C$2</f>
        <v>0</v>
      </c>
      <c r="BQ11" s="33">
        <f>SUMIFS('Sales Data'!$E:$E,'Sales Data'!$A:$A,$B11,'Sales Data'!$B:$B,BQ$6,'Sales Data'!$C:$C,"Periodic")/Mapping!$C$2</f>
        <v>0</v>
      </c>
      <c r="BR11" s="33">
        <f>SUMIFS('Sales Data'!$E:$E,'Sales Data'!$A:$A,$B11,'Sales Data'!$B:$B,BR$6,'Sales Data'!$C:$C,"Periodic")/Mapping!$C$2</f>
        <v>0</v>
      </c>
      <c r="BS11" s="33"/>
      <c r="BT11" s="33">
        <f t="shared" si="54"/>
        <v>0</v>
      </c>
      <c r="BU11" s="33">
        <f t="shared" si="55"/>
        <v>0</v>
      </c>
      <c r="BV11" s="33">
        <f t="shared" si="56"/>
        <v>0</v>
      </c>
      <c r="BW11" s="33">
        <f t="shared" si="57"/>
        <v>0</v>
      </c>
      <c r="BX11" s="33">
        <f t="shared" si="58"/>
        <v>0</v>
      </c>
      <c r="BY11" s="33">
        <f t="shared" si="59"/>
        <v>0</v>
      </c>
      <c r="BZ11" s="33">
        <f t="shared" si="60"/>
        <v>0</v>
      </c>
      <c r="CA11" s="33">
        <f t="shared" si="61"/>
        <v>0</v>
      </c>
      <c r="CB11" s="33">
        <f t="shared" si="62"/>
        <v>0</v>
      </c>
      <c r="CC11" s="33">
        <f t="shared" si="63"/>
        <v>0</v>
      </c>
      <c r="CD11" s="33">
        <f t="shared" si="64"/>
        <v>0</v>
      </c>
      <c r="CE11" s="33">
        <f t="shared" si="65"/>
        <v>0</v>
      </c>
      <c r="CF11" s="33">
        <f t="shared" si="66"/>
        <v>0</v>
      </c>
      <c r="CH11" s="33">
        <f t="shared" si="67"/>
        <v>0</v>
      </c>
      <c r="CI11" s="33">
        <f t="shared" si="68"/>
        <v>0</v>
      </c>
      <c r="CJ11" s="33">
        <f t="shared" si="69"/>
        <v>0</v>
      </c>
      <c r="CK11" s="33">
        <f t="shared" si="70"/>
        <v>0</v>
      </c>
      <c r="CL11" s="33">
        <f t="shared" si="71"/>
        <v>0</v>
      </c>
      <c r="CM11" s="33">
        <f t="shared" si="72"/>
        <v>0</v>
      </c>
      <c r="CN11" s="33">
        <f t="shared" si="73"/>
        <v>0</v>
      </c>
      <c r="CO11" s="33">
        <f t="shared" si="74"/>
        <v>0</v>
      </c>
      <c r="CP11" s="33">
        <f t="shared" si="75"/>
        <v>0</v>
      </c>
      <c r="CQ11" s="33">
        <f t="shared" si="76"/>
        <v>0</v>
      </c>
      <c r="CR11" s="33">
        <f t="shared" si="77"/>
        <v>0</v>
      </c>
      <c r="CS11" s="33">
        <f t="shared" si="78"/>
        <v>0</v>
      </c>
      <c r="CT11" s="35">
        <f t="shared" si="79"/>
        <v>0</v>
      </c>
      <c r="CV11" s="35">
        <f t="shared" si="80"/>
        <v>0</v>
      </c>
      <c r="CW11" s="35">
        <f t="shared" si="81"/>
        <v>0</v>
      </c>
      <c r="CX11" s="35">
        <f t="shared" si="82"/>
        <v>0</v>
      </c>
      <c r="CZ11" s="42">
        <f>N11+Summary!$E$3*CV11</f>
        <v>0</v>
      </c>
      <c r="DA11" s="42">
        <f>N11+CW11*Summary!$E$3</f>
        <v>0</v>
      </c>
      <c r="DB11" s="32">
        <f>N11+CX11*Summary!$E$3</f>
        <v>0</v>
      </c>
    </row>
    <row r="12" spans="1:106" s="15" customFormat="1" ht="15" outlineLevel="1" x14ac:dyDescent="0.25">
      <c r="A12" s="1"/>
      <c r="B12" s="22" t="str">
        <f>Mapping!A7</f>
        <v>Placeholder 2</v>
      </c>
      <c r="C12" s="37">
        <f>SUMIFS('Sales Data'!$E:$E,'Sales Data'!$A:$A,$B12,'Sales Data'!$B:$B,Summary!$C$3&amp;" "&amp;Summary!$C$2-1,'Sales Data'!$C:$C,"Periodic")/Mapping!$C$2</f>
        <v>0</v>
      </c>
      <c r="D12" s="37">
        <f>SUMIFS('Sales Data'!$D:$D,'Sales Data'!$A:$A,$B12,'Sales Data'!$B:$B,Summary!$C$3&amp;" "&amp;Summary!$C$2,'Sales Data'!$C:$C,"Periodic")/Mapping!$C$2</f>
        <v>0</v>
      </c>
      <c r="E12" s="37">
        <f>SUMIFS('Sales Data'!$E:$E,'Sales Data'!$A:$A,$B12,'Sales Data'!$B:$B,Summary!$C$3&amp;" "&amp;Summary!$C$2,'Sales Data'!$C:$C,"Periodic")/Mapping!$C$2</f>
        <v>0</v>
      </c>
      <c r="G12" s="38">
        <f t="shared" si="33"/>
        <v>0</v>
      </c>
      <c r="H12" s="39" t="str">
        <f t="shared" si="34"/>
        <v>N/A</v>
      </c>
      <c r="I12" s="38">
        <f t="shared" si="35"/>
        <v>0</v>
      </c>
      <c r="J12" s="39" t="str">
        <f t="shared" si="36"/>
        <v>N/A</v>
      </c>
      <c r="K12" s="1"/>
      <c r="L12" s="40">
        <f>SUMIFS('Sales Data'!$E:$E,'Sales Data'!$A:$A,$B12,'Sales Data'!$F:$F,$C$2-1,'Sales Data'!$G:$G,"&lt;="&amp;$D$3)/Mapping!$C$2</f>
        <v>0</v>
      </c>
      <c r="M12" s="37">
        <f>SUMIFS('Sales Data'!$D:$D,'Sales Data'!$A:$A,$B12,'Sales Data'!$F:$F,$C$2,'Sales Data'!$G:$G,"&lt;="&amp;$D$3)/Mapping!$C$2</f>
        <v>0</v>
      </c>
      <c r="N12" s="37">
        <f>SUMIFS('Sales Data'!$E:$E,'Sales Data'!$A:$A,$B12,'Sales Data'!$F:$F,$C$2,'Sales Data'!$G:$G,"&lt;="&amp;$D$3)/Mapping!$C$2</f>
        <v>0</v>
      </c>
      <c r="O12" s="1"/>
      <c r="P12" s="38">
        <f t="shared" si="37"/>
        <v>0</v>
      </c>
      <c r="Q12" s="39" t="str">
        <f t="shared" si="38"/>
        <v>N/A</v>
      </c>
      <c r="R12" s="38">
        <f t="shared" si="39"/>
        <v>0</v>
      </c>
      <c r="S12" s="39" t="str">
        <f t="shared" si="40"/>
        <v>N/A</v>
      </c>
      <c r="T12" s="1"/>
      <c r="U12" s="40">
        <f>SUMIFS('Sales Data'!$E:$E,'Sales Data'!$A:$A,$B12,'Sales Data'!$F:$F,$C$2-1,'Sales Data'!$G:$G,"&lt;="&amp;12)/Mapping!$C$2</f>
        <v>0</v>
      </c>
      <c r="V12" s="37">
        <f>SUMIFS('Sales Data'!$D:$D,'Sales Data'!$A:$A,$B12,'Sales Data'!$F:$F,$C$2,'Sales Data'!$G:$G,"&lt;="&amp;12)/Mapping!$C$2</f>
        <v>0</v>
      </c>
      <c r="W12" s="37">
        <f>SUMIFS('Sales Data'!$E:$E,'Sales Data'!$A:$A,$B12,'Sales Data'!$F:$F,$C$2,'Sales Data'!$G:$G,"&lt;="&amp;12)/Mapping!$C$2</f>
        <v>0</v>
      </c>
      <c r="Y12" s="38">
        <f t="shared" si="41"/>
        <v>0</v>
      </c>
      <c r="Z12" s="39" t="str">
        <f t="shared" si="42"/>
        <v>N/A</v>
      </c>
      <c r="AA12" s="38">
        <f t="shared" si="43"/>
        <v>0</v>
      </c>
      <c r="AB12" s="39" t="str">
        <f t="shared" si="44"/>
        <v>N/A</v>
      </c>
      <c r="AC12" s="38" t="e">
        <f>W12-#REF!</f>
        <v>#REF!</v>
      </c>
      <c r="AD12" s="41" t="str">
        <f>IF(ISERROR((W12/#REF!)-1),"N/A",(W12/#REF!)-1)</f>
        <v>N/A</v>
      </c>
      <c r="AF12" s="42">
        <f>N12/Summary!$D$3</f>
        <v>0</v>
      </c>
      <c r="AG12" s="42">
        <f>(V12-N12)/Summary!$E$3</f>
        <v>0</v>
      </c>
      <c r="AH12" s="30">
        <f t="shared" si="45"/>
        <v>0</v>
      </c>
      <c r="AJ12" s="30">
        <f t="shared" si="46"/>
        <v>0</v>
      </c>
      <c r="AK12" s="30">
        <f t="shared" si="47"/>
        <v>0</v>
      </c>
      <c r="AL12" s="30">
        <f t="shared" si="48"/>
        <v>0</v>
      </c>
      <c r="AM12" s="30">
        <f t="shared" si="49"/>
        <v>0</v>
      </c>
      <c r="AN12" s="31">
        <f t="shared" si="50"/>
        <v>0</v>
      </c>
      <c r="AP12" s="32">
        <f t="shared" si="51"/>
        <v>0</v>
      </c>
      <c r="AQ12" s="32">
        <f t="shared" si="52"/>
        <v>0</v>
      </c>
      <c r="AS12" s="33">
        <f>SUMIFS('Sales Data'!$E:$E,'Sales Data'!$A:$A,$B12,'Sales Data'!$B:$B,AS$6,'Sales Data'!$C:$C,"Periodic")/Mapping!$C$2</f>
        <v>0</v>
      </c>
      <c r="AT12" s="33">
        <f>SUMIFS('Sales Data'!$E:$E,'Sales Data'!$A:$A,$B12,'Sales Data'!$B:$B,AT$6,'Sales Data'!$C:$C,"Periodic")/Mapping!$C$2</f>
        <v>0</v>
      </c>
      <c r="AU12" s="33">
        <f>SUMIFS('Sales Data'!$E:$E,'Sales Data'!$A:$A,$B12,'Sales Data'!$B:$B,AU$6,'Sales Data'!$C:$C,"Periodic")/Mapping!$C$2</f>
        <v>0</v>
      </c>
      <c r="AV12" s="33">
        <f>SUMIFS('Sales Data'!$E:$E,'Sales Data'!$A:$A,$B12,'Sales Data'!$B:$B,AV$6,'Sales Data'!$C:$C,"Periodic")/Mapping!$C$2</f>
        <v>0</v>
      </c>
      <c r="AW12" s="33">
        <f>SUMIFS('Sales Data'!$E:$E,'Sales Data'!$A:$A,$B12,'Sales Data'!$B:$B,AW$6,'Sales Data'!$C:$C,"Periodic")/Mapping!$C$2</f>
        <v>0</v>
      </c>
      <c r="AX12" s="33">
        <f>SUMIFS('Sales Data'!$E:$E,'Sales Data'!$A:$A,$B12,'Sales Data'!$B:$B,AX$6,'Sales Data'!$C:$C,"Periodic")/Mapping!$C$2</f>
        <v>0</v>
      </c>
      <c r="AY12" s="33">
        <f>SUMIFS('Sales Data'!$E:$E,'Sales Data'!$A:$A,$B12,'Sales Data'!$B:$B,AY$6,'Sales Data'!$C:$C,"Periodic")/Mapping!$C$2</f>
        <v>0</v>
      </c>
      <c r="AZ12" s="33">
        <f>SUMIFS('Sales Data'!$E:$E,'Sales Data'!$A:$A,$B12,'Sales Data'!$B:$B,AZ$6,'Sales Data'!$C:$C,"Periodic")/Mapping!$C$2</f>
        <v>0</v>
      </c>
      <c r="BA12" s="33">
        <f>SUMIFS('Sales Data'!$E:$E,'Sales Data'!$A:$A,$B12,'Sales Data'!$B:$B,BA$6,'Sales Data'!$C:$C,"Periodic")/Mapping!$C$2</f>
        <v>0</v>
      </c>
      <c r="BB12" s="33">
        <f>SUMIFS('Sales Data'!$E:$E,'Sales Data'!$A:$A,$B12,'Sales Data'!$B:$B,BB$6,'Sales Data'!$C:$C,"Periodic")/Mapping!$C$2</f>
        <v>0</v>
      </c>
      <c r="BC12" s="33">
        <f>SUMIFS('Sales Data'!$E:$E,'Sales Data'!$A:$A,$B12,'Sales Data'!$B:$B,BC$6,'Sales Data'!$C:$C,"Periodic")/Mapping!$C$2</f>
        <v>0</v>
      </c>
      <c r="BD12" s="33">
        <f>SUMIFS('Sales Data'!$E:$E,'Sales Data'!$A:$A,$B12,'Sales Data'!$B:$B,BD$6,'Sales Data'!$C:$C,"Periodic")/Mapping!$C$2</f>
        <v>0</v>
      </c>
      <c r="BE12" s="33">
        <f t="shared" si="53"/>
        <v>0</v>
      </c>
      <c r="BF12" s="33"/>
      <c r="BG12" s="33">
        <f>SUMIFS('Sales Data'!$E:$E,'Sales Data'!$A:$A,$B12,'Sales Data'!$B:$B,BG$6,'Sales Data'!$C:$C,"Periodic")/Mapping!$C$2</f>
        <v>0</v>
      </c>
      <c r="BH12" s="33">
        <f>SUMIFS('Sales Data'!$E:$E,'Sales Data'!$A:$A,$B12,'Sales Data'!$B:$B,BH$6,'Sales Data'!$C:$C,"Periodic")/Mapping!$C$2</f>
        <v>0</v>
      </c>
      <c r="BI12" s="33">
        <f>SUMIFS('Sales Data'!$E:$E,'Sales Data'!$A:$A,$B12,'Sales Data'!$B:$B,BI$6,'Sales Data'!$C:$C,"Periodic")/Mapping!$C$2</f>
        <v>0</v>
      </c>
      <c r="BJ12" s="33">
        <f>SUMIFS('Sales Data'!$E:$E,'Sales Data'!$A:$A,$B12,'Sales Data'!$B:$B,BJ$6,'Sales Data'!$C:$C,"Periodic")/Mapping!$C$2</f>
        <v>0</v>
      </c>
      <c r="BK12" s="33">
        <f>SUMIFS('Sales Data'!$E:$E,'Sales Data'!$A:$A,$B12,'Sales Data'!$B:$B,BK$6,'Sales Data'!$C:$C,"Periodic")/Mapping!$C$2</f>
        <v>0</v>
      </c>
      <c r="BL12" s="33">
        <f>SUMIFS('Sales Data'!$E:$E,'Sales Data'!$A:$A,$B12,'Sales Data'!$B:$B,BL$6,'Sales Data'!$C:$C,"Periodic")/Mapping!$C$2</f>
        <v>0</v>
      </c>
      <c r="BM12" s="33">
        <f>SUMIFS('Sales Data'!$E:$E,'Sales Data'!$A:$A,$B12,'Sales Data'!$B:$B,BM$6,'Sales Data'!$C:$C,"Periodic")/Mapping!$C$2</f>
        <v>0</v>
      </c>
      <c r="BN12" s="33">
        <f>SUMIFS('Sales Data'!$E:$E,'Sales Data'!$A:$A,$B12,'Sales Data'!$B:$B,BN$6,'Sales Data'!$C:$C,"Periodic")/Mapping!$C$2</f>
        <v>0</v>
      </c>
      <c r="BO12" s="33">
        <f>SUMIFS('Sales Data'!$E:$E,'Sales Data'!$A:$A,$B12,'Sales Data'!$B:$B,BO$6,'Sales Data'!$C:$C,"Periodic")/Mapping!$C$2</f>
        <v>0</v>
      </c>
      <c r="BP12" s="33">
        <f>SUMIFS('Sales Data'!$E:$E,'Sales Data'!$A:$A,$B12,'Sales Data'!$B:$B,BP$6,'Sales Data'!$C:$C,"Periodic")/Mapping!$C$2</f>
        <v>0</v>
      </c>
      <c r="BQ12" s="33">
        <f>SUMIFS('Sales Data'!$E:$E,'Sales Data'!$A:$A,$B12,'Sales Data'!$B:$B,BQ$6,'Sales Data'!$C:$C,"Periodic")/Mapping!$C$2</f>
        <v>0</v>
      </c>
      <c r="BR12" s="33">
        <f>SUMIFS('Sales Data'!$E:$E,'Sales Data'!$A:$A,$B12,'Sales Data'!$B:$B,BR$6,'Sales Data'!$C:$C,"Periodic")/Mapping!$C$2</f>
        <v>0</v>
      </c>
      <c r="BS12" s="33"/>
      <c r="BT12" s="33">
        <f t="shared" si="54"/>
        <v>0</v>
      </c>
      <c r="BU12" s="33">
        <f t="shared" si="55"/>
        <v>0</v>
      </c>
      <c r="BV12" s="33">
        <f t="shared" si="56"/>
        <v>0</v>
      </c>
      <c r="BW12" s="33">
        <f t="shared" si="57"/>
        <v>0</v>
      </c>
      <c r="BX12" s="33">
        <f t="shared" si="58"/>
        <v>0</v>
      </c>
      <c r="BY12" s="33">
        <f t="shared" si="59"/>
        <v>0</v>
      </c>
      <c r="BZ12" s="33">
        <f t="shared" si="60"/>
        <v>0</v>
      </c>
      <c r="CA12" s="33">
        <f t="shared" si="61"/>
        <v>0</v>
      </c>
      <c r="CB12" s="33">
        <f t="shared" si="62"/>
        <v>0</v>
      </c>
      <c r="CC12" s="33">
        <f t="shared" si="63"/>
        <v>0</v>
      </c>
      <c r="CD12" s="33">
        <f t="shared" si="64"/>
        <v>0</v>
      </c>
      <c r="CE12" s="33">
        <f t="shared" si="65"/>
        <v>0</v>
      </c>
      <c r="CF12" s="33">
        <f t="shared" si="66"/>
        <v>0</v>
      </c>
      <c r="CH12" s="33">
        <f t="shared" si="67"/>
        <v>0</v>
      </c>
      <c r="CI12" s="33">
        <f t="shared" si="68"/>
        <v>0</v>
      </c>
      <c r="CJ12" s="33">
        <f t="shared" si="69"/>
        <v>0</v>
      </c>
      <c r="CK12" s="33">
        <f t="shared" si="70"/>
        <v>0</v>
      </c>
      <c r="CL12" s="33">
        <f t="shared" si="71"/>
        <v>0</v>
      </c>
      <c r="CM12" s="33">
        <f t="shared" si="72"/>
        <v>0</v>
      </c>
      <c r="CN12" s="33">
        <f t="shared" si="73"/>
        <v>0</v>
      </c>
      <c r="CO12" s="33">
        <f t="shared" si="74"/>
        <v>0</v>
      </c>
      <c r="CP12" s="33">
        <f t="shared" si="75"/>
        <v>0</v>
      </c>
      <c r="CQ12" s="33">
        <f t="shared" si="76"/>
        <v>0</v>
      </c>
      <c r="CR12" s="33">
        <f t="shared" si="77"/>
        <v>0</v>
      </c>
      <c r="CS12" s="33">
        <f t="shared" si="78"/>
        <v>0</v>
      </c>
      <c r="CT12" s="35">
        <f t="shared" si="79"/>
        <v>0</v>
      </c>
      <c r="CV12" s="35">
        <f t="shared" si="80"/>
        <v>0</v>
      </c>
      <c r="CW12" s="35">
        <f t="shared" si="81"/>
        <v>0</v>
      </c>
      <c r="CX12" s="35">
        <f t="shared" si="82"/>
        <v>0</v>
      </c>
      <c r="CZ12" s="42">
        <f>N12+Summary!$E$3*CV12</f>
        <v>0</v>
      </c>
      <c r="DA12" s="42">
        <f>N12+CW12*Summary!$E$3</f>
        <v>0</v>
      </c>
      <c r="DB12" s="32">
        <f>N12+CX12*Summary!$E$3</f>
        <v>0</v>
      </c>
    </row>
    <row r="13" spans="1:106" s="15" customFormat="1" ht="15" outlineLevel="1" x14ac:dyDescent="0.25">
      <c r="A13" s="1"/>
      <c r="B13" s="22" t="str">
        <f>Mapping!A8</f>
        <v>Placeholder 3</v>
      </c>
      <c r="C13" s="37">
        <f>SUMIFS('Sales Data'!$E:$E,'Sales Data'!$A:$A,$B13,'Sales Data'!$B:$B,Summary!$C$3&amp;" "&amp;Summary!$C$2-1,'Sales Data'!$C:$C,"Periodic")/Mapping!$C$2</f>
        <v>0</v>
      </c>
      <c r="D13" s="37">
        <f>SUMIFS('Sales Data'!$D:$D,'Sales Data'!$A:$A,$B13,'Sales Data'!$B:$B,Summary!$C$3&amp;" "&amp;Summary!$C$2,'Sales Data'!$C:$C,"Periodic")/Mapping!$C$2</f>
        <v>0</v>
      </c>
      <c r="E13" s="37">
        <f>SUMIFS('Sales Data'!$E:$E,'Sales Data'!$A:$A,$B13,'Sales Data'!$B:$B,Summary!$C$3&amp;" "&amp;Summary!$C$2,'Sales Data'!$C:$C,"Periodic")/Mapping!$C$2</f>
        <v>0</v>
      </c>
      <c r="G13" s="38">
        <f t="shared" si="33"/>
        <v>0</v>
      </c>
      <c r="H13" s="39" t="str">
        <f t="shared" si="34"/>
        <v>N/A</v>
      </c>
      <c r="I13" s="38">
        <f t="shared" si="35"/>
        <v>0</v>
      </c>
      <c r="J13" s="39" t="str">
        <f t="shared" si="36"/>
        <v>N/A</v>
      </c>
      <c r="K13" s="1"/>
      <c r="L13" s="40">
        <f>SUMIFS('Sales Data'!$E:$E,'Sales Data'!$A:$A,$B13,'Sales Data'!$F:$F,$C$2-1,'Sales Data'!$G:$G,"&lt;="&amp;$D$3)/Mapping!$C$2</f>
        <v>0</v>
      </c>
      <c r="M13" s="37">
        <f>SUMIFS('Sales Data'!$D:$D,'Sales Data'!$A:$A,$B13,'Sales Data'!$F:$F,$C$2,'Sales Data'!$G:$G,"&lt;="&amp;$D$3)/Mapping!$C$2</f>
        <v>0</v>
      </c>
      <c r="N13" s="37">
        <f>SUMIFS('Sales Data'!$E:$E,'Sales Data'!$A:$A,$B13,'Sales Data'!$F:$F,$C$2,'Sales Data'!$G:$G,"&lt;="&amp;$D$3)/Mapping!$C$2</f>
        <v>0</v>
      </c>
      <c r="O13" s="1"/>
      <c r="P13" s="38">
        <f t="shared" si="37"/>
        <v>0</v>
      </c>
      <c r="Q13" s="39" t="str">
        <f t="shared" si="38"/>
        <v>N/A</v>
      </c>
      <c r="R13" s="38">
        <f t="shared" si="39"/>
        <v>0</v>
      </c>
      <c r="S13" s="39" t="str">
        <f t="shared" si="40"/>
        <v>N/A</v>
      </c>
      <c r="T13" s="1"/>
      <c r="U13" s="40">
        <f>SUMIFS('Sales Data'!$E:$E,'Sales Data'!$A:$A,$B13,'Sales Data'!$F:$F,$C$2-1,'Sales Data'!$G:$G,"&lt;="&amp;12)/Mapping!$C$2</f>
        <v>0</v>
      </c>
      <c r="V13" s="37">
        <f>SUMIFS('Sales Data'!$D:$D,'Sales Data'!$A:$A,$B13,'Sales Data'!$F:$F,$C$2,'Sales Data'!$G:$G,"&lt;="&amp;12)/Mapping!$C$2</f>
        <v>0</v>
      </c>
      <c r="W13" s="37">
        <f>SUMIFS('Sales Data'!$E:$E,'Sales Data'!$A:$A,$B13,'Sales Data'!$F:$F,$C$2,'Sales Data'!$G:$G,"&lt;="&amp;12)/Mapping!$C$2</f>
        <v>0</v>
      </c>
      <c r="Y13" s="38">
        <f t="shared" si="41"/>
        <v>0</v>
      </c>
      <c r="Z13" s="39" t="str">
        <f t="shared" si="42"/>
        <v>N/A</v>
      </c>
      <c r="AA13" s="38">
        <f t="shared" si="43"/>
        <v>0</v>
      </c>
      <c r="AB13" s="39" t="str">
        <f t="shared" si="44"/>
        <v>N/A</v>
      </c>
      <c r="AC13" s="38" t="e">
        <f>W13-#REF!</f>
        <v>#REF!</v>
      </c>
      <c r="AD13" s="41" t="str">
        <f>IF(ISERROR((W13/#REF!)-1),"N/A",(W13/#REF!)-1)</f>
        <v>N/A</v>
      </c>
      <c r="AF13" s="42">
        <f>N13/Summary!$D$3</f>
        <v>0</v>
      </c>
      <c r="AG13" s="42">
        <f>(V13-N13)/Summary!$E$3</f>
        <v>0</v>
      </c>
      <c r="AH13" s="30">
        <f t="shared" si="45"/>
        <v>0</v>
      </c>
      <c r="AJ13" s="30">
        <f t="shared" si="46"/>
        <v>0</v>
      </c>
      <c r="AK13" s="30">
        <f t="shared" si="47"/>
        <v>0</v>
      </c>
      <c r="AL13" s="30">
        <f t="shared" si="48"/>
        <v>0</v>
      </c>
      <c r="AM13" s="30">
        <f t="shared" si="49"/>
        <v>0</v>
      </c>
      <c r="AN13" s="31">
        <f t="shared" si="50"/>
        <v>0</v>
      </c>
      <c r="AP13" s="32">
        <f t="shared" si="51"/>
        <v>0</v>
      </c>
      <c r="AQ13" s="32">
        <f t="shared" si="52"/>
        <v>0</v>
      </c>
      <c r="AS13" s="33">
        <f>SUMIFS('Sales Data'!$E:$E,'Sales Data'!$A:$A,$B13,'Sales Data'!$B:$B,AS$6,'Sales Data'!$C:$C,"Periodic")/Mapping!$C$2</f>
        <v>0</v>
      </c>
      <c r="AT13" s="33">
        <f>SUMIFS('Sales Data'!$E:$E,'Sales Data'!$A:$A,$B13,'Sales Data'!$B:$B,AT$6,'Sales Data'!$C:$C,"Periodic")/Mapping!$C$2</f>
        <v>0</v>
      </c>
      <c r="AU13" s="33">
        <f>SUMIFS('Sales Data'!$E:$E,'Sales Data'!$A:$A,$B13,'Sales Data'!$B:$B,AU$6,'Sales Data'!$C:$C,"Periodic")/Mapping!$C$2</f>
        <v>0</v>
      </c>
      <c r="AV13" s="33">
        <f>SUMIFS('Sales Data'!$E:$E,'Sales Data'!$A:$A,$B13,'Sales Data'!$B:$B,AV$6,'Sales Data'!$C:$C,"Periodic")/Mapping!$C$2</f>
        <v>0</v>
      </c>
      <c r="AW13" s="33">
        <f>SUMIFS('Sales Data'!$E:$E,'Sales Data'!$A:$A,$B13,'Sales Data'!$B:$B,AW$6,'Sales Data'!$C:$C,"Periodic")/Mapping!$C$2</f>
        <v>0</v>
      </c>
      <c r="AX13" s="33">
        <f>SUMIFS('Sales Data'!$E:$E,'Sales Data'!$A:$A,$B13,'Sales Data'!$B:$B,AX$6,'Sales Data'!$C:$C,"Periodic")/Mapping!$C$2</f>
        <v>0</v>
      </c>
      <c r="AY13" s="33">
        <f>SUMIFS('Sales Data'!$E:$E,'Sales Data'!$A:$A,$B13,'Sales Data'!$B:$B,AY$6,'Sales Data'!$C:$C,"Periodic")/Mapping!$C$2</f>
        <v>0</v>
      </c>
      <c r="AZ13" s="33">
        <f>SUMIFS('Sales Data'!$E:$E,'Sales Data'!$A:$A,$B13,'Sales Data'!$B:$B,AZ$6,'Sales Data'!$C:$C,"Periodic")/Mapping!$C$2</f>
        <v>0</v>
      </c>
      <c r="BA13" s="33">
        <f>SUMIFS('Sales Data'!$E:$E,'Sales Data'!$A:$A,$B13,'Sales Data'!$B:$B,BA$6,'Sales Data'!$C:$C,"Periodic")/Mapping!$C$2</f>
        <v>0</v>
      </c>
      <c r="BB13" s="33">
        <f>SUMIFS('Sales Data'!$E:$E,'Sales Data'!$A:$A,$B13,'Sales Data'!$B:$B,BB$6,'Sales Data'!$C:$C,"Periodic")/Mapping!$C$2</f>
        <v>0</v>
      </c>
      <c r="BC13" s="33">
        <f>SUMIFS('Sales Data'!$E:$E,'Sales Data'!$A:$A,$B13,'Sales Data'!$B:$B,BC$6,'Sales Data'!$C:$C,"Periodic")/Mapping!$C$2</f>
        <v>0</v>
      </c>
      <c r="BD13" s="33">
        <f>SUMIFS('Sales Data'!$E:$E,'Sales Data'!$A:$A,$B13,'Sales Data'!$B:$B,BD$6,'Sales Data'!$C:$C,"Periodic")/Mapping!$C$2</f>
        <v>0</v>
      </c>
      <c r="BE13" s="33">
        <f t="shared" si="53"/>
        <v>0</v>
      </c>
      <c r="BF13" s="33"/>
      <c r="BG13" s="33">
        <f>SUMIFS('Sales Data'!$E:$E,'Sales Data'!$A:$A,$B13,'Sales Data'!$B:$B,BG$6,'Sales Data'!$C:$C,"Periodic")/Mapping!$C$2</f>
        <v>0</v>
      </c>
      <c r="BH13" s="33">
        <f>SUMIFS('Sales Data'!$E:$E,'Sales Data'!$A:$A,$B13,'Sales Data'!$B:$B,BH$6,'Sales Data'!$C:$C,"Periodic")/Mapping!$C$2</f>
        <v>0</v>
      </c>
      <c r="BI13" s="33">
        <f>SUMIFS('Sales Data'!$E:$E,'Sales Data'!$A:$A,$B13,'Sales Data'!$B:$B,BI$6,'Sales Data'!$C:$C,"Periodic")/Mapping!$C$2</f>
        <v>0</v>
      </c>
      <c r="BJ13" s="33">
        <f>SUMIFS('Sales Data'!$E:$E,'Sales Data'!$A:$A,$B13,'Sales Data'!$B:$B,BJ$6,'Sales Data'!$C:$C,"Periodic")/Mapping!$C$2</f>
        <v>0</v>
      </c>
      <c r="BK13" s="33">
        <f>SUMIFS('Sales Data'!$E:$E,'Sales Data'!$A:$A,$B13,'Sales Data'!$B:$B,BK$6,'Sales Data'!$C:$C,"Periodic")/Mapping!$C$2</f>
        <v>0</v>
      </c>
      <c r="BL13" s="33">
        <f>SUMIFS('Sales Data'!$E:$E,'Sales Data'!$A:$A,$B13,'Sales Data'!$B:$B,BL$6,'Sales Data'!$C:$C,"Periodic")/Mapping!$C$2</f>
        <v>0</v>
      </c>
      <c r="BM13" s="33">
        <f>SUMIFS('Sales Data'!$E:$E,'Sales Data'!$A:$A,$B13,'Sales Data'!$B:$B,BM$6,'Sales Data'!$C:$C,"Periodic")/Mapping!$C$2</f>
        <v>0</v>
      </c>
      <c r="BN13" s="33">
        <f>SUMIFS('Sales Data'!$E:$E,'Sales Data'!$A:$A,$B13,'Sales Data'!$B:$B,BN$6,'Sales Data'!$C:$C,"Periodic")/Mapping!$C$2</f>
        <v>0</v>
      </c>
      <c r="BO13" s="33">
        <f>SUMIFS('Sales Data'!$E:$E,'Sales Data'!$A:$A,$B13,'Sales Data'!$B:$B,BO$6,'Sales Data'!$C:$C,"Periodic")/Mapping!$C$2</f>
        <v>0</v>
      </c>
      <c r="BP13" s="33">
        <f>SUMIFS('Sales Data'!$E:$E,'Sales Data'!$A:$A,$B13,'Sales Data'!$B:$B,BP$6,'Sales Data'!$C:$C,"Periodic")/Mapping!$C$2</f>
        <v>0</v>
      </c>
      <c r="BQ13" s="33">
        <f>SUMIFS('Sales Data'!$E:$E,'Sales Data'!$A:$A,$B13,'Sales Data'!$B:$B,BQ$6,'Sales Data'!$C:$C,"Periodic")/Mapping!$C$2</f>
        <v>0</v>
      </c>
      <c r="BR13" s="33">
        <f>SUMIFS('Sales Data'!$E:$E,'Sales Data'!$A:$A,$B13,'Sales Data'!$B:$B,BR$6,'Sales Data'!$C:$C,"Periodic")/Mapping!$C$2</f>
        <v>0</v>
      </c>
      <c r="BS13" s="33"/>
      <c r="BT13" s="33">
        <f t="shared" si="54"/>
        <v>0</v>
      </c>
      <c r="BU13" s="33">
        <f t="shared" si="55"/>
        <v>0</v>
      </c>
      <c r="BV13" s="33">
        <f t="shared" si="56"/>
        <v>0</v>
      </c>
      <c r="BW13" s="33">
        <f t="shared" si="57"/>
        <v>0</v>
      </c>
      <c r="BX13" s="33">
        <f t="shared" si="58"/>
        <v>0</v>
      </c>
      <c r="BY13" s="33">
        <f t="shared" si="59"/>
        <v>0</v>
      </c>
      <c r="BZ13" s="33">
        <f t="shared" si="60"/>
        <v>0</v>
      </c>
      <c r="CA13" s="33">
        <f t="shared" si="61"/>
        <v>0</v>
      </c>
      <c r="CB13" s="33">
        <f t="shared" si="62"/>
        <v>0</v>
      </c>
      <c r="CC13" s="33">
        <f t="shared" si="63"/>
        <v>0</v>
      </c>
      <c r="CD13" s="33">
        <f t="shared" si="64"/>
        <v>0</v>
      </c>
      <c r="CE13" s="33">
        <f t="shared" si="65"/>
        <v>0</v>
      </c>
      <c r="CF13" s="33">
        <f t="shared" si="66"/>
        <v>0</v>
      </c>
      <c r="CH13" s="33">
        <f t="shared" si="67"/>
        <v>0</v>
      </c>
      <c r="CI13" s="33">
        <f t="shared" si="68"/>
        <v>0</v>
      </c>
      <c r="CJ13" s="33">
        <f t="shared" si="69"/>
        <v>0</v>
      </c>
      <c r="CK13" s="33">
        <f t="shared" si="70"/>
        <v>0</v>
      </c>
      <c r="CL13" s="33">
        <f t="shared" si="71"/>
        <v>0</v>
      </c>
      <c r="CM13" s="33">
        <f t="shared" si="72"/>
        <v>0</v>
      </c>
      <c r="CN13" s="33">
        <f t="shared" si="73"/>
        <v>0</v>
      </c>
      <c r="CO13" s="33">
        <f t="shared" si="74"/>
        <v>0</v>
      </c>
      <c r="CP13" s="33">
        <f t="shared" si="75"/>
        <v>0</v>
      </c>
      <c r="CQ13" s="33">
        <f t="shared" si="76"/>
        <v>0</v>
      </c>
      <c r="CR13" s="33">
        <f t="shared" si="77"/>
        <v>0</v>
      </c>
      <c r="CS13" s="33">
        <f t="shared" si="78"/>
        <v>0</v>
      </c>
      <c r="CT13" s="35">
        <f t="shared" si="79"/>
        <v>0</v>
      </c>
      <c r="CV13" s="35">
        <f t="shared" si="80"/>
        <v>0</v>
      </c>
      <c r="CW13" s="35">
        <f t="shared" si="81"/>
        <v>0</v>
      </c>
      <c r="CX13" s="35">
        <f t="shared" si="82"/>
        <v>0</v>
      </c>
      <c r="CZ13" s="42">
        <f>N13+Summary!$E$3*CV13</f>
        <v>0</v>
      </c>
      <c r="DA13" s="42">
        <f>N13+CW13*Summary!$E$3</f>
        <v>0</v>
      </c>
      <c r="DB13" s="32">
        <f>N13+CX13*Summary!$E$3</f>
        <v>0</v>
      </c>
    </row>
    <row r="14" spans="1:106" s="15" customFormat="1" ht="15" outlineLevel="1" x14ac:dyDescent="0.25">
      <c r="A14" s="1"/>
      <c r="B14" s="22" t="str">
        <f>Mapping!A9</f>
        <v>Placeholder 4</v>
      </c>
      <c r="C14" s="37">
        <f>SUMIFS('Sales Data'!$E:$E,'Sales Data'!$A:$A,$B14,'Sales Data'!$B:$B,Summary!$C$3&amp;" "&amp;Summary!$C$2-1,'Sales Data'!$C:$C,"Periodic")/Mapping!$C$2</f>
        <v>0</v>
      </c>
      <c r="D14" s="37">
        <f>SUMIFS('Sales Data'!$D:$D,'Sales Data'!$A:$A,$B14,'Sales Data'!$B:$B,Summary!$C$3&amp;" "&amp;Summary!$C$2,'Sales Data'!$C:$C,"Periodic")/Mapping!$C$2</f>
        <v>0</v>
      </c>
      <c r="E14" s="37">
        <f>SUMIFS('Sales Data'!$E:$E,'Sales Data'!$A:$A,$B14,'Sales Data'!$B:$B,Summary!$C$3&amp;" "&amp;Summary!$C$2,'Sales Data'!$C:$C,"Periodic")/Mapping!$C$2</f>
        <v>0</v>
      </c>
      <c r="G14" s="38">
        <f t="shared" si="33"/>
        <v>0</v>
      </c>
      <c r="H14" s="39" t="str">
        <f t="shared" si="34"/>
        <v>N/A</v>
      </c>
      <c r="I14" s="38">
        <f t="shared" si="35"/>
        <v>0</v>
      </c>
      <c r="J14" s="39" t="str">
        <f t="shared" si="36"/>
        <v>N/A</v>
      </c>
      <c r="K14" s="1"/>
      <c r="L14" s="40">
        <f>SUMIFS('Sales Data'!$E:$E,'Sales Data'!$A:$A,$B14,'Sales Data'!$F:$F,$C$2-1,'Sales Data'!$G:$G,"&lt;="&amp;$D$3)/Mapping!$C$2</f>
        <v>0</v>
      </c>
      <c r="M14" s="37">
        <f>SUMIFS('Sales Data'!$D:$D,'Sales Data'!$A:$A,$B14,'Sales Data'!$F:$F,$C$2,'Sales Data'!$G:$G,"&lt;="&amp;$D$3)/Mapping!$C$2</f>
        <v>0</v>
      </c>
      <c r="N14" s="37">
        <f>SUMIFS('Sales Data'!$E:$E,'Sales Data'!$A:$A,$B14,'Sales Data'!$F:$F,$C$2,'Sales Data'!$G:$G,"&lt;="&amp;$D$3)/Mapping!$C$2</f>
        <v>0</v>
      </c>
      <c r="O14" s="1"/>
      <c r="P14" s="38">
        <f t="shared" si="37"/>
        <v>0</v>
      </c>
      <c r="Q14" s="39" t="str">
        <f t="shared" si="38"/>
        <v>N/A</v>
      </c>
      <c r="R14" s="38">
        <f t="shared" si="39"/>
        <v>0</v>
      </c>
      <c r="S14" s="39" t="str">
        <f t="shared" si="40"/>
        <v>N/A</v>
      </c>
      <c r="T14" s="1"/>
      <c r="U14" s="40">
        <f>SUMIFS('Sales Data'!$E:$E,'Sales Data'!$A:$A,$B14,'Sales Data'!$F:$F,$C$2-1,'Sales Data'!$G:$G,"&lt;="&amp;12)/Mapping!$C$2</f>
        <v>0</v>
      </c>
      <c r="V14" s="37">
        <f>SUMIFS('Sales Data'!$D:$D,'Sales Data'!$A:$A,$B14,'Sales Data'!$F:$F,$C$2,'Sales Data'!$G:$G,"&lt;="&amp;12)/Mapping!$C$2</f>
        <v>0</v>
      </c>
      <c r="W14" s="37">
        <f>SUMIFS('Sales Data'!$E:$E,'Sales Data'!$A:$A,$B14,'Sales Data'!$F:$F,$C$2,'Sales Data'!$G:$G,"&lt;="&amp;12)/Mapping!$C$2</f>
        <v>0</v>
      </c>
      <c r="Y14" s="38">
        <f t="shared" si="41"/>
        <v>0</v>
      </c>
      <c r="Z14" s="39" t="str">
        <f t="shared" si="42"/>
        <v>N/A</v>
      </c>
      <c r="AA14" s="38">
        <f t="shared" si="43"/>
        <v>0</v>
      </c>
      <c r="AB14" s="39" t="str">
        <f t="shared" si="44"/>
        <v>N/A</v>
      </c>
      <c r="AC14" s="38" t="e">
        <f>W14-#REF!</f>
        <v>#REF!</v>
      </c>
      <c r="AD14" s="41" t="str">
        <f>IF(ISERROR((W14/#REF!)-1),"N/A",(W14/#REF!)-1)</f>
        <v>N/A</v>
      </c>
      <c r="AF14" s="42">
        <f>N14/Summary!$D$3</f>
        <v>0</v>
      </c>
      <c r="AG14" s="42">
        <f>(V14-N14)/Summary!$E$3</f>
        <v>0</v>
      </c>
      <c r="AH14" s="30">
        <f t="shared" si="45"/>
        <v>0</v>
      </c>
      <c r="AJ14" s="30">
        <f t="shared" si="46"/>
        <v>0</v>
      </c>
      <c r="AK14" s="30">
        <f t="shared" si="47"/>
        <v>0</v>
      </c>
      <c r="AL14" s="30">
        <f t="shared" si="48"/>
        <v>0</v>
      </c>
      <c r="AM14" s="30">
        <f t="shared" si="49"/>
        <v>0</v>
      </c>
      <c r="AN14" s="31">
        <f t="shared" si="50"/>
        <v>0</v>
      </c>
      <c r="AP14" s="32">
        <f t="shared" si="51"/>
        <v>0</v>
      </c>
      <c r="AQ14" s="32">
        <f t="shared" si="52"/>
        <v>0</v>
      </c>
      <c r="AS14" s="33">
        <f>SUMIFS('Sales Data'!$E:$E,'Sales Data'!$A:$A,$B14,'Sales Data'!$B:$B,AS$6,'Sales Data'!$C:$C,"Periodic")/Mapping!$C$2</f>
        <v>0</v>
      </c>
      <c r="AT14" s="33">
        <f>SUMIFS('Sales Data'!$E:$E,'Sales Data'!$A:$A,$B14,'Sales Data'!$B:$B,AT$6,'Sales Data'!$C:$C,"Periodic")/Mapping!$C$2</f>
        <v>0</v>
      </c>
      <c r="AU14" s="33">
        <f>SUMIFS('Sales Data'!$E:$E,'Sales Data'!$A:$A,$B14,'Sales Data'!$B:$B,AU$6,'Sales Data'!$C:$C,"Periodic")/Mapping!$C$2</f>
        <v>0</v>
      </c>
      <c r="AV14" s="33">
        <f>SUMIFS('Sales Data'!$E:$E,'Sales Data'!$A:$A,$B14,'Sales Data'!$B:$B,AV$6,'Sales Data'!$C:$C,"Periodic")/Mapping!$C$2</f>
        <v>0</v>
      </c>
      <c r="AW14" s="33">
        <f>SUMIFS('Sales Data'!$E:$E,'Sales Data'!$A:$A,$B14,'Sales Data'!$B:$B,AW$6,'Sales Data'!$C:$C,"Periodic")/Mapping!$C$2</f>
        <v>0</v>
      </c>
      <c r="AX14" s="33">
        <f>SUMIFS('Sales Data'!$E:$E,'Sales Data'!$A:$A,$B14,'Sales Data'!$B:$B,AX$6,'Sales Data'!$C:$C,"Periodic")/Mapping!$C$2</f>
        <v>0</v>
      </c>
      <c r="AY14" s="33">
        <f>SUMIFS('Sales Data'!$E:$E,'Sales Data'!$A:$A,$B14,'Sales Data'!$B:$B,AY$6,'Sales Data'!$C:$C,"Periodic")/Mapping!$C$2</f>
        <v>0</v>
      </c>
      <c r="AZ14" s="33">
        <f>SUMIFS('Sales Data'!$E:$E,'Sales Data'!$A:$A,$B14,'Sales Data'!$B:$B,AZ$6,'Sales Data'!$C:$C,"Periodic")/Mapping!$C$2</f>
        <v>0</v>
      </c>
      <c r="BA14" s="33">
        <f>SUMIFS('Sales Data'!$E:$E,'Sales Data'!$A:$A,$B14,'Sales Data'!$B:$B,BA$6,'Sales Data'!$C:$C,"Periodic")/Mapping!$C$2</f>
        <v>0</v>
      </c>
      <c r="BB14" s="33">
        <f>SUMIFS('Sales Data'!$E:$E,'Sales Data'!$A:$A,$B14,'Sales Data'!$B:$B,BB$6,'Sales Data'!$C:$C,"Periodic")/Mapping!$C$2</f>
        <v>0</v>
      </c>
      <c r="BC14" s="33">
        <f>SUMIFS('Sales Data'!$E:$E,'Sales Data'!$A:$A,$B14,'Sales Data'!$B:$B,BC$6,'Sales Data'!$C:$C,"Periodic")/Mapping!$C$2</f>
        <v>0</v>
      </c>
      <c r="BD14" s="33">
        <f>SUMIFS('Sales Data'!$E:$E,'Sales Data'!$A:$A,$B14,'Sales Data'!$B:$B,BD$6,'Sales Data'!$C:$C,"Periodic")/Mapping!$C$2</f>
        <v>0</v>
      </c>
      <c r="BE14" s="33">
        <f t="shared" si="53"/>
        <v>0</v>
      </c>
      <c r="BF14" s="33"/>
      <c r="BG14" s="33">
        <f>SUMIFS('Sales Data'!$E:$E,'Sales Data'!$A:$A,$B14,'Sales Data'!$B:$B,BG$6,'Sales Data'!$C:$C,"Periodic")/Mapping!$C$2</f>
        <v>0</v>
      </c>
      <c r="BH14" s="33">
        <f>SUMIFS('Sales Data'!$E:$E,'Sales Data'!$A:$A,$B14,'Sales Data'!$B:$B,BH$6,'Sales Data'!$C:$C,"Periodic")/Mapping!$C$2</f>
        <v>0</v>
      </c>
      <c r="BI14" s="33">
        <f>SUMIFS('Sales Data'!$E:$E,'Sales Data'!$A:$A,$B14,'Sales Data'!$B:$B,BI$6,'Sales Data'!$C:$C,"Periodic")/Mapping!$C$2</f>
        <v>0</v>
      </c>
      <c r="BJ14" s="33">
        <f>SUMIFS('Sales Data'!$E:$E,'Sales Data'!$A:$A,$B14,'Sales Data'!$B:$B,BJ$6,'Sales Data'!$C:$C,"Periodic")/Mapping!$C$2</f>
        <v>0</v>
      </c>
      <c r="BK14" s="33">
        <f>SUMIFS('Sales Data'!$E:$E,'Sales Data'!$A:$A,$B14,'Sales Data'!$B:$B,BK$6,'Sales Data'!$C:$C,"Periodic")/Mapping!$C$2</f>
        <v>0</v>
      </c>
      <c r="BL14" s="33">
        <f>SUMIFS('Sales Data'!$E:$E,'Sales Data'!$A:$A,$B14,'Sales Data'!$B:$B,BL$6,'Sales Data'!$C:$C,"Periodic")/Mapping!$C$2</f>
        <v>0</v>
      </c>
      <c r="BM14" s="33">
        <f>SUMIFS('Sales Data'!$E:$E,'Sales Data'!$A:$A,$B14,'Sales Data'!$B:$B,BM$6,'Sales Data'!$C:$C,"Periodic")/Mapping!$C$2</f>
        <v>0</v>
      </c>
      <c r="BN14" s="33">
        <f>SUMIFS('Sales Data'!$E:$E,'Sales Data'!$A:$A,$B14,'Sales Data'!$B:$B,BN$6,'Sales Data'!$C:$C,"Periodic")/Mapping!$C$2</f>
        <v>0</v>
      </c>
      <c r="BO14" s="33">
        <f>SUMIFS('Sales Data'!$E:$E,'Sales Data'!$A:$A,$B14,'Sales Data'!$B:$B,BO$6,'Sales Data'!$C:$C,"Periodic")/Mapping!$C$2</f>
        <v>0</v>
      </c>
      <c r="BP14" s="33">
        <f>SUMIFS('Sales Data'!$E:$E,'Sales Data'!$A:$A,$B14,'Sales Data'!$B:$B,BP$6,'Sales Data'!$C:$C,"Periodic")/Mapping!$C$2</f>
        <v>0</v>
      </c>
      <c r="BQ14" s="33">
        <f>SUMIFS('Sales Data'!$E:$E,'Sales Data'!$A:$A,$B14,'Sales Data'!$B:$B,BQ$6,'Sales Data'!$C:$C,"Periodic")/Mapping!$C$2</f>
        <v>0</v>
      </c>
      <c r="BR14" s="33">
        <f>SUMIFS('Sales Data'!$E:$E,'Sales Data'!$A:$A,$B14,'Sales Data'!$B:$B,BR$6,'Sales Data'!$C:$C,"Periodic")/Mapping!$C$2</f>
        <v>0</v>
      </c>
      <c r="BS14" s="33"/>
      <c r="BT14" s="33">
        <f t="shared" si="54"/>
        <v>0</v>
      </c>
      <c r="BU14" s="33">
        <f t="shared" si="55"/>
        <v>0</v>
      </c>
      <c r="BV14" s="33">
        <f t="shared" si="56"/>
        <v>0</v>
      </c>
      <c r="BW14" s="33">
        <f t="shared" si="57"/>
        <v>0</v>
      </c>
      <c r="BX14" s="33">
        <f t="shared" si="58"/>
        <v>0</v>
      </c>
      <c r="BY14" s="33">
        <f t="shared" si="59"/>
        <v>0</v>
      </c>
      <c r="BZ14" s="33">
        <f t="shared" si="60"/>
        <v>0</v>
      </c>
      <c r="CA14" s="33">
        <f t="shared" si="61"/>
        <v>0</v>
      </c>
      <c r="CB14" s="33">
        <f t="shared" si="62"/>
        <v>0</v>
      </c>
      <c r="CC14" s="33">
        <f t="shared" si="63"/>
        <v>0</v>
      </c>
      <c r="CD14" s="33">
        <f t="shared" si="64"/>
        <v>0</v>
      </c>
      <c r="CE14" s="33">
        <f t="shared" si="65"/>
        <v>0</v>
      </c>
      <c r="CF14" s="33">
        <f t="shared" si="66"/>
        <v>0</v>
      </c>
      <c r="CH14" s="33">
        <f t="shared" si="67"/>
        <v>0</v>
      </c>
      <c r="CI14" s="33">
        <f t="shared" si="68"/>
        <v>0</v>
      </c>
      <c r="CJ14" s="33">
        <f t="shared" si="69"/>
        <v>0</v>
      </c>
      <c r="CK14" s="33">
        <f t="shared" si="70"/>
        <v>0</v>
      </c>
      <c r="CL14" s="33">
        <f t="shared" si="71"/>
        <v>0</v>
      </c>
      <c r="CM14" s="33">
        <f t="shared" si="72"/>
        <v>0</v>
      </c>
      <c r="CN14" s="33">
        <f t="shared" si="73"/>
        <v>0</v>
      </c>
      <c r="CO14" s="33">
        <f t="shared" si="74"/>
        <v>0</v>
      </c>
      <c r="CP14" s="33">
        <f t="shared" si="75"/>
        <v>0</v>
      </c>
      <c r="CQ14" s="33">
        <f t="shared" si="76"/>
        <v>0</v>
      </c>
      <c r="CR14" s="33">
        <f t="shared" si="77"/>
        <v>0</v>
      </c>
      <c r="CS14" s="33">
        <f t="shared" si="78"/>
        <v>0</v>
      </c>
      <c r="CT14" s="35">
        <f t="shared" si="79"/>
        <v>0</v>
      </c>
      <c r="CV14" s="35">
        <f t="shared" si="80"/>
        <v>0</v>
      </c>
      <c r="CW14" s="35">
        <f t="shared" si="81"/>
        <v>0</v>
      </c>
      <c r="CX14" s="35">
        <f t="shared" si="82"/>
        <v>0</v>
      </c>
      <c r="CZ14" s="42">
        <f>N14+Summary!$E$3*CV14</f>
        <v>0</v>
      </c>
      <c r="DA14" s="42">
        <f>N14+CW14*Summary!$E$3</f>
        <v>0</v>
      </c>
      <c r="DB14" s="32">
        <f>N14+CX14*Summary!$E$3</f>
        <v>0</v>
      </c>
    </row>
    <row r="15" spans="1:106" s="15" customFormat="1" ht="15" outlineLevel="1" x14ac:dyDescent="0.25">
      <c r="A15" s="1"/>
      <c r="B15" s="22" t="str">
        <f>Mapping!A10</f>
        <v>Placeholder 5</v>
      </c>
      <c r="C15" s="37">
        <f>SUMIFS('Sales Data'!$E:$E,'Sales Data'!$A:$A,$B15,'Sales Data'!$B:$B,Summary!$C$3&amp;" "&amp;Summary!$C$2-1,'Sales Data'!$C:$C,"Periodic")/Mapping!$C$2</f>
        <v>0</v>
      </c>
      <c r="D15" s="37">
        <f>SUMIFS('Sales Data'!$D:$D,'Sales Data'!$A:$A,$B15,'Sales Data'!$B:$B,Summary!$C$3&amp;" "&amp;Summary!$C$2,'Sales Data'!$C:$C,"Periodic")/Mapping!$C$2</f>
        <v>0</v>
      </c>
      <c r="E15" s="37">
        <f>SUMIFS('Sales Data'!$E:$E,'Sales Data'!$A:$A,$B15,'Sales Data'!$B:$B,Summary!$C$3&amp;" "&amp;Summary!$C$2,'Sales Data'!$C:$C,"Periodic")/Mapping!$C$2</f>
        <v>0</v>
      </c>
      <c r="G15" s="38">
        <f t="shared" si="33"/>
        <v>0</v>
      </c>
      <c r="H15" s="39" t="str">
        <f t="shared" si="34"/>
        <v>N/A</v>
      </c>
      <c r="I15" s="38">
        <f t="shared" si="35"/>
        <v>0</v>
      </c>
      <c r="J15" s="39" t="str">
        <f t="shared" si="36"/>
        <v>N/A</v>
      </c>
      <c r="K15" s="1"/>
      <c r="L15" s="40">
        <f>SUMIFS('Sales Data'!$E:$E,'Sales Data'!$A:$A,$B15,'Sales Data'!$F:$F,$C$2-1,'Sales Data'!$G:$G,"&lt;="&amp;$D$3)/Mapping!$C$2</f>
        <v>0</v>
      </c>
      <c r="M15" s="37">
        <f>SUMIFS('Sales Data'!$D:$D,'Sales Data'!$A:$A,$B15,'Sales Data'!$F:$F,$C$2,'Sales Data'!$G:$G,"&lt;="&amp;$D$3)/Mapping!$C$2</f>
        <v>0</v>
      </c>
      <c r="N15" s="37">
        <f>SUMIFS('Sales Data'!$E:$E,'Sales Data'!$A:$A,$B15,'Sales Data'!$F:$F,$C$2,'Sales Data'!$G:$G,"&lt;="&amp;$D$3)/Mapping!$C$2</f>
        <v>0</v>
      </c>
      <c r="O15" s="1"/>
      <c r="P15" s="38">
        <f t="shared" si="37"/>
        <v>0</v>
      </c>
      <c r="Q15" s="39" t="str">
        <f t="shared" si="38"/>
        <v>N/A</v>
      </c>
      <c r="R15" s="38">
        <f t="shared" si="39"/>
        <v>0</v>
      </c>
      <c r="S15" s="39" t="str">
        <f t="shared" si="40"/>
        <v>N/A</v>
      </c>
      <c r="T15" s="1"/>
      <c r="U15" s="40">
        <f>SUMIFS('Sales Data'!$E:$E,'Sales Data'!$A:$A,$B15,'Sales Data'!$F:$F,$C$2-1,'Sales Data'!$G:$G,"&lt;="&amp;12)/Mapping!$C$2</f>
        <v>0</v>
      </c>
      <c r="V15" s="37">
        <f>SUMIFS('Sales Data'!$D:$D,'Sales Data'!$A:$A,$B15,'Sales Data'!$F:$F,$C$2,'Sales Data'!$G:$G,"&lt;="&amp;12)/Mapping!$C$2</f>
        <v>0</v>
      </c>
      <c r="W15" s="37">
        <f>SUMIFS('Sales Data'!$E:$E,'Sales Data'!$A:$A,$B15,'Sales Data'!$F:$F,$C$2,'Sales Data'!$G:$G,"&lt;="&amp;12)/Mapping!$C$2</f>
        <v>0</v>
      </c>
      <c r="Y15" s="38">
        <f t="shared" si="41"/>
        <v>0</v>
      </c>
      <c r="Z15" s="39" t="str">
        <f t="shared" si="42"/>
        <v>N/A</v>
      </c>
      <c r="AA15" s="38">
        <f t="shared" si="43"/>
        <v>0</v>
      </c>
      <c r="AB15" s="39" t="str">
        <f t="shared" si="44"/>
        <v>N/A</v>
      </c>
      <c r="AC15" s="38" t="e">
        <f>W15-#REF!</f>
        <v>#REF!</v>
      </c>
      <c r="AD15" s="41" t="str">
        <f>IF(ISERROR((W15/#REF!)-1),"N/A",(W15/#REF!)-1)</f>
        <v>N/A</v>
      </c>
      <c r="AF15" s="42">
        <f>N15/Summary!$D$3</f>
        <v>0</v>
      </c>
      <c r="AG15" s="42">
        <f>(V15-N15)/Summary!$E$3</f>
        <v>0</v>
      </c>
      <c r="AH15" s="30">
        <f t="shared" si="45"/>
        <v>0</v>
      </c>
      <c r="AJ15" s="30">
        <f t="shared" si="46"/>
        <v>0</v>
      </c>
      <c r="AK15" s="30">
        <f t="shared" si="47"/>
        <v>0</v>
      </c>
      <c r="AL15" s="30">
        <f t="shared" si="48"/>
        <v>0</v>
      </c>
      <c r="AM15" s="30">
        <f t="shared" si="49"/>
        <v>0</v>
      </c>
      <c r="AN15" s="31">
        <f t="shared" si="50"/>
        <v>0</v>
      </c>
      <c r="AP15" s="32">
        <f t="shared" si="51"/>
        <v>0</v>
      </c>
      <c r="AQ15" s="32">
        <f t="shared" si="52"/>
        <v>0</v>
      </c>
      <c r="AS15" s="33">
        <f>SUMIFS('Sales Data'!$E:$E,'Sales Data'!$A:$A,$B15,'Sales Data'!$B:$B,AS$6,'Sales Data'!$C:$C,"Periodic")/Mapping!$C$2</f>
        <v>0</v>
      </c>
      <c r="AT15" s="33">
        <f>SUMIFS('Sales Data'!$E:$E,'Sales Data'!$A:$A,$B15,'Sales Data'!$B:$B,AT$6,'Sales Data'!$C:$C,"Periodic")/Mapping!$C$2</f>
        <v>0</v>
      </c>
      <c r="AU15" s="33">
        <f>SUMIFS('Sales Data'!$E:$E,'Sales Data'!$A:$A,$B15,'Sales Data'!$B:$B,AU$6,'Sales Data'!$C:$C,"Periodic")/Mapping!$C$2</f>
        <v>0</v>
      </c>
      <c r="AV15" s="33">
        <f>SUMIFS('Sales Data'!$E:$E,'Sales Data'!$A:$A,$B15,'Sales Data'!$B:$B,AV$6,'Sales Data'!$C:$C,"Periodic")/Mapping!$C$2</f>
        <v>0</v>
      </c>
      <c r="AW15" s="33">
        <f>SUMIFS('Sales Data'!$E:$E,'Sales Data'!$A:$A,$B15,'Sales Data'!$B:$B,AW$6,'Sales Data'!$C:$C,"Periodic")/Mapping!$C$2</f>
        <v>0</v>
      </c>
      <c r="AX15" s="33">
        <f>SUMIFS('Sales Data'!$E:$E,'Sales Data'!$A:$A,$B15,'Sales Data'!$B:$B,AX$6,'Sales Data'!$C:$C,"Periodic")/Mapping!$C$2</f>
        <v>0</v>
      </c>
      <c r="AY15" s="33">
        <f>SUMIFS('Sales Data'!$E:$E,'Sales Data'!$A:$A,$B15,'Sales Data'!$B:$B,AY$6,'Sales Data'!$C:$C,"Periodic")/Mapping!$C$2</f>
        <v>0</v>
      </c>
      <c r="AZ15" s="33">
        <f>SUMIFS('Sales Data'!$E:$E,'Sales Data'!$A:$A,$B15,'Sales Data'!$B:$B,AZ$6,'Sales Data'!$C:$C,"Periodic")/Mapping!$C$2</f>
        <v>0</v>
      </c>
      <c r="BA15" s="33">
        <f>SUMIFS('Sales Data'!$E:$E,'Sales Data'!$A:$A,$B15,'Sales Data'!$B:$B,BA$6,'Sales Data'!$C:$C,"Periodic")/Mapping!$C$2</f>
        <v>0</v>
      </c>
      <c r="BB15" s="33">
        <f>SUMIFS('Sales Data'!$E:$E,'Sales Data'!$A:$A,$B15,'Sales Data'!$B:$B,BB$6,'Sales Data'!$C:$C,"Periodic")/Mapping!$C$2</f>
        <v>0</v>
      </c>
      <c r="BC15" s="33">
        <f>SUMIFS('Sales Data'!$E:$E,'Sales Data'!$A:$A,$B15,'Sales Data'!$B:$B,BC$6,'Sales Data'!$C:$C,"Periodic")/Mapping!$C$2</f>
        <v>0</v>
      </c>
      <c r="BD15" s="33">
        <f>SUMIFS('Sales Data'!$E:$E,'Sales Data'!$A:$A,$B15,'Sales Data'!$B:$B,BD$6,'Sales Data'!$C:$C,"Periodic")/Mapping!$C$2</f>
        <v>0</v>
      </c>
      <c r="BE15" s="33">
        <f t="shared" si="53"/>
        <v>0</v>
      </c>
      <c r="BF15" s="33"/>
      <c r="BG15" s="33">
        <f>SUMIFS('Sales Data'!$E:$E,'Sales Data'!$A:$A,$B15,'Sales Data'!$B:$B,BG$6,'Sales Data'!$C:$C,"Periodic")/Mapping!$C$2</f>
        <v>0</v>
      </c>
      <c r="BH15" s="33">
        <f>SUMIFS('Sales Data'!$E:$E,'Sales Data'!$A:$A,$B15,'Sales Data'!$B:$B,BH$6,'Sales Data'!$C:$C,"Periodic")/Mapping!$C$2</f>
        <v>0</v>
      </c>
      <c r="BI15" s="33">
        <f>SUMIFS('Sales Data'!$E:$E,'Sales Data'!$A:$A,$B15,'Sales Data'!$B:$B,BI$6,'Sales Data'!$C:$C,"Periodic")/Mapping!$C$2</f>
        <v>0</v>
      </c>
      <c r="BJ15" s="33">
        <f>SUMIFS('Sales Data'!$E:$E,'Sales Data'!$A:$A,$B15,'Sales Data'!$B:$B,BJ$6,'Sales Data'!$C:$C,"Periodic")/Mapping!$C$2</f>
        <v>0</v>
      </c>
      <c r="BK15" s="33">
        <f>SUMIFS('Sales Data'!$E:$E,'Sales Data'!$A:$A,$B15,'Sales Data'!$B:$B,BK$6,'Sales Data'!$C:$C,"Periodic")/Mapping!$C$2</f>
        <v>0</v>
      </c>
      <c r="BL15" s="33">
        <f>SUMIFS('Sales Data'!$E:$E,'Sales Data'!$A:$A,$B15,'Sales Data'!$B:$B,BL$6,'Sales Data'!$C:$C,"Periodic")/Mapping!$C$2</f>
        <v>0</v>
      </c>
      <c r="BM15" s="33">
        <f>SUMIFS('Sales Data'!$E:$E,'Sales Data'!$A:$A,$B15,'Sales Data'!$B:$B,BM$6,'Sales Data'!$C:$C,"Periodic")/Mapping!$C$2</f>
        <v>0</v>
      </c>
      <c r="BN15" s="33">
        <f>SUMIFS('Sales Data'!$E:$E,'Sales Data'!$A:$A,$B15,'Sales Data'!$B:$B,BN$6,'Sales Data'!$C:$C,"Periodic")/Mapping!$C$2</f>
        <v>0</v>
      </c>
      <c r="BO15" s="33">
        <f>SUMIFS('Sales Data'!$E:$E,'Sales Data'!$A:$A,$B15,'Sales Data'!$B:$B,BO$6,'Sales Data'!$C:$C,"Periodic")/Mapping!$C$2</f>
        <v>0</v>
      </c>
      <c r="BP15" s="33">
        <f>SUMIFS('Sales Data'!$E:$E,'Sales Data'!$A:$A,$B15,'Sales Data'!$B:$B,BP$6,'Sales Data'!$C:$C,"Periodic")/Mapping!$C$2</f>
        <v>0</v>
      </c>
      <c r="BQ15" s="33">
        <f>SUMIFS('Sales Data'!$E:$E,'Sales Data'!$A:$A,$B15,'Sales Data'!$B:$B,BQ$6,'Sales Data'!$C:$C,"Periodic")/Mapping!$C$2</f>
        <v>0</v>
      </c>
      <c r="BR15" s="33">
        <f>SUMIFS('Sales Data'!$E:$E,'Sales Data'!$A:$A,$B15,'Sales Data'!$B:$B,BR$6,'Sales Data'!$C:$C,"Periodic")/Mapping!$C$2</f>
        <v>0</v>
      </c>
      <c r="BS15" s="33"/>
      <c r="BT15" s="33">
        <f t="shared" si="54"/>
        <v>0</v>
      </c>
      <c r="BU15" s="33">
        <f t="shared" si="55"/>
        <v>0</v>
      </c>
      <c r="BV15" s="33">
        <f t="shared" si="56"/>
        <v>0</v>
      </c>
      <c r="BW15" s="33">
        <f t="shared" si="57"/>
        <v>0</v>
      </c>
      <c r="BX15" s="33">
        <f t="shared" si="58"/>
        <v>0</v>
      </c>
      <c r="BY15" s="33">
        <f t="shared" si="59"/>
        <v>0</v>
      </c>
      <c r="BZ15" s="33">
        <f t="shared" si="60"/>
        <v>0</v>
      </c>
      <c r="CA15" s="33">
        <f t="shared" si="61"/>
        <v>0</v>
      </c>
      <c r="CB15" s="33">
        <f t="shared" si="62"/>
        <v>0</v>
      </c>
      <c r="CC15" s="33">
        <f t="shared" si="63"/>
        <v>0</v>
      </c>
      <c r="CD15" s="33">
        <f t="shared" si="64"/>
        <v>0</v>
      </c>
      <c r="CE15" s="33">
        <f t="shared" si="65"/>
        <v>0</v>
      </c>
      <c r="CF15" s="33">
        <f t="shared" si="66"/>
        <v>0</v>
      </c>
      <c r="CH15" s="33">
        <f t="shared" si="67"/>
        <v>0</v>
      </c>
      <c r="CI15" s="33">
        <f t="shared" si="68"/>
        <v>0</v>
      </c>
      <c r="CJ15" s="33">
        <f t="shared" si="69"/>
        <v>0</v>
      </c>
      <c r="CK15" s="33">
        <f t="shared" si="70"/>
        <v>0</v>
      </c>
      <c r="CL15" s="33">
        <f t="shared" si="71"/>
        <v>0</v>
      </c>
      <c r="CM15" s="33">
        <f t="shared" si="72"/>
        <v>0</v>
      </c>
      <c r="CN15" s="33">
        <f t="shared" si="73"/>
        <v>0</v>
      </c>
      <c r="CO15" s="33">
        <f t="shared" si="74"/>
        <v>0</v>
      </c>
      <c r="CP15" s="33">
        <f t="shared" si="75"/>
        <v>0</v>
      </c>
      <c r="CQ15" s="33">
        <f t="shared" si="76"/>
        <v>0</v>
      </c>
      <c r="CR15" s="33">
        <f t="shared" si="77"/>
        <v>0</v>
      </c>
      <c r="CS15" s="33">
        <f t="shared" si="78"/>
        <v>0</v>
      </c>
      <c r="CT15" s="35">
        <f t="shared" si="79"/>
        <v>0</v>
      </c>
      <c r="CV15" s="35">
        <f t="shared" si="80"/>
        <v>0</v>
      </c>
      <c r="CW15" s="35">
        <f t="shared" si="81"/>
        <v>0</v>
      </c>
      <c r="CX15" s="35">
        <f t="shared" si="82"/>
        <v>0</v>
      </c>
      <c r="CZ15" s="42">
        <f>N15+Summary!$E$3*CV15</f>
        <v>0</v>
      </c>
      <c r="DA15" s="42">
        <f>N15+CW15*Summary!$E$3</f>
        <v>0</v>
      </c>
      <c r="DB15" s="32">
        <f>N15+CX15*Summary!$E$3</f>
        <v>0</v>
      </c>
    </row>
    <row r="16" spans="1:106" s="15" customFormat="1" ht="15" outlineLevel="1" x14ac:dyDescent="0.25">
      <c r="A16" s="1"/>
      <c r="B16" s="22" t="str">
        <f>Mapping!A11</f>
        <v>Placeholder 6</v>
      </c>
      <c r="C16" s="37">
        <f>SUMIFS('Sales Data'!$E:$E,'Sales Data'!$A:$A,$B16,'Sales Data'!$B:$B,Summary!$C$3&amp;" "&amp;Summary!$C$2-1,'Sales Data'!$C:$C,"Periodic")/Mapping!$C$2</f>
        <v>0</v>
      </c>
      <c r="D16" s="37">
        <f>SUMIFS('Sales Data'!$D:$D,'Sales Data'!$A:$A,$B16,'Sales Data'!$B:$B,Summary!$C$3&amp;" "&amp;Summary!$C$2,'Sales Data'!$C:$C,"Periodic")/Mapping!$C$2</f>
        <v>0</v>
      </c>
      <c r="E16" s="37">
        <f>SUMIFS('Sales Data'!$E:$E,'Sales Data'!$A:$A,$B16,'Sales Data'!$B:$B,Summary!$C$3&amp;" "&amp;Summary!$C$2,'Sales Data'!$C:$C,"Periodic")/Mapping!$C$2</f>
        <v>0</v>
      </c>
      <c r="G16" s="38">
        <f t="shared" si="33"/>
        <v>0</v>
      </c>
      <c r="H16" s="39" t="str">
        <f t="shared" si="34"/>
        <v>N/A</v>
      </c>
      <c r="I16" s="38">
        <f t="shared" si="35"/>
        <v>0</v>
      </c>
      <c r="J16" s="39" t="str">
        <f t="shared" si="36"/>
        <v>N/A</v>
      </c>
      <c r="K16" s="1"/>
      <c r="L16" s="40">
        <f>SUMIFS('Sales Data'!$E:$E,'Sales Data'!$A:$A,$B16,'Sales Data'!$F:$F,$C$2-1,'Sales Data'!$G:$G,"&lt;="&amp;$D$3)/Mapping!$C$2</f>
        <v>0</v>
      </c>
      <c r="M16" s="37">
        <f>SUMIFS('Sales Data'!$D:$D,'Sales Data'!$A:$A,$B16,'Sales Data'!$F:$F,$C$2,'Sales Data'!$G:$G,"&lt;="&amp;$D$3)/Mapping!$C$2</f>
        <v>0</v>
      </c>
      <c r="N16" s="37">
        <f>SUMIFS('Sales Data'!$E:$E,'Sales Data'!$A:$A,$B16,'Sales Data'!$F:$F,$C$2,'Sales Data'!$G:$G,"&lt;="&amp;$D$3)/Mapping!$C$2</f>
        <v>0</v>
      </c>
      <c r="O16" s="1"/>
      <c r="P16" s="38">
        <f t="shared" si="37"/>
        <v>0</v>
      </c>
      <c r="Q16" s="39" t="str">
        <f t="shared" si="38"/>
        <v>N/A</v>
      </c>
      <c r="R16" s="38">
        <f t="shared" si="39"/>
        <v>0</v>
      </c>
      <c r="S16" s="39" t="str">
        <f t="shared" si="40"/>
        <v>N/A</v>
      </c>
      <c r="T16" s="1"/>
      <c r="U16" s="40">
        <f>SUMIFS('Sales Data'!$E:$E,'Sales Data'!$A:$A,$B16,'Sales Data'!$F:$F,$C$2-1,'Sales Data'!$G:$G,"&lt;="&amp;12)/Mapping!$C$2</f>
        <v>0</v>
      </c>
      <c r="V16" s="37">
        <f>SUMIFS('Sales Data'!$D:$D,'Sales Data'!$A:$A,$B16,'Sales Data'!$F:$F,$C$2,'Sales Data'!$G:$G,"&lt;="&amp;12)/Mapping!$C$2</f>
        <v>0</v>
      </c>
      <c r="W16" s="37">
        <f>SUMIFS('Sales Data'!$E:$E,'Sales Data'!$A:$A,$B16,'Sales Data'!$F:$F,$C$2,'Sales Data'!$G:$G,"&lt;="&amp;12)/Mapping!$C$2</f>
        <v>0</v>
      </c>
      <c r="Y16" s="38">
        <f t="shared" si="41"/>
        <v>0</v>
      </c>
      <c r="Z16" s="39" t="str">
        <f t="shared" si="42"/>
        <v>N/A</v>
      </c>
      <c r="AA16" s="38">
        <f t="shared" si="43"/>
        <v>0</v>
      </c>
      <c r="AB16" s="39" t="str">
        <f t="shared" si="44"/>
        <v>N/A</v>
      </c>
      <c r="AC16" s="38" t="e">
        <f>W16-#REF!</f>
        <v>#REF!</v>
      </c>
      <c r="AD16" s="41" t="str">
        <f>IF(ISERROR((W16/#REF!)-1),"N/A",(W16/#REF!)-1)</f>
        <v>N/A</v>
      </c>
      <c r="AF16" s="42">
        <f>N16/Summary!$D$3</f>
        <v>0</v>
      </c>
      <c r="AG16" s="42">
        <f>(V16-N16)/Summary!$E$3</f>
        <v>0</v>
      </c>
      <c r="AH16" s="30">
        <f t="shared" si="45"/>
        <v>0</v>
      </c>
      <c r="AJ16" s="30">
        <f t="shared" si="46"/>
        <v>0</v>
      </c>
      <c r="AK16" s="30">
        <f t="shared" si="47"/>
        <v>0</v>
      </c>
      <c r="AL16" s="30">
        <f t="shared" si="48"/>
        <v>0</v>
      </c>
      <c r="AM16" s="30">
        <f t="shared" si="49"/>
        <v>0</v>
      </c>
      <c r="AN16" s="31">
        <f t="shared" si="50"/>
        <v>0</v>
      </c>
      <c r="AP16" s="32">
        <f t="shared" si="51"/>
        <v>0</v>
      </c>
      <c r="AQ16" s="32">
        <f t="shared" si="52"/>
        <v>0</v>
      </c>
      <c r="AS16" s="33">
        <f>SUMIFS('Sales Data'!$E:$E,'Sales Data'!$A:$A,$B16,'Sales Data'!$B:$B,AS$6,'Sales Data'!$C:$C,"Periodic")/Mapping!$C$2</f>
        <v>0</v>
      </c>
      <c r="AT16" s="33">
        <f>SUMIFS('Sales Data'!$E:$E,'Sales Data'!$A:$A,$B16,'Sales Data'!$B:$B,AT$6,'Sales Data'!$C:$C,"Periodic")/Mapping!$C$2</f>
        <v>0</v>
      </c>
      <c r="AU16" s="33">
        <f>SUMIFS('Sales Data'!$E:$E,'Sales Data'!$A:$A,$B16,'Sales Data'!$B:$B,AU$6,'Sales Data'!$C:$C,"Periodic")/Mapping!$C$2</f>
        <v>0</v>
      </c>
      <c r="AV16" s="33">
        <f>SUMIFS('Sales Data'!$E:$E,'Sales Data'!$A:$A,$B16,'Sales Data'!$B:$B,AV$6,'Sales Data'!$C:$C,"Periodic")/Mapping!$C$2</f>
        <v>0</v>
      </c>
      <c r="AW16" s="33">
        <f>SUMIFS('Sales Data'!$E:$E,'Sales Data'!$A:$A,$B16,'Sales Data'!$B:$B,AW$6,'Sales Data'!$C:$C,"Periodic")/Mapping!$C$2</f>
        <v>0</v>
      </c>
      <c r="AX16" s="33">
        <f>SUMIFS('Sales Data'!$E:$E,'Sales Data'!$A:$A,$B16,'Sales Data'!$B:$B,AX$6,'Sales Data'!$C:$C,"Periodic")/Mapping!$C$2</f>
        <v>0</v>
      </c>
      <c r="AY16" s="33">
        <f>SUMIFS('Sales Data'!$E:$E,'Sales Data'!$A:$A,$B16,'Sales Data'!$B:$B,AY$6,'Sales Data'!$C:$C,"Periodic")/Mapping!$C$2</f>
        <v>0</v>
      </c>
      <c r="AZ16" s="33">
        <f>SUMIFS('Sales Data'!$E:$E,'Sales Data'!$A:$A,$B16,'Sales Data'!$B:$B,AZ$6,'Sales Data'!$C:$C,"Periodic")/Mapping!$C$2</f>
        <v>0</v>
      </c>
      <c r="BA16" s="33">
        <f>SUMIFS('Sales Data'!$E:$E,'Sales Data'!$A:$A,$B16,'Sales Data'!$B:$B,BA$6,'Sales Data'!$C:$C,"Periodic")/Mapping!$C$2</f>
        <v>0</v>
      </c>
      <c r="BB16" s="33">
        <f>SUMIFS('Sales Data'!$E:$E,'Sales Data'!$A:$A,$B16,'Sales Data'!$B:$B,BB$6,'Sales Data'!$C:$C,"Periodic")/Mapping!$C$2</f>
        <v>0</v>
      </c>
      <c r="BC16" s="33">
        <f>SUMIFS('Sales Data'!$E:$E,'Sales Data'!$A:$A,$B16,'Sales Data'!$B:$B,BC$6,'Sales Data'!$C:$C,"Periodic")/Mapping!$C$2</f>
        <v>0</v>
      </c>
      <c r="BD16" s="33">
        <f>SUMIFS('Sales Data'!$E:$E,'Sales Data'!$A:$A,$B16,'Sales Data'!$B:$B,BD$6,'Sales Data'!$C:$C,"Periodic")/Mapping!$C$2</f>
        <v>0</v>
      </c>
      <c r="BE16" s="33">
        <f t="shared" si="53"/>
        <v>0</v>
      </c>
      <c r="BF16" s="33"/>
      <c r="BG16" s="33">
        <f>SUMIFS('Sales Data'!$E:$E,'Sales Data'!$A:$A,$B16,'Sales Data'!$B:$B,BG$6,'Sales Data'!$C:$C,"Periodic")/Mapping!$C$2</f>
        <v>0</v>
      </c>
      <c r="BH16" s="33">
        <f>SUMIFS('Sales Data'!$E:$E,'Sales Data'!$A:$A,$B16,'Sales Data'!$B:$B,BH$6,'Sales Data'!$C:$C,"Periodic")/Mapping!$C$2</f>
        <v>0</v>
      </c>
      <c r="BI16" s="33">
        <f>SUMIFS('Sales Data'!$E:$E,'Sales Data'!$A:$A,$B16,'Sales Data'!$B:$B,BI$6,'Sales Data'!$C:$C,"Periodic")/Mapping!$C$2</f>
        <v>0</v>
      </c>
      <c r="BJ16" s="33">
        <f>SUMIFS('Sales Data'!$E:$E,'Sales Data'!$A:$A,$B16,'Sales Data'!$B:$B,BJ$6,'Sales Data'!$C:$C,"Periodic")/Mapping!$C$2</f>
        <v>0</v>
      </c>
      <c r="BK16" s="33">
        <f>SUMIFS('Sales Data'!$E:$E,'Sales Data'!$A:$A,$B16,'Sales Data'!$B:$B,BK$6,'Sales Data'!$C:$C,"Periodic")/Mapping!$C$2</f>
        <v>0</v>
      </c>
      <c r="BL16" s="33">
        <f>SUMIFS('Sales Data'!$E:$E,'Sales Data'!$A:$A,$B16,'Sales Data'!$B:$B,BL$6,'Sales Data'!$C:$C,"Periodic")/Mapping!$C$2</f>
        <v>0</v>
      </c>
      <c r="BM16" s="33">
        <f>SUMIFS('Sales Data'!$E:$E,'Sales Data'!$A:$A,$B16,'Sales Data'!$B:$B,BM$6,'Sales Data'!$C:$C,"Periodic")/Mapping!$C$2</f>
        <v>0</v>
      </c>
      <c r="BN16" s="33">
        <f>SUMIFS('Sales Data'!$E:$E,'Sales Data'!$A:$A,$B16,'Sales Data'!$B:$B,BN$6,'Sales Data'!$C:$C,"Periodic")/Mapping!$C$2</f>
        <v>0</v>
      </c>
      <c r="BO16" s="33">
        <f>SUMIFS('Sales Data'!$E:$E,'Sales Data'!$A:$A,$B16,'Sales Data'!$B:$B,BO$6,'Sales Data'!$C:$C,"Periodic")/Mapping!$C$2</f>
        <v>0</v>
      </c>
      <c r="BP16" s="33">
        <f>SUMIFS('Sales Data'!$E:$E,'Sales Data'!$A:$A,$B16,'Sales Data'!$B:$B,BP$6,'Sales Data'!$C:$C,"Periodic")/Mapping!$C$2</f>
        <v>0</v>
      </c>
      <c r="BQ16" s="33">
        <f>SUMIFS('Sales Data'!$E:$E,'Sales Data'!$A:$A,$B16,'Sales Data'!$B:$B,BQ$6,'Sales Data'!$C:$C,"Periodic")/Mapping!$C$2</f>
        <v>0</v>
      </c>
      <c r="BR16" s="33">
        <f>SUMIFS('Sales Data'!$E:$E,'Sales Data'!$A:$A,$B16,'Sales Data'!$B:$B,BR$6,'Sales Data'!$C:$C,"Periodic")/Mapping!$C$2</f>
        <v>0</v>
      </c>
      <c r="BS16" s="33"/>
      <c r="BT16" s="33">
        <f t="shared" si="54"/>
        <v>0</v>
      </c>
      <c r="BU16" s="33">
        <f t="shared" si="55"/>
        <v>0</v>
      </c>
      <c r="BV16" s="33">
        <f t="shared" si="56"/>
        <v>0</v>
      </c>
      <c r="BW16" s="33">
        <f t="shared" si="57"/>
        <v>0</v>
      </c>
      <c r="BX16" s="33">
        <f t="shared" si="58"/>
        <v>0</v>
      </c>
      <c r="BY16" s="33">
        <f t="shared" si="59"/>
        <v>0</v>
      </c>
      <c r="BZ16" s="33">
        <f t="shared" si="60"/>
        <v>0</v>
      </c>
      <c r="CA16" s="33">
        <f t="shared" si="61"/>
        <v>0</v>
      </c>
      <c r="CB16" s="33">
        <f t="shared" si="62"/>
        <v>0</v>
      </c>
      <c r="CC16" s="33">
        <f t="shared" si="63"/>
        <v>0</v>
      </c>
      <c r="CD16" s="33">
        <f t="shared" si="64"/>
        <v>0</v>
      </c>
      <c r="CE16" s="33">
        <f t="shared" si="65"/>
        <v>0</v>
      </c>
      <c r="CF16" s="33">
        <f t="shared" si="66"/>
        <v>0</v>
      </c>
      <c r="CH16" s="33">
        <f t="shared" si="67"/>
        <v>0</v>
      </c>
      <c r="CI16" s="33">
        <f t="shared" si="68"/>
        <v>0</v>
      </c>
      <c r="CJ16" s="33">
        <f t="shared" si="69"/>
        <v>0</v>
      </c>
      <c r="CK16" s="33">
        <f t="shared" si="70"/>
        <v>0</v>
      </c>
      <c r="CL16" s="33">
        <f t="shared" si="71"/>
        <v>0</v>
      </c>
      <c r="CM16" s="33">
        <f t="shared" si="72"/>
        <v>0</v>
      </c>
      <c r="CN16" s="33">
        <f t="shared" si="73"/>
        <v>0</v>
      </c>
      <c r="CO16" s="33">
        <f t="shared" si="74"/>
        <v>0</v>
      </c>
      <c r="CP16" s="33">
        <f t="shared" si="75"/>
        <v>0</v>
      </c>
      <c r="CQ16" s="33">
        <f t="shared" si="76"/>
        <v>0</v>
      </c>
      <c r="CR16" s="33">
        <f t="shared" si="77"/>
        <v>0</v>
      </c>
      <c r="CS16" s="33">
        <f t="shared" si="78"/>
        <v>0</v>
      </c>
      <c r="CT16" s="35">
        <f t="shared" si="79"/>
        <v>0</v>
      </c>
      <c r="CV16" s="35">
        <f t="shared" si="80"/>
        <v>0</v>
      </c>
      <c r="CW16" s="35">
        <f t="shared" si="81"/>
        <v>0</v>
      </c>
      <c r="CX16" s="35">
        <f t="shared" si="82"/>
        <v>0</v>
      </c>
      <c r="CZ16" s="42">
        <f>N16+Summary!$E$3*CV16</f>
        <v>0</v>
      </c>
      <c r="DA16" s="42">
        <f>N16+CW16*Summary!$E$3</f>
        <v>0</v>
      </c>
      <c r="DB16" s="32">
        <f>N16+CX16*Summary!$E$3</f>
        <v>0</v>
      </c>
    </row>
    <row r="17" spans="1:106" s="15" customFormat="1" ht="15" outlineLevel="1" x14ac:dyDescent="0.25">
      <c r="A17" s="1"/>
      <c r="B17" s="22" t="str">
        <f>Mapping!A12</f>
        <v>Placeholder 7</v>
      </c>
      <c r="C17" s="37">
        <f>SUMIFS('Sales Data'!$E:$E,'Sales Data'!$A:$A,$B17,'Sales Data'!$B:$B,Summary!$C$3&amp;" "&amp;Summary!$C$2-1,'Sales Data'!$C:$C,"Periodic")/Mapping!$C$2</f>
        <v>0</v>
      </c>
      <c r="D17" s="37">
        <f>SUMIFS('Sales Data'!$D:$D,'Sales Data'!$A:$A,$B17,'Sales Data'!$B:$B,Summary!$C$3&amp;" "&amp;Summary!$C$2,'Sales Data'!$C:$C,"Periodic")/Mapping!$C$2</f>
        <v>0</v>
      </c>
      <c r="E17" s="37">
        <f>SUMIFS('Sales Data'!$E:$E,'Sales Data'!$A:$A,$B17,'Sales Data'!$B:$B,Summary!$C$3&amp;" "&amp;Summary!$C$2,'Sales Data'!$C:$C,"Periodic")/Mapping!$C$2</f>
        <v>0</v>
      </c>
      <c r="G17" s="38">
        <f t="shared" si="33"/>
        <v>0</v>
      </c>
      <c r="H17" s="39" t="str">
        <f t="shared" si="34"/>
        <v>N/A</v>
      </c>
      <c r="I17" s="38">
        <f t="shared" si="35"/>
        <v>0</v>
      </c>
      <c r="J17" s="39" t="str">
        <f t="shared" si="36"/>
        <v>N/A</v>
      </c>
      <c r="K17" s="1"/>
      <c r="L17" s="40">
        <f>SUMIFS('Sales Data'!$E:$E,'Sales Data'!$A:$A,$B17,'Sales Data'!$F:$F,$C$2-1,'Sales Data'!$G:$G,"&lt;="&amp;$D$3)/Mapping!$C$2</f>
        <v>0</v>
      </c>
      <c r="M17" s="37">
        <f>SUMIFS('Sales Data'!$D:$D,'Sales Data'!$A:$A,$B17,'Sales Data'!$F:$F,$C$2,'Sales Data'!$G:$G,"&lt;="&amp;$D$3)/Mapping!$C$2</f>
        <v>0</v>
      </c>
      <c r="N17" s="37">
        <f>SUMIFS('Sales Data'!$E:$E,'Sales Data'!$A:$A,$B17,'Sales Data'!$F:$F,$C$2,'Sales Data'!$G:$G,"&lt;="&amp;$D$3)/Mapping!$C$2</f>
        <v>0</v>
      </c>
      <c r="O17" s="1"/>
      <c r="P17" s="38">
        <f t="shared" si="37"/>
        <v>0</v>
      </c>
      <c r="Q17" s="39" t="str">
        <f t="shared" si="38"/>
        <v>N/A</v>
      </c>
      <c r="R17" s="38">
        <f t="shared" si="39"/>
        <v>0</v>
      </c>
      <c r="S17" s="39" t="str">
        <f t="shared" si="40"/>
        <v>N/A</v>
      </c>
      <c r="T17" s="1"/>
      <c r="U17" s="40">
        <f>SUMIFS('Sales Data'!$E:$E,'Sales Data'!$A:$A,$B17,'Sales Data'!$F:$F,$C$2-1,'Sales Data'!$G:$G,"&lt;="&amp;12)/Mapping!$C$2</f>
        <v>0</v>
      </c>
      <c r="V17" s="37">
        <f>SUMIFS('Sales Data'!$D:$D,'Sales Data'!$A:$A,$B17,'Sales Data'!$F:$F,$C$2,'Sales Data'!$G:$G,"&lt;="&amp;12)/Mapping!$C$2</f>
        <v>0</v>
      </c>
      <c r="W17" s="37">
        <f>SUMIFS('Sales Data'!$E:$E,'Sales Data'!$A:$A,$B17,'Sales Data'!$F:$F,$C$2,'Sales Data'!$G:$G,"&lt;="&amp;12)/Mapping!$C$2</f>
        <v>0</v>
      </c>
      <c r="Y17" s="38">
        <f t="shared" si="41"/>
        <v>0</v>
      </c>
      <c r="Z17" s="39" t="str">
        <f t="shared" si="42"/>
        <v>N/A</v>
      </c>
      <c r="AA17" s="38">
        <f t="shared" si="43"/>
        <v>0</v>
      </c>
      <c r="AB17" s="39" t="str">
        <f t="shared" si="44"/>
        <v>N/A</v>
      </c>
      <c r="AC17" s="38" t="e">
        <f>W17-#REF!</f>
        <v>#REF!</v>
      </c>
      <c r="AD17" s="41" t="str">
        <f>IF(ISERROR((W17/#REF!)-1),"N/A",(W17/#REF!)-1)</f>
        <v>N/A</v>
      </c>
      <c r="AF17" s="42">
        <f>N17/Summary!$D$3</f>
        <v>0</v>
      </c>
      <c r="AG17" s="42">
        <f>(V17-N17)/Summary!$E$3</f>
        <v>0</v>
      </c>
      <c r="AH17" s="30">
        <f t="shared" si="45"/>
        <v>0</v>
      </c>
      <c r="AJ17" s="30">
        <f t="shared" si="46"/>
        <v>0</v>
      </c>
      <c r="AK17" s="30">
        <f t="shared" si="47"/>
        <v>0</v>
      </c>
      <c r="AL17" s="30">
        <f t="shared" si="48"/>
        <v>0</v>
      </c>
      <c r="AM17" s="30">
        <f t="shared" si="49"/>
        <v>0</v>
      </c>
      <c r="AN17" s="31">
        <f t="shared" si="50"/>
        <v>0</v>
      </c>
      <c r="AP17" s="32">
        <f t="shared" si="51"/>
        <v>0</v>
      </c>
      <c r="AQ17" s="32">
        <f t="shared" si="52"/>
        <v>0</v>
      </c>
      <c r="AS17" s="33">
        <f>SUMIFS('Sales Data'!$E:$E,'Sales Data'!$A:$A,$B17,'Sales Data'!$B:$B,AS$6,'Sales Data'!$C:$C,"Periodic")/Mapping!$C$2</f>
        <v>0</v>
      </c>
      <c r="AT17" s="33">
        <f>SUMIFS('Sales Data'!$E:$E,'Sales Data'!$A:$A,$B17,'Sales Data'!$B:$B,AT$6,'Sales Data'!$C:$C,"Periodic")/Mapping!$C$2</f>
        <v>0</v>
      </c>
      <c r="AU17" s="33">
        <f>SUMIFS('Sales Data'!$E:$E,'Sales Data'!$A:$A,$B17,'Sales Data'!$B:$B,AU$6,'Sales Data'!$C:$C,"Periodic")/Mapping!$C$2</f>
        <v>0</v>
      </c>
      <c r="AV17" s="33">
        <f>SUMIFS('Sales Data'!$E:$E,'Sales Data'!$A:$A,$B17,'Sales Data'!$B:$B,AV$6,'Sales Data'!$C:$C,"Periodic")/Mapping!$C$2</f>
        <v>0</v>
      </c>
      <c r="AW17" s="33">
        <f>SUMIFS('Sales Data'!$E:$E,'Sales Data'!$A:$A,$B17,'Sales Data'!$B:$B,AW$6,'Sales Data'!$C:$C,"Periodic")/Mapping!$C$2</f>
        <v>0</v>
      </c>
      <c r="AX17" s="33">
        <f>SUMIFS('Sales Data'!$E:$E,'Sales Data'!$A:$A,$B17,'Sales Data'!$B:$B,AX$6,'Sales Data'!$C:$C,"Periodic")/Mapping!$C$2</f>
        <v>0</v>
      </c>
      <c r="AY17" s="33">
        <f>SUMIFS('Sales Data'!$E:$E,'Sales Data'!$A:$A,$B17,'Sales Data'!$B:$B,AY$6,'Sales Data'!$C:$C,"Periodic")/Mapping!$C$2</f>
        <v>0</v>
      </c>
      <c r="AZ17" s="33">
        <f>SUMIFS('Sales Data'!$E:$E,'Sales Data'!$A:$A,$B17,'Sales Data'!$B:$B,AZ$6,'Sales Data'!$C:$C,"Periodic")/Mapping!$C$2</f>
        <v>0</v>
      </c>
      <c r="BA17" s="33">
        <f>SUMIFS('Sales Data'!$E:$E,'Sales Data'!$A:$A,$B17,'Sales Data'!$B:$B,BA$6,'Sales Data'!$C:$C,"Periodic")/Mapping!$C$2</f>
        <v>0</v>
      </c>
      <c r="BB17" s="33">
        <f>SUMIFS('Sales Data'!$E:$E,'Sales Data'!$A:$A,$B17,'Sales Data'!$B:$B,BB$6,'Sales Data'!$C:$C,"Periodic")/Mapping!$C$2</f>
        <v>0</v>
      </c>
      <c r="BC17" s="33">
        <f>SUMIFS('Sales Data'!$E:$E,'Sales Data'!$A:$A,$B17,'Sales Data'!$B:$B,BC$6,'Sales Data'!$C:$C,"Periodic")/Mapping!$C$2</f>
        <v>0</v>
      </c>
      <c r="BD17" s="33">
        <f>SUMIFS('Sales Data'!$E:$E,'Sales Data'!$A:$A,$B17,'Sales Data'!$B:$B,BD$6,'Sales Data'!$C:$C,"Periodic")/Mapping!$C$2</f>
        <v>0</v>
      </c>
      <c r="BE17" s="33">
        <f t="shared" si="53"/>
        <v>0</v>
      </c>
      <c r="BF17" s="33"/>
      <c r="BG17" s="33">
        <f>SUMIFS('Sales Data'!$E:$E,'Sales Data'!$A:$A,$B17,'Sales Data'!$B:$B,BG$6,'Sales Data'!$C:$C,"Periodic")/Mapping!$C$2</f>
        <v>0</v>
      </c>
      <c r="BH17" s="33">
        <f>SUMIFS('Sales Data'!$E:$E,'Sales Data'!$A:$A,$B17,'Sales Data'!$B:$B,BH$6,'Sales Data'!$C:$C,"Periodic")/Mapping!$C$2</f>
        <v>0</v>
      </c>
      <c r="BI17" s="33">
        <f>SUMIFS('Sales Data'!$E:$E,'Sales Data'!$A:$A,$B17,'Sales Data'!$B:$B,BI$6,'Sales Data'!$C:$C,"Periodic")/Mapping!$C$2</f>
        <v>0</v>
      </c>
      <c r="BJ17" s="33">
        <f>SUMIFS('Sales Data'!$E:$E,'Sales Data'!$A:$A,$B17,'Sales Data'!$B:$B,BJ$6,'Sales Data'!$C:$C,"Periodic")/Mapping!$C$2</f>
        <v>0</v>
      </c>
      <c r="BK17" s="33">
        <f>SUMIFS('Sales Data'!$E:$E,'Sales Data'!$A:$A,$B17,'Sales Data'!$B:$B,BK$6,'Sales Data'!$C:$C,"Periodic")/Mapping!$C$2</f>
        <v>0</v>
      </c>
      <c r="BL17" s="33">
        <f>SUMIFS('Sales Data'!$E:$E,'Sales Data'!$A:$A,$B17,'Sales Data'!$B:$B,BL$6,'Sales Data'!$C:$C,"Periodic")/Mapping!$C$2</f>
        <v>0</v>
      </c>
      <c r="BM17" s="33">
        <f>SUMIFS('Sales Data'!$E:$E,'Sales Data'!$A:$A,$B17,'Sales Data'!$B:$B,BM$6,'Sales Data'!$C:$C,"Periodic")/Mapping!$C$2</f>
        <v>0</v>
      </c>
      <c r="BN17" s="33">
        <f>SUMIFS('Sales Data'!$E:$E,'Sales Data'!$A:$A,$B17,'Sales Data'!$B:$B,BN$6,'Sales Data'!$C:$C,"Periodic")/Mapping!$C$2</f>
        <v>0</v>
      </c>
      <c r="BO17" s="33">
        <f>SUMIFS('Sales Data'!$E:$E,'Sales Data'!$A:$A,$B17,'Sales Data'!$B:$B,BO$6,'Sales Data'!$C:$C,"Periodic")/Mapping!$C$2</f>
        <v>0</v>
      </c>
      <c r="BP17" s="33">
        <f>SUMIFS('Sales Data'!$E:$E,'Sales Data'!$A:$A,$B17,'Sales Data'!$B:$B,BP$6,'Sales Data'!$C:$C,"Periodic")/Mapping!$C$2</f>
        <v>0</v>
      </c>
      <c r="BQ17" s="33">
        <f>SUMIFS('Sales Data'!$E:$E,'Sales Data'!$A:$A,$B17,'Sales Data'!$B:$B,BQ$6,'Sales Data'!$C:$C,"Periodic")/Mapping!$C$2</f>
        <v>0</v>
      </c>
      <c r="BR17" s="33">
        <f>SUMIFS('Sales Data'!$E:$E,'Sales Data'!$A:$A,$B17,'Sales Data'!$B:$B,BR$6,'Sales Data'!$C:$C,"Periodic")/Mapping!$C$2</f>
        <v>0</v>
      </c>
      <c r="BS17" s="33"/>
      <c r="BT17" s="33">
        <f t="shared" si="54"/>
        <v>0</v>
      </c>
      <c r="BU17" s="33">
        <f t="shared" si="55"/>
        <v>0</v>
      </c>
      <c r="BV17" s="33">
        <f t="shared" si="56"/>
        <v>0</v>
      </c>
      <c r="BW17" s="33">
        <f t="shared" si="57"/>
        <v>0</v>
      </c>
      <c r="BX17" s="33">
        <f t="shared" si="58"/>
        <v>0</v>
      </c>
      <c r="BY17" s="33">
        <f t="shared" si="59"/>
        <v>0</v>
      </c>
      <c r="BZ17" s="33">
        <f t="shared" si="60"/>
        <v>0</v>
      </c>
      <c r="CA17" s="33">
        <f t="shared" si="61"/>
        <v>0</v>
      </c>
      <c r="CB17" s="33">
        <f t="shared" si="62"/>
        <v>0</v>
      </c>
      <c r="CC17" s="33">
        <f t="shared" si="63"/>
        <v>0</v>
      </c>
      <c r="CD17" s="33">
        <f t="shared" si="64"/>
        <v>0</v>
      </c>
      <c r="CE17" s="33">
        <f t="shared" si="65"/>
        <v>0</v>
      </c>
      <c r="CF17" s="33">
        <f t="shared" si="66"/>
        <v>0</v>
      </c>
      <c r="CH17" s="33">
        <f t="shared" si="67"/>
        <v>0</v>
      </c>
      <c r="CI17" s="33">
        <f t="shared" si="68"/>
        <v>0</v>
      </c>
      <c r="CJ17" s="33">
        <f t="shared" si="69"/>
        <v>0</v>
      </c>
      <c r="CK17" s="33">
        <f t="shared" si="70"/>
        <v>0</v>
      </c>
      <c r="CL17" s="33">
        <f t="shared" si="71"/>
        <v>0</v>
      </c>
      <c r="CM17" s="33">
        <f t="shared" si="72"/>
        <v>0</v>
      </c>
      <c r="CN17" s="33">
        <f t="shared" si="73"/>
        <v>0</v>
      </c>
      <c r="CO17" s="33">
        <f t="shared" si="74"/>
        <v>0</v>
      </c>
      <c r="CP17" s="33">
        <f t="shared" si="75"/>
        <v>0</v>
      </c>
      <c r="CQ17" s="33">
        <f t="shared" si="76"/>
        <v>0</v>
      </c>
      <c r="CR17" s="33">
        <f t="shared" si="77"/>
        <v>0</v>
      </c>
      <c r="CS17" s="33">
        <f t="shared" si="78"/>
        <v>0</v>
      </c>
      <c r="CT17" s="35">
        <f t="shared" si="79"/>
        <v>0</v>
      </c>
      <c r="CV17" s="35">
        <f t="shared" si="80"/>
        <v>0</v>
      </c>
      <c r="CW17" s="35">
        <f t="shared" si="81"/>
        <v>0</v>
      </c>
      <c r="CX17" s="35">
        <f t="shared" si="82"/>
        <v>0</v>
      </c>
      <c r="CZ17" s="42">
        <f>N17+Summary!$E$3*CV17</f>
        <v>0</v>
      </c>
      <c r="DA17" s="42">
        <f>N17+CW17*Summary!$E$3</f>
        <v>0</v>
      </c>
      <c r="DB17" s="32">
        <f>N17+CX17*Summary!$E$3</f>
        <v>0</v>
      </c>
    </row>
    <row r="18" spans="1:106" s="15" customFormat="1" ht="15" outlineLevel="1" x14ac:dyDescent="0.25">
      <c r="A18" s="1"/>
      <c r="B18" s="22" t="str">
        <f>Mapping!A13</f>
        <v>Placeholder 8</v>
      </c>
      <c r="C18" s="37">
        <f>SUMIFS('Sales Data'!$E:$E,'Sales Data'!$A:$A,$B18,'Sales Data'!$B:$B,Summary!$C$3&amp;" "&amp;Summary!$C$2-1,'Sales Data'!$C:$C,"Periodic")/Mapping!$C$2</f>
        <v>0</v>
      </c>
      <c r="D18" s="37">
        <f>SUMIFS('Sales Data'!$D:$D,'Sales Data'!$A:$A,$B18,'Sales Data'!$B:$B,Summary!$C$3&amp;" "&amp;Summary!$C$2,'Sales Data'!$C:$C,"Periodic")/Mapping!$C$2</f>
        <v>0</v>
      </c>
      <c r="E18" s="37">
        <f>SUMIFS('Sales Data'!$E:$E,'Sales Data'!$A:$A,$B18,'Sales Data'!$B:$B,Summary!$C$3&amp;" "&amp;Summary!$C$2,'Sales Data'!$C:$C,"Periodic")/Mapping!$C$2</f>
        <v>0</v>
      </c>
      <c r="G18" s="38">
        <f t="shared" si="33"/>
        <v>0</v>
      </c>
      <c r="H18" s="39" t="str">
        <f t="shared" si="34"/>
        <v>N/A</v>
      </c>
      <c r="I18" s="38">
        <f t="shared" si="35"/>
        <v>0</v>
      </c>
      <c r="J18" s="39" t="str">
        <f t="shared" si="36"/>
        <v>N/A</v>
      </c>
      <c r="K18" s="1"/>
      <c r="L18" s="40">
        <f>SUMIFS('Sales Data'!$E:$E,'Sales Data'!$A:$A,$B18,'Sales Data'!$F:$F,$C$2-1,'Sales Data'!$G:$G,"&lt;="&amp;$D$3)/Mapping!$C$2</f>
        <v>0</v>
      </c>
      <c r="M18" s="37">
        <f>SUMIFS('Sales Data'!$D:$D,'Sales Data'!$A:$A,$B18,'Sales Data'!$F:$F,$C$2,'Sales Data'!$G:$G,"&lt;="&amp;$D$3)/Mapping!$C$2</f>
        <v>0</v>
      </c>
      <c r="N18" s="37">
        <f>SUMIFS('Sales Data'!$E:$E,'Sales Data'!$A:$A,$B18,'Sales Data'!$F:$F,$C$2,'Sales Data'!$G:$G,"&lt;="&amp;$D$3)/Mapping!$C$2</f>
        <v>0</v>
      </c>
      <c r="O18" s="1"/>
      <c r="P18" s="38">
        <f t="shared" si="37"/>
        <v>0</v>
      </c>
      <c r="Q18" s="39" t="str">
        <f t="shared" si="38"/>
        <v>N/A</v>
      </c>
      <c r="R18" s="38">
        <f t="shared" si="39"/>
        <v>0</v>
      </c>
      <c r="S18" s="39" t="str">
        <f t="shared" si="40"/>
        <v>N/A</v>
      </c>
      <c r="T18" s="1"/>
      <c r="U18" s="40">
        <f>SUMIFS('Sales Data'!$E:$E,'Sales Data'!$A:$A,$B18,'Sales Data'!$F:$F,$C$2-1,'Sales Data'!$G:$G,"&lt;="&amp;12)/Mapping!$C$2</f>
        <v>0</v>
      </c>
      <c r="V18" s="37">
        <f>SUMIFS('Sales Data'!$D:$D,'Sales Data'!$A:$A,$B18,'Sales Data'!$F:$F,$C$2,'Sales Data'!$G:$G,"&lt;="&amp;12)/Mapping!$C$2</f>
        <v>0</v>
      </c>
      <c r="W18" s="37">
        <f>SUMIFS('Sales Data'!$E:$E,'Sales Data'!$A:$A,$B18,'Sales Data'!$F:$F,$C$2,'Sales Data'!$G:$G,"&lt;="&amp;12)/Mapping!$C$2</f>
        <v>0</v>
      </c>
      <c r="Y18" s="38">
        <f t="shared" si="41"/>
        <v>0</v>
      </c>
      <c r="Z18" s="39" t="str">
        <f t="shared" si="42"/>
        <v>N/A</v>
      </c>
      <c r="AA18" s="38">
        <f t="shared" si="43"/>
        <v>0</v>
      </c>
      <c r="AB18" s="39" t="str">
        <f t="shared" si="44"/>
        <v>N/A</v>
      </c>
      <c r="AC18" s="38" t="e">
        <f>W18-#REF!</f>
        <v>#REF!</v>
      </c>
      <c r="AD18" s="41" t="str">
        <f>IF(ISERROR((W18/#REF!)-1),"N/A",(W18/#REF!)-1)</f>
        <v>N/A</v>
      </c>
      <c r="AF18" s="42">
        <f>N18/Summary!$D$3</f>
        <v>0</v>
      </c>
      <c r="AG18" s="42">
        <f>(V18-N18)/Summary!$E$3</f>
        <v>0</v>
      </c>
      <c r="AH18" s="30">
        <f t="shared" si="45"/>
        <v>0</v>
      </c>
      <c r="AJ18" s="30">
        <f t="shared" si="46"/>
        <v>0</v>
      </c>
      <c r="AK18" s="30">
        <f t="shared" si="47"/>
        <v>0</v>
      </c>
      <c r="AL18" s="30">
        <f t="shared" si="48"/>
        <v>0</v>
      </c>
      <c r="AM18" s="30">
        <f t="shared" si="49"/>
        <v>0</v>
      </c>
      <c r="AN18" s="31">
        <f t="shared" si="50"/>
        <v>0</v>
      </c>
      <c r="AP18" s="32">
        <f t="shared" si="51"/>
        <v>0</v>
      </c>
      <c r="AQ18" s="32">
        <f t="shared" si="52"/>
        <v>0</v>
      </c>
      <c r="AS18" s="33">
        <f>SUMIFS('Sales Data'!$E:$E,'Sales Data'!$A:$A,$B18,'Sales Data'!$B:$B,AS$6,'Sales Data'!$C:$C,"Periodic")/Mapping!$C$2</f>
        <v>0</v>
      </c>
      <c r="AT18" s="33">
        <f>SUMIFS('Sales Data'!$E:$E,'Sales Data'!$A:$A,$B18,'Sales Data'!$B:$B,AT$6,'Sales Data'!$C:$C,"Periodic")/Mapping!$C$2</f>
        <v>0</v>
      </c>
      <c r="AU18" s="33">
        <f>SUMIFS('Sales Data'!$E:$E,'Sales Data'!$A:$A,$B18,'Sales Data'!$B:$B,AU$6,'Sales Data'!$C:$C,"Periodic")/Mapping!$C$2</f>
        <v>0</v>
      </c>
      <c r="AV18" s="33">
        <f>SUMIFS('Sales Data'!$E:$E,'Sales Data'!$A:$A,$B18,'Sales Data'!$B:$B,AV$6,'Sales Data'!$C:$C,"Periodic")/Mapping!$C$2</f>
        <v>0</v>
      </c>
      <c r="AW18" s="33">
        <f>SUMIFS('Sales Data'!$E:$E,'Sales Data'!$A:$A,$B18,'Sales Data'!$B:$B,AW$6,'Sales Data'!$C:$C,"Periodic")/Mapping!$C$2</f>
        <v>0</v>
      </c>
      <c r="AX18" s="33">
        <f>SUMIFS('Sales Data'!$E:$E,'Sales Data'!$A:$A,$B18,'Sales Data'!$B:$B,AX$6,'Sales Data'!$C:$C,"Periodic")/Mapping!$C$2</f>
        <v>0</v>
      </c>
      <c r="AY18" s="33">
        <f>SUMIFS('Sales Data'!$E:$E,'Sales Data'!$A:$A,$B18,'Sales Data'!$B:$B,AY$6,'Sales Data'!$C:$C,"Periodic")/Mapping!$C$2</f>
        <v>0</v>
      </c>
      <c r="AZ18" s="33">
        <f>SUMIFS('Sales Data'!$E:$E,'Sales Data'!$A:$A,$B18,'Sales Data'!$B:$B,AZ$6,'Sales Data'!$C:$C,"Periodic")/Mapping!$C$2</f>
        <v>0</v>
      </c>
      <c r="BA18" s="33">
        <f>SUMIFS('Sales Data'!$E:$E,'Sales Data'!$A:$A,$B18,'Sales Data'!$B:$B,BA$6,'Sales Data'!$C:$C,"Periodic")/Mapping!$C$2</f>
        <v>0</v>
      </c>
      <c r="BB18" s="33">
        <f>SUMIFS('Sales Data'!$E:$E,'Sales Data'!$A:$A,$B18,'Sales Data'!$B:$B,BB$6,'Sales Data'!$C:$C,"Periodic")/Mapping!$C$2</f>
        <v>0</v>
      </c>
      <c r="BC18" s="33">
        <f>SUMIFS('Sales Data'!$E:$E,'Sales Data'!$A:$A,$B18,'Sales Data'!$B:$B,BC$6,'Sales Data'!$C:$C,"Periodic")/Mapping!$C$2</f>
        <v>0</v>
      </c>
      <c r="BD18" s="33">
        <f>SUMIFS('Sales Data'!$E:$E,'Sales Data'!$A:$A,$B18,'Sales Data'!$B:$B,BD$6,'Sales Data'!$C:$C,"Periodic")/Mapping!$C$2</f>
        <v>0</v>
      </c>
      <c r="BE18" s="33">
        <f t="shared" si="53"/>
        <v>0</v>
      </c>
      <c r="BF18" s="33"/>
      <c r="BG18" s="33">
        <f>SUMIFS('Sales Data'!$E:$E,'Sales Data'!$A:$A,$B18,'Sales Data'!$B:$B,BG$6,'Sales Data'!$C:$C,"Periodic")/Mapping!$C$2</f>
        <v>0</v>
      </c>
      <c r="BH18" s="33">
        <f>SUMIFS('Sales Data'!$E:$E,'Sales Data'!$A:$A,$B18,'Sales Data'!$B:$B,BH$6,'Sales Data'!$C:$C,"Periodic")/Mapping!$C$2</f>
        <v>0</v>
      </c>
      <c r="BI18" s="33">
        <f>SUMIFS('Sales Data'!$E:$E,'Sales Data'!$A:$A,$B18,'Sales Data'!$B:$B,BI$6,'Sales Data'!$C:$C,"Periodic")/Mapping!$C$2</f>
        <v>0</v>
      </c>
      <c r="BJ18" s="33">
        <f>SUMIFS('Sales Data'!$E:$E,'Sales Data'!$A:$A,$B18,'Sales Data'!$B:$B,BJ$6,'Sales Data'!$C:$C,"Periodic")/Mapping!$C$2</f>
        <v>0</v>
      </c>
      <c r="BK18" s="33">
        <f>SUMIFS('Sales Data'!$E:$E,'Sales Data'!$A:$A,$B18,'Sales Data'!$B:$B,BK$6,'Sales Data'!$C:$C,"Periodic")/Mapping!$C$2</f>
        <v>0</v>
      </c>
      <c r="BL18" s="33">
        <f>SUMIFS('Sales Data'!$E:$E,'Sales Data'!$A:$A,$B18,'Sales Data'!$B:$B,BL$6,'Sales Data'!$C:$C,"Periodic")/Mapping!$C$2</f>
        <v>0</v>
      </c>
      <c r="BM18" s="33">
        <f>SUMIFS('Sales Data'!$E:$E,'Sales Data'!$A:$A,$B18,'Sales Data'!$B:$B,BM$6,'Sales Data'!$C:$C,"Periodic")/Mapping!$C$2</f>
        <v>0</v>
      </c>
      <c r="BN18" s="33">
        <f>SUMIFS('Sales Data'!$E:$E,'Sales Data'!$A:$A,$B18,'Sales Data'!$B:$B,BN$6,'Sales Data'!$C:$C,"Periodic")/Mapping!$C$2</f>
        <v>0</v>
      </c>
      <c r="BO18" s="33">
        <f>SUMIFS('Sales Data'!$E:$E,'Sales Data'!$A:$A,$B18,'Sales Data'!$B:$B,BO$6,'Sales Data'!$C:$C,"Periodic")/Mapping!$C$2</f>
        <v>0</v>
      </c>
      <c r="BP18" s="33">
        <f>SUMIFS('Sales Data'!$E:$E,'Sales Data'!$A:$A,$B18,'Sales Data'!$B:$B,BP$6,'Sales Data'!$C:$C,"Periodic")/Mapping!$C$2</f>
        <v>0</v>
      </c>
      <c r="BQ18" s="33">
        <f>SUMIFS('Sales Data'!$E:$E,'Sales Data'!$A:$A,$B18,'Sales Data'!$B:$B,BQ$6,'Sales Data'!$C:$C,"Periodic")/Mapping!$C$2</f>
        <v>0</v>
      </c>
      <c r="BR18" s="33">
        <f>SUMIFS('Sales Data'!$E:$E,'Sales Data'!$A:$A,$B18,'Sales Data'!$B:$B,BR$6,'Sales Data'!$C:$C,"Periodic")/Mapping!$C$2</f>
        <v>0</v>
      </c>
      <c r="BS18" s="33"/>
      <c r="BT18" s="33">
        <f t="shared" si="54"/>
        <v>0</v>
      </c>
      <c r="BU18" s="33">
        <f t="shared" si="55"/>
        <v>0</v>
      </c>
      <c r="BV18" s="33">
        <f t="shared" si="56"/>
        <v>0</v>
      </c>
      <c r="BW18" s="33">
        <f t="shared" si="57"/>
        <v>0</v>
      </c>
      <c r="BX18" s="33">
        <f t="shared" si="58"/>
        <v>0</v>
      </c>
      <c r="BY18" s="33">
        <f t="shared" si="59"/>
        <v>0</v>
      </c>
      <c r="BZ18" s="33">
        <f t="shared" si="60"/>
        <v>0</v>
      </c>
      <c r="CA18" s="33">
        <f t="shared" si="61"/>
        <v>0</v>
      </c>
      <c r="CB18" s="33">
        <f t="shared" si="62"/>
        <v>0</v>
      </c>
      <c r="CC18" s="33">
        <f t="shared" si="63"/>
        <v>0</v>
      </c>
      <c r="CD18" s="33">
        <f t="shared" si="64"/>
        <v>0</v>
      </c>
      <c r="CE18" s="33">
        <f t="shared" si="65"/>
        <v>0</v>
      </c>
      <c r="CF18" s="33">
        <f t="shared" si="66"/>
        <v>0</v>
      </c>
      <c r="CH18" s="33">
        <f t="shared" si="67"/>
        <v>0</v>
      </c>
      <c r="CI18" s="33">
        <f t="shared" si="68"/>
        <v>0</v>
      </c>
      <c r="CJ18" s="33">
        <f t="shared" si="69"/>
        <v>0</v>
      </c>
      <c r="CK18" s="33">
        <f t="shared" si="70"/>
        <v>0</v>
      </c>
      <c r="CL18" s="33">
        <f t="shared" si="71"/>
        <v>0</v>
      </c>
      <c r="CM18" s="33">
        <f t="shared" si="72"/>
        <v>0</v>
      </c>
      <c r="CN18" s="33">
        <f t="shared" si="73"/>
        <v>0</v>
      </c>
      <c r="CO18" s="33">
        <f t="shared" si="74"/>
        <v>0</v>
      </c>
      <c r="CP18" s="33">
        <f t="shared" si="75"/>
        <v>0</v>
      </c>
      <c r="CQ18" s="33">
        <f t="shared" si="76"/>
        <v>0</v>
      </c>
      <c r="CR18" s="33">
        <f t="shared" si="77"/>
        <v>0</v>
      </c>
      <c r="CS18" s="33">
        <f t="shared" si="78"/>
        <v>0</v>
      </c>
      <c r="CT18" s="35">
        <f t="shared" si="79"/>
        <v>0</v>
      </c>
      <c r="CV18" s="35">
        <f t="shared" si="80"/>
        <v>0</v>
      </c>
      <c r="CW18" s="35">
        <f t="shared" si="81"/>
        <v>0</v>
      </c>
      <c r="CX18" s="35">
        <f t="shared" si="82"/>
        <v>0</v>
      </c>
      <c r="CZ18" s="42">
        <f>N18+Summary!$E$3*CV18</f>
        <v>0</v>
      </c>
      <c r="DA18" s="42">
        <f>N18+CW18*Summary!$E$3</f>
        <v>0</v>
      </c>
      <c r="DB18" s="32">
        <f>N18+CX18*Summary!$E$3</f>
        <v>0</v>
      </c>
    </row>
    <row r="19" spans="1:106" s="15" customFormat="1" ht="15" outlineLevel="1" x14ac:dyDescent="0.25">
      <c r="A19" s="1"/>
      <c r="B19" s="22" t="str">
        <f>Mapping!A14</f>
        <v>Placeholder 9</v>
      </c>
      <c r="C19" s="37">
        <f>SUMIFS('Sales Data'!$E:$E,'Sales Data'!$A:$A,$B19,'Sales Data'!$B:$B,Summary!$C$3&amp;" "&amp;Summary!$C$2-1,'Sales Data'!$C:$C,"Periodic")/Mapping!$C$2</f>
        <v>0</v>
      </c>
      <c r="D19" s="37">
        <f>SUMIFS('Sales Data'!$D:$D,'Sales Data'!$A:$A,$B19,'Sales Data'!$B:$B,Summary!$C$3&amp;" "&amp;Summary!$C$2,'Sales Data'!$C:$C,"Periodic")/Mapping!$C$2</f>
        <v>0</v>
      </c>
      <c r="E19" s="37">
        <f>SUMIFS('Sales Data'!$E:$E,'Sales Data'!$A:$A,$B19,'Sales Data'!$B:$B,Summary!$C$3&amp;" "&amp;Summary!$C$2,'Sales Data'!$C:$C,"Periodic")/Mapping!$C$2</f>
        <v>0</v>
      </c>
      <c r="G19" s="38">
        <f t="shared" si="33"/>
        <v>0</v>
      </c>
      <c r="H19" s="39" t="str">
        <f t="shared" si="34"/>
        <v>N/A</v>
      </c>
      <c r="I19" s="38">
        <f t="shared" si="35"/>
        <v>0</v>
      </c>
      <c r="J19" s="39" t="str">
        <f t="shared" si="36"/>
        <v>N/A</v>
      </c>
      <c r="K19" s="1"/>
      <c r="L19" s="40">
        <f>SUMIFS('Sales Data'!$E:$E,'Sales Data'!$A:$A,$B19,'Sales Data'!$F:$F,$C$2-1,'Sales Data'!$G:$G,"&lt;="&amp;$D$3)/Mapping!$C$2</f>
        <v>0</v>
      </c>
      <c r="M19" s="37">
        <f>SUMIFS('Sales Data'!$D:$D,'Sales Data'!$A:$A,$B19,'Sales Data'!$F:$F,$C$2,'Sales Data'!$G:$G,"&lt;="&amp;$D$3)/Mapping!$C$2</f>
        <v>0</v>
      </c>
      <c r="N19" s="37">
        <f>SUMIFS('Sales Data'!$E:$E,'Sales Data'!$A:$A,$B19,'Sales Data'!$F:$F,$C$2,'Sales Data'!$G:$G,"&lt;="&amp;$D$3)/Mapping!$C$2</f>
        <v>0</v>
      </c>
      <c r="O19" s="1"/>
      <c r="P19" s="38">
        <f t="shared" si="37"/>
        <v>0</v>
      </c>
      <c r="Q19" s="39" t="str">
        <f t="shared" si="38"/>
        <v>N/A</v>
      </c>
      <c r="R19" s="38">
        <f t="shared" si="39"/>
        <v>0</v>
      </c>
      <c r="S19" s="39" t="str">
        <f t="shared" si="40"/>
        <v>N/A</v>
      </c>
      <c r="T19" s="1"/>
      <c r="U19" s="40">
        <f>SUMIFS('Sales Data'!$E:$E,'Sales Data'!$A:$A,$B19,'Sales Data'!$F:$F,$C$2-1,'Sales Data'!$G:$G,"&lt;="&amp;12)/Mapping!$C$2</f>
        <v>0</v>
      </c>
      <c r="V19" s="37">
        <f>SUMIFS('Sales Data'!$D:$D,'Sales Data'!$A:$A,$B19,'Sales Data'!$F:$F,$C$2,'Sales Data'!$G:$G,"&lt;="&amp;12)/Mapping!$C$2</f>
        <v>0</v>
      </c>
      <c r="W19" s="37">
        <f>SUMIFS('Sales Data'!$E:$E,'Sales Data'!$A:$A,$B19,'Sales Data'!$F:$F,$C$2,'Sales Data'!$G:$G,"&lt;="&amp;12)/Mapping!$C$2</f>
        <v>0</v>
      </c>
      <c r="Y19" s="38">
        <f t="shared" si="41"/>
        <v>0</v>
      </c>
      <c r="Z19" s="39" t="str">
        <f t="shared" si="42"/>
        <v>N/A</v>
      </c>
      <c r="AA19" s="38">
        <f t="shared" si="43"/>
        <v>0</v>
      </c>
      <c r="AB19" s="39" t="str">
        <f t="shared" si="44"/>
        <v>N/A</v>
      </c>
      <c r="AC19" s="38" t="e">
        <f>W19-#REF!</f>
        <v>#REF!</v>
      </c>
      <c r="AD19" s="41" t="str">
        <f>IF(ISERROR((W19/#REF!)-1),"N/A",(W19/#REF!)-1)</f>
        <v>N/A</v>
      </c>
      <c r="AF19" s="42">
        <f>N19/Summary!$D$3</f>
        <v>0</v>
      </c>
      <c r="AG19" s="42">
        <f>(V19-N19)/Summary!$E$3</f>
        <v>0</v>
      </c>
      <c r="AH19" s="30">
        <f t="shared" si="45"/>
        <v>0</v>
      </c>
      <c r="AJ19" s="30">
        <f t="shared" si="46"/>
        <v>0</v>
      </c>
      <c r="AK19" s="30">
        <f t="shared" si="47"/>
        <v>0</v>
      </c>
      <c r="AL19" s="30">
        <f t="shared" si="48"/>
        <v>0</v>
      </c>
      <c r="AM19" s="30">
        <f t="shared" si="49"/>
        <v>0</v>
      </c>
      <c r="AN19" s="31">
        <f t="shared" si="50"/>
        <v>0</v>
      </c>
      <c r="AP19" s="32">
        <f t="shared" si="51"/>
        <v>0</v>
      </c>
      <c r="AQ19" s="32">
        <f t="shared" si="52"/>
        <v>0</v>
      </c>
      <c r="AS19" s="33">
        <f>SUMIFS('Sales Data'!$E:$E,'Sales Data'!$A:$A,$B19,'Sales Data'!$B:$B,AS$6,'Sales Data'!$C:$C,"Periodic")/Mapping!$C$2</f>
        <v>0</v>
      </c>
      <c r="AT19" s="33">
        <f>SUMIFS('Sales Data'!$E:$E,'Sales Data'!$A:$A,$B19,'Sales Data'!$B:$B,AT$6,'Sales Data'!$C:$C,"Periodic")/Mapping!$C$2</f>
        <v>0</v>
      </c>
      <c r="AU19" s="33">
        <f>SUMIFS('Sales Data'!$E:$E,'Sales Data'!$A:$A,$B19,'Sales Data'!$B:$B,AU$6,'Sales Data'!$C:$C,"Periodic")/Mapping!$C$2</f>
        <v>0</v>
      </c>
      <c r="AV19" s="33">
        <f>SUMIFS('Sales Data'!$E:$E,'Sales Data'!$A:$A,$B19,'Sales Data'!$B:$B,AV$6,'Sales Data'!$C:$C,"Periodic")/Mapping!$C$2</f>
        <v>0</v>
      </c>
      <c r="AW19" s="33">
        <f>SUMIFS('Sales Data'!$E:$E,'Sales Data'!$A:$A,$B19,'Sales Data'!$B:$B,AW$6,'Sales Data'!$C:$C,"Periodic")/Mapping!$C$2</f>
        <v>0</v>
      </c>
      <c r="AX19" s="33">
        <f>SUMIFS('Sales Data'!$E:$E,'Sales Data'!$A:$A,$B19,'Sales Data'!$B:$B,AX$6,'Sales Data'!$C:$C,"Periodic")/Mapping!$C$2</f>
        <v>0</v>
      </c>
      <c r="AY19" s="33">
        <f>SUMIFS('Sales Data'!$E:$E,'Sales Data'!$A:$A,$B19,'Sales Data'!$B:$B,AY$6,'Sales Data'!$C:$C,"Periodic")/Mapping!$C$2</f>
        <v>0</v>
      </c>
      <c r="AZ19" s="33">
        <f>SUMIFS('Sales Data'!$E:$E,'Sales Data'!$A:$A,$B19,'Sales Data'!$B:$B,AZ$6,'Sales Data'!$C:$C,"Periodic")/Mapping!$C$2</f>
        <v>0</v>
      </c>
      <c r="BA19" s="33">
        <f>SUMIFS('Sales Data'!$E:$E,'Sales Data'!$A:$A,$B19,'Sales Data'!$B:$B,BA$6,'Sales Data'!$C:$C,"Periodic")/Mapping!$C$2</f>
        <v>0</v>
      </c>
      <c r="BB19" s="33">
        <f>SUMIFS('Sales Data'!$E:$E,'Sales Data'!$A:$A,$B19,'Sales Data'!$B:$B,BB$6,'Sales Data'!$C:$C,"Periodic")/Mapping!$C$2</f>
        <v>0</v>
      </c>
      <c r="BC19" s="33">
        <f>SUMIFS('Sales Data'!$E:$E,'Sales Data'!$A:$A,$B19,'Sales Data'!$B:$B,BC$6,'Sales Data'!$C:$C,"Periodic")/Mapping!$C$2</f>
        <v>0</v>
      </c>
      <c r="BD19" s="33">
        <f>SUMIFS('Sales Data'!$E:$E,'Sales Data'!$A:$A,$B19,'Sales Data'!$B:$B,BD$6,'Sales Data'!$C:$C,"Periodic")/Mapping!$C$2</f>
        <v>0</v>
      </c>
      <c r="BE19" s="33">
        <f t="shared" si="53"/>
        <v>0</v>
      </c>
      <c r="BF19" s="33"/>
      <c r="BG19" s="33">
        <f>SUMIFS('Sales Data'!$E:$E,'Sales Data'!$A:$A,$B19,'Sales Data'!$B:$B,BG$6,'Sales Data'!$C:$C,"Periodic")/Mapping!$C$2</f>
        <v>0</v>
      </c>
      <c r="BH19" s="33">
        <f>SUMIFS('Sales Data'!$E:$E,'Sales Data'!$A:$A,$B19,'Sales Data'!$B:$B,BH$6,'Sales Data'!$C:$C,"Periodic")/Mapping!$C$2</f>
        <v>0</v>
      </c>
      <c r="BI19" s="33">
        <f>SUMIFS('Sales Data'!$E:$E,'Sales Data'!$A:$A,$B19,'Sales Data'!$B:$B,BI$6,'Sales Data'!$C:$C,"Periodic")/Mapping!$C$2</f>
        <v>0</v>
      </c>
      <c r="BJ19" s="33">
        <f>SUMIFS('Sales Data'!$E:$E,'Sales Data'!$A:$A,$B19,'Sales Data'!$B:$B,BJ$6,'Sales Data'!$C:$C,"Periodic")/Mapping!$C$2</f>
        <v>0</v>
      </c>
      <c r="BK19" s="33">
        <f>SUMIFS('Sales Data'!$E:$E,'Sales Data'!$A:$A,$B19,'Sales Data'!$B:$B,BK$6,'Sales Data'!$C:$C,"Periodic")/Mapping!$C$2</f>
        <v>0</v>
      </c>
      <c r="BL19" s="33">
        <f>SUMIFS('Sales Data'!$E:$E,'Sales Data'!$A:$A,$B19,'Sales Data'!$B:$B,BL$6,'Sales Data'!$C:$C,"Periodic")/Mapping!$C$2</f>
        <v>0</v>
      </c>
      <c r="BM19" s="33">
        <f>SUMIFS('Sales Data'!$E:$E,'Sales Data'!$A:$A,$B19,'Sales Data'!$B:$B,BM$6,'Sales Data'!$C:$C,"Periodic")/Mapping!$C$2</f>
        <v>0</v>
      </c>
      <c r="BN19" s="33">
        <f>SUMIFS('Sales Data'!$E:$E,'Sales Data'!$A:$A,$B19,'Sales Data'!$B:$B,BN$6,'Sales Data'!$C:$C,"Periodic")/Mapping!$C$2</f>
        <v>0</v>
      </c>
      <c r="BO19" s="33">
        <f>SUMIFS('Sales Data'!$E:$E,'Sales Data'!$A:$A,$B19,'Sales Data'!$B:$B,BO$6,'Sales Data'!$C:$C,"Periodic")/Mapping!$C$2</f>
        <v>0</v>
      </c>
      <c r="BP19" s="33">
        <f>SUMIFS('Sales Data'!$E:$E,'Sales Data'!$A:$A,$B19,'Sales Data'!$B:$B,BP$6,'Sales Data'!$C:$C,"Periodic")/Mapping!$C$2</f>
        <v>0</v>
      </c>
      <c r="BQ19" s="33">
        <f>SUMIFS('Sales Data'!$E:$E,'Sales Data'!$A:$A,$B19,'Sales Data'!$B:$B,BQ$6,'Sales Data'!$C:$C,"Periodic")/Mapping!$C$2</f>
        <v>0</v>
      </c>
      <c r="BR19" s="33">
        <f>SUMIFS('Sales Data'!$E:$E,'Sales Data'!$A:$A,$B19,'Sales Data'!$B:$B,BR$6,'Sales Data'!$C:$C,"Periodic")/Mapping!$C$2</f>
        <v>0</v>
      </c>
      <c r="BS19" s="33"/>
      <c r="BT19" s="33">
        <f t="shared" si="54"/>
        <v>0</v>
      </c>
      <c r="BU19" s="33">
        <f t="shared" si="55"/>
        <v>0</v>
      </c>
      <c r="BV19" s="33">
        <f t="shared" si="56"/>
        <v>0</v>
      </c>
      <c r="BW19" s="33">
        <f t="shared" si="57"/>
        <v>0</v>
      </c>
      <c r="BX19" s="33">
        <f t="shared" si="58"/>
        <v>0</v>
      </c>
      <c r="BY19" s="33">
        <f t="shared" si="59"/>
        <v>0</v>
      </c>
      <c r="BZ19" s="33">
        <f t="shared" si="60"/>
        <v>0</v>
      </c>
      <c r="CA19" s="33">
        <f t="shared" si="61"/>
        <v>0</v>
      </c>
      <c r="CB19" s="33">
        <f t="shared" si="62"/>
        <v>0</v>
      </c>
      <c r="CC19" s="33">
        <f t="shared" si="63"/>
        <v>0</v>
      </c>
      <c r="CD19" s="33">
        <f t="shared" si="64"/>
        <v>0</v>
      </c>
      <c r="CE19" s="33">
        <f t="shared" si="65"/>
        <v>0</v>
      </c>
      <c r="CF19" s="33">
        <f t="shared" si="66"/>
        <v>0</v>
      </c>
      <c r="CH19" s="33">
        <f t="shared" si="67"/>
        <v>0</v>
      </c>
      <c r="CI19" s="33">
        <f t="shared" si="68"/>
        <v>0</v>
      </c>
      <c r="CJ19" s="33">
        <f t="shared" si="69"/>
        <v>0</v>
      </c>
      <c r="CK19" s="33">
        <f t="shared" si="70"/>
        <v>0</v>
      </c>
      <c r="CL19" s="33">
        <f t="shared" si="71"/>
        <v>0</v>
      </c>
      <c r="CM19" s="33">
        <f t="shared" si="72"/>
        <v>0</v>
      </c>
      <c r="CN19" s="33">
        <f t="shared" si="73"/>
        <v>0</v>
      </c>
      <c r="CO19" s="33">
        <f t="shared" si="74"/>
        <v>0</v>
      </c>
      <c r="CP19" s="33">
        <f t="shared" si="75"/>
        <v>0</v>
      </c>
      <c r="CQ19" s="33">
        <f t="shared" si="76"/>
        <v>0</v>
      </c>
      <c r="CR19" s="33">
        <f t="shared" si="77"/>
        <v>0</v>
      </c>
      <c r="CS19" s="33">
        <f t="shared" si="78"/>
        <v>0</v>
      </c>
      <c r="CT19" s="35">
        <f t="shared" si="79"/>
        <v>0</v>
      </c>
      <c r="CV19" s="35">
        <f t="shared" si="80"/>
        <v>0</v>
      </c>
      <c r="CW19" s="35">
        <f t="shared" si="81"/>
        <v>0</v>
      </c>
      <c r="CX19" s="35">
        <f t="shared" si="82"/>
        <v>0</v>
      </c>
      <c r="CZ19" s="42">
        <f>N19+Summary!$E$3*CV19</f>
        <v>0</v>
      </c>
      <c r="DA19" s="42">
        <f>N19+CW19*Summary!$E$3</f>
        <v>0</v>
      </c>
      <c r="DB19" s="32">
        <f>N19+CX19*Summary!$E$3</f>
        <v>0</v>
      </c>
    </row>
    <row r="20" spans="1:106" s="15" customFormat="1" ht="15" outlineLevel="1" x14ac:dyDescent="0.25">
      <c r="A20" s="1"/>
      <c r="B20" s="22" t="str">
        <f>Mapping!A15</f>
        <v>Placeholder 10</v>
      </c>
      <c r="C20" s="37">
        <f>SUMIFS('Sales Data'!$E:$E,'Sales Data'!$A:$A,$B20,'Sales Data'!$B:$B,Summary!$C$3&amp;" "&amp;Summary!$C$2-1,'Sales Data'!$C:$C,"Periodic")/Mapping!$C$2</f>
        <v>0</v>
      </c>
      <c r="D20" s="37">
        <f>SUMIFS('Sales Data'!$D:$D,'Sales Data'!$A:$A,$B20,'Sales Data'!$B:$B,Summary!$C$3&amp;" "&amp;Summary!$C$2,'Sales Data'!$C:$C,"Periodic")/Mapping!$C$2</f>
        <v>0</v>
      </c>
      <c r="E20" s="37">
        <f>SUMIFS('Sales Data'!$E:$E,'Sales Data'!$A:$A,$B20,'Sales Data'!$B:$B,Summary!$C$3&amp;" "&amp;Summary!$C$2,'Sales Data'!$C:$C,"Periodic")/Mapping!$C$2</f>
        <v>0</v>
      </c>
      <c r="G20" s="38">
        <f t="shared" si="33"/>
        <v>0</v>
      </c>
      <c r="H20" s="39" t="str">
        <f t="shared" si="34"/>
        <v>N/A</v>
      </c>
      <c r="I20" s="38">
        <f t="shared" si="35"/>
        <v>0</v>
      </c>
      <c r="J20" s="39" t="str">
        <f t="shared" si="36"/>
        <v>N/A</v>
      </c>
      <c r="K20" s="1"/>
      <c r="L20" s="40">
        <f>SUMIFS('Sales Data'!$E:$E,'Sales Data'!$A:$A,$B20,'Sales Data'!$F:$F,$C$2-1,'Sales Data'!$G:$G,"&lt;="&amp;$D$3)/Mapping!$C$2</f>
        <v>0</v>
      </c>
      <c r="M20" s="37">
        <f>SUMIFS('Sales Data'!$D:$D,'Sales Data'!$A:$A,$B20,'Sales Data'!$F:$F,$C$2,'Sales Data'!$G:$G,"&lt;="&amp;$D$3)/Mapping!$C$2</f>
        <v>0</v>
      </c>
      <c r="N20" s="37">
        <f>SUMIFS('Sales Data'!$E:$E,'Sales Data'!$A:$A,$B20,'Sales Data'!$F:$F,$C$2,'Sales Data'!$G:$G,"&lt;="&amp;$D$3)/Mapping!$C$2</f>
        <v>0</v>
      </c>
      <c r="O20" s="1"/>
      <c r="P20" s="38">
        <f t="shared" si="37"/>
        <v>0</v>
      </c>
      <c r="Q20" s="39" t="str">
        <f t="shared" si="38"/>
        <v>N/A</v>
      </c>
      <c r="R20" s="38">
        <f t="shared" si="39"/>
        <v>0</v>
      </c>
      <c r="S20" s="39" t="str">
        <f t="shared" si="40"/>
        <v>N/A</v>
      </c>
      <c r="T20" s="1"/>
      <c r="U20" s="40">
        <f>SUMIFS('Sales Data'!$E:$E,'Sales Data'!$A:$A,$B20,'Sales Data'!$F:$F,$C$2-1,'Sales Data'!$G:$G,"&lt;="&amp;12)/Mapping!$C$2</f>
        <v>0</v>
      </c>
      <c r="V20" s="37">
        <f>SUMIFS('Sales Data'!$D:$D,'Sales Data'!$A:$A,$B20,'Sales Data'!$F:$F,$C$2,'Sales Data'!$G:$G,"&lt;="&amp;12)/Mapping!$C$2</f>
        <v>0</v>
      </c>
      <c r="W20" s="37">
        <f>SUMIFS('Sales Data'!$E:$E,'Sales Data'!$A:$A,$B20,'Sales Data'!$F:$F,$C$2,'Sales Data'!$G:$G,"&lt;="&amp;12)/Mapping!$C$2</f>
        <v>0</v>
      </c>
      <c r="Y20" s="38">
        <f t="shared" si="41"/>
        <v>0</v>
      </c>
      <c r="Z20" s="39" t="str">
        <f t="shared" si="42"/>
        <v>N/A</v>
      </c>
      <c r="AA20" s="38">
        <f t="shared" si="43"/>
        <v>0</v>
      </c>
      <c r="AB20" s="39" t="str">
        <f t="shared" si="44"/>
        <v>N/A</v>
      </c>
      <c r="AC20" s="38" t="e">
        <f>W20-#REF!</f>
        <v>#REF!</v>
      </c>
      <c r="AD20" s="41" t="str">
        <f>IF(ISERROR((W20/#REF!)-1),"N/A",(W20/#REF!)-1)</f>
        <v>N/A</v>
      </c>
      <c r="AF20" s="42">
        <f>N20/Summary!$D$3</f>
        <v>0</v>
      </c>
      <c r="AG20" s="42">
        <f>(V20-N20)/Summary!$E$3</f>
        <v>0</v>
      </c>
      <c r="AH20" s="30">
        <f t="shared" si="45"/>
        <v>0</v>
      </c>
      <c r="AJ20" s="30">
        <f t="shared" si="46"/>
        <v>0</v>
      </c>
      <c r="AK20" s="30">
        <f t="shared" si="47"/>
        <v>0</v>
      </c>
      <c r="AL20" s="30">
        <f t="shared" si="48"/>
        <v>0</v>
      </c>
      <c r="AM20" s="30">
        <f t="shared" si="49"/>
        <v>0</v>
      </c>
      <c r="AN20" s="31">
        <f t="shared" si="50"/>
        <v>0</v>
      </c>
      <c r="AP20" s="32">
        <f t="shared" si="51"/>
        <v>0</v>
      </c>
      <c r="AQ20" s="32">
        <f t="shared" si="52"/>
        <v>0</v>
      </c>
      <c r="AS20" s="33">
        <f>SUMIFS('Sales Data'!$E:$E,'Sales Data'!$A:$A,$B20,'Sales Data'!$B:$B,AS$6,'Sales Data'!$C:$C,"Periodic")/Mapping!$C$2</f>
        <v>0</v>
      </c>
      <c r="AT20" s="33">
        <f>SUMIFS('Sales Data'!$E:$E,'Sales Data'!$A:$A,$B20,'Sales Data'!$B:$B,AT$6,'Sales Data'!$C:$C,"Periodic")/Mapping!$C$2</f>
        <v>0</v>
      </c>
      <c r="AU20" s="33">
        <f>SUMIFS('Sales Data'!$E:$E,'Sales Data'!$A:$A,$B20,'Sales Data'!$B:$B,AU$6,'Sales Data'!$C:$C,"Periodic")/Mapping!$C$2</f>
        <v>0</v>
      </c>
      <c r="AV20" s="33">
        <f>SUMIFS('Sales Data'!$E:$E,'Sales Data'!$A:$A,$B20,'Sales Data'!$B:$B,AV$6,'Sales Data'!$C:$C,"Periodic")/Mapping!$C$2</f>
        <v>0</v>
      </c>
      <c r="AW20" s="33">
        <f>SUMIFS('Sales Data'!$E:$E,'Sales Data'!$A:$A,$B20,'Sales Data'!$B:$B,AW$6,'Sales Data'!$C:$C,"Periodic")/Mapping!$C$2</f>
        <v>0</v>
      </c>
      <c r="AX20" s="33">
        <f>SUMIFS('Sales Data'!$E:$E,'Sales Data'!$A:$A,$B20,'Sales Data'!$B:$B,AX$6,'Sales Data'!$C:$C,"Periodic")/Mapping!$C$2</f>
        <v>0</v>
      </c>
      <c r="AY20" s="33">
        <f>SUMIFS('Sales Data'!$E:$E,'Sales Data'!$A:$A,$B20,'Sales Data'!$B:$B,AY$6,'Sales Data'!$C:$C,"Periodic")/Mapping!$C$2</f>
        <v>0</v>
      </c>
      <c r="AZ20" s="33">
        <f>SUMIFS('Sales Data'!$E:$E,'Sales Data'!$A:$A,$B20,'Sales Data'!$B:$B,AZ$6,'Sales Data'!$C:$C,"Periodic")/Mapping!$C$2</f>
        <v>0</v>
      </c>
      <c r="BA20" s="33">
        <f>SUMIFS('Sales Data'!$E:$E,'Sales Data'!$A:$A,$B20,'Sales Data'!$B:$B,BA$6,'Sales Data'!$C:$C,"Periodic")/Mapping!$C$2</f>
        <v>0</v>
      </c>
      <c r="BB20" s="33">
        <f>SUMIFS('Sales Data'!$E:$E,'Sales Data'!$A:$A,$B20,'Sales Data'!$B:$B,BB$6,'Sales Data'!$C:$C,"Periodic")/Mapping!$C$2</f>
        <v>0</v>
      </c>
      <c r="BC20" s="33">
        <f>SUMIFS('Sales Data'!$E:$E,'Sales Data'!$A:$A,$B20,'Sales Data'!$B:$B,BC$6,'Sales Data'!$C:$C,"Periodic")/Mapping!$C$2</f>
        <v>0</v>
      </c>
      <c r="BD20" s="33">
        <f>SUMIFS('Sales Data'!$E:$E,'Sales Data'!$A:$A,$B20,'Sales Data'!$B:$B,BD$6,'Sales Data'!$C:$C,"Periodic")/Mapping!$C$2</f>
        <v>0</v>
      </c>
      <c r="BE20" s="33">
        <f t="shared" si="53"/>
        <v>0</v>
      </c>
      <c r="BF20" s="33"/>
      <c r="BG20" s="33">
        <f>SUMIFS('Sales Data'!$E:$E,'Sales Data'!$A:$A,$B20,'Sales Data'!$B:$B,BG$6,'Sales Data'!$C:$C,"Periodic")/Mapping!$C$2</f>
        <v>0</v>
      </c>
      <c r="BH20" s="33">
        <f>SUMIFS('Sales Data'!$E:$E,'Sales Data'!$A:$A,$B20,'Sales Data'!$B:$B,BH$6,'Sales Data'!$C:$C,"Periodic")/Mapping!$C$2</f>
        <v>0</v>
      </c>
      <c r="BI20" s="33">
        <f>SUMIFS('Sales Data'!$E:$E,'Sales Data'!$A:$A,$B20,'Sales Data'!$B:$B,BI$6,'Sales Data'!$C:$C,"Periodic")/Mapping!$C$2</f>
        <v>0</v>
      </c>
      <c r="BJ20" s="33">
        <f>SUMIFS('Sales Data'!$E:$E,'Sales Data'!$A:$A,$B20,'Sales Data'!$B:$B,BJ$6,'Sales Data'!$C:$C,"Periodic")/Mapping!$C$2</f>
        <v>0</v>
      </c>
      <c r="BK20" s="33">
        <f>SUMIFS('Sales Data'!$E:$E,'Sales Data'!$A:$A,$B20,'Sales Data'!$B:$B,BK$6,'Sales Data'!$C:$C,"Periodic")/Mapping!$C$2</f>
        <v>0</v>
      </c>
      <c r="BL20" s="33">
        <f>SUMIFS('Sales Data'!$E:$E,'Sales Data'!$A:$A,$B20,'Sales Data'!$B:$B,BL$6,'Sales Data'!$C:$C,"Periodic")/Mapping!$C$2</f>
        <v>0</v>
      </c>
      <c r="BM20" s="33">
        <f>SUMIFS('Sales Data'!$E:$E,'Sales Data'!$A:$A,$B20,'Sales Data'!$B:$B,BM$6,'Sales Data'!$C:$C,"Periodic")/Mapping!$C$2</f>
        <v>0</v>
      </c>
      <c r="BN20" s="33">
        <f>SUMIFS('Sales Data'!$E:$E,'Sales Data'!$A:$A,$B20,'Sales Data'!$B:$B,BN$6,'Sales Data'!$C:$C,"Periodic")/Mapping!$C$2</f>
        <v>0</v>
      </c>
      <c r="BO20" s="33">
        <f>SUMIFS('Sales Data'!$E:$E,'Sales Data'!$A:$A,$B20,'Sales Data'!$B:$B,BO$6,'Sales Data'!$C:$C,"Periodic")/Mapping!$C$2</f>
        <v>0</v>
      </c>
      <c r="BP20" s="33">
        <f>SUMIFS('Sales Data'!$E:$E,'Sales Data'!$A:$A,$B20,'Sales Data'!$B:$B,BP$6,'Sales Data'!$C:$C,"Periodic")/Mapping!$C$2</f>
        <v>0</v>
      </c>
      <c r="BQ20" s="33">
        <f>SUMIFS('Sales Data'!$E:$E,'Sales Data'!$A:$A,$B20,'Sales Data'!$B:$B,BQ$6,'Sales Data'!$C:$C,"Periodic")/Mapping!$C$2</f>
        <v>0</v>
      </c>
      <c r="BR20" s="33">
        <f>SUMIFS('Sales Data'!$E:$E,'Sales Data'!$A:$A,$B20,'Sales Data'!$B:$B,BR$6,'Sales Data'!$C:$C,"Periodic")/Mapping!$C$2</f>
        <v>0</v>
      </c>
      <c r="BS20" s="33"/>
      <c r="BT20" s="33">
        <f t="shared" si="54"/>
        <v>0</v>
      </c>
      <c r="BU20" s="33">
        <f t="shared" si="55"/>
        <v>0</v>
      </c>
      <c r="BV20" s="33">
        <f t="shared" si="56"/>
        <v>0</v>
      </c>
      <c r="BW20" s="33">
        <f t="shared" si="57"/>
        <v>0</v>
      </c>
      <c r="BX20" s="33">
        <f t="shared" si="58"/>
        <v>0</v>
      </c>
      <c r="BY20" s="33">
        <f t="shared" si="59"/>
        <v>0</v>
      </c>
      <c r="BZ20" s="33">
        <f t="shared" si="60"/>
        <v>0</v>
      </c>
      <c r="CA20" s="33">
        <f t="shared" si="61"/>
        <v>0</v>
      </c>
      <c r="CB20" s="33">
        <f t="shared" si="62"/>
        <v>0</v>
      </c>
      <c r="CC20" s="33">
        <f t="shared" si="63"/>
        <v>0</v>
      </c>
      <c r="CD20" s="33">
        <f t="shared" si="64"/>
        <v>0</v>
      </c>
      <c r="CE20" s="33">
        <f t="shared" si="65"/>
        <v>0</v>
      </c>
      <c r="CF20" s="33">
        <f t="shared" si="66"/>
        <v>0</v>
      </c>
      <c r="CH20" s="33">
        <f t="shared" si="67"/>
        <v>0</v>
      </c>
      <c r="CI20" s="33">
        <f t="shared" si="68"/>
        <v>0</v>
      </c>
      <c r="CJ20" s="33">
        <f t="shared" si="69"/>
        <v>0</v>
      </c>
      <c r="CK20" s="33">
        <f t="shared" si="70"/>
        <v>0</v>
      </c>
      <c r="CL20" s="33">
        <f t="shared" si="71"/>
        <v>0</v>
      </c>
      <c r="CM20" s="33">
        <f t="shared" si="72"/>
        <v>0</v>
      </c>
      <c r="CN20" s="33">
        <f t="shared" si="73"/>
        <v>0</v>
      </c>
      <c r="CO20" s="33">
        <f t="shared" si="74"/>
        <v>0</v>
      </c>
      <c r="CP20" s="33">
        <f t="shared" si="75"/>
        <v>0</v>
      </c>
      <c r="CQ20" s="33">
        <f t="shared" si="76"/>
        <v>0</v>
      </c>
      <c r="CR20" s="33">
        <f t="shared" si="77"/>
        <v>0</v>
      </c>
      <c r="CS20" s="33">
        <f t="shared" si="78"/>
        <v>0</v>
      </c>
      <c r="CT20" s="35">
        <f t="shared" si="79"/>
        <v>0</v>
      </c>
      <c r="CV20" s="35">
        <f t="shared" si="80"/>
        <v>0</v>
      </c>
      <c r="CW20" s="35">
        <f t="shared" si="81"/>
        <v>0</v>
      </c>
      <c r="CX20" s="35">
        <f t="shared" si="82"/>
        <v>0</v>
      </c>
      <c r="CZ20" s="42">
        <f>N20+Summary!$E$3*CV20</f>
        <v>0</v>
      </c>
      <c r="DA20" s="42">
        <f>N20+CW20*Summary!$E$3</f>
        <v>0</v>
      </c>
      <c r="DB20" s="32">
        <f>N20+CX20*Summary!$E$3</f>
        <v>0</v>
      </c>
    </row>
    <row r="21" spans="1:106" s="15" customFormat="1" ht="15" outlineLevel="1" x14ac:dyDescent="0.25">
      <c r="A21" s="1"/>
      <c r="B21" s="22" t="str">
        <f>Mapping!A16</f>
        <v>Placeholder 11</v>
      </c>
      <c r="C21" s="37">
        <f>SUMIFS('Sales Data'!$E:$E,'Sales Data'!$A:$A,$B21,'Sales Data'!$B:$B,Summary!$C$3&amp;" "&amp;Summary!$C$2-1,'Sales Data'!$C:$C,"Periodic")/Mapping!$C$2</f>
        <v>0</v>
      </c>
      <c r="D21" s="37">
        <f>SUMIFS('Sales Data'!$D:$D,'Sales Data'!$A:$A,$B21,'Sales Data'!$B:$B,Summary!$C$3&amp;" "&amp;Summary!$C$2,'Sales Data'!$C:$C,"Periodic")/Mapping!$C$2</f>
        <v>0</v>
      </c>
      <c r="E21" s="37">
        <f>SUMIFS('Sales Data'!$E:$E,'Sales Data'!$A:$A,$B21,'Sales Data'!$B:$B,Summary!$C$3&amp;" "&amp;Summary!$C$2,'Sales Data'!$C:$C,"Periodic")/Mapping!$C$2</f>
        <v>0</v>
      </c>
      <c r="G21" s="38">
        <f t="shared" si="33"/>
        <v>0</v>
      </c>
      <c r="H21" s="39" t="str">
        <f t="shared" si="34"/>
        <v>N/A</v>
      </c>
      <c r="I21" s="38">
        <f t="shared" si="35"/>
        <v>0</v>
      </c>
      <c r="J21" s="39" t="str">
        <f t="shared" si="36"/>
        <v>N/A</v>
      </c>
      <c r="K21" s="1"/>
      <c r="L21" s="40">
        <f>SUMIFS('Sales Data'!$E:$E,'Sales Data'!$A:$A,$B21,'Sales Data'!$F:$F,$C$2-1,'Sales Data'!$G:$G,"&lt;="&amp;$D$3)/Mapping!$C$2</f>
        <v>0</v>
      </c>
      <c r="M21" s="37">
        <f>SUMIFS('Sales Data'!$D:$D,'Sales Data'!$A:$A,$B21,'Sales Data'!$F:$F,$C$2,'Sales Data'!$G:$G,"&lt;="&amp;$D$3)/Mapping!$C$2</f>
        <v>0</v>
      </c>
      <c r="N21" s="37">
        <f>SUMIFS('Sales Data'!$E:$E,'Sales Data'!$A:$A,$B21,'Sales Data'!$F:$F,$C$2,'Sales Data'!$G:$G,"&lt;="&amp;$D$3)/Mapping!$C$2</f>
        <v>0</v>
      </c>
      <c r="O21" s="1"/>
      <c r="P21" s="38">
        <f t="shared" si="37"/>
        <v>0</v>
      </c>
      <c r="Q21" s="39" t="str">
        <f t="shared" si="38"/>
        <v>N/A</v>
      </c>
      <c r="R21" s="38">
        <f t="shared" si="39"/>
        <v>0</v>
      </c>
      <c r="S21" s="39" t="str">
        <f t="shared" si="40"/>
        <v>N/A</v>
      </c>
      <c r="T21" s="1"/>
      <c r="U21" s="40">
        <f>SUMIFS('Sales Data'!$E:$E,'Sales Data'!$A:$A,$B21,'Sales Data'!$F:$F,$C$2-1,'Sales Data'!$G:$G,"&lt;="&amp;12)/Mapping!$C$2</f>
        <v>0</v>
      </c>
      <c r="V21" s="37">
        <f>SUMIFS('Sales Data'!$D:$D,'Sales Data'!$A:$A,$B21,'Sales Data'!$F:$F,$C$2,'Sales Data'!$G:$G,"&lt;="&amp;12)/Mapping!$C$2</f>
        <v>0</v>
      </c>
      <c r="W21" s="37">
        <f>SUMIFS('Sales Data'!$E:$E,'Sales Data'!$A:$A,$B21,'Sales Data'!$F:$F,$C$2,'Sales Data'!$G:$G,"&lt;="&amp;12)/Mapping!$C$2</f>
        <v>0</v>
      </c>
      <c r="Y21" s="38">
        <f t="shared" si="41"/>
        <v>0</v>
      </c>
      <c r="Z21" s="39" t="str">
        <f t="shared" si="42"/>
        <v>N/A</v>
      </c>
      <c r="AA21" s="38">
        <f t="shared" si="43"/>
        <v>0</v>
      </c>
      <c r="AB21" s="39" t="str">
        <f t="shared" si="44"/>
        <v>N/A</v>
      </c>
      <c r="AC21" s="38" t="e">
        <f>W21-#REF!</f>
        <v>#REF!</v>
      </c>
      <c r="AD21" s="41" t="str">
        <f>IF(ISERROR((W21/#REF!)-1),"N/A",(W21/#REF!)-1)</f>
        <v>N/A</v>
      </c>
      <c r="AF21" s="42">
        <f>N21/Summary!$D$3</f>
        <v>0</v>
      </c>
      <c r="AG21" s="42">
        <f>(V21-N21)/Summary!$E$3</f>
        <v>0</v>
      </c>
      <c r="AH21" s="30">
        <f t="shared" si="45"/>
        <v>0</v>
      </c>
      <c r="AJ21" s="30">
        <f t="shared" si="46"/>
        <v>0</v>
      </c>
      <c r="AK21" s="30">
        <f t="shared" si="47"/>
        <v>0</v>
      </c>
      <c r="AL21" s="30">
        <f t="shared" si="48"/>
        <v>0</v>
      </c>
      <c r="AM21" s="30">
        <f t="shared" si="49"/>
        <v>0</v>
      </c>
      <c r="AN21" s="31">
        <f t="shared" si="50"/>
        <v>0</v>
      </c>
      <c r="AP21" s="32">
        <f t="shared" si="51"/>
        <v>0</v>
      </c>
      <c r="AQ21" s="32">
        <f t="shared" si="52"/>
        <v>0</v>
      </c>
      <c r="AS21" s="33">
        <f>SUMIFS('Sales Data'!$E:$E,'Sales Data'!$A:$A,$B21,'Sales Data'!$B:$B,AS$6,'Sales Data'!$C:$C,"Periodic")/Mapping!$C$2</f>
        <v>0</v>
      </c>
      <c r="AT21" s="33">
        <f>SUMIFS('Sales Data'!$E:$E,'Sales Data'!$A:$A,$B21,'Sales Data'!$B:$B,AT$6,'Sales Data'!$C:$C,"Periodic")/Mapping!$C$2</f>
        <v>0</v>
      </c>
      <c r="AU21" s="33">
        <f>SUMIFS('Sales Data'!$E:$E,'Sales Data'!$A:$A,$B21,'Sales Data'!$B:$B,AU$6,'Sales Data'!$C:$C,"Periodic")/Mapping!$C$2</f>
        <v>0</v>
      </c>
      <c r="AV21" s="33">
        <f>SUMIFS('Sales Data'!$E:$E,'Sales Data'!$A:$A,$B21,'Sales Data'!$B:$B,AV$6,'Sales Data'!$C:$C,"Periodic")/Mapping!$C$2</f>
        <v>0</v>
      </c>
      <c r="AW21" s="33">
        <f>SUMIFS('Sales Data'!$E:$E,'Sales Data'!$A:$A,$B21,'Sales Data'!$B:$B,AW$6,'Sales Data'!$C:$C,"Periodic")/Mapping!$C$2</f>
        <v>0</v>
      </c>
      <c r="AX21" s="33">
        <f>SUMIFS('Sales Data'!$E:$E,'Sales Data'!$A:$A,$B21,'Sales Data'!$B:$B,AX$6,'Sales Data'!$C:$C,"Periodic")/Mapping!$C$2</f>
        <v>0</v>
      </c>
      <c r="AY21" s="33">
        <f>SUMIFS('Sales Data'!$E:$E,'Sales Data'!$A:$A,$B21,'Sales Data'!$B:$B,AY$6,'Sales Data'!$C:$C,"Periodic")/Mapping!$C$2</f>
        <v>0</v>
      </c>
      <c r="AZ21" s="33">
        <f>SUMIFS('Sales Data'!$E:$E,'Sales Data'!$A:$A,$B21,'Sales Data'!$B:$B,AZ$6,'Sales Data'!$C:$C,"Periodic")/Mapping!$C$2</f>
        <v>0</v>
      </c>
      <c r="BA21" s="33">
        <f>SUMIFS('Sales Data'!$E:$E,'Sales Data'!$A:$A,$B21,'Sales Data'!$B:$B,BA$6,'Sales Data'!$C:$C,"Periodic")/Mapping!$C$2</f>
        <v>0</v>
      </c>
      <c r="BB21" s="33">
        <f>SUMIFS('Sales Data'!$E:$E,'Sales Data'!$A:$A,$B21,'Sales Data'!$B:$B,BB$6,'Sales Data'!$C:$C,"Periodic")/Mapping!$C$2</f>
        <v>0</v>
      </c>
      <c r="BC21" s="33">
        <f>SUMIFS('Sales Data'!$E:$E,'Sales Data'!$A:$A,$B21,'Sales Data'!$B:$B,BC$6,'Sales Data'!$C:$C,"Periodic")/Mapping!$C$2</f>
        <v>0</v>
      </c>
      <c r="BD21" s="33">
        <f>SUMIFS('Sales Data'!$E:$E,'Sales Data'!$A:$A,$B21,'Sales Data'!$B:$B,BD$6,'Sales Data'!$C:$C,"Periodic")/Mapping!$C$2</f>
        <v>0</v>
      </c>
      <c r="BE21" s="33">
        <f t="shared" si="53"/>
        <v>0</v>
      </c>
      <c r="BF21" s="33"/>
      <c r="BG21" s="33">
        <f>SUMIFS('Sales Data'!$E:$E,'Sales Data'!$A:$A,$B21,'Sales Data'!$B:$B,BG$6,'Sales Data'!$C:$C,"Periodic")/Mapping!$C$2</f>
        <v>0</v>
      </c>
      <c r="BH21" s="33">
        <f>SUMIFS('Sales Data'!$E:$E,'Sales Data'!$A:$A,$B21,'Sales Data'!$B:$B,BH$6,'Sales Data'!$C:$C,"Periodic")/Mapping!$C$2</f>
        <v>0</v>
      </c>
      <c r="BI21" s="33">
        <f>SUMIFS('Sales Data'!$E:$E,'Sales Data'!$A:$A,$B21,'Sales Data'!$B:$B,BI$6,'Sales Data'!$C:$C,"Periodic")/Mapping!$C$2</f>
        <v>0</v>
      </c>
      <c r="BJ21" s="33">
        <f>SUMIFS('Sales Data'!$E:$E,'Sales Data'!$A:$A,$B21,'Sales Data'!$B:$B,BJ$6,'Sales Data'!$C:$C,"Periodic")/Mapping!$C$2</f>
        <v>0</v>
      </c>
      <c r="BK21" s="33">
        <f>SUMIFS('Sales Data'!$E:$E,'Sales Data'!$A:$A,$B21,'Sales Data'!$B:$B,BK$6,'Sales Data'!$C:$C,"Periodic")/Mapping!$C$2</f>
        <v>0</v>
      </c>
      <c r="BL21" s="33">
        <f>SUMIFS('Sales Data'!$E:$E,'Sales Data'!$A:$A,$B21,'Sales Data'!$B:$B,BL$6,'Sales Data'!$C:$C,"Periodic")/Mapping!$C$2</f>
        <v>0</v>
      </c>
      <c r="BM21" s="33">
        <f>SUMIFS('Sales Data'!$E:$E,'Sales Data'!$A:$A,$B21,'Sales Data'!$B:$B,BM$6,'Sales Data'!$C:$C,"Periodic")/Mapping!$C$2</f>
        <v>0</v>
      </c>
      <c r="BN21" s="33">
        <f>SUMIFS('Sales Data'!$E:$E,'Sales Data'!$A:$A,$B21,'Sales Data'!$B:$B,BN$6,'Sales Data'!$C:$C,"Periodic")/Mapping!$C$2</f>
        <v>0</v>
      </c>
      <c r="BO21" s="33">
        <f>SUMIFS('Sales Data'!$E:$E,'Sales Data'!$A:$A,$B21,'Sales Data'!$B:$B,BO$6,'Sales Data'!$C:$C,"Periodic")/Mapping!$C$2</f>
        <v>0</v>
      </c>
      <c r="BP21" s="33">
        <f>SUMIFS('Sales Data'!$E:$E,'Sales Data'!$A:$A,$B21,'Sales Data'!$B:$B,BP$6,'Sales Data'!$C:$C,"Periodic")/Mapping!$C$2</f>
        <v>0</v>
      </c>
      <c r="BQ21" s="33">
        <f>SUMIFS('Sales Data'!$E:$E,'Sales Data'!$A:$A,$B21,'Sales Data'!$B:$B,BQ$6,'Sales Data'!$C:$C,"Periodic")/Mapping!$C$2</f>
        <v>0</v>
      </c>
      <c r="BR21" s="33">
        <f>SUMIFS('Sales Data'!$E:$E,'Sales Data'!$A:$A,$B21,'Sales Data'!$B:$B,BR$6,'Sales Data'!$C:$C,"Periodic")/Mapping!$C$2</f>
        <v>0</v>
      </c>
      <c r="BS21" s="33"/>
      <c r="BT21" s="33">
        <f t="shared" si="54"/>
        <v>0</v>
      </c>
      <c r="BU21" s="33">
        <f t="shared" si="55"/>
        <v>0</v>
      </c>
      <c r="BV21" s="33">
        <f t="shared" si="56"/>
        <v>0</v>
      </c>
      <c r="BW21" s="33">
        <f t="shared" si="57"/>
        <v>0</v>
      </c>
      <c r="BX21" s="33">
        <f t="shared" si="58"/>
        <v>0</v>
      </c>
      <c r="BY21" s="33">
        <f t="shared" si="59"/>
        <v>0</v>
      </c>
      <c r="BZ21" s="33">
        <f t="shared" si="60"/>
        <v>0</v>
      </c>
      <c r="CA21" s="33">
        <f t="shared" si="61"/>
        <v>0</v>
      </c>
      <c r="CB21" s="33">
        <f t="shared" si="62"/>
        <v>0</v>
      </c>
      <c r="CC21" s="33">
        <f t="shared" si="63"/>
        <v>0</v>
      </c>
      <c r="CD21" s="33">
        <f t="shared" si="64"/>
        <v>0</v>
      </c>
      <c r="CE21" s="33">
        <f t="shared" si="65"/>
        <v>0</v>
      </c>
      <c r="CF21" s="33">
        <f t="shared" si="66"/>
        <v>0</v>
      </c>
      <c r="CH21" s="33">
        <f t="shared" si="67"/>
        <v>0</v>
      </c>
      <c r="CI21" s="33">
        <f t="shared" si="68"/>
        <v>0</v>
      </c>
      <c r="CJ21" s="33">
        <f t="shared" si="69"/>
        <v>0</v>
      </c>
      <c r="CK21" s="33">
        <f t="shared" si="70"/>
        <v>0</v>
      </c>
      <c r="CL21" s="33">
        <f t="shared" si="71"/>
        <v>0</v>
      </c>
      <c r="CM21" s="33">
        <f t="shared" si="72"/>
        <v>0</v>
      </c>
      <c r="CN21" s="33">
        <f t="shared" si="73"/>
        <v>0</v>
      </c>
      <c r="CO21" s="33">
        <f t="shared" si="74"/>
        <v>0</v>
      </c>
      <c r="CP21" s="33">
        <f t="shared" si="75"/>
        <v>0</v>
      </c>
      <c r="CQ21" s="33">
        <f t="shared" si="76"/>
        <v>0</v>
      </c>
      <c r="CR21" s="33">
        <f t="shared" si="77"/>
        <v>0</v>
      </c>
      <c r="CS21" s="33">
        <f t="shared" si="78"/>
        <v>0</v>
      </c>
      <c r="CT21" s="35">
        <f t="shared" si="79"/>
        <v>0</v>
      </c>
      <c r="CV21" s="35">
        <f t="shared" si="80"/>
        <v>0</v>
      </c>
      <c r="CW21" s="35">
        <f t="shared" si="81"/>
        <v>0</v>
      </c>
      <c r="CX21" s="35">
        <f t="shared" si="82"/>
        <v>0</v>
      </c>
      <c r="CZ21" s="42">
        <f>N21+Summary!$E$3*CV21</f>
        <v>0</v>
      </c>
      <c r="DA21" s="42">
        <f>N21+CW21*Summary!$E$3</f>
        <v>0</v>
      </c>
      <c r="DB21" s="32">
        <f>N21+CX21*Summary!$E$3</f>
        <v>0</v>
      </c>
    </row>
    <row r="22" spans="1:106" s="15" customFormat="1" ht="15" outlineLevel="1" x14ac:dyDescent="0.25">
      <c r="A22" s="1"/>
      <c r="B22" s="22" t="str">
        <f>Mapping!A17</f>
        <v>Placeholder 12</v>
      </c>
      <c r="C22" s="37">
        <f>SUMIFS('Sales Data'!$E:$E,'Sales Data'!$A:$A,$B22,'Sales Data'!$B:$B,Summary!$C$3&amp;" "&amp;Summary!$C$2-1,'Sales Data'!$C:$C,"Periodic")/Mapping!$C$2</f>
        <v>0</v>
      </c>
      <c r="D22" s="37">
        <f>SUMIFS('Sales Data'!$D:$D,'Sales Data'!$A:$A,$B22,'Sales Data'!$B:$B,Summary!$C$3&amp;" "&amp;Summary!$C$2,'Sales Data'!$C:$C,"Periodic")/Mapping!$C$2</f>
        <v>0</v>
      </c>
      <c r="E22" s="37">
        <f>SUMIFS('Sales Data'!$E:$E,'Sales Data'!$A:$A,$B22,'Sales Data'!$B:$B,Summary!$C$3&amp;" "&amp;Summary!$C$2,'Sales Data'!$C:$C,"Periodic")/Mapping!$C$2</f>
        <v>0</v>
      </c>
      <c r="G22" s="38">
        <f t="shared" si="33"/>
        <v>0</v>
      </c>
      <c r="H22" s="39" t="str">
        <f t="shared" si="34"/>
        <v>N/A</v>
      </c>
      <c r="I22" s="38">
        <f t="shared" si="35"/>
        <v>0</v>
      </c>
      <c r="J22" s="39" t="str">
        <f t="shared" si="36"/>
        <v>N/A</v>
      </c>
      <c r="K22" s="1"/>
      <c r="L22" s="40">
        <f>SUMIFS('Sales Data'!$E:$E,'Sales Data'!$A:$A,$B22,'Sales Data'!$F:$F,$C$2-1,'Sales Data'!$G:$G,"&lt;="&amp;$D$3)/Mapping!$C$2</f>
        <v>0</v>
      </c>
      <c r="M22" s="37">
        <f>SUMIFS('Sales Data'!$D:$D,'Sales Data'!$A:$A,$B22,'Sales Data'!$F:$F,$C$2,'Sales Data'!$G:$G,"&lt;="&amp;$D$3)/Mapping!$C$2</f>
        <v>0</v>
      </c>
      <c r="N22" s="37">
        <f>SUMIFS('Sales Data'!$E:$E,'Sales Data'!$A:$A,$B22,'Sales Data'!$F:$F,$C$2,'Sales Data'!$G:$G,"&lt;="&amp;$D$3)/Mapping!$C$2</f>
        <v>0</v>
      </c>
      <c r="O22" s="1"/>
      <c r="P22" s="38">
        <f t="shared" si="37"/>
        <v>0</v>
      </c>
      <c r="Q22" s="39" t="str">
        <f t="shared" si="38"/>
        <v>N/A</v>
      </c>
      <c r="R22" s="38">
        <f t="shared" si="39"/>
        <v>0</v>
      </c>
      <c r="S22" s="39" t="str">
        <f t="shared" si="40"/>
        <v>N/A</v>
      </c>
      <c r="T22" s="1"/>
      <c r="U22" s="40">
        <f>SUMIFS('Sales Data'!$E:$E,'Sales Data'!$A:$A,$B22,'Sales Data'!$F:$F,$C$2-1,'Sales Data'!$G:$G,"&lt;="&amp;12)/Mapping!$C$2</f>
        <v>0</v>
      </c>
      <c r="V22" s="37">
        <f>SUMIFS('Sales Data'!$D:$D,'Sales Data'!$A:$A,$B22,'Sales Data'!$F:$F,$C$2,'Sales Data'!$G:$G,"&lt;="&amp;12)/Mapping!$C$2</f>
        <v>0</v>
      </c>
      <c r="W22" s="37">
        <f>SUMIFS('Sales Data'!$E:$E,'Sales Data'!$A:$A,$B22,'Sales Data'!$F:$F,$C$2,'Sales Data'!$G:$G,"&lt;="&amp;12)/Mapping!$C$2</f>
        <v>0</v>
      </c>
      <c r="Y22" s="38">
        <f t="shared" si="41"/>
        <v>0</v>
      </c>
      <c r="Z22" s="39" t="str">
        <f t="shared" si="42"/>
        <v>N/A</v>
      </c>
      <c r="AA22" s="38">
        <f t="shared" si="43"/>
        <v>0</v>
      </c>
      <c r="AB22" s="39" t="str">
        <f t="shared" si="44"/>
        <v>N/A</v>
      </c>
      <c r="AC22" s="38" t="e">
        <f>W22-#REF!</f>
        <v>#REF!</v>
      </c>
      <c r="AD22" s="41" t="str">
        <f>IF(ISERROR((W22/#REF!)-1),"N/A",(W22/#REF!)-1)</f>
        <v>N/A</v>
      </c>
      <c r="AF22" s="42">
        <f>N22/Summary!$D$3</f>
        <v>0</v>
      </c>
      <c r="AG22" s="42">
        <f>(V22-N22)/Summary!$E$3</f>
        <v>0</v>
      </c>
      <c r="AH22" s="30">
        <f t="shared" si="45"/>
        <v>0</v>
      </c>
      <c r="AJ22" s="30">
        <f t="shared" si="46"/>
        <v>0</v>
      </c>
      <c r="AK22" s="30">
        <f t="shared" si="47"/>
        <v>0</v>
      </c>
      <c r="AL22" s="30">
        <f t="shared" si="48"/>
        <v>0</v>
      </c>
      <c r="AM22" s="30">
        <f t="shared" si="49"/>
        <v>0</v>
      </c>
      <c r="AN22" s="31">
        <f t="shared" si="50"/>
        <v>0</v>
      </c>
      <c r="AP22" s="32">
        <f t="shared" si="51"/>
        <v>0</v>
      </c>
      <c r="AQ22" s="32">
        <f t="shared" si="52"/>
        <v>0</v>
      </c>
      <c r="AS22" s="33">
        <f>SUMIFS('Sales Data'!$E:$E,'Sales Data'!$A:$A,$B22,'Sales Data'!$B:$B,AS$6,'Sales Data'!$C:$C,"Periodic")/Mapping!$C$2</f>
        <v>0</v>
      </c>
      <c r="AT22" s="33">
        <f>SUMIFS('Sales Data'!$E:$E,'Sales Data'!$A:$A,$B22,'Sales Data'!$B:$B,AT$6,'Sales Data'!$C:$C,"Periodic")/Mapping!$C$2</f>
        <v>0</v>
      </c>
      <c r="AU22" s="33">
        <f>SUMIFS('Sales Data'!$E:$E,'Sales Data'!$A:$A,$B22,'Sales Data'!$B:$B,AU$6,'Sales Data'!$C:$C,"Periodic")/Mapping!$C$2</f>
        <v>0</v>
      </c>
      <c r="AV22" s="33">
        <f>SUMIFS('Sales Data'!$E:$E,'Sales Data'!$A:$A,$B22,'Sales Data'!$B:$B,AV$6,'Sales Data'!$C:$C,"Periodic")/Mapping!$C$2</f>
        <v>0</v>
      </c>
      <c r="AW22" s="33">
        <f>SUMIFS('Sales Data'!$E:$E,'Sales Data'!$A:$A,$B22,'Sales Data'!$B:$B,AW$6,'Sales Data'!$C:$C,"Periodic")/Mapping!$C$2</f>
        <v>0</v>
      </c>
      <c r="AX22" s="33">
        <f>SUMIFS('Sales Data'!$E:$E,'Sales Data'!$A:$A,$B22,'Sales Data'!$B:$B,AX$6,'Sales Data'!$C:$C,"Periodic")/Mapping!$C$2</f>
        <v>0</v>
      </c>
      <c r="AY22" s="33">
        <f>SUMIFS('Sales Data'!$E:$E,'Sales Data'!$A:$A,$B22,'Sales Data'!$B:$B,AY$6,'Sales Data'!$C:$C,"Periodic")/Mapping!$C$2</f>
        <v>0</v>
      </c>
      <c r="AZ22" s="33">
        <f>SUMIFS('Sales Data'!$E:$E,'Sales Data'!$A:$A,$B22,'Sales Data'!$B:$B,AZ$6,'Sales Data'!$C:$C,"Periodic")/Mapping!$C$2</f>
        <v>0</v>
      </c>
      <c r="BA22" s="33">
        <f>SUMIFS('Sales Data'!$E:$E,'Sales Data'!$A:$A,$B22,'Sales Data'!$B:$B,BA$6,'Sales Data'!$C:$C,"Periodic")/Mapping!$C$2</f>
        <v>0</v>
      </c>
      <c r="BB22" s="33">
        <f>SUMIFS('Sales Data'!$E:$E,'Sales Data'!$A:$A,$B22,'Sales Data'!$B:$B,BB$6,'Sales Data'!$C:$C,"Periodic")/Mapping!$C$2</f>
        <v>0</v>
      </c>
      <c r="BC22" s="33">
        <f>SUMIFS('Sales Data'!$E:$E,'Sales Data'!$A:$A,$B22,'Sales Data'!$B:$B,BC$6,'Sales Data'!$C:$C,"Periodic")/Mapping!$C$2</f>
        <v>0</v>
      </c>
      <c r="BD22" s="33">
        <f>SUMIFS('Sales Data'!$E:$E,'Sales Data'!$A:$A,$B22,'Sales Data'!$B:$B,BD$6,'Sales Data'!$C:$C,"Periodic")/Mapping!$C$2</f>
        <v>0</v>
      </c>
      <c r="BE22" s="33">
        <f t="shared" si="53"/>
        <v>0</v>
      </c>
      <c r="BF22" s="33"/>
      <c r="BG22" s="33">
        <f>SUMIFS('Sales Data'!$E:$E,'Sales Data'!$A:$A,$B22,'Sales Data'!$B:$B,BG$6,'Sales Data'!$C:$C,"Periodic")/Mapping!$C$2</f>
        <v>0</v>
      </c>
      <c r="BH22" s="33">
        <f>SUMIFS('Sales Data'!$E:$E,'Sales Data'!$A:$A,$B22,'Sales Data'!$B:$B,BH$6,'Sales Data'!$C:$C,"Periodic")/Mapping!$C$2</f>
        <v>0</v>
      </c>
      <c r="BI22" s="33">
        <f>SUMIFS('Sales Data'!$E:$E,'Sales Data'!$A:$A,$B22,'Sales Data'!$B:$B,BI$6,'Sales Data'!$C:$C,"Periodic")/Mapping!$C$2</f>
        <v>0</v>
      </c>
      <c r="BJ22" s="33">
        <f>SUMIFS('Sales Data'!$E:$E,'Sales Data'!$A:$A,$B22,'Sales Data'!$B:$B,BJ$6,'Sales Data'!$C:$C,"Periodic")/Mapping!$C$2</f>
        <v>0</v>
      </c>
      <c r="BK22" s="33">
        <f>SUMIFS('Sales Data'!$E:$E,'Sales Data'!$A:$A,$B22,'Sales Data'!$B:$B,BK$6,'Sales Data'!$C:$C,"Periodic")/Mapping!$C$2</f>
        <v>0</v>
      </c>
      <c r="BL22" s="33">
        <f>SUMIFS('Sales Data'!$E:$E,'Sales Data'!$A:$A,$B22,'Sales Data'!$B:$B,BL$6,'Sales Data'!$C:$C,"Periodic")/Mapping!$C$2</f>
        <v>0</v>
      </c>
      <c r="BM22" s="33">
        <f>SUMIFS('Sales Data'!$E:$E,'Sales Data'!$A:$A,$B22,'Sales Data'!$B:$B,BM$6,'Sales Data'!$C:$C,"Periodic")/Mapping!$C$2</f>
        <v>0</v>
      </c>
      <c r="BN22" s="33">
        <f>SUMIFS('Sales Data'!$E:$E,'Sales Data'!$A:$A,$B22,'Sales Data'!$B:$B,BN$6,'Sales Data'!$C:$C,"Periodic")/Mapping!$C$2</f>
        <v>0</v>
      </c>
      <c r="BO22" s="33">
        <f>SUMIFS('Sales Data'!$E:$E,'Sales Data'!$A:$A,$B22,'Sales Data'!$B:$B,BO$6,'Sales Data'!$C:$C,"Periodic")/Mapping!$C$2</f>
        <v>0</v>
      </c>
      <c r="BP22" s="33">
        <f>SUMIFS('Sales Data'!$E:$E,'Sales Data'!$A:$A,$B22,'Sales Data'!$B:$B,BP$6,'Sales Data'!$C:$C,"Periodic")/Mapping!$C$2</f>
        <v>0</v>
      </c>
      <c r="BQ22" s="33">
        <f>SUMIFS('Sales Data'!$E:$E,'Sales Data'!$A:$A,$B22,'Sales Data'!$B:$B,BQ$6,'Sales Data'!$C:$C,"Periodic")/Mapping!$C$2</f>
        <v>0</v>
      </c>
      <c r="BR22" s="33">
        <f>SUMIFS('Sales Data'!$E:$E,'Sales Data'!$A:$A,$B22,'Sales Data'!$B:$B,BR$6,'Sales Data'!$C:$C,"Periodic")/Mapping!$C$2</f>
        <v>0</v>
      </c>
      <c r="BS22" s="33"/>
      <c r="BT22" s="33">
        <f t="shared" si="54"/>
        <v>0</v>
      </c>
      <c r="BU22" s="33">
        <f t="shared" si="55"/>
        <v>0</v>
      </c>
      <c r="BV22" s="33">
        <f t="shared" si="56"/>
        <v>0</v>
      </c>
      <c r="BW22" s="33">
        <f t="shared" si="57"/>
        <v>0</v>
      </c>
      <c r="BX22" s="33">
        <f t="shared" si="58"/>
        <v>0</v>
      </c>
      <c r="BY22" s="33">
        <f t="shared" si="59"/>
        <v>0</v>
      </c>
      <c r="BZ22" s="33">
        <f t="shared" si="60"/>
        <v>0</v>
      </c>
      <c r="CA22" s="33">
        <f t="shared" si="61"/>
        <v>0</v>
      </c>
      <c r="CB22" s="33">
        <f t="shared" si="62"/>
        <v>0</v>
      </c>
      <c r="CC22" s="33">
        <f t="shared" si="63"/>
        <v>0</v>
      </c>
      <c r="CD22" s="33">
        <f t="shared" si="64"/>
        <v>0</v>
      </c>
      <c r="CE22" s="33">
        <f t="shared" si="65"/>
        <v>0</v>
      </c>
      <c r="CF22" s="33">
        <f t="shared" si="66"/>
        <v>0</v>
      </c>
      <c r="CH22" s="33">
        <f t="shared" si="67"/>
        <v>0</v>
      </c>
      <c r="CI22" s="33">
        <f t="shared" si="68"/>
        <v>0</v>
      </c>
      <c r="CJ22" s="33">
        <f t="shared" si="69"/>
        <v>0</v>
      </c>
      <c r="CK22" s="33">
        <f t="shared" si="70"/>
        <v>0</v>
      </c>
      <c r="CL22" s="33">
        <f t="shared" si="71"/>
        <v>0</v>
      </c>
      <c r="CM22" s="33">
        <f t="shared" si="72"/>
        <v>0</v>
      </c>
      <c r="CN22" s="33">
        <f t="shared" si="73"/>
        <v>0</v>
      </c>
      <c r="CO22" s="33">
        <f t="shared" si="74"/>
        <v>0</v>
      </c>
      <c r="CP22" s="33">
        <f t="shared" si="75"/>
        <v>0</v>
      </c>
      <c r="CQ22" s="33">
        <f t="shared" si="76"/>
        <v>0</v>
      </c>
      <c r="CR22" s="33">
        <f t="shared" si="77"/>
        <v>0</v>
      </c>
      <c r="CS22" s="33">
        <f t="shared" si="78"/>
        <v>0</v>
      </c>
      <c r="CT22" s="35">
        <f t="shared" si="79"/>
        <v>0</v>
      </c>
      <c r="CV22" s="35">
        <f t="shared" si="80"/>
        <v>0</v>
      </c>
      <c r="CW22" s="35">
        <f t="shared" si="81"/>
        <v>0</v>
      </c>
      <c r="CX22" s="35">
        <f t="shared" si="82"/>
        <v>0</v>
      </c>
      <c r="CZ22" s="42">
        <f>N22+Summary!$E$3*CV22</f>
        <v>0</v>
      </c>
      <c r="DA22" s="42">
        <f>N22+CW22*Summary!$E$3</f>
        <v>0</v>
      </c>
      <c r="DB22" s="32">
        <f>N22+CX22*Summary!$E$3</f>
        <v>0</v>
      </c>
    </row>
    <row r="23" spans="1:106" s="15" customFormat="1" ht="15" outlineLevel="1" x14ac:dyDescent="0.25">
      <c r="A23" s="1"/>
      <c r="B23" s="22" t="str">
        <f>Mapping!A18</f>
        <v>Placeholder 13</v>
      </c>
      <c r="C23" s="37">
        <f>SUMIFS('Sales Data'!$E:$E,'Sales Data'!$A:$A,$B23,'Sales Data'!$B:$B,Summary!$C$3&amp;" "&amp;Summary!$C$2-1,'Sales Data'!$C:$C,"Periodic")/Mapping!$C$2</f>
        <v>0</v>
      </c>
      <c r="D23" s="37">
        <f>SUMIFS('Sales Data'!$D:$D,'Sales Data'!$A:$A,$B23,'Sales Data'!$B:$B,Summary!$C$3&amp;" "&amp;Summary!$C$2,'Sales Data'!$C:$C,"Periodic")/Mapping!$C$2</f>
        <v>0</v>
      </c>
      <c r="E23" s="37">
        <f>SUMIFS('Sales Data'!$E:$E,'Sales Data'!$A:$A,$B23,'Sales Data'!$B:$B,Summary!$C$3&amp;" "&amp;Summary!$C$2,'Sales Data'!$C:$C,"Periodic")/Mapping!$C$2</f>
        <v>0</v>
      </c>
      <c r="G23" s="38">
        <f t="shared" si="33"/>
        <v>0</v>
      </c>
      <c r="H23" s="39" t="str">
        <f t="shared" si="34"/>
        <v>N/A</v>
      </c>
      <c r="I23" s="38">
        <f t="shared" si="35"/>
        <v>0</v>
      </c>
      <c r="J23" s="39" t="str">
        <f t="shared" si="36"/>
        <v>N/A</v>
      </c>
      <c r="K23" s="1"/>
      <c r="L23" s="40">
        <f>SUMIFS('Sales Data'!$E:$E,'Sales Data'!$A:$A,$B23,'Sales Data'!$F:$F,$C$2-1,'Sales Data'!$G:$G,"&lt;="&amp;$D$3)/Mapping!$C$2</f>
        <v>0</v>
      </c>
      <c r="M23" s="37">
        <f>SUMIFS('Sales Data'!$D:$D,'Sales Data'!$A:$A,$B23,'Sales Data'!$F:$F,$C$2,'Sales Data'!$G:$G,"&lt;="&amp;$D$3)/Mapping!$C$2</f>
        <v>0</v>
      </c>
      <c r="N23" s="37">
        <f>SUMIFS('Sales Data'!$E:$E,'Sales Data'!$A:$A,$B23,'Sales Data'!$F:$F,$C$2,'Sales Data'!$G:$G,"&lt;="&amp;$D$3)/Mapping!$C$2</f>
        <v>0</v>
      </c>
      <c r="O23" s="1"/>
      <c r="P23" s="38">
        <f t="shared" si="37"/>
        <v>0</v>
      </c>
      <c r="Q23" s="39" t="str">
        <f t="shared" si="38"/>
        <v>N/A</v>
      </c>
      <c r="R23" s="38">
        <f t="shared" si="39"/>
        <v>0</v>
      </c>
      <c r="S23" s="39" t="str">
        <f t="shared" si="40"/>
        <v>N/A</v>
      </c>
      <c r="T23" s="1"/>
      <c r="U23" s="40">
        <f>SUMIFS('Sales Data'!$E:$E,'Sales Data'!$A:$A,$B23,'Sales Data'!$F:$F,$C$2-1,'Sales Data'!$G:$G,"&lt;="&amp;12)/Mapping!$C$2</f>
        <v>0</v>
      </c>
      <c r="V23" s="37">
        <f>SUMIFS('Sales Data'!$D:$D,'Sales Data'!$A:$A,$B23,'Sales Data'!$F:$F,$C$2,'Sales Data'!$G:$G,"&lt;="&amp;12)/Mapping!$C$2</f>
        <v>0</v>
      </c>
      <c r="W23" s="37">
        <f>SUMIFS('Sales Data'!$E:$E,'Sales Data'!$A:$A,$B23,'Sales Data'!$F:$F,$C$2,'Sales Data'!$G:$G,"&lt;="&amp;12)/Mapping!$C$2</f>
        <v>0</v>
      </c>
      <c r="Y23" s="38">
        <f t="shared" si="41"/>
        <v>0</v>
      </c>
      <c r="Z23" s="39" t="str">
        <f t="shared" si="42"/>
        <v>N/A</v>
      </c>
      <c r="AA23" s="38">
        <f t="shared" si="43"/>
        <v>0</v>
      </c>
      <c r="AB23" s="39" t="str">
        <f t="shared" si="44"/>
        <v>N/A</v>
      </c>
      <c r="AC23" s="38" t="e">
        <f>W23-#REF!</f>
        <v>#REF!</v>
      </c>
      <c r="AD23" s="41" t="str">
        <f>IF(ISERROR((W23/#REF!)-1),"N/A",(W23/#REF!)-1)</f>
        <v>N/A</v>
      </c>
      <c r="AF23" s="42">
        <f>N23/Summary!$D$3</f>
        <v>0</v>
      </c>
      <c r="AG23" s="42">
        <f>(V23-N23)/Summary!$E$3</f>
        <v>0</v>
      </c>
      <c r="AH23" s="30">
        <f t="shared" si="45"/>
        <v>0</v>
      </c>
      <c r="AJ23" s="30">
        <f t="shared" si="46"/>
        <v>0</v>
      </c>
      <c r="AK23" s="30">
        <f t="shared" si="47"/>
        <v>0</v>
      </c>
      <c r="AL23" s="30">
        <f t="shared" si="48"/>
        <v>0</v>
      </c>
      <c r="AM23" s="30">
        <f t="shared" si="49"/>
        <v>0</v>
      </c>
      <c r="AN23" s="31">
        <f t="shared" si="50"/>
        <v>0</v>
      </c>
      <c r="AP23" s="32">
        <f t="shared" si="51"/>
        <v>0</v>
      </c>
      <c r="AQ23" s="32">
        <f t="shared" si="52"/>
        <v>0</v>
      </c>
      <c r="AS23" s="33">
        <f>SUMIFS('Sales Data'!$E:$E,'Sales Data'!$A:$A,$B23,'Sales Data'!$B:$B,AS$6,'Sales Data'!$C:$C,"Periodic")/Mapping!$C$2</f>
        <v>0</v>
      </c>
      <c r="AT23" s="33">
        <f>SUMIFS('Sales Data'!$E:$E,'Sales Data'!$A:$A,$B23,'Sales Data'!$B:$B,AT$6,'Sales Data'!$C:$C,"Periodic")/Mapping!$C$2</f>
        <v>0</v>
      </c>
      <c r="AU23" s="33">
        <f>SUMIFS('Sales Data'!$E:$E,'Sales Data'!$A:$A,$B23,'Sales Data'!$B:$B,AU$6,'Sales Data'!$C:$C,"Periodic")/Mapping!$C$2</f>
        <v>0</v>
      </c>
      <c r="AV23" s="33">
        <f>SUMIFS('Sales Data'!$E:$E,'Sales Data'!$A:$A,$B23,'Sales Data'!$B:$B,AV$6,'Sales Data'!$C:$C,"Periodic")/Mapping!$C$2</f>
        <v>0</v>
      </c>
      <c r="AW23" s="33">
        <f>SUMIFS('Sales Data'!$E:$E,'Sales Data'!$A:$A,$B23,'Sales Data'!$B:$B,AW$6,'Sales Data'!$C:$C,"Periodic")/Mapping!$C$2</f>
        <v>0</v>
      </c>
      <c r="AX23" s="33">
        <f>SUMIFS('Sales Data'!$E:$E,'Sales Data'!$A:$A,$B23,'Sales Data'!$B:$B,AX$6,'Sales Data'!$C:$C,"Periodic")/Mapping!$C$2</f>
        <v>0</v>
      </c>
      <c r="AY23" s="33">
        <f>SUMIFS('Sales Data'!$E:$E,'Sales Data'!$A:$A,$B23,'Sales Data'!$B:$B,AY$6,'Sales Data'!$C:$C,"Periodic")/Mapping!$C$2</f>
        <v>0</v>
      </c>
      <c r="AZ23" s="33">
        <f>SUMIFS('Sales Data'!$E:$E,'Sales Data'!$A:$A,$B23,'Sales Data'!$B:$B,AZ$6,'Sales Data'!$C:$C,"Periodic")/Mapping!$C$2</f>
        <v>0</v>
      </c>
      <c r="BA23" s="33">
        <f>SUMIFS('Sales Data'!$E:$E,'Sales Data'!$A:$A,$B23,'Sales Data'!$B:$B,BA$6,'Sales Data'!$C:$C,"Periodic")/Mapping!$C$2</f>
        <v>0</v>
      </c>
      <c r="BB23" s="33">
        <f>SUMIFS('Sales Data'!$E:$E,'Sales Data'!$A:$A,$B23,'Sales Data'!$B:$B,BB$6,'Sales Data'!$C:$C,"Periodic")/Mapping!$C$2</f>
        <v>0</v>
      </c>
      <c r="BC23" s="33">
        <f>SUMIFS('Sales Data'!$E:$E,'Sales Data'!$A:$A,$B23,'Sales Data'!$B:$B,BC$6,'Sales Data'!$C:$C,"Periodic")/Mapping!$C$2</f>
        <v>0</v>
      </c>
      <c r="BD23" s="33">
        <f>SUMIFS('Sales Data'!$E:$E,'Sales Data'!$A:$A,$B23,'Sales Data'!$B:$B,BD$6,'Sales Data'!$C:$C,"Periodic")/Mapping!$C$2</f>
        <v>0</v>
      </c>
      <c r="BE23" s="33">
        <f t="shared" si="53"/>
        <v>0</v>
      </c>
      <c r="BF23" s="33"/>
      <c r="BG23" s="33">
        <f>SUMIFS('Sales Data'!$E:$E,'Sales Data'!$A:$A,$B23,'Sales Data'!$B:$B,BG$6,'Sales Data'!$C:$C,"Periodic")/Mapping!$C$2</f>
        <v>0</v>
      </c>
      <c r="BH23" s="33">
        <f>SUMIFS('Sales Data'!$E:$E,'Sales Data'!$A:$A,$B23,'Sales Data'!$B:$B,BH$6,'Sales Data'!$C:$C,"Periodic")/Mapping!$C$2</f>
        <v>0</v>
      </c>
      <c r="BI23" s="33">
        <f>SUMIFS('Sales Data'!$E:$E,'Sales Data'!$A:$A,$B23,'Sales Data'!$B:$B,BI$6,'Sales Data'!$C:$C,"Periodic")/Mapping!$C$2</f>
        <v>0</v>
      </c>
      <c r="BJ23" s="33">
        <f>SUMIFS('Sales Data'!$E:$E,'Sales Data'!$A:$A,$B23,'Sales Data'!$B:$B,BJ$6,'Sales Data'!$C:$C,"Periodic")/Mapping!$C$2</f>
        <v>0</v>
      </c>
      <c r="BK23" s="33">
        <f>SUMIFS('Sales Data'!$E:$E,'Sales Data'!$A:$A,$B23,'Sales Data'!$B:$B,BK$6,'Sales Data'!$C:$C,"Periodic")/Mapping!$C$2</f>
        <v>0</v>
      </c>
      <c r="BL23" s="33">
        <f>SUMIFS('Sales Data'!$E:$E,'Sales Data'!$A:$A,$B23,'Sales Data'!$B:$B,BL$6,'Sales Data'!$C:$C,"Periodic")/Mapping!$C$2</f>
        <v>0</v>
      </c>
      <c r="BM23" s="33">
        <f>SUMIFS('Sales Data'!$E:$E,'Sales Data'!$A:$A,$B23,'Sales Data'!$B:$B,BM$6,'Sales Data'!$C:$C,"Periodic")/Mapping!$C$2</f>
        <v>0</v>
      </c>
      <c r="BN23" s="33">
        <f>SUMIFS('Sales Data'!$E:$E,'Sales Data'!$A:$A,$B23,'Sales Data'!$B:$B,BN$6,'Sales Data'!$C:$C,"Periodic")/Mapping!$C$2</f>
        <v>0</v>
      </c>
      <c r="BO23" s="33">
        <f>SUMIFS('Sales Data'!$E:$E,'Sales Data'!$A:$A,$B23,'Sales Data'!$B:$B,BO$6,'Sales Data'!$C:$C,"Periodic")/Mapping!$C$2</f>
        <v>0</v>
      </c>
      <c r="BP23" s="33">
        <f>SUMIFS('Sales Data'!$E:$E,'Sales Data'!$A:$A,$B23,'Sales Data'!$B:$B,BP$6,'Sales Data'!$C:$C,"Periodic")/Mapping!$C$2</f>
        <v>0</v>
      </c>
      <c r="BQ23" s="33">
        <f>SUMIFS('Sales Data'!$E:$E,'Sales Data'!$A:$A,$B23,'Sales Data'!$B:$B,BQ$6,'Sales Data'!$C:$C,"Periodic")/Mapping!$C$2</f>
        <v>0</v>
      </c>
      <c r="BR23" s="33">
        <f>SUMIFS('Sales Data'!$E:$E,'Sales Data'!$A:$A,$B23,'Sales Data'!$B:$B,BR$6,'Sales Data'!$C:$C,"Periodic")/Mapping!$C$2</f>
        <v>0</v>
      </c>
      <c r="BS23" s="33"/>
      <c r="BT23" s="33">
        <f t="shared" si="54"/>
        <v>0</v>
      </c>
      <c r="BU23" s="33">
        <f t="shared" si="55"/>
        <v>0</v>
      </c>
      <c r="BV23" s="33">
        <f t="shared" si="56"/>
        <v>0</v>
      </c>
      <c r="BW23" s="33">
        <f t="shared" si="57"/>
        <v>0</v>
      </c>
      <c r="BX23" s="33">
        <f t="shared" si="58"/>
        <v>0</v>
      </c>
      <c r="BY23" s="33">
        <f t="shared" si="59"/>
        <v>0</v>
      </c>
      <c r="BZ23" s="33">
        <f t="shared" si="60"/>
        <v>0</v>
      </c>
      <c r="CA23" s="33">
        <f t="shared" si="61"/>
        <v>0</v>
      </c>
      <c r="CB23" s="33">
        <f t="shared" si="62"/>
        <v>0</v>
      </c>
      <c r="CC23" s="33">
        <f t="shared" si="63"/>
        <v>0</v>
      </c>
      <c r="CD23" s="33">
        <f t="shared" si="64"/>
        <v>0</v>
      </c>
      <c r="CE23" s="33">
        <f t="shared" si="65"/>
        <v>0</v>
      </c>
      <c r="CF23" s="33">
        <f t="shared" si="66"/>
        <v>0</v>
      </c>
      <c r="CH23" s="33">
        <f t="shared" si="67"/>
        <v>0</v>
      </c>
      <c r="CI23" s="33">
        <f t="shared" si="68"/>
        <v>0</v>
      </c>
      <c r="CJ23" s="33">
        <f t="shared" si="69"/>
        <v>0</v>
      </c>
      <c r="CK23" s="33">
        <f t="shared" si="70"/>
        <v>0</v>
      </c>
      <c r="CL23" s="33">
        <f t="shared" si="71"/>
        <v>0</v>
      </c>
      <c r="CM23" s="33">
        <f t="shared" si="72"/>
        <v>0</v>
      </c>
      <c r="CN23" s="33">
        <f t="shared" si="73"/>
        <v>0</v>
      </c>
      <c r="CO23" s="33">
        <f t="shared" si="74"/>
        <v>0</v>
      </c>
      <c r="CP23" s="33">
        <f t="shared" si="75"/>
        <v>0</v>
      </c>
      <c r="CQ23" s="33">
        <f t="shared" si="76"/>
        <v>0</v>
      </c>
      <c r="CR23" s="33">
        <f t="shared" si="77"/>
        <v>0</v>
      </c>
      <c r="CS23" s="33">
        <f t="shared" si="78"/>
        <v>0</v>
      </c>
      <c r="CT23" s="35">
        <f t="shared" si="79"/>
        <v>0</v>
      </c>
      <c r="CV23" s="35">
        <f t="shared" si="80"/>
        <v>0</v>
      </c>
      <c r="CW23" s="35">
        <f t="shared" si="81"/>
        <v>0</v>
      </c>
      <c r="CX23" s="35">
        <f t="shared" si="82"/>
        <v>0</v>
      </c>
      <c r="CZ23" s="42">
        <f>N23+Summary!$E$3*CV23</f>
        <v>0</v>
      </c>
      <c r="DA23" s="42">
        <f>N23+CW23*Summary!$E$3</f>
        <v>0</v>
      </c>
      <c r="DB23" s="32">
        <f>N23+CX23*Summary!$E$3</f>
        <v>0</v>
      </c>
    </row>
    <row r="24" spans="1:106" s="15" customFormat="1" ht="15" outlineLevel="1" x14ac:dyDescent="0.25">
      <c r="A24" s="1"/>
      <c r="B24" s="22" t="str">
        <f>Mapping!A19</f>
        <v>Placeholder 14</v>
      </c>
      <c r="C24" s="37">
        <f>SUMIFS('Sales Data'!$E:$E,'Sales Data'!$A:$A,$B24,'Sales Data'!$B:$B,Summary!$C$3&amp;" "&amp;Summary!$C$2-1,'Sales Data'!$C:$C,"Periodic")/Mapping!$C$2</f>
        <v>0</v>
      </c>
      <c r="D24" s="37">
        <f>SUMIFS('Sales Data'!$D:$D,'Sales Data'!$A:$A,$B24,'Sales Data'!$B:$B,Summary!$C$3&amp;" "&amp;Summary!$C$2,'Sales Data'!$C:$C,"Periodic")/Mapping!$C$2</f>
        <v>0</v>
      </c>
      <c r="E24" s="37">
        <f>SUMIFS('Sales Data'!$E:$E,'Sales Data'!$A:$A,$B24,'Sales Data'!$B:$B,Summary!$C$3&amp;" "&amp;Summary!$C$2,'Sales Data'!$C:$C,"Periodic")/Mapping!$C$2</f>
        <v>0</v>
      </c>
      <c r="G24" s="38">
        <f>E24-C24</f>
        <v>0</v>
      </c>
      <c r="H24" s="39" t="str">
        <f>IF(ISERROR((E24/C24)-1),"N/A",(E24/C24)-1)</f>
        <v>N/A</v>
      </c>
      <c r="I24" s="38">
        <f>E24-D24</f>
        <v>0</v>
      </c>
      <c r="J24" s="39" t="str">
        <f>IF(ISERROR((E24/D24)-1),"N/A",(E24/D24)-1)</f>
        <v>N/A</v>
      </c>
      <c r="K24" s="1"/>
      <c r="L24" s="40">
        <f>SUMIFS('Sales Data'!$E:$E,'Sales Data'!$A:$A,$B24,'Sales Data'!$F:$F,$C$2-1,'Sales Data'!$G:$G,"&lt;="&amp;$D$3)/Mapping!$C$2</f>
        <v>0</v>
      </c>
      <c r="M24" s="37">
        <f>SUMIFS('Sales Data'!$D:$D,'Sales Data'!$A:$A,$B24,'Sales Data'!$F:$F,$C$2,'Sales Data'!$G:$G,"&lt;="&amp;$D$3)/Mapping!$C$2</f>
        <v>0</v>
      </c>
      <c r="N24" s="37">
        <f>SUMIFS('Sales Data'!$E:$E,'Sales Data'!$A:$A,$B24,'Sales Data'!$F:$F,$C$2,'Sales Data'!$G:$G,"&lt;="&amp;$D$3)/Mapping!$C$2</f>
        <v>0</v>
      </c>
      <c r="O24" s="1"/>
      <c r="P24" s="38">
        <f>N24-L24</f>
        <v>0</v>
      </c>
      <c r="Q24" s="39" t="str">
        <f>IF(ISERROR((N24/L24)-1),"N/A",(N24/L24)-1)</f>
        <v>N/A</v>
      </c>
      <c r="R24" s="38">
        <f>N24-M24</f>
        <v>0</v>
      </c>
      <c r="S24" s="39" t="str">
        <f>IF(ISERROR((N24/M24)-1),"N/A",(N24/M24)-1)</f>
        <v>N/A</v>
      </c>
      <c r="T24" s="1"/>
      <c r="U24" s="40">
        <f>SUMIFS('Sales Data'!$E:$E,'Sales Data'!$A:$A,$B24,'Sales Data'!$F:$F,$C$2-1,'Sales Data'!$G:$G,"&lt;="&amp;12)/Mapping!$C$2</f>
        <v>0</v>
      </c>
      <c r="V24" s="37">
        <f>SUMIFS('Sales Data'!$D:$D,'Sales Data'!$A:$A,$B24,'Sales Data'!$F:$F,$C$2,'Sales Data'!$G:$G,"&lt;="&amp;12)/Mapping!$C$2</f>
        <v>0</v>
      </c>
      <c r="W24" s="37">
        <f>SUMIFS('Sales Data'!$E:$E,'Sales Data'!$A:$A,$B24,'Sales Data'!$F:$F,$C$2,'Sales Data'!$G:$G,"&lt;="&amp;12)/Mapping!$C$2</f>
        <v>0</v>
      </c>
      <c r="Y24" s="38">
        <f>W24-U24</f>
        <v>0</v>
      </c>
      <c r="Z24" s="39" t="str">
        <f>IF(ISERROR((W24/U24)-1),"N/A",(W24/U24)-1)</f>
        <v>N/A</v>
      </c>
      <c r="AA24" s="38">
        <f>W24-V24</f>
        <v>0</v>
      </c>
      <c r="AB24" s="39" t="str">
        <f>IF(ISERROR((W24/V24)-1),"N/A",(W24/V24)-1)</f>
        <v>N/A</v>
      </c>
      <c r="AC24" s="38" t="e">
        <f>W24-#REF!</f>
        <v>#REF!</v>
      </c>
      <c r="AD24" s="41" t="str">
        <f>IF(ISERROR((W24/#REF!)-1),"N/A",(W24/#REF!)-1)</f>
        <v>N/A</v>
      </c>
      <c r="AF24" s="42">
        <f>N24/Summary!$D$3</f>
        <v>0</v>
      </c>
      <c r="AG24" s="42">
        <f>(V24-N24)/Summary!$E$3</f>
        <v>0</v>
      </c>
      <c r="AH24" s="30">
        <f t="shared" si="25"/>
        <v>0</v>
      </c>
      <c r="AJ24" s="30">
        <f>CZ24-V24</f>
        <v>0</v>
      </c>
      <c r="AK24" s="30">
        <f>DA24-V24</f>
        <v>0</v>
      </c>
      <c r="AL24" s="30">
        <f>DB24-V24</f>
        <v>0</v>
      </c>
      <c r="AM24" s="30">
        <f>CT24-V24</f>
        <v>0</v>
      </c>
      <c r="AN24" s="31">
        <f>CF24-V24</f>
        <v>0</v>
      </c>
      <c r="AP24" s="32">
        <f>U24-L24</f>
        <v>0</v>
      </c>
      <c r="AQ24" s="32">
        <f t="shared" si="26"/>
        <v>0</v>
      </c>
      <c r="AS24" s="33">
        <f>SUMIFS('Sales Data'!$E:$E,'Sales Data'!$A:$A,$B24,'Sales Data'!$B:$B,AS$6,'Sales Data'!$C:$C,"Periodic")/Mapping!$C$2</f>
        <v>0</v>
      </c>
      <c r="AT24" s="33">
        <f>SUMIFS('Sales Data'!$E:$E,'Sales Data'!$A:$A,$B24,'Sales Data'!$B:$B,AT$6,'Sales Data'!$C:$C,"Periodic")/Mapping!$C$2</f>
        <v>0</v>
      </c>
      <c r="AU24" s="33">
        <f>SUMIFS('Sales Data'!$E:$E,'Sales Data'!$A:$A,$B24,'Sales Data'!$B:$B,AU$6,'Sales Data'!$C:$C,"Periodic")/Mapping!$C$2</f>
        <v>0</v>
      </c>
      <c r="AV24" s="33">
        <f>SUMIFS('Sales Data'!$E:$E,'Sales Data'!$A:$A,$B24,'Sales Data'!$B:$B,AV$6,'Sales Data'!$C:$C,"Periodic")/Mapping!$C$2</f>
        <v>0</v>
      </c>
      <c r="AW24" s="33">
        <f>SUMIFS('Sales Data'!$E:$E,'Sales Data'!$A:$A,$B24,'Sales Data'!$B:$B,AW$6,'Sales Data'!$C:$C,"Periodic")/Mapping!$C$2</f>
        <v>0</v>
      </c>
      <c r="AX24" s="33">
        <f>SUMIFS('Sales Data'!$E:$E,'Sales Data'!$A:$A,$B24,'Sales Data'!$B:$B,AX$6,'Sales Data'!$C:$C,"Periodic")/Mapping!$C$2</f>
        <v>0</v>
      </c>
      <c r="AY24" s="33">
        <f>SUMIFS('Sales Data'!$E:$E,'Sales Data'!$A:$A,$B24,'Sales Data'!$B:$B,AY$6,'Sales Data'!$C:$C,"Periodic")/Mapping!$C$2</f>
        <v>0</v>
      </c>
      <c r="AZ24" s="33">
        <f>SUMIFS('Sales Data'!$E:$E,'Sales Data'!$A:$A,$B24,'Sales Data'!$B:$B,AZ$6,'Sales Data'!$C:$C,"Periodic")/Mapping!$C$2</f>
        <v>0</v>
      </c>
      <c r="BA24" s="33">
        <f>SUMIFS('Sales Data'!$E:$E,'Sales Data'!$A:$A,$B24,'Sales Data'!$B:$B,BA$6,'Sales Data'!$C:$C,"Periodic")/Mapping!$C$2</f>
        <v>0</v>
      </c>
      <c r="BB24" s="33">
        <f>SUMIFS('Sales Data'!$E:$E,'Sales Data'!$A:$A,$B24,'Sales Data'!$B:$B,BB$6,'Sales Data'!$C:$C,"Periodic")/Mapping!$C$2</f>
        <v>0</v>
      </c>
      <c r="BC24" s="33">
        <f>SUMIFS('Sales Data'!$E:$E,'Sales Data'!$A:$A,$B24,'Sales Data'!$B:$B,BC$6,'Sales Data'!$C:$C,"Periodic")/Mapping!$C$2</f>
        <v>0</v>
      </c>
      <c r="BD24" s="33">
        <f>SUMIFS('Sales Data'!$E:$E,'Sales Data'!$A:$A,$B24,'Sales Data'!$B:$B,BD$6,'Sales Data'!$C:$C,"Periodic")/Mapping!$C$2</f>
        <v>0</v>
      </c>
      <c r="BE24" s="33">
        <f t="shared" si="27"/>
        <v>0</v>
      </c>
      <c r="BF24" s="33"/>
      <c r="BG24" s="33">
        <f>SUMIFS('Sales Data'!$E:$E,'Sales Data'!$A:$A,$B24,'Sales Data'!$B:$B,BG$6,'Sales Data'!$C:$C,"Periodic")/Mapping!$C$2</f>
        <v>0</v>
      </c>
      <c r="BH24" s="33">
        <f>SUMIFS('Sales Data'!$E:$E,'Sales Data'!$A:$A,$B24,'Sales Data'!$B:$B,BH$6,'Sales Data'!$C:$C,"Periodic")/Mapping!$C$2</f>
        <v>0</v>
      </c>
      <c r="BI24" s="33">
        <f>SUMIFS('Sales Data'!$E:$E,'Sales Data'!$A:$A,$B24,'Sales Data'!$B:$B,BI$6,'Sales Data'!$C:$C,"Periodic")/Mapping!$C$2</f>
        <v>0</v>
      </c>
      <c r="BJ24" s="33">
        <f>SUMIFS('Sales Data'!$E:$E,'Sales Data'!$A:$A,$B24,'Sales Data'!$B:$B,BJ$6,'Sales Data'!$C:$C,"Periodic")/Mapping!$C$2</f>
        <v>0</v>
      </c>
      <c r="BK24" s="33">
        <f>SUMIFS('Sales Data'!$E:$E,'Sales Data'!$A:$A,$B24,'Sales Data'!$B:$B,BK$6,'Sales Data'!$C:$C,"Periodic")/Mapping!$C$2</f>
        <v>0</v>
      </c>
      <c r="BL24" s="33">
        <f>SUMIFS('Sales Data'!$E:$E,'Sales Data'!$A:$A,$B24,'Sales Data'!$B:$B,BL$6,'Sales Data'!$C:$C,"Periodic")/Mapping!$C$2</f>
        <v>0</v>
      </c>
      <c r="BM24" s="33">
        <f>SUMIFS('Sales Data'!$E:$E,'Sales Data'!$A:$A,$B24,'Sales Data'!$B:$B,BM$6,'Sales Data'!$C:$C,"Periodic")/Mapping!$C$2</f>
        <v>0</v>
      </c>
      <c r="BN24" s="33">
        <f>SUMIFS('Sales Data'!$E:$E,'Sales Data'!$A:$A,$B24,'Sales Data'!$B:$B,BN$6,'Sales Data'!$C:$C,"Periodic")/Mapping!$C$2</f>
        <v>0</v>
      </c>
      <c r="BO24" s="33">
        <f>SUMIFS('Sales Data'!$E:$E,'Sales Data'!$A:$A,$B24,'Sales Data'!$B:$B,BO$6,'Sales Data'!$C:$C,"Periodic")/Mapping!$C$2</f>
        <v>0</v>
      </c>
      <c r="BP24" s="33">
        <f>SUMIFS('Sales Data'!$E:$E,'Sales Data'!$A:$A,$B24,'Sales Data'!$B:$B,BP$6,'Sales Data'!$C:$C,"Periodic")/Mapping!$C$2</f>
        <v>0</v>
      </c>
      <c r="BQ24" s="33">
        <f>SUMIFS('Sales Data'!$E:$E,'Sales Data'!$A:$A,$B24,'Sales Data'!$B:$B,BQ$6,'Sales Data'!$C:$C,"Periodic")/Mapping!$C$2</f>
        <v>0</v>
      </c>
      <c r="BR24" s="33">
        <f>SUMIFS('Sales Data'!$E:$E,'Sales Data'!$A:$A,$B24,'Sales Data'!$B:$B,BR$6,'Sales Data'!$C:$C,"Periodic")/Mapping!$C$2</f>
        <v>0</v>
      </c>
      <c r="BS24" s="33"/>
      <c r="BT24" s="33">
        <f t="shared" si="1"/>
        <v>0</v>
      </c>
      <c r="BU24" s="33">
        <f t="shared" si="2"/>
        <v>0</v>
      </c>
      <c r="BV24" s="33">
        <f t="shared" si="3"/>
        <v>0</v>
      </c>
      <c r="BW24" s="33">
        <f t="shared" si="4"/>
        <v>0</v>
      </c>
      <c r="BX24" s="33">
        <f t="shared" si="5"/>
        <v>0</v>
      </c>
      <c r="BY24" s="33">
        <f t="shared" si="6"/>
        <v>0</v>
      </c>
      <c r="BZ24" s="33">
        <f t="shared" si="7"/>
        <v>0</v>
      </c>
      <c r="CA24" s="33">
        <f t="shared" si="8"/>
        <v>0</v>
      </c>
      <c r="CB24" s="33">
        <f t="shared" si="9"/>
        <v>0</v>
      </c>
      <c r="CC24" s="33">
        <f t="shared" si="10"/>
        <v>0</v>
      </c>
      <c r="CD24" s="33">
        <f t="shared" si="11"/>
        <v>0</v>
      </c>
      <c r="CE24" s="33">
        <f t="shared" si="12"/>
        <v>0</v>
      </c>
      <c r="CF24" s="33">
        <f t="shared" si="28"/>
        <v>0</v>
      </c>
      <c r="CH24" s="33">
        <f t="shared" si="13"/>
        <v>0</v>
      </c>
      <c r="CI24" s="33">
        <f t="shared" si="14"/>
        <v>0</v>
      </c>
      <c r="CJ24" s="33">
        <f t="shared" si="15"/>
        <v>0</v>
      </c>
      <c r="CK24" s="33">
        <f t="shared" si="16"/>
        <v>0</v>
      </c>
      <c r="CL24" s="33">
        <f t="shared" si="17"/>
        <v>0</v>
      </c>
      <c r="CM24" s="33">
        <f t="shared" si="18"/>
        <v>0</v>
      </c>
      <c r="CN24" s="33">
        <f t="shared" si="19"/>
        <v>0</v>
      </c>
      <c r="CO24" s="33">
        <f t="shared" si="20"/>
        <v>0</v>
      </c>
      <c r="CP24" s="33">
        <f t="shared" si="21"/>
        <v>0</v>
      </c>
      <c r="CQ24" s="33">
        <f t="shared" si="22"/>
        <v>0</v>
      </c>
      <c r="CR24" s="33">
        <f t="shared" si="23"/>
        <v>0</v>
      </c>
      <c r="CS24" s="33">
        <f t="shared" si="24"/>
        <v>0</v>
      </c>
      <c r="CT24" s="35">
        <f t="shared" si="29"/>
        <v>0</v>
      </c>
      <c r="CV24" s="35">
        <f t="shared" si="30"/>
        <v>0</v>
      </c>
      <c r="CW24" s="35">
        <f t="shared" si="31"/>
        <v>0</v>
      </c>
      <c r="CX24" s="35">
        <f t="shared" si="32"/>
        <v>0</v>
      </c>
      <c r="CZ24" s="42">
        <f>N24+Summary!$E$3*CV24</f>
        <v>0</v>
      </c>
      <c r="DA24" s="42">
        <f>N24+CW24*Summary!$E$3</f>
        <v>0</v>
      </c>
      <c r="DB24" s="32">
        <f>N24+CX24*Summary!$E$3</f>
        <v>0</v>
      </c>
    </row>
    <row r="25" spans="1:106" s="43" customFormat="1" ht="15" x14ac:dyDescent="0.25">
      <c r="B25" s="44" t="s">
        <v>131</v>
      </c>
      <c r="C25" s="45">
        <f>SUM(C7:C24)</f>
        <v>3365.5091899694899</v>
      </c>
      <c r="D25" s="46">
        <f t="shared" ref="D25:E25" si="83">SUM(D7:D24)</f>
        <v>3493.5557258693198</v>
      </c>
      <c r="E25" s="45">
        <f t="shared" si="83"/>
        <v>3196.138113471</v>
      </c>
      <c r="G25" s="47">
        <f>E25-C25</f>
        <v>-169.37107649848986</v>
      </c>
      <c r="H25" s="48">
        <f>IF(ISERROR((E25/C25)-1),"N/A",(E25/C25)-1)</f>
        <v>-5.0325542715283889E-2</v>
      </c>
      <c r="I25" s="47">
        <f>E25-D25</f>
        <v>-297.41761239831976</v>
      </c>
      <c r="J25" s="48">
        <f>IF(ISERROR((E25/D25)-1),"N/A",(E25/D25)-1)</f>
        <v>-8.5133209754171491E-2</v>
      </c>
      <c r="L25" s="46">
        <f>SUM(L7:L24)</f>
        <v>19752.417560580063</v>
      </c>
      <c r="M25" s="46">
        <f t="shared" ref="M25" si="84">SUM(M7:M24)</f>
        <v>22596.702152455789</v>
      </c>
      <c r="N25" s="45">
        <f t="shared" ref="N25" si="85">SUM(N7:N24)</f>
        <v>22473.943947807005</v>
      </c>
      <c r="O25" s="49"/>
      <c r="P25" s="47">
        <f>N25-L25</f>
        <v>2721.5263872269425</v>
      </c>
      <c r="Q25" s="48">
        <f>IF(ISERROR((N25/L25)-1),"N/A",(N25/L25)-1)</f>
        <v>0.13778193878699163</v>
      </c>
      <c r="R25" s="47">
        <f>N25-M25</f>
        <v>-122.75820464878416</v>
      </c>
      <c r="S25" s="48">
        <f>IF(ISERROR((N25/M25)-1),"N/A",(N25/M25)-1)</f>
        <v>-5.4325717009746644E-3</v>
      </c>
      <c r="U25" s="46">
        <f>SUM(U7:U24)</f>
        <v>34649.196602839402</v>
      </c>
      <c r="V25" s="46">
        <f t="shared" ref="V25" si="86">SUM(V7:V24)</f>
        <v>39600.101593454805</v>
      </c>
      <c r="W25" s="45">
        <f t="shared" ref="W25" si="87">SUM(W7:W24)</f>
        <v>22473.943947807005</v>
      </c>
      <c r="Y25" s="47">
        <f>W25-U25</f>
        <v>-12175.252655032396</v>
      </c>
      <c r="Z25" s="48">
        <f>IF(ISERROR((W25/U25)-1),"N/A",(W25/U25)-1)</f>
        <v>-0.35138629026782886</v>
      </c>
      <c r="AA25" s="47">
        <f>W25-V25</f>
        <v>-17126.1576456478</v>
      </c>
      <c r="AB25" s="48">
        <f>IF(ISERROR((W25/V25)-1),"N/A",(W25/V25)-1)</f>
        <v>-0.43247761890788805</v>
      </c>
      <c r="AC25" s="50" t="e">
        <f>W25-#REF!</f>
        <v>#REF!</v>
      </c>
      <c r="AD25" s="51" t="str">
        <f>IF(ISERROR((W25/#REF!)-1),"N/A",(W25/#REF!)-1)</f>
        <v>N/A</v>
      </c>
      <c r="AF25" s="52">
        <f>N25/Summary!$D$3</f>
        <v>3210.5634211152865</v>
      </c>
      <c r="AG25" s="52">
        <f>(V25-N25)/Summary!$E$3</f>
        <v>3425.2315291295599</v>
      </c>
      <c r="AH25" s="53">
        <f t="shared" si="25"/>
        <v>214.66810801427346</v>
      </c>
      <c r="AJ25" s="47">
        <f t="shared" ref="AJ25" si="88">SUM(AJ7:AJ24)</f>
        <v>2223.4312605914124</v>
      </c>
      <c r="AK25" s="47">
        <f t="shared" ref="AK25" si="89">SUM(AK7:AK24)</f>
        <v>1924.3818364639124</v>
      </c>
      <c r="AL25" s="47">
        <f t="shared" ref="AL25" si="90">SUM(AL7:AL24)</f>
        <v>1588.6731123857217</v>
      </c>
      <c r="AM25" s="47">
        <f t="shared" ref="AM25" si="91">SUM(AM7:AM24)</f>
        <v>5606.048339211402</v>
      </c>
      <c r="AN25" s="47">
        <f t="shared" ref="AN25" si="92">SUM(AN7:AN24)</f>
        <v>-35.698958755910553</v>
      </c>
      <c r="AP25" s="54">
        <f>U25-L25</f>
        <v>14896.779042259339</v>
      </c>
      <c r="AQ25" s="54">
        <f t="shared" si="26"/>
        <v>17126.1576456478</v>
      </c>
      <c r="AS25" s="55">
        <f t="shared" ref="AS25" si="93">SUM(AS7:AS24)</f>
        <v>3385.7319838799999</v>
      </c>
      <c r="AT25" s="55">
        <f t="shared" ref="AT25" si="94">SUM(AT7:AT24)</f>
        <v>2756.9595498750004</v>
      </c>
      <c r="AU25" s="55">
        <f t="shared" ref="AU25" si="95">SUM(AU7:AU24)</f>
        <v>3895.923425982</v>
      </c>
      <c r="AV25" s="55">
        <f t="shared" ref="AV25" si="96">SUM(AV7:AV24)</f>
        <v>2711.79335163</v>
      </c>
      <c r="AW25" s="55">
        <f t="shared" ref="AW25" si="97">SUM(AW7:AW24)</f>
        <v>2952.9275781060001</v>
      </c>
      <c r="AX25" s="55">
        <f t="shared" ref="AX25" si="98">SUM(AX7:AX24)</f>
        <v>3574.4699448629999</v>
      </c>
      <c r="AY25" s="55">
        <f t="shared" ref="AY25" si="99">SUM(AY7:AY24)</f>
        <v>3196.138113471</v>
      </c>
      <c r="AZ25" s="55">
        <f t="shared" ref="AZ25" si="100">SUM(AZ7:AZ24)</f>
        <v>0</v>
      </c>
      <c r="BA25" s="55">
        <f t="shared" ref="BA25" si="101">SUM(BA7:BA24)</f>
        <v>0</v>
      </c>
      <c r="BB25" s="55">
        <f t="shared" ref="BB25" si="102">SUM(BB7:BB24)</f>
        <v>0</v>
      </c>
      <c r="BC25" s="55">
        <f t="shared" ref="BC25" si="103">SUM(BC7:BC24)</f>
        <v>0</v>
      </c>
      <c r="BD25" s="55">
        <f t="shared" ref="BD25" si="104">SUM(BD7:BD24)</f>
        <v>0</v>
      </c>
      <c r="BE25" s="55">
        <f t="shared" ref="BE25" si="105">SUM(BE7:BE24)</f>
        <v>22473.943947806998</v>
      </c>
      <c r="BF25" s="34"/>
      <c r="BG25" s="55">
        <f t="shared" ref="BG25" si="106">SUM(BG7:BG24)</f>
        <v>2686.8064499044622</v>
      </c>
      <c r="BH25" s="55">
        <f t="shared" ref="BH25" si="107">SUM(BH7:BH24)</f>
        <v>2877.2225508224724</v>
      </c>
      <c r="BI25" s="55">
        <f t="shared" ref="BI25" si="108">SUM(BI7:BI24)</f>
        <v>3134.8695588259866</v>
      </c>
      <c r="BJ25" s="55">
        <f t="shared" ref="BJ25" si="109">SUM(BJ7:BJ24)</f>
        <v>3219.2640907963046</v>
      </c>
      <c r="BK25" s="55">
        <f t="shared" ref="BK25" si="110">SUM(BK7:BK24)</f>
        <v>2978.6163919101191</v>
      </c>
      <c r="BL25" s="55">
        <f t="shared" ref="BL25" si="111">SUM(BL7:BL24)</f>
        <v>3385.7319838799999</v>
      </c>
      <c r="BM25" s="55">
        <f t="shared" ref="BM25" si="112">SUM(BM7:BM24)</f>
        <v>2756.9595498750004</v>
      </c>
      <c r="BN25" s="55">
        <f t="shared" ref="BN25" si="113">SUM(BN7:BN24)</f>
        <v>3895.923425982</v>
      </c>
      <c r="BO25" s="55">
        <f t="shared" ref="BO25" si="114">SUM(BO7:BO24)</f>
        <v>2711.79335163</v>
      </c>
      <c r="BP25" s="55">
        <f t="shared" ref="BP25" si="115">SUM(BP7:BP24)</f>
        <v>2952.9275781060001</v>
      </c>
      <c r="BQ25" s="55">
        <f t="shared" ref="BQ25" si="116">SUM(BQ7:BQ24)</f>
        <v>3574.4699448629999</v>
      </c>
      <c r="BR25" s="55">
        <f t="shared" ref="BR25" si="117">SUM(BR7:BR24)</f>
        <v>3196.138113471</v>
      </c>
      <c r="BS25" s="34"/>
      <c r="BT25" s="55">
        <f t="shared" ref="BT25" si="118">SUM(BT7:BT24)</f>
        <v>3385.7319838799999</v>
      </c>
      <c r="BU25" s="55">
        <f t="shared" ref="BU25" si="119">SUM(BU7:BU24)</f>
        <v>2756.9595498750004</v>
      </c>
      <c r="BV25" s="55">
        <f t="shared" ref="BV25" si="120">SUM(BV7:BV24)</f>
        <v>3895.923425982</v>
      </c>
      <c r="BW25" s="55">
        <f t="shared" ref="BW25" si="121">SUM(BW7:BW24)</f>
        <v>2711.79335163</v>
      </c>
      <c r="BX25" s="55">
        <f t="shared" ref="BX25" si="122">SUM(BX7:BX24)</f>
        <v>2952.9275781060001</v>
      </c>
      <c r="BY25" s="55">
        <f t="shared" ref="BY25" si="123">SUM(BY7:BY24)</f>
        <v>3574.4699448629999</v>
      </c>
      <c r="BZ25" s="55">
        <f t="shared" ref="BZ25" si="124">SUM(BZ7:BZ24)</f>
        <v>3196.138113471</v>
      </c>
      <c r="CA25" s="55">
        <f t="shared" ref="CA25" si="125">SUM(CA7:CA24)</f>
        <v>2831.2717808658044</v>
      </c>
      <c r="CB25" s="55">
        <f t="shared" ref="CB25" si="126">SUM(CB7:CB24)</f>
        <v>2810.3121412381706</v>
      </c>
      <c r="CC25" s="55">
        <f t="shared" ref="CC25" si="127">SUM(CC7:CC24)</f>
        <v>2789.3525016105368</v>
      </c>
      <c r="CD25" s="55">
        <f t="shared" ref="CD25" si="128">SUM(CD7:CD24)</f>
        <v>2768.3928619829026</v>
      </c>
      <c r="CE25" s="55">
        <f t="shared" ref="CE25" si="129">SUM(CE7:CE24)</f>
        <v>2747.4332223552688</v>
      </c>
      <c r="CF25" s="55">
        <f t="shared" ref="CF25" si="130">SUM(CF7:CF24)</f>
        <v>36420.706455859683</v>
      </c>
      <c r="CH25" s="55">
        <f t="shared" ref="CH25" si="131">SUM(CH7:CH24)</f>
        <v>3385.7319838799999</v>
      </c>
      <c r="CI25" s="55">
        <f t="shared" ref="CI25" si="132">SUM(CI7:CI24)</f>
        <v>2756.9595498750004</v>
      </c>
      <c r="CJ25" s="55">
        <f t="shared" ref="CJ25" si="133">SUM(CJ7:CJ24)</f>
        <v>3895.923425982</v>
      </c>
      <c r="CK25" s="55">
        <f t="shared" ref="CK25" si="134">SUM(CK7:CK24)</f>
        <v>2711.79335163</v>
      </c>
      <c r="CL25" s="55">
        <f t="shared" ref="CL25" si="135">SUM(CL7:CL24)</f>
        <v>2952.9275781060001</v>
      </c>
      <c r="CM25" s="55">
        <f t="shared" ref="CM25" si="136">SUM(CM7:CM24)</f>
        <v>3574.4699448629999</v>
      </c>
      <c r="CN25" s="55">
        <f t="shared" ref="CN25" si="137">SUM(CN7:CN24)</f>
        <v>3196.138113471</v>
      </c>
      <c r="CO25" s="55">
        <f t="shared" ref="CO25" si="138">SUM(CO7:CO24)</f>
        <v>3833.5495839983423</v>
      </c>
      <c r="CP25" s="55">
        <f t="shared" ref="CP25" si="139">SUM(CP7:CP24)</f>
        <v>3875.6257726011709</v>
      </c>
      <c r="CQ25" s="55">
        <f t="shared" ref="CQ25" si="140">SUM(CQ7:CQ24)</f>
        <v>3917.7019612039994</v>
      </c>
      <c r="CR25" s="55">
        <f t="shared" ref="CR25" si="141">SUM(CR7:CR24)</f>
        <v>3959.778149806828</v>
      </c>
      <c r="CS25" s="55">
        <f t="shared" ref="CS25" si="142">SUM(CS7:CS24)</f>
        <v>4001.8543384096565</v>
      </c>
      <c r="CT25" s="55">
        <f t="shared" ref="CT25" si="143">SUM(CT7:CT24)</f>
        <v>42062.453753826994</v>
      </c>
      <c r="CV25" s="55">
        <f t="shared" si="30"/>
        <v>3241.1785454799997</v>
      </c>
      <c r="CW25" s="55">
        <f t="shared" si="31"/>
        <v>3181.3686606545002</v>
      </c>
      <c r="CX25" s="55">
        <f t="shared" si="32"/>
        <v>3114.2269158388626</v>
      </c>
      <c r="CZ25" s="52">
        <f>N25+Summary!$E$3*CV25</f>
        <v>38679.836675207</v>
      </c>
      <c r="DA25" s="52">
        <f>N25+CW25*Summary!$E$3</f>
        <v>38380.787251079506</v>
      </c>
      <c r="DB25" s="54">
        <f>N25+CX25*Summary!$E$3</f>
        <v>38045.078527001315</v>
      </c>
    </row>
    <row r="26" spans="1:106" x14ac:dyDescent="0.2">
      <c r="DB26" s="56"/>
    </row>
    <row r="28" spans="1:106" x14ac:dyDescent="0.2">
      <c r="C28" s="1"/>
      <c r="D28" s="1"/>
      <c r="E28" s="1"/>
      <c r="U28" s="57"/>
      <c r="V28" s="57"/>
      <c r="W28" s="57"/>
    </row>
    <row r="29" spans="1:106" x14ac:dyDescent="0.2">
      <c r="C29" s="1"/>
      <c r="D29" s="1"/>
      <c r="E29" s="1"/>
    </row>
  </sheetData>
  <mergeCells count="19">
    <mergeCell ref="CZ5:DB5"/>
    <mergeCell ref="C5:E5"/>
    <mergeCell ref="G5:J5"/>
    <mergeCell ref="L5:N5"/>
    <mergeCell ref="P5:S5"/>
    <mergeCell ref="U5:W5"/>
    <mergeCell ref="Y5:AD5"/>
    <mergeCell ref="AF5:AH5"/>
    <mergeCell ref="AJ5:AN5"/>
    <mergeCell ref="AA6:AB6"/>
    <mergeCell ref="BT4:CF4"/>
    <mergeCell ref="CH4:CT4"/>
    <mergeCell ref="CV4:CX4"/>
    <mergeCell ref="G6:H6"/>
    <mergeCell ref="I6:J6"/>
    <mergeCell ref="P6:Q6"/>
    <mergeCell ref="R6:S6"/>
    <mergeCell ref="Y6:Z6"/>
    <mergeCell ref="AS5:BE5"/>
  </mergeCells>
  <conditionalFormatting sqref="Z7:Z25 Q7:Q25 H7:H25 J8:J24">
    <cfRule type="cellIs" dxfId="407" priority="1176" operator="greaterThan">
      <formula>0</formula>
    </cfRule>
    <cfRule type="cellIs" dxfId="406" priority="1177" operator="lessThan">
      <formula>0</formula>
    </cfRule>
  </conditionalFormatting>
  <conditionalFormatting sqref="H25 J25">
    <cfRule type="cellIs" dxfId="405" priority="1165" operator="greaterThan">
      <formula>0</formula>
    </cfRule>
    <cfRule type="cellIs" dxfId="404" priority="1166" operator="lessThan">
      <formula>0</formula>
    </cfRule>
  </conditionalFormatting>
  <conditionalFormatting sqref="J7">
    <cfRule type="cellIs" dxfId="403" priority="1163" operator="greaterThan">
      <formula>0</formula>
    </cfRule>
    <cfRule type="cellIs" dxfId="402" priority="1164" operator="lessThan">
      <formula>0</formula>
    </cfRule>
  </conditionalFormatting>
  <conditionalFormatting sqref="H9">
    <cfRule type="cellIs" dxfId="401" priority="1157" operator="greaterThan">
      <formula>0</formula>
    </cfRule>
    <cfRule type="cellIs" dxfId="400" priority="1158" operator="lessThan">
      <formula>0</formula>
    </cfRule>
  </conditionalFormatting>
  <conditionalFormatting sqref="G8:G24">
    <cfRule type="cellIs" dxfId="399" priority="1155" operator="greaterThan">
      <formula>0</formula>
    </cfRule>
    <cfRule type="cellIs" dxfId="398" priority="1156" operator="lessThan">
      <formula>0</formula>
    </cfRule>
  </conditionalFormatting>
  <conditionalFormatting sqref="G25">
    <cfRule type="cellIs" dxfId="397" priority="1145" operator="greaterThan">
      <formula>0</formula>
    </cfRule>
    <cfRule type="cellIs" dxfId="396" priority="1146" operator="lessThan">
      <formula>0</formula>
    </cfRule>
  </conditionalFormatting>
  <conditionalFormatting sqref="G7">
    <cfRule type="cellIs" dxfId="395" priority="1143" operator="greaterThan">
      <formula>0</formula>
    </cfRule>
    <cfRule type="cellIs" dxfId="394" priority="1144" operator="lessThan">
      <formula>0</formula>
    </cfRule>
  </conditionalFormatting>
  <conditionalFormatting sqref="G9">
    <cfRule type="cellIs" dxfId="393" priority="1141" operator="greaterThan">
      <formula>0</formula>
    </cfRule>
    <cfRule type="cellIs" dxfId="392" priority="1142" operator="lessThan">
      <formula>0</formula>
    </cfRule>
  </conditionalFormatting>
  <conditionalFormatting sqref="I8:I24">
    <cfRule type="cellIs" dxfId="391" priority="1139" operator="greaterThan">
      <formula>0</formula>
    </cfRule>
    <cfRule type="cellIs" dxfId="390" priority="1140" operator="lessThan">
      <formula>0</formula>
    </cfRule>
  </conditionalFormatting>
  <conditionalFormatting sqref="I25">
    <cfRule type="cellIs" dxfId="389" priority="1129" operator="greaterThan">
      <formula>0</formula>
    </cfRule>
    <cfRule type="cellIs" dxfId="388" priority="1130" operator="lessThan">
      <formula>0</formula>
    </cfRule>
  </conditionalFormatting>
  <conditionalFormatting sqref="I7">
    <cfRule type="cellIs" dxfId="387" priority="1127" operator="greaterThan">
      <formula>0</formula>
    </cfRule>
    <cfRule type="cellIs" dxfId="386" priority="1128" operator="lessThan">
      <formula>0</formula>
    </cfRule>
  </conditionalFormatting>
  <conditionalFormatting sqref="I9">
    <cfRule type="cellIs" dxfId="385" priority="1125" operator="greaterThan">
      <formula>0</formula>
    </cfRule>
    <cfRule type="cellIs" dxfId="384" priority="1126" operator="lessThan">
      <formula>0</formula>
    </cfRule>
  </conditionalFormatting>
  <conditionalFormatting sqref="S8:S24 Q8:Q24">
    <cfRule type="cellIs" dxfId="383" priority="1067" operator="greaterThan">
      <formula>0</formula>
    </cfRule>
    <cfRule type="cellIs" dxfId="382" priority="1068" operator="lessThan">
      <formula>0</formula>
    </cfRule>
  </conditionalFormatting>
  <conditionalFormatting sqref="Q25 S25">
    <cfRule type="cellIs" dxfId="381" priority="1057" operator="greaterThan">
      <formula>0</formula>
    </cfRule>
    <cfRule type="cellIs" dxfId="380" priority="1058" operator="lessThan">
      <formula>0</formula>
    </cfRule>
  </conditionalFormatting>
  <conditionalFormatting sqref="S7">
    <cfRule type="cellIs" dxfId="379" priority="1055" operator="greaterThan">
      <formula>0</formula>
    </cfRule>
    <cfRule type="cellIs" dxfId="378" priority="1056" operator="lessThan">
      <formula>0</formula>
    </cfRule>
  </conditionalFormatting>
  <conditionalFormatting sqref="Q9">
    <cfRule type="cellIs" dxfId="377" priority="1053" operator="greaterThan">
      <formula>0</formula>
    </cfRule>
    <cfRule type="cellIs" dxfId="376" priority="1054" operator="lessThan">
      <formula>0</formula>
    </cfRule>
  </conditionalFormatting>
  <conditionalFormatting sqref="P8:P24">
    <cfRule type="cellIs" dxfId="375" priority="1051" operator="greaterThan">
      <formula>0</formula>
    </cfRule>
    <cfRule type="cellIs" dxfId="374" priority="1052" operator="lessThan">
      <formula>0</formula>
    </cfRule>
  </conditionalFormatting>
  <conditionalFormatting sqref="P25">
    <cfRule type="cellIs" dxfId="373" priority="1041" operator="greaterThan">
      <formula>0</formula>
    </cfRule>
    <cfRule type="cellIs" dxfId="372" priority="1042" operator="lessThan">
      <formula>0</formula>
    </cfRule>
  </conditionalFormatting>
  <conditionalFormatting sqref="P7">
    <cfRule type="cellIs" dxfId="371" priority="1039" operator="greaterThan">
      <formula>0</formula>
    </cfRule>
    <cfRule type="cellIs" dxfId="370" priority="1040" operator="lessThan">
      <formula>0</formula>
    </cfRule>
  </conditionalFormatting>
  <conditionalFormatting sqref="P9">
    <cfRule type="cellIs" dxfId="369" priority="1037" operator="greaterThan">
      <formula>0</formula>
    </cfRule>
    <cfRule type="cellIs" dxfId="368" priority="1038" operator="lessThan">
      <formula>0</formula>
    </cfRule>
  </conditionalFormatting>
  <conditionalFormatting sqref="R8:R24">
    <cfRule type="cellIs" dxfId="367" priority="1035" operator="greaterThan">
      <formula>0</formula>
    </cfRule>
    <cfRule type="cellIs" dxfId="366" priority="1036" operator="lessThan">
      <formula>0</formula>
    </cfRule>
  </conditionalFormatting>
  <conditionalFormatting sqref="R25">
    <cfRule type="cellIs" dxfId="365" priority="1025" operator="greaterThan">
      <formula>0</formula>
    </cfRule>
    <cfRule type="cellIs" dxfId="364" priority="1026" operator="lessThan">
      <formula>0</formula>
    </cfRule>
  </conditionalFormatting>
  <conditionalFormatting sqref="R7">
    <cfRule type="cellIs" dxfId="363" priority="1023" operator="greaterThan">
      <formula>0</formula>
    </cfRule>
    <cfRule type="cellIs" dxfId="362" priority="1024" operator="lessThan">
      <formula>0</formula>
    </cfRule>
  </conditionalFormatting>
  <conditionalFormatting sqref="R9">
    <cfRule type="cellIs" dxfId="361" priority="1021" operator="greaterThan">
      <formula>0</formula>
    </cfRule>
    <cfRule type="cellIs" dxfId="360" priority="1022" operator="lessThan">
      <formula>0</formula>
    </cfRule>
  </conditionalFormatting>
  <conditionalFormatting sqref="AD8:AD24 AB8:AB24 Z8:Z24">
    <cfRule type="cellIs" dxfId="359" priority="963" operator="greaterThan">
      <formula>0</formula>
    </cfRule>
    <cfRule type="cellIs" dxfId="358" priority="964" operator="lessThan">
      <formula>0</formula>
    </cfRule>
  </conditionalFormatting>
  <conditionalFormatting sqref="Z25 AB25 AD25">
    <cfRule type="cellIs" dxfId="357" priority="953" operator="greaterThan">
      <formula>0</formula>
    </cfRule>
    <cfRule type="cellIs" dxfId="356" priority="954" operator="lessThan">
      <formula>0</formula>
    </cfRule>
  </conditionalFormatting>
  <conditionalFormatting sqref="AB7 AD7">
    <cfRule type="cellIs" dxfId="355" priority="951" operator="greaterThan">
      <formula>0</formula>
    </cfRule>
    <cfRule type="cellIs" dxfId="354" priority="952" operator="lessThan">
      <formula>0</formula>
    </cfRule>
  </conditionalFormatting>
  <conditionalFormatting sqref="Z9">
    <cfRule type="cellIs" dxfId="353" priority="949" operator="greaterThan">
      <formula>0</formula>
    </cfRule>
    <cfRule type="cellIs" dxfId="352" priority="950" operator="lessThan">
      <formula>0</formula>
    </cfRule>
  </conditionalFormatting>
  <conditionalFormatting sqref="Y8:Y24">
    <cfRule type="cellIs" dxfId="351" priority="947" operator="greaterThan">
      <formula>0</formula>
    </cfRule>
    <cfRule type="cellIs" dxfId="350" priority="948" operator="lessThan">
      <formula>0</formula>
    </cfRule>
  </conditionalFormatting>
  <conditionalFormatting sqref="Y25">
    <cfRule type="cellIs" dxfId="349" priority="937" operator="greaterThan">
      <formula>0</formula>
    </cfRule>
    <cfRule type="cellIs" dxfId="348" priority="938" operator="lessThan">
      <formula>0</formula>
    </cfRule>
  </conditionalFormatting>
  <conditionalFormatting sqref="Y7">
    <cfRule type="cellIs" dxfId="347" priority="935" operator="greaterThan">
      <formula>0</formula>
    </cfRule>
    <cfRule type="cellIs" dxfId="346" priority="936" operator="lessThan">
      <formula>0</formula>
    </cfRule>
  </conditionalFormatting>
  <conditionalFormatting sqref="Y9">
    <cfRule type="cellIs" dxfId="345" priority="933" operator="greaterThan">
      <formula>0</formula>
    </cfRule>
    <cfRule type="cellIs" dxfId="344" priority="934" operator="lessThan">
      <formula>0</formula>
    </cfRule>
  </conditionalFormatting>
  <conditionalFormatting sqref="AA8:AA24">
    <cfRule type="cellIs" dxfId="343" priority="931" operator="greaterThan">
      <formula>0</formula>
    </cfRule>
    <cfRule type="cellIs" dxfId="342" priority="932" operator="lessThan">
      <formula>0</formula>
    </cfRule>
  </conditionalFormatting>
  <conditionalFormatting sqref="AA25">
    <cfRule type="cellIs" dxfId="341" priority="921" operator="greaterThan">
      <formula>0</formula>
    </cfRule>
    <cfRule type="cellIs" dxfId="340" priority="922" operator="lessThan">
      <formula>0</formula>
    </cfRule>
  </conditionalFormatting>
  <conditionalFormatting sqref="AA7">
    <cfRule type="cellIs" dxfId="339" priority="919" operator="greaterThan">
      <formula>0</formula>
    </cfRule>
    <cfRule type="cellIs" dxfId="338" priority="920" operator="lessThan">
      <formula>0</formula>
    </cfRule>
  </conditionalFormatting>
  <conditionalFormatting sqref="AA9">
    <cfRule type="cellIs" dxfId="337" priority="917" operator="greaterThan">
      <formula>0</formula>
    </cfRule>
    <cfRule type="cellIs" dxfId="336" priority="918" operator="lessThan">
      <formula>0</formula>
    </cfRule>
  </conditionalFormatting>
  <conditionalFormatting sqref="AC8:AC24">
    <cfRule type="cellIs" dxfId="335" priority="915" operator="greaterThan">
      <formula>0</formula>
    </cfRule>
    <cfRule type="cellIs" dxfId="334" priority="916" operator="lessThan">
      <formula>0</formula>
    </cfRule>
  </conditionalFormatting>
  <conditionalFormatting sqref="AC25">
    <cfRule type="cellIs" dxfId="333" priority="905" operator="greaterThan">
      <formula>0</formula>
    </cfRule>
    <cfRule type="cellIs" dxfId="332" priority="906" operator="lessThan">
      <formula>0</formula>
    </cfRule>
  </conditionalFormatting>
  <conditionalFormatting sqref="AC7">
    <cfRule type="cellIs" dxfId="331" priority="903" operator="greaterThan">
      <formula>0</formula>
    </cfRule>
    <cfRule type="cellIs" dxfId="330" priority="904" operator="lessThan">
      <formula>0</formula>
    </cfRule>
  </conditionalFormatting>
  <conditionalFormatting sqref="AC9">
    <cfRule type="cellIs" dxfId="329" priority="901" operator="greaterThan">
      <formula>0</formula>
    </cfRule>
    <cfRule type="cellIs" dxfId="328" priority="902" operator="lessThan">
      <formula>0</formula>
    </cfRule>
  </conditionalFormatting>
  <conditionalFormatting sqref="AH7:AH25">
    <cfRule type="cellIs" dxfId="327" priority="859" operator="lessThan">
      <formula>0</formula>
    </cfRule>
    <cfRule type="cellIs" dxfId="326" priority="860" operator="greaterThan">
      <formula>0</formula>
    </cfRule>
  </conditionalFormatting>
  <conditionalFormatting sqref="AN7:AN24 AJ7:AJ24">
    <cfRule type="cellIs" dxfId="325" priority="811" operator="lessThan">
      <formula>0</formula>
    </cfRule>
    <cfRule type="cellIs" dxfId="324" priority="812" operator="greaterThan">
      <formula>0</formula>
    </cfRule>
  </conditionalFormatting>
  <conditionalFormatting sqref="AN7:AN24 AJ7:AJ24">
    <cfRule type="cellIs" dxfId="323" priority="809" operator="lessThan">
      <formula>-10</formula>
    </cfRule>
    <cfRule type="cellIs" dxfId="322" priority="810" operator="greaterThan">
      <formula>10</formula>
    </cfRule>
  </conditionalFormatting>
  <conditionalFormatting sqref="AJ25">
    <cfRule type="cellIs" dxfId="321" priority="807" operator="greaterThan">
      <formula>0</formula>
    </cfRule>
    <cfRule type="cellIs" dxfId="320" priority="808" operator="lessThan">
      <formula>0</formula>
    </cfRule>
  </conditionalFormatting>
  <conditionalFormatting sqref="AK7:AK24">
    <cfRule type="cellIs" dxfId="319" priority="805" operator="lessThan">
      <formula>0</formula>
    </cfRule>
    <cfRule type="cellIs" dxfId="318" priority="806" operator="greaterThan">
      <formula>0</formula>
    </cfRule>
  </conditionalFormatting>
  <conditionalFormatting sqref="AK7:AK24">
    <cfRule type="cellIs" dxfId="317" priority="803" operator="lessThan">
      <formula>-10</formula>
    </cfRule>
    <cfRule type="cellIs" dxfId="316" priority="804" operator="greaterThan">
      <formula>10</formula>
    </cfRule>
  </conditionalFormatting>
  <conditionalFormatting sqref="AK25">
    <cfRule type="cellIs" dxfId="315" priority="801" operator="greaterThan">
      <formula>0</formula>
    </cfRule>
    <cfRule type="cellIs" dxfId="314" priority="802" operator="lessThan">
      <formula>0</formula>
    </cfRule>
  </conditionalFormatting>
  <conditionalFormatting sqref="AL7:AL24">
    <cfRule type="cellIs" dxfId="313" priority="799" operator="lessThan">
      <formula>0</formula>
    </cfRule>
    <cfRule type="cellIs" dxfId="312" priority="800" operator="greaterThan">
      <formula>0</formula>
    </cfRule>
  </conditionalFormatting>
  <conditionalFormatting sqref="AL7:AL24">
    <cfRule type="cellIs" dxfId="311" priority="797" operator="lessThan">
      <formula>-10</formula>
    </cfRule>
    <cfRule type="cellIs" dxfId="310" priority="798" operator="greaterThan">
      <formula>10</formula>
    </cfRule>
  </conditionalFormatting>
  <conditionalFormatting sqref="AL25">
    <cfRule type="cellIs" dxfId="309" priority="795" operator="greaterThan">
      <formula>0</formula>
    </cfRule>
    <cfRule type="cellIs" dxfId="308" priority="796" operator="lessThan">
      <formula>0</formula>
    </cfRule>
  </conditionalFormatting>
  <conditionalFormatting sqref="AM7:AM24">
    <cfRule type="cellIs" dxfId="307" priority="793" operator="lessThan">
      <formula>0</formula>
    </cfRule>
    <cfRule type="cellIs" dxfId="306" priority="794" operator="greaterThan">
      <formula>0</formula>
    </cfRule>
  </conditionalFormatting>
  <conditionalFormatting sqref="AM7:AM24">
    <cfRule type="cellIs" dxfId="305" priority="791" operator="lessThan">
      <formula>-10</formula>
    </cfRule>
    <cfRule type="cellIs" dxfId="304" priority="792" operator="greaterThan">
      <formula>10</formula>
    </cfRule>
  </conditionalFormatting>
  <conditionalFormatting sqref="AM25">
    <cfRule type="cellIs" dxfId="303" priority="789" operator="greaterThan">
      <formula>0</formula>
    </cfRule>
    <cfRule type="cellIs" dxfId="302" priority="790" operator="lessThan">
      <formula>0</formula>
    </cfRule>
  </conditionalFormatting>
  <conditionalFormatting sqref="AN25">
    <cfRule type="cellIs" dxfId="301" priority="787" operator="greaterThan">
      <formula>0</formula>
    </cfRule>
    <cfRule type="cellIs" dxfId="300" priority="788" operator="lessThan">
      <formula>0</formula>
    </cfRule>
  </conditionalFormatting>
  <pageMargins left="0.7" right="0.7" top="0.75" bottom="0.75" header="0.3" footer="0.3"/>
  <pageSetup orientation="portrait" verticalDpi="300" r:id="rId1"/>
  <customProperties>
    <customPr name="_pios_id" r:id="rId2"/>
    <customPr name="FPMExcelClientCellBasedFunctionStatus" r:id="rId3"/>
    <customPr name="FPMExcelClientRefreshTime" r:id="rId4"/>
  </customProperties>
  <ignoredErrors>
    <ignoredError sqref="BG26:BR26" formula="1"/>
  </ignoredErrors>
  <drawing r:id="rId5"/>
  <legacyDrawing r:id="rId6"/>
  <controls>
    <mc:AlternateContent xmlns:mc="http://schemas.openxmlformats.org/markup-compatibility/2006">
      <mc:Choice Requires="x14">
        <control shapeId="485377" r:id="rId7" name="FPMExcelClientSheetOptions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885825</xdr:colOff>
                <xdr:row>0</xdr:row>
                <xdr:rowOff>0</xdr:rowOff>
              </to>
            </anchor>
          </controlPr>
        </control>
      </mc:Choice>
      <mc:Fallback>
        <control shapeId="485377" r:id="rId7" name="FPMExcelClientSheetOptionstb1"/>
      </mc:Fallback>
    </mc:AlternateContent>
    <mc:AlternateContent xmlns:mc="http://schemas.openxmlformats.org/markup-compatibility/2006">
      <mc:Choice Requires="x14">
        <control shapeId="485378" r:id="rId9" name="MultipleReportManager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885825</xdr:colOff>
                <xdr:row>0</xdr:row>
                <xdr:rowOff>0</xdr:rowOff>
              </to>
            </anchor>
          </controlPr>
        </control>
      </mc:Choice>
      <mc:Fallback>
        <control shapeId="485378" r:id="rId9" name="MultipleReportManagerInfotb1"/>
      </mc:Fallback>
    </mc:AlternateContent>
    <mc:AlternateContent xmlns:mc="http://schemas.openxmlformats.org/markup-compatibility/2006">
      <mc:Choice Requires="x14">
        <control shapeId="485379" r:id="rId11" name="ConnectionDescriptorsInfo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885825</xdr:colOff>
                <xdr:row>0</xdr:row>
                <xdr:rowOff>0</xdr:rowOff>
              </to>
            </anchor>
          </controlPr>
        </control>
      </mc:Choice>
      <mc:Fallback>
        <control shapeId="485379" r:id="rId11" name="ConnectionDescriptorsInfotb1"/>
      </mc:Fallback>
    </mc:AlternateContent>
    <mc:AlternateContent xmlns:mc="http://schemas.openxmlformats.org/markup-compatibility/2006">
      <mc:Choice Requires="x14">
        <control shapeId="485380" r:id="rId13" name="AnalyzerDynReport000tb1">
          <controlPr defaultSize="0" autoLine="0" autoPict="0" r:id="rId14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885825</xdr:colOff>
                <xdr:row>0</xdr:row>
                <xdr:rowOff>0</xdr:rowOff>
              </to>
            </anchor>
          </controlPr>
        </control>
      </mc:Choice>
      <mc:Fallback>
        <control shapeId="485380" r:id="rId13" name="AnalyzerDynReport000tb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702D48-3B58-4688-BAA1-E7355FE5187B}">
          <x14:formula1>
            <xm:f>Mapping!$D$2:$D$13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69CC-CAE1-4FFB-BE7E-0F80674D9039}">
  <sheetPr codeName="Sheet95">
    <tabColor rgb="FF50B47F"/>
  </sheetPr>
  <dimension ref="A1:CE116"/>
  <sheetViews>
    <sheetView showGridLines="0" topLeftCell="D5" zoomScale="85" zoomScaleNormal="85" workbookViewId="0">
      <selection activeCell="BV10" sqref="BV10"/>
    </sheetView>
  </sheetViews>
  <sheetFormatPr defaultColWidth="8.7109375" defaultRowHeight="12.75" outlineLevelCol="1" x14ac:dyDescent="0.2"/>
  <cols>
    <col min="1" max="1" width="26.42578125" style="1" hidden="1" customWidth="1" outlineLevel="1"/>
    <col min="2" max="2" width="19.140625" style="1" hidden="1" customWidth="1" outlineLevel="1"/>
    <col min="3" max="3" width="8.140625" style="1" hidden="1" customWidth="1" outlineLevel="1"/>
    <col min="4" max="4" width="2.7109375" style="1" customWidth="1" collapsed="1"/>
    <col min="5" max="5" width="28.85546875" style="1" customWidth="1"/>
    <col min="6" max="17" width="11.7109375" style="1" customWidth="1"/>
    <col min="18" max="18" width="10.28515625" style="1" customWidth="1"/>
    <col min="19" max="19" width="2.28515625" style="1" customWidth="1"/>
    <col min="20" max="20" width="19" style="1" customWidth="1"/>
    <col min="21" max="24" width="8.7109375" style="1" customWidth="1"/>
    <col min="25" max="25" width="3" style="1" customWidth="1"/>
    <col min="26" max="26" width="19" style="1" customWidth="1"/>
    <col min="27" max="27" width="11" style="1" customWidth="1"/>
    <col min="28" max="30" width="8.7109375" style="1" customWidth="1"/>
    <col min="31" max="32" width="12.7109375" style="1" customWidth="1"/>
    <col min="33" max="33" width="28.42578125" style="1" hidden="1" customWidth="1" outlineLevel="1"/>
    <col min="34" max="34" width="15.5703125" style="1" hidden="1" customWidth="1" outlineLevel="1"/>
    <col min="35" max="35" width="9.85546875" style="1" hidden="1" customWidth="1" outlineLevel="1"/>
    <col min="36" max="36" width="9.42578125" style="1" hidden="1" customWidth="1" outlineLevel="1"/>
    <col min="37" max="37" width="10.140625" style="84" hidden="1" customWidth="1" outlineLevel="1"/>
    <col min="38" max="38" width="9.85546875" style="84" hidden="1" customWidth="1" outlineLevel="1"/>
    <col min="39" max="39" width="10.140625" style="84" hidden="1" customWidth="1" outlineLevel="1"/>
    <col min="40" max="41" width="9.42578125" style="84" hidden="1" customWidth="1" outlineLevel="1"/>
    <col min="42" max="42" width="10.140625" style="84" hidden="1" customWidth="1" outlineLevel="1"/>
    <col min="43" max="43" width="9.85546875" style="84" hidden="1" customWidth="1" outlineLevel="1"/>
    <col min="44" max="44" width="10.140625" style="84" hidden="1" customWidth="1" outlineLevel="1"/>
    <col min="45" max="46" width="9.85546875" style="84" hidden="1" customWidth="1" outlineLevel="1"/>
    <col min="47" max="47" width="11.28515625" style="84" hidden="1" customWidth="1" outlineLevel="1"/>
    <col min="48" max="48" width="9.42578125" style="84" hidden="1" customWidth="1" outlineLevel="1"/>
    <col min="49" max="49" width="10.140625" style="84" hidden="1" customWidth="1" outlineLevel="1"/>
    <col min="50" max="50" width="9.85546875" style="84" hidden="1" customWidth="1" outlineLevel="1"/>
    <col min="51" max="51" width="10.140625" style="84" hidden="1" customWidth="1" outlineLevel="1"/>
    <col min="52" max="52" width="9.42578125" style="84" hidden="1" customWidth="1" outlineLevel="1"/>
    <col min="53" max="53" width="9.140625" style="84" hidden="1" customWidth="1" outlineLevel="1"/>
    <col min="54" max="54" width="9.85546875" style="84" hidden="1" customWidth="1" outlineLevel="1"/>
    <col min="55" max="56" width="9.42578125" style="84" hidden="1" customWidth="1" outlineLevel="1"/>
    <col min="57" max="57" width="9.85546875" style="84" hidden="1" customWidth="1" outlineLevel="1"/>
    <col min="58" max="58" width="18.140625" style="84" hidden="1" customWidth="1" outlineLevel="1"/>
    <col min="59" max="59" width="17.7109375" style="84" hidden="1" customWidth="1" outlineLevel="1"/>
    <col min="60" max="71" width="10.7109375" style="84" hidden="1" customWidth="1" outlineLevel="1"/>
    <col min="72" max="72" width="17.42578125" style="84" customWidth="1" collapsed="1"/>
    <col min="73" max="73" width="12.7109375" style="84" customWidth="1"/>
    <col min="74" max="74" width="15.42578125" style="84" customWidth="1"/>
    <col min="75" max="208" width="9.7109375" style="1" customWidth="1"/>
    <col min="209" max="16384" width="8.7109375" style="1"/>
  </cols>
  <sheetData>
    <row r="1" spans="1:83" x14ac:dyDescent="0.2">
      <c r="J1" s="75"/>
      <c r="U1" s="56"/>
      <c r="AG1" s="76"/>
      <c r="AH1" s="76"/>
      <c r="AI1" s="76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8"/>
      <c r="BS1" s="78"/>
      <c r="BT1" s="78"/>
      <c r="BU1" s="78"/>
      <c r="BV1" s="78"/>
      <c r="BW1" s="78"/>
      <c r="BX1" s="79"/>
      <c r="BY1" s="79"/>
      <c r="BZ1" s="79"/>
      <c r="CA1" s="79"/>
    </row>
    <row r="2" spans="1:83" ht="16.899999999999999" customHeight="1" x14ac:dyDescent="0.2">
      <c r="E2" s="4" t="s">
        <v>93</v>
      </c>
      <c r="I2" s="75"/>
      <c r="J2" s="75"/>
      <c r="K2" s="75"/>
      <c r="L2" s="75"/>
      <c r="M2" s="75"/>
      <c r="N2" s="81"/>
      <c r="O2" s="81"/>
      <c r="P2" s="75"/>
      <c r="Q2" s="75"/>
      <c r="R2" s="82"/>
      <c r="S2" s="83"/>
      <c r="AG2" s="76"/>
      <c r="AH2" s="76"/>
      <c r="AI2" s="76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</row>
    <row r="3" spans="1:83" ht="10.15" customHeight="1" x14ac:dyDescent="0.35">
      <c r="E3" s="85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6"/>
      <c r="S3" s="83"/>
      <c r="AG3" s="76"/>
      <c r="AH3" s="76"/>
      <c r="AI3" s="76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</row>
    <row r="4" spans="1:83" s="15" customFormat="1" ht="17.25" customHeight="1" x14ac:dyDescent="0.25">
      <c r="E4" s="87"/>
      <c r="S4" s="17"/>
      <c r="T4" s="88" t="s">
        <v>54</v>
      </c>
      <c r="Z4" s="88" t="s">
        <v>98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7"/>
      <c r="AY4" s="77"/>
      <c r="AZ4" s="77"/>
      <c r="BA4" s="77"/>
      <c r="BB4" s="77"/>
      <c r="BC4" s="77"/>
      <c r="BD4" s="77"/>
      <c r="BE4" s="77"/>
      <c r="BF4" s="6" t="s">
        <v>85</v>
      </c>
      <c r="BG4" s="6" t="s">
        <v>84</v>
      </c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89"/>
      <c r="BV4" s="89"/>
    </row>
    <row r="5" spans="1:83" ht="15.75" x14ac:dyDescent="0.25">
      <c r="E5" s="80" t="s">
        <v>54</v>
      </c>
      <c r="F5" s="90" t="str">
        <f>Mapping!$D$2</f>
        <v>Jan</v>
      </c>
      <c r="G5" s="90" t="str">
        <f>Mapping!$D$3</f>
        <v>Feb</v>
      </c>
      <c r="H5" s="90" t="str">
        <f>Mapping!$D$4</f>
        <v>Mar</v>
      </c>
      <c r="I5" s="90" t="str">
        <f>Mapping!$D$5</f>
        <v>Apr</v>
      </c>
      <c r="J5" s="90" t="str">
        <f>Mapping!$D$6</f>
        <v>May</v>
      </c>
      <c r="K5" s="90" t="str">
        <f>Mapping!$D$7</f>
        <v>Jun</v>
      </c>
      <c r="L5" s="90" t="str">
        <f>Mapping!$D$8</f>
        <v>Jul</v>
      </c>
      <c r="M5" s="90" t="str">
        <f>Mapping!$D$9</f>
        <v>Aug</v>
      </c>
      <c r="N5" s="90" t="str">
        <f>Mapping!$D$10</f>
        <v>Sep</v>
      </c>
      <c r="O5" s="90" t="str">
        <f>Mapping!$D$11</f>
        <v>Oct</v>
      </c>
      <c r="P5" s="90" t="str">
        <f>Mapping!$D$12</f>
        <v>Nov</v>
      </c>
      <c r="Q5" s="90" t="str">
        <f>Mapping!$D$13</f>
        <v>Dec</v>
      </c>
      <c r="R5" s="91" t="s">
        <v>14</v>
      </c>
      <c r="S5" s="92"/>
      <c r="T5" s="93" t="str">
        <f>Z5</f>
        <v>Forecast based on:</v>
      </c>
      <c r="U5" s="94"/>
      <c r="V5" s="95"/>
      <c r="W5" s="96" t="str">
        <f>AC5</f>
        <v>FY</v>
      </c>
      <c r="X5" s="96" t="str">
        <f>AD5</f>
        <v>vs. LO</v>
      </c>
      <c r="Y5" s="76"/>
      <c r="Z5" s="93" t="s">
        <v>19</v>
      </c>
      <c r="AA5" s="94"/>
      <c r="AB5" s="95"/>
      <c r="AC5" s="96" t="s">
        <v>14</v>
      </c>
      <c r="AD5" s="97" t="s">
        <v>20</v>
      </c>
      <c r="AE5" s="76"/>
      <c r="AF5" s="76"/>
      <c r="AG5" s="98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7"/>
      <c r="AX5" s="77"/>
      <c r="AY5" s="77"/>
      <c r="AZ5" s="77"/>
      <c r="BA5" s="77"/>
      <c r="BB5" s="77"/>
      <c r="BC5" s="77"/>
      <c r="BD5" s="77"/>
      <c r="BE5" s="77"/>
      <c r="BF5" s="99">
        <f>Summary!$D$3</f>
        <v>7</v>
      </c>
      <c r="BG5" s="99">
        <f>BF5-1</f>
        <v>6</v>
      </c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</row>
    <row r="6" spans="1:83" ht="15" x14ac:dyDescent="0.25">
      <c r="A6" s="100">
        <f>Summary!$C$2-2</f>
        <v>2018</v>
      </c>
      <c r="B6" s="101" t="str">
        <f>Mapping!$B$2</f>
        <v>Actual</v>
      </c>
      <c r="E6" s="102" t="str">
        <f>A6&amp;" "&amp;B6</f>
        <v>2018 Actual</v>
      </c>
      <c r="F6" s="103">
        <f>SUMIFS('Units sold'!$E:$E,'Units sold'!$A:$A,$E$2,'Units sold'!$B:$B,F$5&amp;" "&amp;$A6,'Units sold'!$C:$C,"Periodic")</f>
        <v>44</v>
      </c>
      <c r="G6" s="103">
        <f>SUMIFS('Units sold'!$E:$E,'Units sold'!$A:$A,$E$2,'Units sold'!$B:$B,G$5&amp;" "&amp;$A6,'Units sold'!$C:$C,"Periodic")</f>
        <v>52</v>
      </c>
      <c r="H6" s="103">
        <f>SUMIFS('Units sold'!$E:$E,'Units sold'!$A:$A,$E$2,'Units sold'!$B:$B,H$5&amp;" "&amp;$A6,'Units sold'!$C:$C,"Periodic")</f>
        <v>82</v>
      </c>
      <c r="I6" s="103">
        <f>SUMIFS('Units sold'!$E:$E,'Units sold'!$A:$A,$E$2,'Units sold'!$B:$B,I$5&amp;" "&amp;$A6,'Units sold'!$C:$C,"Periodic")</f>
        <v>58</v>
      </c>
      <c r="J6" s="103">
        <f>SUMIFS('Units sold'!$E:$E,'Units sold'!$A:$A,$E$2,'Units sold'!$B:$B,J$5&amp;" "&amp;$A6,'Units sold'!$C:$C,"Periodic")</f>
        <v>62</v>
      </c>
      <c r="K6" s="103">
        <f>SUMIFS('Units sold'!$E:$E,'Units sold'!$A:$A,$E$2,'Units sold'!$B:$B,K$5&amp;" "&amp;$A6,'Units sold'!$C:$C,"Periodic")</f>
        <v>86</v>
      </c>
      <c r="L6" s="103">
        <f>SUMIFS('Units sold'!$E:$E,'Units sold'!$A:$A,$E$2,'Units sold'!$B:$B,L$5&amp;" "&amp;$A6,'Units sold'!$C:$C,"Periodic")</f>
        <v>104</v>
      </c>
      <c r="M6" s="103">
        <f>SUMIFS('Units sold'!$E:$E,'Units sold'!$A:$A,$E$2,'Units sold'!$B:$B,M$5&amp;" "&amp;$A6,'Units sold'!$C:$C,"Periodic")</f>
        <v>72</v>
      </c>
      <c r="N6" s="103">
        <f>SUMIFS('Units sold'!$E:$E,'Units sold'!$A:$A,$E$2,'Units sold'!$B:$B,N$5&amp;" "&amp;$A6,'Units sold'!$C:$C,"Periodic")</f>
        <v>68</v>
      </c>
      <c r="O6" s="103">
        <f>SUMIFS('Units sold'!$E:$E,'Units sold'!$A:$A,$E$2,'Units sold'!$B:$B,O$5&amp;" "&amp;$A6,'Units sold'!$C:$C,"Periodic")</f>
        <v>64</v>
      </c>
      <c r="P6" s="103">
        <f>SUMIFS('Units sold'!$E:$E,'Units sold'!$A:$A,$E$2,'Units sold'!$B:$B,P$5&amp;" "&amp;$A6,'Units sold'!$C:$C,"Periodic")</f>
        <v>94</v>
      </c>
      <c r="Q6" s="103">
        <f>SUMIFS('Units sold'!$E:$E,'Units sold'!$A:$A,$E$2,'Units sold'!$B:$B,Q$5&amp;" "&amp;$A6,'Units sold'!$C:$C,"Periodic")</f>
        <v>88</v>
      </c>
      <c r="R6" s="104">
        <f t="shared" ref="R6:R10" si="0">SUM(F6:Q6)</f>
        <v>874</v>
      </c>
      <c r="S6" s="105"/>
      <c r="T6" s="106" t="str">
        <f t="shared" ref="T6:T9" si="1">Z6</f>
        <v>3-month Rolling Rate</v>
      </c>
      <c r="U6" s="107"/>
      <c r="V6" s="108"/>
      <c r="W6" s="109">
        <f>(SUM(AR8:AT8)/3*Summary!$E$3)+R9</f>
        <v>662</v>
      </c>
      <c r="X6" s="110">
        <f>$W$6-$R$8</f>
        <v>-433.93028919999983</v>
      </c>
      <c r="Y6" s="76"/>
      <c r="Z6" s="106" t="s">
        <v>129</v>
      </c>
      <c r="AA6" s="107"/>
      <c r="AB6" s="108"/>
      <c r="AC6" s="109">
        <f>(SUM(AR9:AT9)/3*Summary!$E$3)+R16</f>
        <v>2203.3072247190003</v>
      </c>
      <c r="AD6" s="110">
        <f>$AC$6-$R$15</f>
        <v>-1477.9885337598048</v>
      </c>
      <c r="AE6" s="33"/>
      <c r="AF6" s="76"/>
      <c r="AG6" s="98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7"/>
      <c r="AX6" s="77"/>
      <c r="AY6" s="77"/>
      <c r="AZ6" s="77"/>
      <c r="BA6" s="77"/>
      <c r="BB6" s="77"/>
      <c r="BC6" s="77"/>
      <c r="BD6" s="77"/>
      <c r="BE6" s="77"/>
      <c r="BF6" s="6" t="s">
        <v>27</v>
      </c>
      <c r="BG6" s="111">
        <v>1</v>
      </c>
      <c r="BH6" s="111">
        <v>2</v>
      </c>
      <c r="BI6" s="111">
        <v>3</v>
      </c>
      <c r="BJ6" s="111">
        <v>4</v>
      </c>
      <c r="BK6" s="111">
        <v>5</v>
      </c>
      <c r="BL6" s="111">
        <v>6</v>
      </c>
      <c r="BM6" s="111">
        <v>7</v>
      </c>
      <c r="BN6" s="111">
        <v>8</v>
      </c>
      <c r="BO6" s="111">
        <v>9</v>
      </c>
      <c r="BP6" s="111">
        <v>10</v>
      </c>
      <c r="BQ6" s="111">
        <v>11</v>
      </c>
      <c r="BR6" s="111">
        <v>12</v>
      </c>
      <c r="BS6" s="77"/>
      <c r="BT6" s="77"/>
    </row>
    <row r="7" spans="1:83" ht="15" x14ac:dyDescent="0.25">
      <c r="A7" s="100">
        <f>Summary!$C$2-1</f>
        <v>2019</v>
      </c>
      <c r="B7" s="101" t="str">
        <f>Mapping!$B$2</f>
        <v>Actual</v>
      </c>
      <c r="E7" s="102" t="str">
        <f>A7&amp;" "&amp;B7</f>
        <v>2019 Actual</v>
      </c>
      <c r="F7" s="103">
        <f>SUMIFS('Units sold'!$E:$E,'Units sold'!$A:$A,$E$2,'Units sold'!$B:$B,F$5&amp;" "&amp;$A7,'Units sold'!$C:$C,"Periodic")</f>
        <v>110</v>
      </c>
      <c r="G7" s="103">
        <f>SUMIFS('Units sold'!$E:$E,'Units sold'!$A:$A,$E$2,'Units sold'!$B:$B,G$5&amp;" "&amp;$A7,'Units sold'!$C:$C,"Periodic")</f>
        <v>78</v>
      </c>
      <c r="H7" s="103">
        <f>SUMIFS('Units sold'!$E:$E,'Units sold'!$A:$A,$E$2,'Units sold'!$B:$B,H$5&amp;" "&amp;$A7,'Units sold'!$C:$C,"Periodic")</f>
        <v>68</v>
      </c>
      <c r="I7" s="103">
        <f>SUMIFS('Units sold'!$E:$E,'Units sold'!$A:$A,$E$2,'Units sold'!$B:$B,I$5&amp;" "&amp;$A7,'Units sold'!$C:$C,"Periodic")</f>
        <v>76</v>
      </c>
      <c r="J7" s="103">
        <f>SUMIFS('Units sold'!$E:$E,'Units sold'!$A:$A,$E$2,'Units sold'!$B:$B,J$5&amp;" "&amp;$A7,'Units sold'!$C:$C,"Periodic")</f>
        <v>118</v>
      </c>
      <c r="K7" s="103">
        <f>SUMIFS('Units sold'!$E:$E,'Units sold'!$A:$A,$E$2,'Units sold'!$B:$B,K$5&amp;" "&amp;$A7,'Units sold'!$C:$C,"Periodic")</f>
        <v>66</v>
      </c>
      <c r="L7" s="103">
        <f>SUMIFS('Units sold'!$E:$E,'Units sold'!$A:$A,$E$2,'Units sold'!$B:$B,L$5&amp;" "&amp;$A7,'Units sold'!$C:$C,"Periodic")</f>
        <v>92</v>
      </c>
      <c r="M7" s="103">
        <f>SUMIFS('Units sold'!$E:$E,'Units sold'!$A:$A,$E$2,'Units sold'!$B:$B,M$5&amp;" "&amp;$A7,'Units sold'!$C:$C,"Periodic")</f>
        <v>72</v>
      </c>
      <c r="N7" s="103">
        <f>SUMIFS('Units sold'!$E:$E,'Units sold'!$A:$A,$E$2,'Units sold'!$B:$B,N$5&amp;" "&amp;$A7,'Units sold'!$C:$C,"Periodic")</f>
        <v>92</v>
      </c>
      <c r="O7" s="103">
        <f>SUMIFS('Units sold'!$E:$E,'Units sold'!$A:$A,$E$2,'Units sold'!$B:$B,O$5&amp;" "&amp;$A7,'Units sold'!$C:$C,"Periodic")</f>
        <v>58</v>
      </c>
      <c r="P7" s="103">
        <f>SUMIFS('Units sold'!$E:$E,'Units sold'!$A:$A,$E$2,'Units sold'!$B:$B,P$5&amp;" "&amp;$A7,'Units sold'!$C:$C,"Periodic")</f>
        <v>86</v>
      </c>
      <c r="Q7" s="103">
        <f>SUMIFS('Units sold'!$E:$E,'Units sold'!$A:$A,$E$2,'Units sold'!$B:$B,Q$5&amp;" "&amp;$A7,'Units sold'!$C:$C,"Periodic")</f>
        <v>64</v>
      </c>
      <c r="R7" s="104">
        <f t="shared" si="0"/>
        <v>980</v>
      </c>
      <c r="S7" s="105"/>
      <c r="T7" s="112" t="str">
        <f t="shared" si="1"/>
        <v>2020 Trend 6 months</v>
      </c>
      <c r="U7" s="113"/>
      <c r="V7" s="114"/>
      <c r="W7" s="115">
        <f>BS22</f>
        <v>1197.7623016181817</v>
      </c>
      <c r="X7" s="110">
        <f>$W$7-$R$8</f>
        <v>101.83201241818188</v>
      </c>
      <c r="Y7" s="76"/>
      <c r="Z7" s="112" t="str">
        <f>A9&amp;" Trend 6 months"</f>
        <v>2020 Trend 6 months</v>
      </c>
      <c r="AA7" s="113"/>
      <c r="AB7" s="114"/>
      <c r="AC7" s="115">
        <f>BS40</f>
        <v>3934.6883310895209</v>
      </c>
      <c r="AD7" s="110">
        <f>$AC$7-$R$15</f>
        <v>253.39257261071589</v>
      </c>
      <c r="AE7" s="76"/>
      <c r="AF7" s="76"/>
      <c r="AG7" s="33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7"/>
      <c r="AX7" s="77"/>
      <c r="AY7" s="77"/>
      <c r="AZ7" s="78"/>
      <c r="BA7" s="78"/>
      <c r="BB7" s="78"/>
      <c r="BC7" s="78"/>
      <c r="BD7" s="78"/>
      <c r="BE7" s="77"/>
      <c r="BG7" s="116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78"/>
      <c r="BT7" s="77"/>
    </row>
    <row r="8" spans="1:83" ht="15" x14ac:dyDescent="0.25">
      <c r="A8" s="100">
        <f>Summary!$C$2</f>
        <v>2020</v>
      </c>
      <c r="B8" s="101" t="str">
        <f>Mapping!$B$3</f>
        <v>Budget</v>
      </c>
      <c r="E8" s="118" t="str">
        <f>A8&amp;" "&amp;B8</f>
        <v>2020 Budget</v>
      </c>
      <c r="F8" s="119">
        <f>SUMIFS('Units sold'!$D:$D,'Units sold'!$A:$A,$E$2,'Units sold'!$B:$B,F$5&amp;" "&amp;$A8,'Units sold'!$C:$C,"Periodic")</f>
        <v>93.437432400000006</v>
      </c>
      <c r="G8" s="119">
        <f>SUMIFS('Units sold'!$D:$D,'Units sold'!$A:$A,$E$2,'Units sold'!$B:$B,G$5&amp;" "&amp;$A8,'Units sold'!$C:$C,"Periodic")</f>
        <v>86.479723199999995</v>
      </c>
      <c r="H8" s="119">
        <f>SUMIFS('Units sold'!$D:$D,'Units sold'!$A:$A,$E$2,'Units sold'!$B:$B,H$5&amp;" "&amp;$A8,'Units sold'!$C:$C,"Periodic")</f>
        <v>91.714819399999996</v>
      </c>
      <c r="I8" s="119">
        <f>SUMIFS('Units sold'!$D:$D,'Units sold'!$A:$A,$E$2,'Units sold'!$B:$B,I$5&amp;" "&amp;$A8,'Units sold'!$C:$C,"Periodic")</f>
        <v>98.000650800000003</v>
      </c>
      <c r="J8" s="119">
        <f>SUMIFS('Units sold'!$D:$D,'Units sold'!$A:$A,$E$2,'Units sold'!$B:$B,J$5&amp;" "&amp;$A8,'Units sold'!$C:$C,"Periodic")</f>
        <v>94.174024200000005</v>
      </c>
      <c r="K8" s="119">
        <f>SUMIFS('Units sold'!$D:$D,'Units sold'!$A:$A,$E$2,'Units sold'!$B:$B,K$5&amp;" "&amp;$A8,'Units sold'!$C:$C,"Periodic")</f>
        <v>79.219369999999998</v>
      </c>
      <c r="L8" s="119">
        <f>SUMIFS('Units sold'!$D:$D,'Units sold'!$A:$A,$E$2,'Units sold'!$B:$B,L$5&amp;" "&amp;$A8,'Units sold'!$C:$C,"Periodic")</f>
        <v>98.918099799999993</v>
      </c>
      <c r="M8" s="119">
        <f>SUMIFS('Units sold'!$D:$D,'Units sold'!$A:$A,$E$2,'Units sold'!$B:$B,M$5&amp;" "&amp;$A8,'Units sold'!$C:$C,"Periodic")</f>
        <v>93.588292800000005</v>
      </c>
      <c r="N8" s="119">
        <f>SUMIFS('Units sold'!$D:$D,'Units sold'!$A:$A,$E$2,'Units sold'!$B:$B,N$5&amp;" "&amp;$A8,'Units sold'!$C:$C,"Periodic")</f>
        <v>91.0063028</v>
      </c>
      <c r="O8" s="119">
        <f>SUMIFS('Units sold'!$D:$D,'Units sold'!$A:$A,$E$2,'Units sold'!$B:$B,O$5&amp;" "&amp;$A8,'Units sold'!$C:$C,"Periodic")</f>
        <v>81.825674599999999</v>
      </c>
      <c r="P8" s="119">
        <f>SUMIFS('Units sold'!$D:$D,'Units sold'!$A:$A,$E$2,'Units sold'!$B:$B,P$5&amp;" "&amp;$A8,'Units sold'!$C:$C,"Periodic")</f>
        <v>97.164126800000005</v>
      </c>
      <c r="Q8" s="119">
        <f>SUMIFS('Units sold'!$D:$D,'Units sold'!$A:$A,$E$2,'Units sold'!$B:$B,Q$5&amp;" "&amp;$A8,'Units sold'!$C:$C,"Periodic")</f>
        <v>90.401772399999999</v>
      </c>
      <c r="R8" s="120">
        <f t="shared" si="0"/>
        <v>1095.9302891999998</v>
      </c>
      <c r="S8" s="105"/>
      <c r="T8" s="112" t="str">
        <f t="shared" si="1"/>
        <v>2020 Trend 12 months</v>
      </c>
      <c r="U8" s="113"/>
      <c r="V8" s="114"/>
      <c r="W8" s="115">
        <f>BS23</f>
        <v>1138.8803943098039</v>
      </c>
      <c r="X8" s="110">
        <f>$W$8-$R$8</f>
        <v>42.950105109804099</v>
      </c>
      <c r="Y8" s="76"/>
      <c r="Z8" s="112" t="str">
        <f>A9&amp;" Trend 12 months"</f>
        <v>2020 Trend 12 months</v>
      </c>
      <c r="AA8" s="113"/>
      <c r="AB8" s="114"/>
      <c r="AC8" s="115">
        <f>BS41</f>
        <v>3717.7988240089821</v>
      </c>
      <c r="AD8" s="110">
        <f>$AC$8-$R$15</f>
        <v>36.503065530177082</v>
      </c>
      <c r="AE8" s="76"/>
      <c r="AF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8"/>
      <c r="AX8" s="78"/>
      <c r="AY8" s="78"/>
      <c r="AZ8" s="78"/>
      <c r="BA8" s="78"/>
      <c r="BB8" s="78"/>
      <c r="BC8" s="78"/>
      <c r="BD8" s="78"/>
      <c r="BE8" s="77"/>
      <c r="BF8" s="6" t="s">
        <v>28</v>
      </c>
      <c r="BG8" s="16">
        <f t="shared" ref="BG8:BL8" si="2">IF($BF$5=BG6,1,0)</f>
        <v>0</v>
      </c>
      <c r="BH8" s="16">
        <f t="shared" si="2"/>
        <v>0</v>
      </c>
      <c r="BI8" s="16">
        <f t="shared" si="2"/>
        <v>0</v>
      </c>
      <c r="BJ8" s="16">
        <f t="shared" si="2"/>
        <v>0</v>
      </c>
      <c r="BK8" s="16">
        <f t="shared" si="2"/>
        <v>0</v>
      </c>
      <c r="BL8" s="16">
        <f t="shared" si="2"/>
        <v>0</v>
      </c>
      <c r="BM8" s="16">
        <f>IF($BF$5=BM6,1,0)</f>
        <v>1</v>
      </c>
      <c r="BN8" s="16">
        <f t="shared" ref="BN8:BR8" si="3">IF($BF$5=BN6,1,0)</f>
        <v>0</v>
      </c>
      <c r="BO8" s="16">
        <f t="shared" si="3"/>
        <v>0</v>
      </c>
      <c r="BP8" s="16">
        <f t="shared" si="3"/>
        <v>0</v>
      </c>
      <c r="BQ8" s="16">
        <f t="shared" si="3"/>
        <v>0</v>
      </c>
      <c r="BR8" s="16">
        <f t="shared" si="3"/>
        <v>0</v>
      </c>
      <c r="BS8" s="78"/>
      <c r="BT8" s="77"/>
    </row>
    <row r="9" spans="1:83" ht="15" x14ac:dyDescent="0.25">
      <c r="A9" s="100">
        <f>Summary!$C$2</f>
        <v>2020</v>
      </c>
      <c r="B9" s="101" t="str">
        <f>Mapping!$B$2</f>
        <v>Actual</v>
      </c>
      <c r="E9" s="102" t="str">
        <f>A9&amp;" "&amp;B9</f>
        <v>2020 Actual</v>
      </c>
      <c r="F9" s="121">
        <f>SUMIFS('Units sold'!$E:$E,'Units sold'!$A:$A,$E$2,'Units sold'!$B:$B,F$5&amp;" "&amp;$A9,'Units sold'!$C:$C,"Periodic")</f>
        <v>110</v>
      </c>
      <c r="G9" s="121">
        <f>SUMIFS('Units sold'!$E:$E,'Units sold'!$A:$A,$E$2,'Units sold'!$B:$B,G$5&amp;" "&amp;$A9,'Units sold'!$C:$C,"Periodic")</f>
        <v>76</v>
      </c>
      <c r="H9" s="121">
        <f>SUMIFS('Units sold'!$E:$E,'Units sold'!$A:$A,$E$2,'Units sold'!$B:$B,H$5&amp;" "&amp;$A9,'Units sold'!$C:$C,"Periodic")</f>
        <v>104</v>
      </c>
      <c r="I9" s="121">
        <f>SUMIFS('Units sold'!$E:$E,'Units sold'!$A:$A,$E$2,'Units sold'!$B:$B,I$5&amp;" "&amp;$A9,'Units sold'!$C:$C,"Periodic")</f>
        <v>74</v>
      </c>
      <c r="J9" s="121">
        <f>SUMIFS('Units sold'!$E:$E,'Units sold'!$A:$A,$E$2,'Units sold'!$B:$B,J$5&amp;" "&amp;$A9,'Units sold'!$C:$C,"Periodic")</f>
        <v>52</v>
      </c>
      <c r="K9" s="121">
        <f>SUMIFS('Units sold'!$E:$E,'Units sold'!$A:$A,$E$2,'Units sold'!$B:$B,K$5&amp;" "&amp;$A9,'Units sold'!$C:$C,"Periodic")</f>
        <v>124</v>
      </c>
      <c r="L9" s="121">
        <f>SUMIFS('Units sold'!$E:$E,'Units sold'!$A:$A,$E$2,'Units sold'!$B:$B,L$5&amp;" "&amp;$A9,'Units sold'!$C:$C,"Periodic")</f>
        <v>122</v>
      </c>
      <c r="M9" s="121">
        <f>SUMIFS('Units sold'!$E:$E,'Units sold'!$A:$A,$E$2,'Units sold'!$B:$B,M$5&amp;" "&amp;$A9,'Units sold'!$C:$C,"Periodic")</f>
        <v>0</v>
      </c>
      <c r="N9" s="121">
        <f>SUMIFS('Units sold'!$E:$E,'Units sold'!$A:$A,$E$2,'Units sold'!$B:$B,N$5&amp;" "&amp;$A9,'Units sold'!$C:$C,"Periodic")</f>
        <v>0</v>
      </c>
      <c r="O9" s="121">
        <f>SUMIFS('Units sold'!$E:$E,'Units sold'!$A:$A,$E$2,'Units sold'!$B:$B,O$5&amp;" "&amp;$A9,'Units sold'!$C:$C,"Periodic")</f>
        <v>0</v>
      </c>
      <c r="P9" s="121">
        <f>SUMIFS('Units sold'!$E:$E,'Units sold'!$A:$A,$E$2,'Units sold'!$B:$B,P$5&amp;" "&amp;$A9,'Units sold'!$C:$C,"Periodic")</f>
        <v>0</v>
      </c>
      <c r="Q9" s="121">
        <f>SUMIFS('Units sold'!$E:$E,'Units sold'!$A:$A,$E$2,'Units sold'!$B:$B,Q$5&amp;" "&amp;$A9,'Units sold'!$C:$C,"Periodic")</f>
        <v>0</v>
      </c>
      <c r="R9" s="122">
        <f t="shared" si="0"/>
        <v>662</v>
      </c>
      <c r="S9" s="105"/>
      <c r="T9" s="123" t="str">
        <f t="shared" si="1"/>
        <v>Prior Year exit rate (Q4 x 4)</v>
      </c>
      <c r="U9" s="124"/>
      <c r="V9" s="125"/>
      <c r="W9" s="126">
        <f>SUM($O$7:$Q$7)*4</f>
        <v>832</v>
      </c>
      <c r="X9" s="127">
        <f>$W$9-$R$8</f>
        <v>-263.93028919999983</v>
      </c>
      <c r="Y9" s="76"/>
      <c r="Z9" s="123" t="s">
        <v>130</v>
      </c>
      <c r="AA9" s="124"/>
      <c r="AB9" s="125"/>
      <c r="AC9" s="126">
        <f>SUM($O$14:$Q$14)*4</f>
        <v>2831.0564592256533</v>
      </c>
      <c r="AD9" s="127">
        <f>$AC$9-$R$15</f>
        <v>-850.23929925315178</v>
      </c>
      <c r="AE9" s="98"/>
      <c r="AF9" s="98"/>
      <c r="AG9" s="128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BE9" s="77"/>
      <c r="BF9" s="6" t="s">
        <v>28</v>
      </c>
      <c r="BG9" s="111">
        <f>SUM($BG8:BG8)</f>
        <v>0</v>
      </c>
      <c r="BH9" s="16">
        <f>SUM($BG8:BG8)</f>
        <v>0</v>
      </c>
      <c r="BI9" s="16">
        <f>SUM($BG8:BH8)</f>
        <v>0</v>
      </c>
      <c r="BJ9" s="16">
        <f>SUM($BG8:BI8)</f>
        <v>0</v>
      </c>
      <c r="BK9" s="16">
        <f>SUM($BG8:BJ8)</f>
        <v>0</v>
      </c>
      <c r="BL9" s="16">
        <f>SUM($BG8:BK8)</f>
        <v>0</v>
      </c>
      <c r="BM9" s="16">
        <f>SUM($BG8:BL8)</f>
        <v>0</v>
      </c>
      <c r="BN9" s="16">
        <f>SUM($BG8:BM8)</f>
        <v>1</v>
      </c>
      <c r="BO9" s="16">
        <f>SUM($BG8:BN8)</f>
        <v>1</v>
      </c>
      <c r="BP9" s="16">
        <f>SUM($BG8:BO8)</f>
        <v>1</v>
      </c>
      <c r="BQ9" s="16">
        <f>SUM($BG8:BP8)</f>
        <v>1</v>
      </c>
      <c r="BR9" s="16">
        <f>SUM($BG8:BQ8)</f>
        <v>1</v>
      </c>
      <c r="BT9" s="77"/>
    </row>
    <row r="10" spans="1:83" x14ac:dyDescent="0.2">
      <c r="E10" s="102" t="s">
        <v>34</v>
      </c>
      <c r="F10" s="129">
        <f t="shared" ref="F10:Q10" si="4">IF(F9=0,F17/F24,F9)</f>
        <v>110</v>
      </c>
      <c r="G10" s="129">
        <f t="shared" si="4"/>
        <v>76</v>
      </c>
      <c r="H10" s="129">
        <f t="shared" si="4"/>
        <v>104</v>
      </c>
      <c r="I10" s="129">
        <f t="shared" si="4"/>
        <v>74</v>
      </c>
      <c r="J10" s="129">
        <f t="shared" si="4"/>
        <v>52</v>
      </c>
      <c r="K10" s="129">
        <f t="shared" si="4"/>
        <v>124</v>
      </c>
      <c r="L10" s="129">
        <f t="shared" si="4"/>
        <v>122</v>
      </c>
      <c r="M10" s="129">
        <f t="shared" si="4"/>
        <v>87.182787242677961</v>
      </c>
      <c r="N10" s="129">
        <f t="shared" si="4"/>
        <v>95.080094527224773</v>
      </c>
      <c r="O10" s="129">
        <f t="shared" si="4"/>
        <v>96.684548547440144</v>
      </c>
      <c r="P10" s="129">
        <f t="shared" si="4"/>
        <v>96.684548553149241</v>
      </c>
      <c r="Q10" s="129">
        <f t="shared" si="4"/>
        <v>90.6070364467285</v>
      </c>
      <c r="R10" s="122">
        <f t="shared" si="0"/>
        <v>1128.2390153172205</v>
      </c>
      <c r="S10" s="105"/>
      <c r="T10" s="105"/>
      <c r="U10" s="105"/>
      <c r="V10" s="130"/>
      <c r="W10" s="76"/>
      <c r="X10" s="76"/>
      <c r="Y10" s="76"/>
      <c r="Z10" s="105"/>
      <c r="AA10" s="105"/>
      <c r="AB10" s="130"/>
      <c r="AC10" s="76"/>
      <c r="AD10" s="76"/>
      <c r="AE10" s="98"/>
      <c r="AF10" s="98"/>
      <c r="AG10" s="131"/>
      <c r="AH10" s="131"/>
      <c r="AI10" s="131"/>
      <c r="AJ10" s="131"/>
      <c r="AK10" s="131"/>
      <c r="AL10" s="1"/>
      <c r="BG10" s="132">
        <v>1</v>
      </c>
      <c r="BH10" s="132">
        <v>2</v>
      </c>
      <c r="BI10" s="132">
        <v>3</v>
      </c>
      <c r="BJ10" s="132">
        <v>4</v>
      </c>
      <c r="BK10" s="132">
        <v>5</v>
      </c>
      <c r="BL10" s="132">
        <v>6</v>
      </c>
      <c r="BM10" s="132">
        <v>7</v>
      </c>
      <c r="BN10" s="132">
        <v>8</v>
      </c>
      <c r="BO10" s="132">
        <v>9</v>
      </c>
      <c r="BP10" s="132">
        <v>10</v>
      </c>
      <c r="BQ10" s="132">
        <v>11</v>
      </c>
      <c r="BR10" s="132">
        <v>12</v>
      </c>
      <c r="BT10" s="77"/>
    </row>
    <row r="11" spans="1:83" ht="15.75" x14ac:dyDescent="0.25">
      <c r="D11" s="98"/>
      <c r="E11" s="67"/>
      <c r="F11" s="15"/>
      <c r="G11" s="13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0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98"/>
      <c r="AF11" s="98"/>
      <c r="AG11" s="131"/>
      <c r="AH11" s="131"/>
      <c r="AI11" s="131"/>
      <c r="AJ11" s="131"/>
      <c r="AK11" s="131"/>
      <c r="AL11" s="1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</row>
    <row r="12" spans="1:83" ht="15.75" x14ac:dyDescent="0.25">
      <c r="E12" s="134" t="s">
        <v>98</v>
      </c>
      <c r="F12" s="90" t="str">
        <f>F$5</f>
        <v>Jan</v>
      </c>
      <c r="G12" s="90" t="str">
        <f t="shared" ref="G12:Q12" si="5">G$5</f>
        <v>Feb</v>
      </c>
      <c r="H12" s="90" t="str">
        <f t="shared" si="5"/>
        <v>Mar</v>
      </c>
      <c r="I12" s="90" t="str">
        <f t="shared" si="5"/>
        <v>Apr</v>
      </c>
      <c r="J12" s="90" t="str">
        <f t="shared" si="5"/>
        <v>May</v>
      </c>
      <c r="K12" s="90" t="str">
        <f t="shared" si="5"/>
        <v>Jun</v>
      </c>
      <c r="L12" s="90" t="str">
        <f t="shared" si="5"/>
        <v>Jul</v>
      </c>
      <c r="M12" s="90" t="str">
        <f t="shared" si="5"/>
        <v>Aug</v>
      </c>
      <c r="N12" s="90" t="str">
        <f t="shared" si="5"/>
        <v>Sep</v>
      </c>
      <c r="O12" s="90" t="str">
        <f t="shared" si="5"/>
        <v>Oct</v>
      </c>
      <c r="P12" s="90" t="str">
        <f t="shared" si="5"/>
        <v>Nov</v>
      </c>
      <c r="Q12" s="90" t="str">
        <f t="shared" si="5"/>
        <v>Dec</v>
      </c>
      <c r="R12" s="91" t="s">
        <v>14</v>
      </c>
      <c r="T12" s="135" t="s">
        <v>86</v>
      </c>
      <c r="U12" s="136"/>
      <c r="V12" s="137" t="str">
        <f>AB12</f>
        <v>YTD</v>
      </c>
      <c r="W12" s="136" t="str">
        <f>AC12</f>
        <v>YTG</v>
      </c>
      <c r="X12" s="136" t="str">
        <f>AD12</f>
        <v>Delta</v>
      </c>
      <c r="Y12" s="138"/>
      <c r="Z12" s="135" t="s">
        <v>86</v>
      </c>
      <c r="AA12" s="136"/>
      <c r="AB12" s="137" t="s">
        <v>15</v>
      </c>
      <c r="AC12" s="136" t="s">
        <v>16</v>
      </c>
      <c r="AD12" s="136" t="s">
        <v>33</v>
      </c>
      <c r="AE12" s="98"/>
      <c r="AF12" s="139"/>
      <c r="AG12" s="140"/>
      <c r="AH12" s="141" t="s">
        <v>25</v>
      </c>
      <c r="AI12" s="84"/>
      <c r="AJ12" s="84"/>
      <c r="BC12" s="16">
        <f t="shared" ref="BC12:BR12" si="6">BB12+1</f>
        <v>1</v>
      </c>
      <c r="BD12" s="16">
        <f t="shared" si="6"/>
        <v>2</v>
      </c>
      <c r="BE12" s="16">
        <f t="shared" si="6"/>
        <v>3</v>
      </c>
      <c r="BF12" s="16">
        <f t="shared" si="6"/>
        <v>4</v>
      </c>
      <c r="BG12" s="16">
        <f t="shared" si="6"/>
        <v>5</v>
      </c>
      <c r="BH12" s="16">
        <f t="shared" si="6"/>
        <v>6</v>
      </c>
      <c r="BI12" s="16">
        <f t="shared" si="6"/>
        <v>7</v>
      </c>
      <c r="BJ12" s="16">
        <f t="shared" si="6"/>
        <v>8</v>
      </c>
      <c r="BK12" s="16">
        <f t="shared" si="6"/>
        <v>9</v>
      </c>
      <c r="BL12" s="16">
        <f t="shared" si="6"/>
        <v>10</v>
      </c>
      <c r="BM12" s="16">
        <f t="shared" si="6"/>
        <v>11</v>
      </c>
      <c r="BN12" s="16">
        <f t="shared" si="6"/>
        <v>12</v>
      </c>
      <c r="BO12" s="16">
        <f t="shared" si="6"/>
        <v>13</v>
      </c>
      <c r="BP12" s="16">
        <f t="shared" si="6"/>
        <v>14</v>
      </c>
      <c r="BQ12" s="16">
        <f t="shared" si="6"/>
        <v>15</v>
      </c>
      <c r="BR12" s="16">
        <f t="shared" si="6"/>
        <v>16</v>
      </c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</row>
    <row r="13" spans="1:83" ht="13.5" customHeight="1" x14ac:dyDescent="0.25">
      <c r="A13" s="100">
        <f>Summary!$C$2-2</f>
        <v>2018</v>
      </c>
      <c r="B13" s="101" t="str">
        <f>Mapping!$B$2</f>
        <v>Actual</v>
      </c>
      <c r="E13" s="102" t="str">
        <f>A13&amp;" "&amp;B13</f>
        <v>2018 Actual</v>
      </c>
      <c r="F13" s="142">
        <f>SUMIFS('Sales Data'!$E:$E,'Sales Data'!$A:$A,$E$2,'Sales Data'!$B:$B,F$12&amp;" "&amp;$A13,'Sales Data'!$C:$C,"Periodic")/1000</f>
        <v>150.41511694800002</v>
      </c>
      <c r="G13" s="142">
        <f>SUMIFS('Sales Data'!$E:$E,'Sales Data'!$A:$A,$E$2,'Sales Data'!$B:$B,G$12&amp;" "&amp;$A13,'Sales Data'!$C:$C,"Periodic")/1000</f>
        <v>201.71354200799999</v>
      </c>
      <c r="H13" s="142">
        <f>SUMIFS('Sales Data'!$E:$E,'Sales Data'!$A:$A,$E$2,'Sales Data'!$B:$B,H$12&amp;" "&amp;$A13,'Sales Data'!$C:$C,"Periodic")/1000</f>
        <v>287.478027849</v>
      </c>
      <c r="I13" s="142">
        <f>SUMIFS('Sales Data'!$E:$E,'Sales Data'!$A:$A,$E$2,'Sales Data'!$B:$B,I$12&amp;" "&amp;$A13,'Sales Data'!$C:$C,"Periodic")/1000</f>
        <v>207.07992603299999</v>
      </c>
      <c r="J13" s="142">
        <f>SUMIFS('Sales Data'!$E:$E,'Sales Data'!$A:$A,$E$2,'Sales Data'!$B:$B,J$12&amp;" "&amp;$A13,'Sales Data'!$C:$C,"Periodic")/1000</f>
        <v>204.97804298700001</v>
      </c>
      <c r="K13" s="142">
        <f>SUMIFS('Sales Data'!$E:$E,'Sales Data'!$A:$A,$E$2,'Sales Data'!$B:$B,K$12&amp;" "&amp;$A13,'Sales Data'!$C:$C,"Periodic")/1000</f>
        <v>262.35300348600003</v>
      </c>
      <c r="L13" s="142">
        <f>SUMIFS('Sales Data'!$E:$E,'Sales Data'!$A:$A,$E$2,'Sales Data'!$B:$B,L$12&amp;" "&amp;$A13,'Sales Data'!$C:$C,"Periodic")/1000</f>
        <v>361.307958912</v>
      </c>
      <c r="M13" s="142">
        <f>SUMIFS('Sales Data'!$E:$E,'Sales Data'!$A:$A,$E$2,'Sales Data'!$B:$B,M$12&amp;" "&amp;$A13,'Sales Data'!$C:$C,"Periodic")/1000</f>
        <v>243.98099895000001</v>
      </c>
      <c r="N13" s="142">
        <f>SUMIFS('Sales Data'!$E:$E,'Sales Data'!$A:$A,$E$2,'Sales Data'!$B:$B,N$12&amp;" "&amp;$A13,'Sales Data'!$C:$C,"Periodic")/1000</f>
        <v>227.50272576</v>
      </c>
      <c r="O13" s="142">
        <f>SUMIFS('Sales Data'!$E:$E,'Sales Data'!$A:$A,$E$2,'Sales Data'!$B:$B,O$12&amp;" "&amp;$A13,'Sales Data'!$C:$C,"Periodic")/1000</f>
        <v>230.25430985699998</v>
      </c>
      <c r="P13" s="142">
        <f>SUMIFS('Sales Data'!$E:$E,'Sales Data'!$A:$A,$E$2,'Sales Data'!$B:$B,P$12&amp;" "&amp;$A13,'Sales Data'!$C:$C,"Periodic")/1000</f>
        <v>342.65982948600004</v>
      </c>
      <c r="Q13" s="142">
        <f>SUMIFS('Sales Data'!$E:$E,'Sales Data'!$A:$A,$E$2,'Sales Data'!$B:$B,Q$12&amp;" "&amp;$A13,'Sales Data'!$C:$C,"Periodic")/1000</f>
        <v>284.45186488499996</v>
      </c>
      <c r="R13" s="104">
        <f t="shared" ref="R13:R17" si="7">SUM(F13:Q13)</f>
        <v>3004.175347161</v>
      </c>
      <c r="T13" s="112" t="str">
        <f>Z13</f>
        <v>GR%</v>
      </c>
      <c r="U13" s="143"/>
      <c r="V13" s="144">
        <f ca="1">IFERROR(($R$9/SUM(OFFSET(E7,,1,1,Summary!$D$3))-1),"")</f>
        <v>8.8815789473684292E-2</v>
      </c>
      <c r="W13" s="145">
        <f ca="1">((R8-R9)/(R7-SUM(OFFSET(E7,0,1,1,Summary!$D$3))))-1</f>
        <v>0.16647927204301038</v>
      </c>
      <c r="X13" s="146">
        <f ca="1">IFERROR(W13-V13,"")</f>
        <v>7.7663482569326092E-2</v>
      </c>
      <c r="Y13" s="138"/>
      <c r="Z13" s="147" t="s">
        <v>17</v>
      </c>
      <c r="AA13" s="148"/>
      <c r="AB13" s="144">
        <f ca="1">IFERROR(R16/SUM(OFFSET(E14,0,1,1,Summary!$D$3))-1,"")</f>
        <v>8.606657811501961E-2</v>
      </c>
      <c r="AC13" s="146">
        <f ca="1">IFERROR((R15-R16)/(R14-SUM(OFFSET(E14,0,1,1,Summary!$D$3)))-1,"")</f>
        <v>0.18602634877057889</v>
      </c>
      <c r="AD13" s="149">
        <f ca="1">IFERROR(AC13-AB13,"")</f>
        <v>9.9959770655559277E-2</v>
      </c>
      <c r="AE13" s="98"/>
      <c r="AF13" s="98"/>
      <c r="AG13" s="150"/>
      <c r="AH13" s="141" t="s">
        <v>91</v>
      </c>
      <c r="AI13" s="84"/>
      <c r="AJ13" s="84"/>
      <c r="AW13" s="16">
        <f t="shared" ref="AW13:BR13" si="8">AV13+1</f>
        <v>1</v>
      </c>
      <c r="AX13" s="16">
        <f t="shared" si="8"/>
        <v>2</v>
      </c>
      <c r="AY13" s="16">
        <f t="shared" si="8"/>
        <v>3</v>
      </c>
      <c r="AZ13" s="16">
        <f t="shared" si="8"/>
        <v>4</v>
      </c>
      <c r="BA13" s="16">
        <f t="shared" si="8"/>
        <v>5</v>
      </c>
      <c r="BB13" s="16">
        <f t="shared" si="8"/>
        <v>6</v>
      </c>
      <c r="BC13" s="16">
        <f t="shared" si="8"/>
        <v>7</v>
      </c>
      <c r="BD13" s="16">
        <f t="shared" si="8"/>
        <v>8</v>
      </c>
      <c r="BE13" s="16">
        <f t="shared" si="8"/>
        <v>9</v>
      </c>
      <c r="BF13" s="16">
        <f t="shared" si="8"/>
        <v>10</v>
      </c>
      <c r="BG13" s="16">
        <f t="shared" si="8"/>
        <v>11</v>
      </c>
      <c r="BH13" s="16">
        <f t="shared" si="8"/>
        <v>12</v>
      </c>
      <c r="BI13" s="16">
        <f t="shared" si="8"/>
        <v>13</v>
      </c>
      <c r="BJ13" s="16">
        <f t="shared" si="8"/>
        <v>14</v>
      </c>
      <c r="BK13" s="16">
        <f t="shared" si="8"/>
        <v>15</v>
      </c>
      <c r="BL13" s="16">
        <f t="shared" si="8"/>
        <v>16</v>
      </c>
      <c r="BM13" s="16">
        <f t="shared" si="8"/>
        <v>17</v>
      </c>
      <c r="BN13" s="16">
        <f t="shared" si="8"/>
        <v>18</v>
      </c>
      <c r="BO13" s="16">
        <f t="shared" si="8"/>
        <v>19</v>
      </c>
      <c r="BP13" s="16">
        <f t="shared" si="8"/>
        <v>20</v>
      </c>
      <c r="BQ13" s="16">
        <f t="shared" si="8"/>
        <v>21</v>
      </c>
      <c r="BR13" s="16">
        <f t="shared" si="8"/>
        <v>22</v>
      </c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</row>
    <row r="14" spans="1:83" ht="13.5" customHeight="1" x14ac:dyDescent="0.2">
      <c r="A14" s="100">
        <f>Summary!$C$2-1</f>
        <v>2019</v>
      </c>
      <c r="B14" s="101" t="str">
        <f>Mapping!$B$2</f>
        <v>Actual</v>
      </c>
      <c r="E14" s="102" t="str">
        <f>A14&amp;" "&amp;B14</f>
        <v>2019 Actual</v>
      </c>
      <c r="F14" s="142">
        <f>SUMIFS('Sales Data'!$E:$E,'Sales Data'!$A:$A,$E$2,'Sales Data'!$B:$B,F$12&amp;" "&amp;$A14,'Sales Data'!$C:$C,"Periodic")/1000</f>
        <v>331.4490467373322</v>
      </c>
      <c r="G14" s="142">
        <f>SUMIFS('Sales Data'!$E:$E,'Sales Data'!$A:$A,$E$2,'Sales Data'!$B:$B,G$12&amp;" "&amp;$A14,'Sales Data'!$C:$C,"Periodic")/1000</f>
        <v>192.22995172811426</v>
      </c>
      <c r="H14" s="142">
        <f>SUMIFS('Sales Data'!$E:$E,'Sales Data'!$A:$A,$E$2,'Sales Data'!$B:$B,H$12&amp;" "&amp;$A14,'Sales Data'!$C:$C,"Periodic")/1000</f>
        <v>293.89065448206242</v>
      </c>
      <c r="I14" s="142">
        <f>SUMIFS('Sales Data'!$E:$E,'Sales Data'!$A:$A,$E$2,'Sales Data'!$B:$B,I$12&amp;" "&amp;$A14,'Sales Data'!$C:$C,"Periodic")/1000</f>
        <v>298.23460000718501</v>
      </c>
      <c r="J14" s="142">
        <f>SUMIFS('Sales Data'!$E:$E,'Sales Data'!$A:$A,$E$2,'Sales Data'!$B:$B,J$12&amp;" "&amp;$A14,'Sales Data'!$C:$C,"Periodic")/1000</f>
        <v>370.87773730633921</v>
      </c>
      <c r="K14" s="142">
        <f>SUMIFS('Sales Data'!$E:$E,'Sales Data'!$A:$A,$E$2,'Sales Data'!$B:$B,K$12&amp;" "&amp;$A14,'Sales Data'!$C:$C,"Periodic")/1000</f>
        <v>211.52387079594456</v>
      </c>
      <c r="L14" s="142">
        <f>SUMIFS('Sales Data'!$E:$E,'Sales Data'!$A:$A,$E$2,'Sales Data'!$B:$B,L$12&amp;" "&amp;$A14,'Sales Data'!$C:$C,"Periodic")/1000</f>
        <v>330.4977830078887</v>
      </c>
      <c r="M14" s="142">
        <f>SUMIFS('Sales Data'!$E:$E,'Sales Data'!$A:$A,$E$2,'Sales Data'!$B:$B,M$12&amp;" "&amp;$A14,'Sales Data'!$C:$C,"Periodic")/1000</f>
        <v>207.34383916267058</v>
      </c>
      <c r="N14" s="142">
        <f>SUMIFS('Sales Data'!$E:$E,'Sales Data'!$A:$A,$E$2,'Sales Data'!$B:$B,N$12&amp;" "&amp;$A14,'Sales Data'!$C:$C,"Periodic")/1000</f>
        <v>331.0604260942003</v>
      </c>
      <c r="O14" s="142">
        <f>SUMIFS('Sales Data'!$E:$E,'Sales Data'!$A:$A,$E$2,'Sales Data'!$B:$B,O$12&amp;" "&amp;$A14,'Sales Data'!$C:$C,"Periodic")/1000</f>
        <v>191.55252713425921</v>
      </c>
      <c r="P14" s="142">
        <f>SUMIFS('Sales Data'!$E:$E,'Sales Data'!$A:$A,$E$2,'Sales Data'!$B:$B,P$12&amp;" "&amp;$A14,'Sales Data'!$C:$C,"Periodic")/1000</f>
        <v>319.95400557495987</v>
      </c>
      <c r="Q14" s="142">
        <f>SUMIFS('Sales Data'!$E:$E,'Sales Data'!$A:$A,$E$2,'Sales Data'!$B:$B,Q$12&amp;" "&amp;$A14,'Sales Data'!$C:$C,"Periodic")/1000</f>
        <v>196.25758209719424</v>
      </c>
      <c r="R14" s="104">
        <f t="shared" si="7"/>
        <v>3274.8720241281512</v>
      </c>
      <c r="T14" s="151" t="s">
        <v>87</v>
      </c>
      <c r="U14" s="152"/>
      <c r="V14" s="153">
        <f>IFERROR(R9/Summary!$D$3,"")</f>
        <v>94.571428571428569</v>
      </c>
      <c r="W14" s="154">
        <f>IFERROR((R8-R9)/Summary!$E$3,"")</f>
        <v>86.78605783999997</v>
      </c>
      <c r="X14" s="155">
        <f>IFERROR(W14-V14,"")</f>
        <v>-7.7853707314285998</v>
      </c>
      <c r="Y14" s="76"/>
      <c r="Z14" s="156" t="s">
        <v>18</v>
      </c>
      <c r="AA14" s="154"/>
      <c r="AB14" s="153">
        <f>R16/Summary!$D$3</f>
        <v>314.75817495985717</v>
      </c>
      <c r="AC14" s="154">
        <f>IFERROR((R15-R16)/Summary!$E$3,"")</f>
        <v>295.59770675196097</v>
      </c>
      <c r="AD14" s="157">
        <f>IFERROR(AC14-AB14,"")</f>
        <v>-19.160468207896201</v>
      </c>
      <c r="AE14" s="33"/>
      <c r="AF14" s="33"/>
      <c r="AG14" s="158" t="s">
        <v>54</v>
      </c>
      <c r="AH14" s="159"/>
      <c r="AI14" s="84"/>
      <c r="AJ14" s="84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</row>
    <row r="15" spans="1:83" ht="13.5" customHeight="1" x14ac:dyDescent="0.2">
      <c r="A15" s="100">
        <f>Summary!$C$2</f>
        <v>2020</v>
      </c>
      <c r="B15" s="101" t="str">
        <f>Mapping!$B$3</f>
        <v>Budget</v>
      </c>
      <c r="E15" s="118" t="str">
        <f>A15&amp;" "&amp;B15</f>
        <v>2020 Budget</v>
      </c>
      <c r="F15" s="119">
        <f>SUMIFS('Sales Data'!$D:$D,'Sales Data'!$A:$A,$E$2,'Sales Data'!$B:$B,F$12&amp;" "&amp;$A15,'Sales Data'!$C:$C,"Periodic")/1000</f>
        <v>293.6575727759772</v>
      </c>
      <c r="G15" s="119">
        <f>SUMIFS('Sales Data'!$D:$D,'Sales Data'!$A:$A,$E$2,'Sales Data'!$B:$B,G$12&amp;" "&amp;$A15,'Sales Data'!$C:$C,"Periodic")/1000</f>
        <v>265.52396073966685</v>
      </c>
      <c r="H15" s="119">
        <f>SUMIFS('Sales Data'!$D:$D,'Sales Data'!$A:$A,$E$2,'Sales Data'!$B:$B,H$12&amp;" "&amp;$A15,'Sales Data'!$C:$C,"Periodic")/1000</f>
        <v>301.56365258830016</v>
      </c>
      <c r="I15" s="119">
        <f>SUMIFS('Sales Data'!$D:$D,'Sales Data'!$A:$A,$E$2,'Sales Data'!$B:$B,I$12&amp;" "&amp;$A15,'Sales Data'!$C:$C,"Periodic")/1000</f>
        <v>314.80977038710188</v>
      </c>
      <c r="J15" s="119">
        <f>SUMIFS('Sales Data'!$D:$D,'Sales Data'!$A:$A,$E$2,'Sales Data'!$B:$B,J$12&amp;" "&amp;$A15,'Sales Data'!$C:$C,"Periodic")/1000</f>
        <v>313.88510500013734</v>
      </c>
      <c r="K15" s="119">
        <f>SUMIFS('Sales Data'!$D:$D,'Sales Data'!$A:$A,$E$2,'Sales Data'!$B:$B,K$12&amp;" "&amp;$A15,'Sales Data'!$C:$C,"Periodic")/1000</f>
        <v>310.39439777938253</v>
      </c>
      <c r="L15" s="119">
        <f>SUMIFS('Sales Data'!$D:$D,'Sales Data'!$A:$A,$E$2,'Sales Data'!$B:$B,L$12&amp;" "&amp;$A15,'Sales Data'!$C:$C,"Periodic")/1000</f>
        <v>329.69726462469686</v>
      </c>
      <c r="M15" s="119">
        <f>SUMIFS('Sales Data'!$D:$D,'Sales Data'!$A:$A,$E$2,'Sales Data'!$B:$B,M$12&amp;" "&amp;$A15,'Sales Data'!$C:$C,"Periodic")/1000</f>
        <v>290.16686556334116</v>
      </c>
      <c r="N15" s="119">
        <f>SUMIFS('Sales Data'!$D:$D,'Sales Data'!$A:$A,$E$2,'Sales Data'!$B:$B,N$12&amp;" "&amp;$A15,'Sales Data'!$C:$C,"Periodic")/1000</f>
        <v>316.4511468259816</v>
      </c>
      <c r="O15" s="119">
        <f>SUMIFS('Sales Data'!$D:$D,'Sales Data'!$A:$A,$E$2,'Sales Data'!$B:$B,O$12&amp;" "&amp;$A15,'Sales Data'!$C:$C,"Periodic")/1000</f>
        <v>321.79118479345891</v>
      </c>
      <c r="P15" s="119">
        <f>SUMIFS('Sales Data'!$D:$D,'Sales Data'!$A:$A,$E$2,'Sales Data'!$B:$B,P$12&amp;" "&amp;$A15,'Sales Data'!$C:$C,"Periodic")/1000</f>
        <v>321.79118481246024</v>
      </c>
      <c r="Q15" s="119">
        <f>SUMIFS('Sales Data'!$D:$D,'Sales Data'!$A:$A,$E$2,'Sales Data'!$B:$B,Q$12&amp;" "&amp;$A15,'Sales Data'!$C:$C,"Periodic")/1000</f>
        <v>301.56365258830016</v>
      </c>
      <c r="R15" s="120">
        <f t="shared" si="7"/>
        <v>3681.2957584788051</v>
      </c>
      <c r="S15" s="84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G15" s="160" t="s">
        <v>29</v>
      </c>
      <c r="AI15" s="141" t="str">
        <f>'Bridges for Trends'!Y4</f>
        <v>Jan 2018</v>
      </c>
      <c r="AJ15" s="141" t="str">
        <f>'Bridges for Trends'!X4</f>
        <v>Feb 2018</v>
      </c>
      <c r="AK15" s="141" t="str">
        <f>'Bridges for Trends'!W4</f>
        <v>Mar 2018</v>
      </c>
      <c r="AL15" s="141" t="str">
        <f>'Bridges for Trends'!V4</f>
        <v>Apr 2018</v>
      </c>
      <c r="AM15" s="141" t="str">
        <f>'Bridges for Trends'!U4</f>
        <v>May 2018</v>
      </c>
      <c r="AN15" s="141" t="str">
        <f>'Bridges for Trends'!T4</f>
        <v>Jun 2018</v>
      </c>
      <c r="AO15" s="141" t="str">
        <f>'Bridges for Trends'!S4</f>
        <v>Jul 2018</v>
      </c>
      <c r="AP15" s="141" t="str">
        <f>'Bridges for Trends'!R4</f>
        <v>Aug 2018</v>
      </c>
      <c r="AQ15" s="141" t="str">
        <f>'Bridges for Trends'!Q4</f>
        <v>Sep 2018</v>
      </c>
      <c r="AR15" s="141" t="str">
        <f>'Bridges for Trends'!P4</f>
        <v>Oct 2018</v>
      </c>
      <c r="AS15" s="141" t="str">
        <f>'Bridges for Trends'!O4</f>
        <v>Nov 2018</v>
      </c>
      <c r="AT15" s="141" t="str">
        <f>'Bridges for Trends'!N4</f>
        <v>Dec 2018</v>
      </c>
      <c r="AU15" s="141" t="str">
        <f>'Bridges for Trends'!M4</f>
        <v>Jan 2019</v>
      </c>
      <c r="AV15" s="141" t="str">
        <f>'Bridges for Trends'!L4</f>
        <v>Feb 2019</v>
      </c>
      <c r="AW15" s="141" t="str">
        <f>'Bridges for Trends'!K4</f>
        <v>Mar 2019</v>
      </c>
      <c r="AX15" s="141" t="str">
        <f>'Bridges for Trends'!J4</f>
        <v>Apr 2019</v>
      </c>
      <c r="AY15" s="141" t="str">
        <f>'Bridges for Trends'!I4</f>
        <v>May 2019</v>
      </c>
      <c r="AZ15" s="141" t="str">
        <f>'Bridges for Trends'!H4</f>
        <v>Jun 2019</v>
      </c>
      <c r="BA15" s="141" t="str">
        <f>'Bridges for Trends'!G4</f>
        <v>Jul 2019</v>
      </c>
      <c r="BB15" s="141" t="str">
        <f>'Bridges for Trends'!F4</f>
        <v>Aug 2019</v>
      </c>
      <c r="BC15" s="141" t="str">
        <f>'Bridges for Trends'!E4</f>
        <v>Sep 2019</v>
      </c>
      <c r="BD15" s="141" t="str">
        <f>'Bridges for Trends'!D4</f>
        <v>Oct 2019</v>
      </c>
      <c r="BE15" s="141" t="str">
        <f>'Bridges for Trends'!C4</f>
        <v>Nov 2019</v>
      </c>
      <c r="BF15" s="141" t="str">
        <f>'Bridges for Trends'!B4</f>
        <v>Dec 2019</v>
      </c>
      <c r="BG15" s="141" t="str">
        <f>'Bridges for Trends'!A4</f>
        <v>Jan 2020</v>
      </c>
      <c r="BH15" s="141" t="str">
        <f>'Bridges for Trends'!A5</f>
        <v>Feb 2020</v>
      </c>
      <c r="BI15" s="141" t="str">
        <f>'Bridges for Trends'!A6</f>
        <v>Mar 2020</v>
      </c>
      <c r="BJ15" s="141" t="str">
        <f>'Bridges for Trends'!A7</f>
        <v>Apr 2020</v>
      </c>
      <c r="BK15" s="141" t="str">
        <f>'Bridges for Trends'!A8</f>
        <v>May 2020</v>
      </c>
      <c r="BL15" s="141" t="str">
        <f>'Bridges for Trends'!A9</f>
        <v>Jun 2020</v>
      </c>
      <c r="BM15" s="141" t="str">
        <f>'Bridges for Trends'!A10</f>
        <v>Jul 2020</v>
      </c>
      <c r="BN15" s="141" t="str">
        <f>'Bridges for Trends'!A11</f>
        <v>Aug 2020</v>
      </c>
      <c r="BO15" s="141" t="str">
        <f>'Bridges for Trends'!A12</f>
        <v>Sep 2020</v>
      </c>
      <c r="BP15" s="141" t="str">
        <f>'Bridges for Trends'!A13</f>
        <v>Oct 2020</v>
      </c>
      <c r="BQ15" s="141" t="str">
        <f>'Bridges for Trends'!A14</f>
        <v>Nov 2020</v>
      </c>
      <c r="BR15" s="141" t="str">
        <f>'Bridges for Trends'!A15</f>
        <v>Dec 2020</v>
      </c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</row>
    <row r="16" spans="1:83" ht="13.5" customHeight="1" x14ac:dyDescent="0.2">
      <c r="A16" s="100">
        <f>Summary!$C$2</f>
        <v>2020</v>
      </c>
      <c r="B16" s="101" t="str">
        <f>Mapping!$B$2</f>
        <v>Actual</v>
      </c>
      <c r="E16" s="102" t="str">
        <f>A16&amp;" "&amp;B16</f>
        <v>2020 Actual</v>
      </c>
      <c r="F16" s="161">
        <f>SUMIFS('Sales Data'!$E:$E,'Sales Data'!$A:$A,$E$2,'Sales Data'!$B:$B,F$12&amp;" "&amp;$A16,'Sales Data'!$C:$C,"Periodic")/1000</f>
        <v>346.82725108199998</v>
      </c>
      <c r="G16" s="161">
        <f>SUMIFS('Sales Data'!$E:$E,'Sales Data'!$A:$A,$E$2,'Sales Data'!$B:$B,G$12&amp;" "&amp;$A16,'Sales Data'!$C:$C,"Periodic")/1000</f>
        <v>238.79549961599997</v>
      </c>
      <c r="H16" s="161">
        <f>SUMIFS('Sales Data'!$E:$E,'Sales Data'!$A:$A,$E$2,'Sales Data'!$B:$B,H$12&amp;" "&amp;$A16,'Sales Data'!$C:$C,"Periodic")/1000</f>
        <v>350.51170027500001</v>
      </c>
      <c r="I16" s="161">
        <f>SUMIFS('Sales Data'!$E:$E,'Sales Data'!$A:$A,$E$2,'Sales Data'!$B:$B,I$12&amp;" "&amp;$A16,'Sales Data'!$C:$C,"Periodic")/1000</f>
        <v>268.37060003700003</v>
      </c>
      <c r="J16" s="161">
        <f>SUMIFS('Sales Data'!$E:$E,'Sales Data'!$A:$A,$E$2,'Sales Data'!$B:$B,J$12&amp;" "&amp;$A16,'Sales Data'!$C:$C,"Periodic")/1000</f>
        <v>198.77341220100004</v>
      </c>
      <c r="K16" s="161">
        <f>SUMIFS('Sales Data'!$E:$E,'Sales Data'!$A:$A,$E$2,'Sales Data'!$B:$B,K$12&amp;" "&amp;$A16,'Sales Data'!$C:$C,"Periodic")/1000</f>
        <v>451.48431072299996</v>
      </c>
      <c r="L16" s="161">
        <f>SUMIFS('Sales Data'!$E:$E,'Sales Data'!$A:$A,$E$2,'Sales Data'!$B:$B,L$12&amp;" "&amp;$A16,'Sales Data'!$C:$C,"Periodic")/1000</f>
        <v>348.54445078499998</v>
      </c>
      <c r="M16" s="161">
        <f>SUMIFS('Sales Data'!$E:$E,'Sales Data'!$A:$A,$E$2,'Sales Data'!$B:$B,M$12&amp;" "&amp;$A16,'Sales Data'!$C:$C,"Periodic")/1000</f>
        <v>0</v>
      </c>
      <c r="N16" s="161">
        <f>SUMIFS('Sales Data'!$E:$E,'Sales Data'!$A:$A,$E$2,'Sales Data'!$B:$B,N$12&amp;" "&amp;$A16,'Sales Data'!$C:$C,"Periodic")/1000</f>
        <v>0</v>
      </c>
      <c r="O16" s="161">
        <f>SUMIFS('Sales Data'!$E:$E,'Sales Data'!$A:$A,$E$2,'Sales Data'!$B:$B,O$12&amp;" "&amp;$A16,'Sales Data'!$C:$C,"Periodic")/1000</f>
        <v>0</v>
      </c>
      <c r="P16" s="161">
        <f>SUMIFS('Sales Data'!$E:$E,'Sales Data'!$A:$A,$E$2,'Sales Data'!$B:$B,P$12&amp;" "&amp;$A16,'Sales Data'!$C:$C,"Periodic")/1000</f>
        <v>0</v>
      </c>
      <c r="Q16" s="161">
        <f>SUMIFS('Sales Data'!$E:$E,'Sales Data'!$A:$A,$E$2,'Sales Data'!$B:$B,Q$12&amp;" "&amp;$A16,'Sales Data'!$C:$C,"Periodic")/1000</f>
        <v>0</v>
      </c>
      <c r="R16" s="122">
        <f t="shared" si="7"/>
        <v>2203.3072247190003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128"/>
      <c r="AF16" s="128"/>
      <c r="AG16" s="131"/>
      <c r="AH16" s="162" t="s">
        <v>0</v>
      </c>
      <c r="AI16" s="163">
        <f>SUMIFS('Units sold'!$E:$E,'Units sold'!$A:$A,$E$2,'Units sold'!$B:$B,AI$15,'Units sold'!$C:$C,"Periodic")</f>
        <v>44</v>
      </c>
      <c r="AJ16" s="163">
        <f>SUMIFS('Units sold'!$E:$E,'Units sold'!$A:$A,$E$2,'Units sold'!$B:$B,AJ$15,'Units sold'!$C:$C,"Periodic")</f>
        <v>52</v>
      </c>
      <c r="AK16" s="163">
        <f>SUMIFS('Units sold'!$E:$E,'Units sold'!$A:$A,$E$2,'Units sold'!$B:$B,AK$15,'Units sold'!$C:$C,"Periodic")</f>
        <v>82</v>
      </c>
      <c r="AL16" s="163">
        <f>SUMIFS('Units sold'!$E:$E,'Units sold'!$A:$A,$E$2,'Units sold'!$B:$B,AL$15,'Units sold'!$C:$C,"Periodic")</f>
        <v>58</v>
      </c>
      <c r="AM16" s="163">
        <f>SUMIFS('Units sold'!$E:$E,'Units sold'!$A:$A,$E$2,'Units sold'!$B:$B,AM$15,'Units sold'!$C:$C,"Periodic")</f>
        <v>62</v>
      </c>
      <c r="AN16" s="163">
        <f>SUMIFS('Units sold'!$E:$E,'Units sold'!$A:$A,$E$2,'Units sold'!$B:$B,AN$15,'Units sold'!$C:$C,"Periodic")</f>
        <v>86</v>
      </c>
      <c r="AO16" s="163">
        <f>SUMIFS('Units sold'!$E:$E,'Units sold'!$A:$A,$E$2,'Units sold'!$B:$B,AO$15,'Units sold'!$C:$C,"Periodic")</f>
        <v>104</v>
      </c>
      <c r="AP16" s="163">
        <f>SUMIFS('Units sold'!$E:$E,'Units sold'!$A:$A,$E$2,'Units sold'!$B:$B,AP$15,'Units sold'!$C:$C,"Periodic")</f>
        <v>72</v>
      </c>
      <c r="AQ16" s="163">
        <f>SUMIFS('Units sold'!$E:$E,'Units sold'!$A:$A,$E$2,'Units sold'!$B:$B,AQ$15,'Units sold'!$C:$C,"Periodic")</f>
        <v>68</v>
      </c>
      <c r="AR16" s="163">
        <f>SUMIFS('Units sold'!$E:$E,'Units sold'!$A:$A,$E$2,'Units sold'!$B:$B,AR$15,'Units sold'!$C:$C,"Periodic")</f>
        <v>64</v>
      </c>
      <c r="AS16" s="163">
        <f>SUMIFS('Units sold'!$E:$E,'Units sold'!$A:$A,$E$2,'Units sold'!$B:$B,AS$15,'Units sold'!$C:$C,"Periodic")</f>
        <v>94</v>
      </c>
      <c r="AT16" s="163">
        <f>SUMIFS('Units sold'!$E:$E,'Units sold'!$A:$A,$E$2,'Units sold'!$B:$B,AT$15,'Units sold'!$C:$C,"Periodic")</f>
        <v>88</v>
      </c>
      <c r="AU16" s="163">
        <f>SUMIFS('Units sold'!$E:$E,'Units sold'!$A:$A,$E$2,'Units sold'!$B:$B,AU$15,'Units sold'!$C:$C,"Periodic")</f>
        <v>110</v>
      </c>
      <c r="AV16" s="163">
        <f>SUMIFS('Units sold'!$E:$E,'Units sold'!$A:$A,$E$2,'Units sold'!$B:$B,AV$15,'Units sold'!$C:$C,"Periodic")</f>
        <v>78</v>
      </c>
      <c r="AW16" s="163">
        <f>SUMIFS('Units sold'!$E:$E,'Units sold'!$A:$A,$E$2,'Units sold'!$B:$B,AW$15,'Units sold'!$C:$C,"Periodic")</f>
        <v>68</v>
      </c>
      <c r="AX16" s="163">
        <f>SUMIFS('Units sold'!$E:$E,'Units sold'!$A:$A,$E$2,'Units sold'!$B:$B,AX$15,'Units sold'!$C:$C,"Periodic")</f>
        <v>76</v>
      </c>
      <c r="AY16" s="163">
        <f>SUMIFS('Units sold'!$E:$E,'Units sold'!$A:$A,$E$2,'Units sold'!$B:$B,AY$15,'Units sold'!$C:$C,"Periodic")</f>
        <v>118</v>
      </c>
      <c r="AZ16" s="163">
        <f>SUMIFS('Units sold'!$E:$E,'Units sold'!$A:$A,$E$2,'Units sold'!$B:$B,AZ$15,'Units sold'!$C:$C,"Periodic")</f>
        <v>66</v>
      </c>
      <c r="BA16" s="163">
        <f>SUMIFS('Units sold'!$E:$E,'Units sold'!$A:$A,$E$2,'Units sold'!$B:$B,BA$15,'Units sold'!$C:$C,"Periodic")</f>
        <v>92</v>
      </c>
      <c r="BB16" s="163">
        <f>SUMIFS('Units sold'!$E:$E,'Units sold'!$A:$A,$E$2,'Units sold'!$B:$B,BB$15,'Units sold'!$C:$C,"Periodic")</f>
        <v>72</v>
      </c>
      <c r="BC16" s="163">
        <f>SUMIFS('Units sold'!$E:$E,'Units sold'!$A:$A,$E$2,'Units sold'!$B:$B,BC$15,'Units sold'!$C:$C,"Periodic")</f>
        <v>92</v>
      </c>
      <c r="BD16" s="163">
        <f>SUMIFS('Units sold'!$E:$E,'Units sold'!$A:$A,$E$2,'Units sold'!$B:$B,BD$15,'Units sold'!$C:$C,"Periodic")</f>
        <v>58</v>
      </c>
      <c r="BE16" s="163">
        <f>SUMIFS('Units sold'!$E:$E,'Units sold'!$A:$A,$E$2,'Units sold'!$B:$B,BE$15,'Units sold'!$C:$C,"Periodic")</f>
        <v>86</v>
      </c>
      <c r="BF16" s="163">
        <f>SUMIFS('Units sold'!$E:$E,'Units sold'!$A:$A,$E$2,'Units sold'!$B:$B,BF$15,'Units sold'!$C:$C,"Periodic")</f>
        <v>64</v>
      </c>
      <c r="BG16" s="163">
        <f>IF(OR(BG$8=1,BG$9=0),SUMIFS('Units sold'!$E:$E,'Units sold'!$A:$A,$E$2,'Units sold'!$B:$B,BG$15,'Units sold'!$C:$C,"Periodic"),"")</f>
        <v>110</v>
      </c>
      <c r="BH16" s="163">
        <f>IF(OR(BH$8=1,BH$9=0),SUMIFS('Units sold'!$E:$E,'Units sold'!$A:$A,$E$2,'Units sold'!$B:$B,BH$15,'Units sold'!$C:$C,"Periodic"),"")</f>
        <v>76</v>
      </c>
      <c r="BI16" s="163">
        <f>IF(OR(BI$8=1,BI$9=0),SUMIFS('Units sold'!$E:$E,'Units sold'!$A:$A,$E$2,'Units sold'!$B:$B,BI$15,'Units sold'!$C:$C,"Periodic"),"")</f>
        <v>104</v>
      </c>
      <c r="BJ16" s="163">
        <f>IF(OR(BJ$8=1,BJ$9=0),SUMIFS('Units sold'!$E:$E,'Units sold'!$A:$A,$E$2,'Units sold'!$B:$B,BJ$15,'Units sold'!$C:$C,"Periodic"),"")</f>
        <v>74</v>
      </c>
      <c r="BK16" s="163">
        <f>IF(OR(BK$8=1,BK$9=0),SUMIFS('Units sold'!$E:$E,'Units sold'!$A:$A,$E$2,'Units sold'!$B:$B,BK$15,'Units sold'!$C:$C,"Periodic"),"")</f>
        <v>52</v>
      </c>
      <c r="BL16" s="163">
        <f>IF(OR(BL$8=1,BL$9=0),SUMIFS('Units sold'!$E:$E,'Units sold'!$A:$A,$E$2,'Units sold'!$B:$B,BL$15,'Units sold'!$C:$C,"Periodic"),"")</f>
        <v>124</v>
      </c>
      <c r="BM16" s="163">
        <f>IF(OR(BM$8=1,BM$9=0),SUMIFS('Units sold'!$E:$E,'Units sold'!$A:$A,$E$2,'Units sold'!$B:$B,BM$15,'Units sold'!$C:$C,"Periodic"),"")</f>
        <v>122</v>
      </c>
      <c r="BN16" s="163" t="str">
        <f>IF(OR(BN$8=1,BN$9=0),SUMIFS('Units sold'!$E:$E,'Units sold'!$A:$A,$E$2,'Units sold'!$B:$B,BN$15,'Units sold'!$C:$C,"Periodic"),"")</f>
        <v/>
      </c>
      <c r="BO16" s="163" t="str">
        <f>IF(OR(BO$8=1,BO$9=0),SUMIFS('Units sold'!$E:$E,'Units sold'!$A:$A,$E$2,'Units sold'!$B:$B,BO$15,'Units sold'!$C:$C,"Periodic"),"")</f>
        <v/>
      </c>
      <c r="BP16" s="163" t="str">
        <f>IF(OR(BP$8=1,BP$9=0),SUMIFS('Units sold'!$E:$E,'Units sold'!$A:$A,$E$2,'Units sold'!$B:$B,BP$15,'Units sold'!$C:$C,"Periodic"),"")</f>
        <v/>
      </c>
      <c r="BQ16" s="163" t="str">
        <f>IF(OR(BQ$8=1,BQ$9=0),SUMIFS('Units sold'!$E:$E,'Units sold'!$A:$A,$E$2,'Units sold'!$B:$B,BQ$15,'Units sold'!$C:$C,"Periodic"),"")</f>
        <v/>
      </c>
      <c r="BR16" s="163" t="str">
        <f>IF(OR(BR$8=1,BR$9=0),SUMIFS('Units sold'!$E:$E,'Units sold'!$A:$A,$E$2,'Units sold'!$B:$B,BR$15,'Units sold'!$C:$C,"Periodic"),"")</f>
        <v/>
      </c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</row>
    <row r="17" spans="1:83" s="84" customFormat="1" x14ac:dyDescent="0.2">
      <c r="A17" s="1"/>
      <c r="B17" s="1"/>
      <c r="C17" s="1"/>
      <c r="D17" s="1"/>
      <c r="E17" s="102" t="s">
        <v>34</v>
      </c>
      <c r="F17" s="161">
        <f t="shared" ref="F17:Q17" si="9">IF(F16&lt;&gt;0,F16,F15)</f>
        <v>346.82725108199998</v>
      </c>
      <c r="G17" s="161">
        <f t="shared" si="9"/>
        <v>238.79549961599997</v>
      </c>
      <c r="H17" s="161">
        <f t="shared" si="9"/>
        <v>350.51170027500001</v>
      </c>
      <c r="I17" s="161">
        <f t="shared" si="9"/>
        <v>268.37060003700003</v>
      </c>
      <c r="J17" s="161">
        <f t="shared" si="9"/>
        <v>198.77341220100004</v>
      </c>
      <c r="K17" s="161">
        <f t="shared" si="9"/>
        <v>451.48431072299996</v>
      </c>
      <c r="L17" s="161">
        <f t="shared" si="9"/>
        <v>348.54445078499998</v>
      </c>
      <c r="M17" s="161">
        <f t="shared" si="9"/>
        <v>290.16686556334116</v>
      </c>
      <c r="N17" s="161">
        <f t="shared" si="9"/>
        <v>316.4511468259816</v>
      </c>
      <c r="O17" s="161">
        <f t="shared" si="9"/>
        <v>321.79118479345891</v>
      </c>
      <c r="P17" s="161">
        <f t="shared" si="9"/>
        <v>321.79118481246024</v>
      </c>
      <c r="Q17" s="161">
        <f t="shared" si="9"/>
        <v>301.56365258830016</v>
      </c>
      <c r="R17" s="122">
        <f t="shared" si="7"/>
        <v>3755.0712593025423</v>
      </c>
      <c r="T17" s="135" t="s">
        <v>54</v>
      </c>
      <c r="U17" s="164" t="str">
        <f>AA17</f>
        <v>Q1</v>
      </c>
      <c r="V17" s="164" t="str">
        <f t="shared" ref="V17:X17" si="10">AB17</f>
        <v>Q2</v>
      </c>
      <c r="W17" s="164" t="str">
        <f t="shared" si="10"/>
        <v>Q3</v>
      </c>
      <c r="X17" s="136" t="str">
        <f t="shared" si="10"/>
        <v>Q4</v>
      </c>
      <c r="Y17" s="76"/>
      <c r="Z17" s="135" t="s">
        <v>82</v>
      </c>
      <c r="AA17" s="164" t="s">
        <v>21</v>
      </c>
      <c r="AB17" s="164" t="s">
        <v>22</v>
      </c>
      <c r="AC17" s="164" t="s">
        <v>23</v>
      </c>
      <c r="AD17" s="136" t="s">
        <v>24</v>
      </c>
      <c r="AE17" s="165"/>
      <c r="AF17" s="165"/>
      <c r="AG17" s="131"/>
      <c r="AH17" s="166" t="s">
        <v>1</v>
      </c>
      <c r="BG17" s="163" t="str">
        <f>IF(OR(BG$8=1,BG$9=1),SUMIFS('Units sold'!$D:$D,'Units sold'!$A:$A,$E$2,'Units sold'!$B:$B,BG$15,'Units sold'!$C:$C,"Periodic"),"")</f>
        <v/>
      </c>
      <c r="BH17" s="163" t="str">
        <f>IF(OR(BH$8=1,BH$9=1),SUMIFS('Units sold'!$D:$D,'Units sold'!$A:$A,$E$2,'Units sold'!$B:$B,BH$15,'Units sold'!$C:$C,"Periodic"),"")</f>
        <v/>
      </c>
      <c r="BI17" s="163" t="str">
        <f>IF(OR(BI$8=1,BI$9=1),SUMIFS('Units sold'!$D:$D,'Units sold'!$A:$A,$E$2,'Units sold'!$B:$B,BI$15,'Units sold'!$C:$C,"Periodic"),"")</f>
        <v/>
      </c>
      <c r="BJ17" s="163" t="str">
        <f>IF(OR(BJ$8=1,BJ$9=1),SUMIFS('Units sold'!$D:$D,'Units sold'!$A:$A,$E$2,'Units sold'!$B:$B,BJ$15,'Units sold'!$C:$C,"Periodic"),"")</f>
        <v/>
      </c>
      <c r="BK17" s="163" t="str">
        <f>IF(OR(BK$8=1,BK$9=1),SUMIFS('Units sold'!$D:$D,'Units sold'!$A:$A,$E$2,'Units sold'!$B:$B,BK$15,'Units sold'!$C:$C,"Periodic"),"")</f>
        <v/>
      </c>
      <c r="BL17" s="163" t="str">
        <f>IF(OR(BL$8=1,BL$9=1),SUMIFS('Units sold'!$D:$D,'Units sold'!$A:$A,$E$2,'Units sold'!$B:$B,BL$15,'Units sold'!$C:$C,"Periodic"),"")</f>
        <v/>
      </c>
      <c r="BM17" s="163">
        <f>IF(OR(BM$8=1,BM$9=1),SUMIFS('Units sold'!$D:$D,'Units sold'!$A:$A,$E$2,'Units sold'!$B:$B,BM$15,'Units sold'!$C:$C,"Periodic"),"")</f>
        <v>98.918099799999993</v>
      </c>
      <c r="BN17" s="163">
        <f>IF(OR(BN$8=1,BN$9=1),SUMIFS('Units sold'!$D:$D,'Units sold'!$A:$A,$E$2,'Units sold'!$B:$B,BN$15,'Units sold'!$C:$C,"Periodic"),"")</f>
        <v>93.588292800000005</v>
      </c>
      <c r="BO17" s="163">
        <f>IF(OR(BO$8=1,BO$9=1),SUMIFS('Units sold'!$D:$D,'Units sold'!$A:$A,$E$2,'Units sold'!$B:$B,BO$15,'Units sold'!$C:$C,"Periodic"),"")</f>
        <v>91.0063028</v>
      </c>
      <c r="BP17" s="163">
        <f>IF(OR(BP$8=1,BP$9=1),SUMIFS('Units sold'!$D:$D,'Units sold'!$A:$A,$E$2,'Units sold'!$B:$B,BP$15,'Units sold'!$C:$C,"Periodic"),"")</f>
        <v>81.825674599999999</v>
      </c>
      <c r="BQ17" s="163">
        <f>IF(OR(BQ$8=1,BQ$9=1),SUMIFS('Units sold'!$D:$D,'Units sold'!$A:$A,$E$2,'Units sold'!$B:$B,BQ$15,'Units sold'!$C:$C,"Periodic"),"")</f>
        <v>97.164126800000005</v>
      </c>
      <c r="BR17" s="163">
        <f>IF(OR(BR$8=1,BR$9=1),SUMIFS('Units sold'!$D:$D,'Units sold'!$A:$A,$E$2,'Units sold'!$B:$B,BR$15,'Units sold'!$C:$C,"Periodic"),"")</f>
        <v>90.401772399999999</v>
      </c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</row>
    <row r="18" spans="1:83" s="84" customFormat="1" x14ac:dyDescent="0.2">
      <c r="A18" s="1"/>
      <c r="B18" s="1"/>
      <c r="C18" s="1"/>
      <c r="D18" s="1"/>
      <c r="E18" s="167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T18" s="106" t="str">
        <f>E6</f>
        <v>2018 Actual</v>
      </c>
      <c r="U18" s="168">
        <f>SUM(F6:H6)</f>
        <v>178</v>
      </c>
      <c r="V18" s="168">
        <f>SUM(I6:K6)</f>
        <v>206</v>
      </c>
      <c r="W18" s="168">
        <f>SUM(L6:N6)</f>
        <v>244</v>
      </c>
      <c r="X18" s="169">
        <f>SUM(O6:Q6)</f>
        <v>246</v>
      </c>
      <c r="Y18" s="165"/>
      <c r="Z18" s="106" t="str">
        <f>+E13</f>
        <v>2018 Actual</v>
      </c>
      <c r="AA18" s="168">
        <f>SUM(F13:H13)</f>
        <v>639.60668680499998</v>
      </c>
      <c r="AB18" s="168">
        <f>SUM(I13:K13)</f>
        <v>674.41097250600001</v>
      </c>
      <c r="AC18" s="168">
        <f>SUM(L13:N13)</f>
        <v>832.79168362199994</v>
      </c>
      <c r="AD18" s="169">
        <f>SUM(O13:Q13)</f>
        <v>857.36600422799995</v>
      </c>
      <c r="AE18" s="165"/>
      <c r="AF18" s="165"/>
      <c r="AG18" s="170"/>
      <c r="AH18" s="171" t="s">
        <v>26</v>
      </c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3"/>
      <c r="BA18" s="173"/>
      <c r="BB18" s="173"/>
      <c r="BC18" s="173"/>
      <c r="BD18" s="173"/>
      <c r="BE18" s="173"/>
      <c r="BF18" s="173"/>
      <c r="BG18" s="174" t="str">
        <f>IF(BG$9,FORECAST(BG12,$AP16:BF16,$AP12:BF12), "")</f>
        <v/>
      </c>
      <c r="BH18" s="174" t="str">
        <f>IF(BH$9,FORECAST(BH12,$AP16:BG16,$AP12:BG12), "")</f>
        <v/>
      </c>
      <c r="BI18" s="174" t="str">
        <f>IF(BI$9,FORECAST(BI12,$AP16:BH16,$AP12:BH12), "")</f>
        <v/>
      </c>
      <c r="BJ18" s="174" t="str">
        <f>IF(BJ$9,FORECAST(BJ12,$AP16:BI16,$AP12:BI12), "")</f>
        <v/>
      </c>
      <c r="BK18" s="174" t="str">
        <f>IF(BK$9,FORECAST(BK12,$AP16:BJ16,$AP12:BJ12), "")</f>
        <v/>
      </c>
      <c r="BL18" s="174" t="str">
        <f>IF(BL$9,FORECAST(BL12,$AP16:BK16,$AP12:BK12), "")</f>
        <v/>
      </c>
      <c r="BM18" s="174" t="str">
        <f>IF(BM$9,FORECAST(BM12,$AP16:BL16,$AP12:BL12), "")</f>
        <v/>
      </c>
      <c r="BN18" s="174">
        <f>IF(BN$9,FORECAST(BN12,$AP16:BM16,$AP12:BM12), "")</f>
        <v>105.23636363636363</v>
      </c>
      <c r="BO18" s="174">
        <f>IF(BO$9,FORECAST(BO12,$AP16:BN16,$AP12:BN12), "")</f>
        <v>108.2</v>
      </c>
      <c r="BP18" s="174">
        <f>IF(BP$9,FORECAST(BP12,$AP16:BO16,$AP12:BO12), "")</f>
        <v>111.16363636363636</v>
      </c>
      <c r="BQ18" s="174">
        <f>IF(BQ$9,FORECAST(BQ12,$AP16:BP16,$AP12:BP12), "")</f>
        <v>114.12727272727273</v>
      </c>
      <c r="BR18" s="174">
        <f>IF(BR$9,FORECAST(BR12,$AP16:BQ16,$AP12:BQ12), "")</f>
        <v>117.09090909090909</v>
      </c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</row>
    <row r="19" spans="1:83" s="84" customFormat="1" ht="15.75" x14ac:dyDescent="0.2">
      <c r="A19" s="1"/>
      <c r="B19" s="1"/>
      <c r="C19" s="1"/>
      <c r="D19" s="1"/>
      <c r="E19" s="91" t="s">
        <v>99</v>
      </c>
      <c r="F19" s="90" t="str">
        <f t="shared" ref="F19:Q19" si="11">F$5</f>
        <v>Jan</v>
      </c>
      <c r="G19" s="90" t="str">
        <f t="shared" si="11"/>
        <v>Feb</v>
      </c>
      <c r="H19" s="90" t="str">
        <f t="shared" si="11"/>
        <v>Mar</v>
      </c>
      <c r="I19" s="90" t="str">
        <f t="shared" si="11"/>
        <v>Apr</v>
      </c>
      <c r="J19" s="90" t="str">
        <f t="shared" si="11"/>
        <v>May</v>
      </c>
      <c r="K19" s="90" t="str">
        <f t="shared" si="11"/>
        <v>Jun</v>
      </c>
      <c r="L19" s="90" t="str">
        <f t="shared" si="11"/>
        <v>Jul</v>
      </c>
      <c r="M19" s="90" t="str">
        <f t="shared" si="11"/>
        <v>Aug</v>
      </c>
      <c r="N19" s="90" t="str">
        <f t="shared" si="11"/>
        <v>Sep</v>
      </c>
      <c r="O19" s="90" t="str">
        <f t="shared" si="11"/>
        <v>Oct</v>
      </c>
      <c r="P19" s="90" t="str">
        <f t="shared" si="11"/>
        <v>Nov</v>
      </c>
      <c r="Q19" s="90" t="str">
        <f t="shared" si="11"/>
        <v>Dec</v>
      </c>
      <c r="R19" s="91" t="s">
        <v>14</v>
      </c>
      <c r="T19" s="112" t="str">
        <f>E7</f>
        <v>2019 Actual</v>
      </c>
      <c r="U19" s="150">
        <f>SUM(F7:H7)</f>
        <v>256</v>
      </c>
      <c r="V19" s="150">
        <f>SUM(I7:K7)</f>
        <v>260</v>
      </c>
      <c r="W19" s="150">
        <f>SUM(L7:N7)</f>
        <v>256</v>
      </c>
      <c r="X19" s="143">
        <f>SUM(O7:Q7)</f>
        <v>208</v>
      </c>
      <c r="Y19" s="165"/>
      <c r="Z19" s="112" t="str">
        <f>+E14</f>
        <v>2019 Actual</v>
      </c>
      <c r="AA19" s="150">
        <f>SUM(F14:H14)</f>
        <v>817.56965294750898</v>
      </c>
      <c r="AB19" s="150">
        <f>SUM(I14:K14)</f>
        <v>880.63620810946873</v>
      </c>
      <c r="AC19" s="150">
        <f>SUM(L14:N14)</f>
        <v>868.90204826475951</v>
      </c>
      <c r="AD19" s="143">
        <f>SUM(O14:Q14)</f>
        <v>707.76411480641332</v>
      </c>
      <c r="AE19" s="165"/>
      <c r="AF19" s="165"/>
      <c r="AG19" s="175"/>
      <c r="AH19" s="171" t="s">
        <v>90</v>
      </c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3"/>
      <c r="AZ19" s="173"/>
      <c r="BA19" s="173"/>
      <c r="BB19" s="173"/>
      <c r="BC19" s="173"/>
      <c r="BD19" s="173"/>
      <c r="BE19" s="173"/>
      <c r="BF19" s="173"/>
      <c r="BG19" s="174" t="str">
        <f>IF(BG$9,FORECAST(BG13,$AP16:BF16,$AP13:BF13), "")</f>
        <v/>
      </c>
      <c r="BH19" s="174" t="str">
        <f>IF(BH$9,FORECAST(BH13,$AP16:BG16,$AP13:BG13), "")</f>
        <v/>
      </c>
      <c r="BI19" s="174" t="str">
        <f>IF(BI$9,FORECAST(BI13,$AP16:BH16,$AP13:BH13), "")</f>
        <v/>
      </c>
      <c r="BJ19" s="174" t="str">
        <f>IF(BJ$9,FORECAST(BJ13,$AP16:BI16,$AP13:BI13), "")</f>
        <v/>
      </c>
      <c r="BK19" s="174" t="str">
        <f>IF(BK$9,FORECAST(BK13,$AP16:BJ16,$AP13:BJ13), "")</f>
        <v/>
      </c>
      <c r="BL19" s="174" t="str">
        <f>IF(BL$9,FORECAST(BL13,$AP16:BK16,$AP13:BK13), "")</f>
        <v/>
      </c>
      <c r="BM19" s="174" t="str">
        <f>IF(BM$9,FORECAST(BM13,$AP16:BL16,$AP13:BL13), "")</f>
        <v/>
      </c>
      <c r="BN19" s="174">
        <f>IF(BN$9,FORECAST(BN13,$AP16:BM16,$AP13:BM13), "")</f>
        <v>96.867647058823522</v>
      </c>
      <c r="BO19" s="174">
        <f>IF(BO$9,FORECAST(BO13,$AP16:BN16,$AP13:BN13), "")</f>
        <v>98.127450980392155</v>
      </c>
      <c r="BP19" s="174">
        <f>IF(BP$9,FORECAST(BP13,$AP16:BO16,$AP13:BO13), "")</f>
        <v>99.387254901960773</v>
      </c>
      <c r="BQ19" s="174">
        <f>IF(BQ$9,FORECAST(BQ13,$AP16:BP16,$AP13:BP13), "")</f>
        <v>100.64705882352941</v>
      </c>
      <c r="BR19" s="174">
        <f>IF(BR$9,FORECAST(BR13,$AP16:BQ16,$AP13:BQ13), "")</f>
        <v>101.90686274509804</v>
      </c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</row>
    <row r="20" spans="1:83" s="84" customFormat="1" x14ac:dyDescent="0.2">
      <c r="A20" s="1"/>
      <c r="B20" s="1"/>
      <c r="C20" s="1"/>
      <c r="D20" s="1"/>
      <c r="E20" s="176" t="str">
        <f>+E13</f>
        <v>2018 Actual</v>
      </c>
      <c r="F20" s="177">
        <f t="shared" ref="F20:R20" si="12">IFERROR(F13/F6,"")</f>
        <v>3.4185253851818187</v>
      </c>
      <c r="G20" s="177">
        <f t="shared" si="12"/>
        <v>3.8791065770769229</v>
      </c>
      <c r="H20" s="177">
        <f t="shared" si="12"/>
        <v>3.505829607914634</v>
      </c>
      <c r="I20" s="177">
        <f t="shared" si="12"/>
        <v>3.5703435522931035</v>
      </c>
      <c r="J20" s="177">
        <f t="shared" si="12"/>
        <v>3.3060974675322581</v>
      </c>
      <c r="K20" s="177">
        <f t="shared" si="12"/>
        <v>3.0506163196046514</v>
      </c>
      <c r="L20" s="177">
        <f t="shared" si="12"/>
        <v>3.4741149895384615</v>
      </c>
      <c r="M20" s="177">
        <f t="shared" si="12"/>
        <v>3.388624985416667</v>
      </c>
      <c r="N20" s="177">
        <f t="shared" si="12"/>
        <v>3.3456283199999999</v>
      </c>
      <c r="O20" s="177">
        <f t="shared" si="12"/>
        <v>3.5977235915156247</v>
      </c>
      <c r="P20" s="177">
        <f t="shared" si="12"/>
        <v>3.645317334957447</v>
      </c>
      <c r="Q20" s="177">
        <f t="shared" si="12"/>
        <v>3.2324075555113634</v>
      </c>
      <c r="R20" s="178">
        <f t="shared" si="12"/>
        <v>3.4372715642574372</v>
      </c>
      <c r="T20" s="112" t="str">
        <f>E8</f>
        <v>2020 Budget</v>
      </c>
      <c r="U20" s="150">
        <f>SUM(F8:H8)</f>
        <v>271.63197500000001</v>
      </c>
      <c r="V20" s="150">
        <f>SUM(I8:K8)</f>
        <v>271.39404500000001</v>
      </c>
      <c r="W20" s="150">
        <f>SUM(L8:N8)</f>
        <v>283.51269539999998</v>
      </c>
      <c r="X20" s="143">
        <f>SUM(O8:Q8)</f>
        <v>269.3915738</v>
      </c>
      <c r="Y20" s="165"/>
      <c r="Z20" s="112" t="str">
        <f>+E15</f>
        <v>2020 Budget</v>
      </c>
      <c r="AA20" s="150">
        <f>SUM(F15:H15)</f>
        <v>860.74518610394421</v>
      </c>
      <c r="AB20" s="150">
        <f>SUM(I15:K15)</f>
        <v>939.08927316662175</v>
      </c>
      <c r="AC20" s="150">
        <f>SUM(L15:N15)</f>
        <v>936.31527701401956</v>
      </c>
      <c r="AD20" s="143">
        <f>SUM(O15:Q15)</f>
        <v>945.14602219421931</v>
      </c>
      <c r="AE20" s="165"/>
      <c r="AF20" s="165"/>
      <c r="AG20" s="131"/>
      <c r="AH20" s="166" t="s">
        <v>1</v>
      </c>
      <c r="AI20" s="179"/>
      <c r="AJ20" s="179"/>
      <c r="AK20" s="179"/>
      <c r="AL20" s="1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63">
        <f>SUMIFS('Units sold'!$D:$D,'Units sold'!$A:$A,$E$2,'Units sold'!$B:$B,BG$15,'Units sold'!$C:$C,"Periodic")</f>
        <v>93.437432400000006</v>
      </c>
      <c r="BH20" s="163">
        <f>SUMIFS('Units sold'!$D:$D,'Units sold'!$A:$A,$E$2,'Units sold'!$B:$B,BH$15,'Units sold'!$C:$C,"Periodic")</f>
        <v>86.479723199999995</v>
      </c>
      <c r="BI20" s="163">
        <f>SUMIFS('Units sold'!$D:$D,'Units sold'!$A:$A,$E$2,'Units sold'!$B:$B,BI$15,'Units sold'!$C:$C,"Periodic")</f>
        <v>91.714819399999996</v>
      </c>
      <c r="BJ20" s="163">
        <f>SUMIFS('Units sold'!$D:$D,'Units sold'!$A:$A,$E$2,'Units sold'!$B:$B,BJ$15,'Units sold'!$C:$C,"Periodic")</f>
        <v>98.000650800000003</v>
      </c>
      <c r="BK20" s="163">
        <f>SUMIFS('Units sold'!$D:$D,'Units sold'!$A:$A,$E$2,'Units sold'!$B:$B,BK$15,'Units sold'!$C:$C,"Periodic")</f>
        <v>94.174024200000005</v>
      </c>
      <c r="BL20" s="163">
        <f>SUMIFS('Units sold'!$D:$D,'Units sold'!$A:$A,$E$2,'Units sold'!$B:$B,BL$15,'Units sold'!$C:$C,"Periodic")</f>
        <v>79.219369999999998</v>
      </c>
      <c r="BM20" s="163">
        <f>SUMIFS('Units sold'!$D:$D,'Units sold'!$A:$A,$E$2,'Units sold'!$B:$B,BM$15,'Units sold'!$C:$C,"Periodic")</f>
        <v>98.918099799999993</v>
      </c>
      <c r="BN20" s="163">
        <f>SUMIFS('Units sold'!$D:$D,'Units sold'!$A:$A,$E$2,'Units sold'!$B:$B,BN$15,'Units sold'!$C:$C,"Periodic")</f>
        <v>93.588292800000005</v>
      </c>
      <c r="BO20" s="163">
        <f>SUMIFS('Units sold'!$D:$D,'Units sold'!$A:$A,$E$2,'Units sold'!$B:$B,BO$15,'Units sold'!$C:$C,"Periodic")</f>
        <v>91.0063028</v>
      </c>
      <c r="BP20" s="163">
        <f>SUMIFS('Units sold'!$D:$D,'Units sold'!$A:$A,$E$2,'Units sold'!$B:$B,BP$15,'Units sold'!$C:$C,"Periodic")</f>
        <v>81.825674599999999</v>
      </c>
      <c r="BQ20" s="163">
        <f>SUMIFS('Units sold'!$D:$D,'Units sold'!$A:$A,$E$2,'Units sold'!$B:$B,BQ$15,'Units sold'!$C:$C,"Periodic")</f>
        <v>97.164126800000005</v>
      </c>
      <c r="BR20" s="163">
        <f>SUMIFS('Units sold'!$D:$D,'Units sold'!$A:$A,$E$2,'Units sold'!$B:$B,BR$15,'Units sold'!$C:$C,"Periodic")</f>
        <v>90.401772399999999</v>
      </c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</row>
    <row r="21" spans="1:83" s="84" customFormat="1" x14ac:dyDescent="0.2">
      <c r="A21" s="1"/>
      <c r="B21" s="1"/>
      <c r="C21" s="1"/>
      <c r="D21" s="1"/>
      <c r="E21" s="176" t="str">
        <f>+E14</f>
        <v>2019 Actual</v>
      </c>
      <c r="F21" s="177">
        <f t="shared" ref="F21:R21" si="13">IFERROR(F14/F7,"")</f>
        <v>3.0131731521575653</v>
      </c>
      <c r="G21" s="177">
        <f t="shared" si="13"/>
        <v>2.4644865606168493</v>
      </c>
      <c r="H21" s="177">
        <f t="shared" si="13"/>
        <v>4.3219213894420943</v>
      </c>
      <c r="I21" s="177">
        <f t="shared" si="13"/>
        <v>3.9241394737787503</v>
      </c>
      <c r="J21" s="177">
        <f t="shared" si="13"/>
        <v>3.1430316720876204</v>
      </c>
      <c r="K21" s="177">
        <f t="shared" si="13"/>
        <v>3.2049071332718873</v>
      </c>
      <c r="L21" s="177">
        <f t="shared" si="13"/>
        <v>3.5923672066074857</v>
      </c>
      <c r="M21" s="177">
        <f t="shared" si="13"/>
        <v>2.8797755439259802</v>
      </c>
      <c r="N21" s="177">
        <f t="shared" si="13"/>
        <v>3.5984828923282639</v>
      </c>
      <c r="O21" s="177">
        <f t="shared" si="13"/>
        <v>3.302629778176883</v>
      </c>
      <c r="P21" s="177">
        <f t="shared" si="13"/>
        <v>3.7203954136623238</v>
      </c>
      <c r="Q21" s="177">
        <f t="shared" si="13"/>
        <v>3.0665247202686601</v>
      </c>
      <c r="R21" s="178">
        <f t="shared" si="13"/>
        <v>3.3417061470695422</v>
      </c>
      <c r="T21" s="112" t="str">
        <f>E9</f>
        <v>2020 Actual</v>
      </c>
      <c r="U21" s="150">
        <f>SUM(F9:H9)</f>
        <v>290</v>
      </c>
      <c r="V21" s="150">
        <f>SUM(I9:K9)</f>
        <v>250</v>
      </c>
      <c r="W21" s="150">
        <f>SUM(L9:N9)</f>
        <v>122</v>
      </c>
      <c r="X21" s="143">
        <f>SUM(O9:Q9)</f>
        <v>0</v>
      </c>
      <c r="Y21" s="165"/>
      <c r="Z21" s="112" t="str">
        <f>+E16</f>
        <v>2020 Actual</v>
      </c>
      <c r="AA21" s="150">
        <f>SUM(F16:H16)</f>
        <v>936.13445097299996</v>
      </c>
      <c r="AB21" s="150">
        <f>SUM(I16:K16)</f>
        <v>918.62832296100009</v>
      </c>
      <c r="AC21" s="150">
        <f>SUM(L16:N16)</f>
        <v>348.54445078499998</v>
      </c>
      <c r="AD21" s="143">
        <f>SUM(O16:Q16)</f>
        <v>0</v>
      </c>
      <c r="AE21" s="131"/>
      <c r="AF21" s="131"/>
      <c r="AG21" s="131"/>
      <c r="AH21" s="181" t="s">
        <v>34</v>
      </c>
      <c r="AI21" s="131"/>
      <c r="AJ21" s="131"/>
      <c r="AK21" s="131"/>
      <c r="AL21" s="1"/>
      <c r="BD21" s="182"/>
      <c r="BE21" s="182"/>
      <c r="BF21" s="182"/>
      <c r="BG21" s="163" t="str">
        <f t="shared" ref="BG21:BR21" si="14">IF(OR(BG$8=1,BG$9=1),F10,"")</f>
        <v/>
      </c>
      <c r="BH21" s="163" t="str">
        <f t="shared" si="14"/>
        <v/>
      </c>
      <c r="BI21" s="163" t="str">
        <f t="shared" si="14"/>
        <v/>
      </c>
      <c r="BJ21" s="163" t="str">
        <f t="shared" si="14"/>
        <v/>
      </c>
      <c r="BK21" s="163" t="str">
        <f t="shared" si="14"/>
        <v/>
      </c>
      <c r="BL21" s="163" t="str">
        <f t="shared" si="14"/>
        <v/>
      </c>
      <c r="BM21" s="163">
        <f t="shared" si="14"/>
        <v>122</v>
      </c>
      <c r="BN21" s="163">
        <f t="shared" si="14"/>
        <v>87.182787242677961</v>
      </c>
      <c r="BO21" s="163">
        <f t="shared" si="14"/>
        <v>95.080094527224773</v>
      </c>
      <c r="BP21" s="163">
        <f t="shared" si="14"/>
        <v>96.684548547440144</v>
      </c>
      <c r="BQ21" s="163">
        <f t="shared" si="14"/>
        <v>96.684548553149241</v>
      </c>
      <c r="BR21" s="163">
        <f t="shared" si="14"/>
        <v>90.6070364467285</v>
      </c>
      <c r="BS21" s="180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</row>
    <row r="22" spans="1:83" s="84" customFormat="1" x14ac:dyDescent="0.2">
      <c r="A22" s="1"/>
      <c r="B22" s="1"/>
      <c r="C22" s="1"/>
      <c r="D22" s="1"/>
      <c r="E22" s="183" t="str">
        <f>+E15</f>
        <v>2020 Budget</v>
      </c>
      <c r="F22" s="184">
        <f t="shared" ref="F22:R22" si="15">IFERROR(F15/F8,"")</f>
        <v>3.1428257951143914</v>
      </c>
      <c r="G22" s="184">
        <f t="shared" si="15"/>
        <v>3.0703608998099439</v>
      </c>
      <c r="H22" s="184">
        <f t="shared" si="15"/>
        <v>3.2880580756865139</v>
      </c>
      <c r="I22" s="184">
        <f t="shared" si="15"/>
        <v>3.2123232633379804</v>
      </c>
      <c r="J22" s="184">
        <f t="shared" si="15"/>
        <v>3.333032730273167</v>
      </c>
      <c r="K22" s="184">
        <f t="shared" si="15"/>
        <v>3.9181629162082774</v>
      </c>
      <c r="L22" s="184">
        <f t="shared" si="15"/>
        <v>3.3330327340628605</v>
      </c>
      <c r="M22" s="184">
        <f t="shared" si="15"/>
        <v>3.1004611461759795</v>
      </c>
      <c r="N22" s="184">
        <f t="shared" si="15"/>
        <v>3.4772442906666634</v>
      </c>
      <c r="O22" s="184">
        <f t="shared" si="15"/>
        <v>3.9326432243487903</v>
      </c>
      <c r="P22" s="184">
        <f t="shared" si="15"/>
        <v>3.3118311810162866</v>
      </c>
      <c r="Q22" s="184">
        <f t="shared" si="15"/>
        <v>3.3358157100501735</v>
      </c>
      <c r="R22" s="185">
        <f t="shared" si="15"/>
        <v>3.3590601471249175</v>
      </c>
      <c r="T22" s="151" t="s">
        <v>34</v>
      </c>
      <c r="U22" s="186">
        <f>SUM(F10:H10)</f>
        <v>290</v>
      </c>
      <c r="V22" s="186">
        <f>SUM(I10:K10)</f>
        <v>250</v>
      </c>
      <c r="W22" s="186">
        <f>SUM(L10:N10)</f>
        <v>304.26288176990272</v>
      </c>
      <c r="X22" s="152">
        <f>SUM(O10:Q10)</f>
        <v>283.97613354731789</v>
      </c>
      <c r="Y22" s="131"/>
      <c r="Z22" s="151" t="s">
        <v>34</v>
      </c>
      <c r="AA22" s="186">
        <f>SUM(F17:H17)</f>
        <v>936.13445097299996</v>
      </c>
      <c r="AB22" s="186">
        <f>SUM(I17:K17)</f>
        <v>918.62832296100009</v>
      </c>
      <c r="AC22" s="186">
        <f>SUM(L17:N17)</f>
        <v>955.16246317432274</v>
      </c>
      <c r="AD22" s="152">
        <f>SUM(O17:Q17)</f>
        <v>945.14602219421931</v>
      </c>
      <c r="AE22" s="131"/>
      <c r="AF22" s="131"/>
      <c r="AG22" s="7" t="s">
        <v>30</v>
      </c>
      <c r="AH22" s="187" t="s">
        <v>26</v>
      </c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3"/>
      <c r="BA22" s="173"/>
      <c r="BB22" s="173"/>
      <c r="BC22" s="173"/>
      <c r="BD22" s="173"/>
      <c r="BE22" s="173"/>
      <c r="BF22" s="173"/>
      <c r="BG22" s="174">
        <f t="shared" ref="BG22:BR22" si="16">IF(BG18="",BG20,BG18)</f>
        <v>93.437432400000006</v>
      </c>
      <c r="BH22" s="174">
        <f t="shared" si="16"/>
        <v>86.479723199999995</v>
      </c>
      <c r="BI22" s="174">
        <f t="shared" si="16"/>
        <v>91.714819399999996</v>
      </c>
      <c r="BJ22" s="174">
        <f t="shared" si="16"/>
        <v>98.000650800000003</v>
      </c>
      <c r="BK22" s="174">
        <f t="shared" si="16"/>
        <v>94.174024200000005</v>
      </c>
      <c r="BL22" s="174">
        <f t="shared" si="16"/>
        <v>79.219369999999998</v>
      </c>
      <c r="BM22" s="174">
        <f t="shared" si="16"/>
        <v>98.918099799999993</v>
      </c>
      <c r="BN22" s="174">
        <f t="shared" si="16"/>
        <v>105.23636363636363</v>
      </c>
      <c r="BO22" s="174">
        <f t="shared" si="16"/>
        <v>108.2</v>
      </c>
      <c r="BP22" s="174">
        <f t="shared" si="16"/>
        <v>111.16363636363636</v>
      </c>
      <c r="BQ22" s="174">
        <f t="shared" si="16"/>
        <v>114.12727272727273</v>
      </c>
      <c r="BR22" s="174">
        <f t="shared" si="16"/>
        <v>117.09090909090909</v>
      </c>
      <c r="BS22" s="190">
        <f>SUM(BG22:BR22)</f>
        <v>1197.7623016181817</v>
      </c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</row>
    <row r="23" spans="1:83" s="84" customFormat="1" x14ac:dyDescent="0.2">
      <c r="A23" s="1"/>
      <c r="B23" s="1"/>
      <c r="C23" s="1"/>
      <c r="D23" s="1"/>
      <c r="E23" s="176" t="str">
        <f>+E16</f>
        <v>2020 Actual</v>
      </c>
      <c r="F23" s="188">
        <f t="shared" ref="F23:R23" si="17">IFERROR(F16/F9,"")</f>
        <v>3.1529750098363634</v>
      </c>
      <c r="G23" s="188">
        <f t="shared" si="17"/>
        <v>3.1420460475789471</v>
      </c>
      <c r="H23" s="188">
        <f t="shared" si="17"/>
        <v>3.3703048103365387</v>
      </c>
      <c r="I23" s="188">
        <f t="shared" si="17"/>
        <v>3.6266297302297303</v>
      </c>
      <c r="J23" s="188">
        <f t="shared" si="17"/>
        <v>3.8225656192500006</v>
      </c>
      <c r="K23" s="188">
        <f t="shared" si="17"/>
        <v>3.6410025058306448</v>
      </c>
      <c r="L23" s="188">
        <f t="shared" si="17"/>
        <v>2.8569217277459016</v>
      </c>
      <c r="M23" s="188" t="str">
        <f t="shared" si="17"/>
        <v/>
      </c>
      <c r="N23" s="188" t="str">
        <f t="shared" si="17"/>
        <v/>
      </c>
      <c r="O23" s="188" t="str">
        <f t="shared" si="17"/>
        <v/>
      </c>
      <c r="P23" s="188" t="str">
        <f t="shared" si="17"/>
        <v/>
      </c>
      <c r="Q23" s="188" t="str">
        <f t="shared" si="17"/>
        <v/>
      </c>
      <c r="R23" s="189">
        <f t="shared" si="17"/>
        <v>3.3282586476117828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140"/>
      <c r="AF23" s="140"/>
      <c r="AG23" s="179"/>
      <c r="AH23" s="187" t="s">
        <v>90</v>
      </c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3"/>
      <c r="AZ23" s="173"/>
      <c r="BA23" s="173"/>
      <c r="BB23" s="173"/>
      <c r="BC23" s="173"/>
      <c r="BD23" s="173"/>
      <c r="BE23" s="173"/>
      <c r="BF23" s="173"/>
      <c r="BG23" s="174">
        <f t="shared" ref="BG23:BR23" si="18">IF(BG19="",BG20,BG19)</f>
        <v>93.437432400000006</v>
      </c>
      <c r="BH23" s="174">
        <f t="shared" si="18"/>
        <v>86.479723199999995</v>
      </c>
      <c r="BI23" s="174">
        <f t="shared" si="18"/>
        <v>91.714819399999996</v>
      </c>
      <c r="BJ23" s="174">
        <f t="shared" si="18"/>
        <v>98.000650800000003</v>
      </c>
      <c r="BK23" s="174">
        <f t="shared" si="18"/>
        <v>94.174024200000005</v>
      </c>
      <c r="BL23" s="174">
        <f t="shared" si="18"/>
        <v>79.219369999999998</v>
      </c>
      <c r="BM23" s="174">
        <f t="shared" si="18"/>
        <v>98.918099799999993</v>
      </c>
      <c r="BN23" s="174">
        <f t="shared" si="18"/>
        <v>96.867647058823522</v>
      </c>
      <c r="BO23" s="174">
        <f t="shared" si="18"/>
        <v>98.127450980392155</v>
      </c>
      <c r="BP23" s="174">
        <f t="shared" si="18"/>
        <v>99.387254901960773</v>
      </c>
      <c r="BQ23" s="174">
        <f t="shared" si="18"/>
        <v>100.64705882352941</v>
      </c>
      <c r="BR23" s="174">
        <f t="shared" si="18"/>
        <v>101.90686274509804</v>
      </c>
      <c r="BS23" s="190">
        <f>SUM(BG23:BR23)</f>
        <v>1138.8803943098039</v>
      </c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</row>
    <row r="24" spans="1:83" s="84" customFormat="1" x14ac:dyDescent="0.2">
      <c r="A24" s="1"/>
      <c r="B24" s="1"/>
      <c r="C24" s="1"/>
      <c r="D24" s="1"/>
      <c r="E24" s="176" t="str">
        <f>+E17</f>
        <v>Forecast</v>
      </c>
      <c r="F24" s="188">
        <f>IF(F23="",IFERROR(SUM(E17:$F17)/SUM(E10:$F10),""),F17/F10)</f>
        <v>3.1529750098363634</v>
      </c>
      <c r="G24" s="191">
        <f>IF(G23="",IFERROR(SUM(F17:$F17)/SUM(F10:$F10),""),G17/G10)</f>
        <v>3.1420460475789471</v>
      </c>
      <c r="H24" s="191">
        <f>IF(H23="",IFERROR(SUM($F17:G17)/SUM($F10:G10),""),H17/H10)</f>
        <v>3.3703048103365387</v>
      </c>
      <c r="I24" s="191">
        <f>IF(I23="",IFERROR(SUM($F17:H17)/SUM($F10:H10),""),I17/I10)</f>
        <v>3.6266297302297303</v>
      </c>
      <c r="J24" s="191">
        <f>IF(J23="",IFERROR(SUM($F17:I17)/SUM($F10:I10),""),J17/J10)</f>
        <v>3.8225656192500006</v>
      </c>
      <c r="K24" s="191">
        <f>IF(K23="",IFERROR(SUM($F17:J17)/SUM($F10:J10),""),K17/K10)</f>
        <v>3.6410025058306448</v>
      </c>
      <c r="L24" s="191">
        <f>IF(L23="",IFERROR(SUM($F17:K17)/SUM($F10:K10),""),L17/L10)</f>
        <v>2.8569217277459016</v>
      </c>
      <c r="M24" s="191">
        <f>IF(M23="",IFERROR(SUM($F17:L17)/SUM($F10:L10),""),M17/M10)</f>
        <v>3.3282586476117828</v>
      </c>
      <c r="N24" s="191">
        <f>IF(N23="",IFERROR(SUM($F17:M17)/SUM($F10:M10),""),N17/N10)</f>
        <v>3.3282586476117828</v>
      </c>
      <c r="O24" s="191">
        <f>IF(O23="",IFERROR(SUM($F17:N17)/SUM($F10:N10),""),O17/O10)</f>
        <v>3.3282586476117828</v>
      </c>
      <c r="P24" s="191">
        <f>IF(P23="",IFERROR(SUM($F17:O17)/SUM($F10:O10),""),P17/P10)</f>
        <v>3.3282586476117828</v>
      </c>
      <c r="Q24" s="191">
        <f>IF(Q23="",IFERROR(SUM($F17:P17)/SUM($F10:P10),""),Q17/Q10)</f>
        <v>3.3282586476117832</v>
      </c>
      <c r="R24" s="189">
        <f>IFERROR(R17/R10,"")</f>
        <v>3.3282586476117832</v>
      </c>
      <c r="T24" s="135" t="s">
        <v>97</v>
      </c>
      <c r="U24" s="164" t="str">
        <f>AA24</f>
        <v>Q1</v>
      </c>
      <c r="V24" s="164" t="str">
        <f t="shared" ref="V24:X24" si="19">AB24</f>
        <v>Q2</v>
      </c>
      <c r="W24" s="164" t="str">
        <f t="shared" si="19"/>
        <v>Q3</v>
      </c>
      <c r="X24" s="164" t="str">
        <f t="shared" si="19"/>
        <v>Q4</v>
      </c>
      <c r="Y24" s="140"/>
      <c r="Z24" s="135" t="s">
        <v>97</v>
      </c>
      <c r="AA24" s="164" t="s">
        <v>21</v>
      </c>
      <c r="AB24" s="164" t="s">
        <v>22</v>
      </c>
      <c r="AC24" s="164" t="s">
        <v>23</v>
      </c>
      <c r="AD24" s="136" t="s">
        <v>24</v>
      </c>
      <c r="AE24" s="150"/>
      <c r="AF24" s="150"/>
      <c r="AG24" s="7" t="s">
        <v>89</v>
      </c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 spans="1:83" s="84" customFormat="1" x14ac:dyDescent="0.2">
      <c r="A25" s="1"/>
      <c r="B25" s="1"/>
      <c r="C25" s="1"/>
      <c r="D25" s="1"/>
      <c r="T25" s="112" t="str">
        <f>"vs "&amp;$A$6</f>
        <v>vs 2018</v>
      </c>
      <c r="U25" s="192">
        <f t="shared" ref="U25:X26" si="20">IFERROR(U$21/U18-1,"")</f>
        <v>0.6292134831460674</v>
      </c>
      <c r="V25" s="192">
        <f t="shared" si="20"/>
        <v>0.21359223300970864</v>
      </c>
      <c r="W25" s="192">
        <f t="shared" si="20"/>
        <v>-0.5</v>
      </c>
      <c r="X25" s="149">
        <f t="shared" si="20"/>
        <v>-1</v>
      </c>
      <c r="Y25" s="150"/>
      <c r="Z25" s="112" t="str">
        <f>"vs "&amp;$A$6</f>
        <v>vs 2018</v>
      </c>
      <c r="AA25" s="192">
        <f t="shared" ref="AA25:AD26" si="21">IFERROR(AA$21/AA18-1,"")</f>
        <v>0.46360954362317952</v>
      </c>
      <c r="AB25" s="192">
        <f t="shared" si="21"/>
        <v>0.3621194796809557</v>
      </c>
      <c r="AC25" s="192">
        <f t="shared" si="21"/>
        <v>-0.58147462608043687</v>
      </c>
      <c r="AD25" s="149">
        <f t="shared" si="21"/>
        <v>-1</v>
      </c>
      <c r="AE25" s="150"/>
      <c r="AF25" s="150"/>
      <c r="AH25" s="167" t="str">
        <f>AH16</f>
        <v>Actual</v>
      </c>
      <c r="AU25" s="163">
        <f t="shared" ref="AU25:BR25" si="22">IF(AU16="",NA(),AU16)</f>
        <v>110</v>
      </c>
      <c r="AV25" s="163">
        <f t="shared" si="22"/>
        <v>78</v>
      </c>
      <c r="AW25" s="163">
        <f t="shared" si="22"/>
        <v>68</v>
      </c>
      <c r="AX25" s="163">
        <f t="shared" si="22"/>
        <v>76</v>
      </c>
      <c r="AY25" s="163">
        <f t="shared" si="22"/>
        <v>118</v>
      </c>
      <c r="AZ25" s="163">
        <f t="shared" si="22"/>
        <v>66</v>
      </c>
      <c r="BA25" s="163">
        <f t="shared" si="22"/>
        <v>92</v>
      </c>
      <c r="BB25" s="163">
        <f t="shared" si="22"/>
        <v>72</v>
      </c>
      <c r="BC25" s="163">
        <f t="shared" si="22"/>
        <v>92</v>
      </c>
      <c r="BD25" s="163">
        <f t="shared" si="22"/>
        <v>58</v>
      </c>
      <c r="BE25" s="163">
        <f t="shared" si="22"/>
        <v>86</v>
      </c>
      <c r="BF25" s="163">
        <f t="shared" si="22"/>
        <v>64</v>
      </c>
      <c r="BG25" s="163">
        <f t="shared" si="22"/>
        <v>110</v>
      </c>
      <c r="BH25" s="163">
        <f t="shared" si="22"/>
        <v>76</v>
      </c>
      <c r="BI25" s="163">
        <f t="shared" si="22"/>
        <v>104</v>
      </c>
      <c r="BJ25" s="163">
        <f t="shared" si="22"/>
        <v>74</v>
      </c>
      <c r="BK25" s="163">
        <f t="shared" si="22"/>
        <v>52</v>
      </c>
      <c r="BL25" s="163">
        <f t="shared" si="22"/>
        <v>124</v>
      </c>
      <c r="BM25" s="163">
        <f t="shared" si="22"/>
        <v>122</v>
      </c>
      <c r="BN25" s="163" t="e">
        <f t="shared" si="22"/>
        <v>#N/A</v>
      </c>
      <c r="BO25" s="163" t="e">
        <f t="shared" si="22"/>
        <v>#N/A</v>
      </c>
      <c r="BP25" s="163" t="e">
        <f t="shared" si="22"/>
        <v>#N/A</v>
      </c>
      <c r="BQ25" s="163" t="e">
        <f t="shared" si="22"/>
        <v>#N/A</v>
      </c>
      <c r="BR25" s="163" t="e">
        <f t="shared" si="22"/>
        <v>#N/A</v>
      </c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 spans="1:83" s="84" customForma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112" t="str">
        <f>"vs "&amp;$A$7</f>
        <v>vs 2019</v>
      </c>
      <c r="U26" s="192">
        <f t="shared" si="20"/>
        <v>0.1328125</v>
      </c>
      <c r="V26" s="192">
        <f t="shared" si="20"/>
        <v>-3.8461538461538436E-2</v>
      </c>
      <c r="W26" s="192">
        <f t="shared" si="20"/>
        <v>-0.5234375</v>
      </c>
      <c r="X26" s="149">
        <f t="shared" si="20"/>
        <v>-1</v>
      </c>
      <c r="Y26" s="150"/>
      <c r="Z26" s="112" t="str">
        <f>"vs "&amp;$A$7</f>
        <v>vs 2019</v>
      </c>
      <c r="AA26" s="192">
        <f t="shared" si="21"/>
        <v>0.14502103594236915</v>
      </c>
      <c r="AB26" s="192">
        <f t="shared" si="21"/>
        <v>4.314166792334384E-2</v>
      </c>
      <c r="AC26" s="192">
        <f t="shared" si="21"/>
        <v>-0.59886796045531199</v>
      </c>
      <c r="AD26" s="149">
        <f t="shared" si="21"/>
        <v>-1</v>
      </c>
      <c r="AE26" s="150"/>
      <c r="AF26" s="150"/>
      <c r="AH26" s="167" t="str">
        <f>AH20</f>
        <v>Budget</v>
      </c>
      <c r="AU26" s="163" t="e">
        <f t="shared" ref="AU26:BR26" si="23">IF(AU17="",NA(),AU17)</f>
        <v>#N/A</v>
      </c>
      <c r="AV26" s="163" t="e">
        <f t="shared" si="23"/>
        <v>#N/A</v>
      </c>
      <c r="AW26" s="163" t="e">
        <f t="shared" si="23"/>
        <v>#N/A</v>
      </c>
      <c r="AX26" s="163" t="e">
        <f t="shared" si="23"/>
        <v>#N/A</v>
      </c>
      <c r="AY26" s="163" t="e">
        <f t="shared" si="23"/>
        <v>#N/A</v>
      </c>
      <c r="AZ26" s="163" t="e">
        <f t="shared" si="23"/>
        <v>#N/A</v>
      </c>
      <c r="BA26" s="163" t="e">
        <f t="shared" si="23"/>
        <v>#N/A</v>
      </c>
      <c r="BB26" s="163" t="e">
        <f t="shared" si="23"/>
        <v>#N/A</v>
      </c>
      <c r="BC26" s="163" t="e">
        <f t="shared" si="23"/>
        <v>#N/A</v>
      </c>
      <c r="BD26" s="163" t="e">
        <f t="shared" si="23"/>
        <v>#N/A</v>
      </c>
      <c r="BE26" s="163" t="e">
        <f t="shared" si="23"/>
        <v>#N/A</v>
      </c>
      <c r="BF26" s="163" t="e">
        <f t="shared" si="23"/>
        <v>#N/A</v>
      </c>
      <c r="BG26" s="163" t="e">
        <f t="shared" si="23"/>
        <v>#N/A</v>
      </c>
      <c r="BH26" s="163" t="e">
        <f t="shared" si="23"/>
        <v>#N/A</v>
      </c>
      <c r="BI26" s="163" t="e">
        <f t="shared" si="23"/>
        <v>#N/A</v>
      </c>
      <c r="BJ26" s="163" t="e">
        <f t="shared" si="23"/>
        <v>#N/A</v>
      </c>
      <c r="BK26" s="163" t="e">
        <f t="shared" si="23"/>
        <v>#N/A</v>
      </c>
      <c r="BL26" s="163" t="e">
        <f t="shared" si="23"/>
        <v>#N/A</v>
      </c>
      <c r="BM26" s="163">
        <f t="shared" si="23"/>
        <v>98.918099799999993</v>
      </c>
      <c r="BN26" s="163">
        <f t="shared" si="23"/>
        <v>93.588292800000005</v>
      </c>
      <c r="BO26" s="163">
        <f t="shared" si="23"/>
        <v>91.0063028</v>
      </c>
      <c r="BP26" s="163">
        <f t="shared" si="23"/>
        <v>81.825674599999999</v>
      </c>
      <c r="BQ26" s="163">
        <f t="shared" si="23"/>
        <v>97.164126800000005</v>
      </c>
      <c r="BR26" s="163">
        <f t="shared" si="23"/>
        <v>90.401772399999999</v>
      </c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 spans="1:83" s="84" customForma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151" t="str">
        <f>"Forecast "&amp;"vs. "&amp;$A$7</f>
        <v>Forecast vs. 2019</v>
      </c>
      <c r="U27" s="193">
        <f>IFERROR(U22/U19-1,"")</f>
        <v>0.1328125</v>
      </c>
      <c r="V27" s="193">
        <f>IFERROR(V22/V19-1,"")</f>
        <v>-3.8461538461538436E-2</v>
      </c>
      <c r="W27" s="193">
        <f>IFERROR(W22/W19-1,"")</f>
        <v>0.1885268819136825</v>
      </c>
      <c r="X27" s="194">
        <f>IFERROR(X22/X19-1,"")</f>
        <v>0.36526987282364365</v>
      </c>
      <c r="Y27" s="56"/>
      <c r="Z27" s="151" t="str">
        <f>"Forecast "&amp;"vs. "&amp;$A$7</f>
        <v>Forecast vs. 2019</v>
      </c>
      <c r="AA27" s="193">
        <f>IFERROR(AA22/AA19-1,"")</f>
        <v>0.14502103594236915</v>
      </c>
      <c r="AB27" s="193">
        <f>IFERROR(AB22/AB19-1,"")</f>
        <v>4.314166792334384E-2</v>
      </c>
      <c r="AC27" s="193">
        <f>IFERROR(AC22/AC19-1,"")</f>
        <v>9.9275188822295357E-2</v>
      </c>
      <c r="AD27" s="194">
        <f>IFERROR(AD22/AD19-1,"")</f>
        <v>0.33539692451451053</v>
      </c>
      <c r="AE27" s="150"/>
      <c r="AF27" s="150"/>
      <c r="AH27" s="167" t="str">
        <f>AH18</f>
        <v>Trend 6m</v>
      </c>
      <c r="AU27" s="163" t="e">
        <f t="shared" ref="AU27:BR27" si="24">IF(AU18="",NA(),AU18)</f>
        <v>#N/A</v>
      </c>
      <c r="AV27" s="163" t="e">
        <f t="shared" si="24"/>
        <v>#N/A</v>
      </c>
      <c r="AW27" s="163" t="e">
        <f t="shared" si="24"/>
        <v>#N/A</v>
      </c>
      <c r="AX27" s="163" t="e">
        <f t="shared" si="24"/>
        <v>#N/A</v>
      </c>
      <c r="AY27" s="163" t="e">
        <f t="shared" si="24"/>
        <v>#N/A</v>
      </c>
      <c r="AZ27" s="163" t="e">
        <f t="shared" si="24"/>
        <v>#N/A</v>
      </c>
      <c r="BA27" s="163" t="e">
        <f t="shared" si="24"/>
        <v>#N/A</v>
      </c>
      <c r="BB27" s="163" t="e">
        <f t="shared" si="24"/>
        <v>#N/A</v>
      </c>
      <c r="BC27" s="163" t="e">
        <f t="shared" si="24"/>
        <v>#N/A</v>
      </c>
      <c r="BD27" s="163" t="e">
        <f t="shared" si="24"/>
        <v>#N/A</v>
      </c>
      <c r="BE27" s="163" t="e">
        <f t="shared" si="24"/>
        <v>#N/A</v>
      </c>
      <c r="BF27" s="163" t="e">
        <f t="shared" si="24"/>
        <v>#N/A</v>
      </c>
      <c r="BG27" s="163" t="e">
        <f t="shared" si="24"/>
        <v>#N/A</v>
      </c>
      <c r="BH27" s="163" t="e">
        <f t="shared" si="24"/>
        <v>#N/A</v>
      </c>
      <c r="BI27" s="163" t="e">
        <f t="shared" si="24"/>
        <v>#N/A</v>
      </c>
      <c r="BJ27" s="163" t="e">
        <f t="shared" si="24"/>
        <v>#N/A</v>
      </c>
      <c r="BK27" s="163" t="e">
        <f t="shared" si="24"/>
        <v>#N/A</v>
      </c>
      <c r="BL27" s="163" t="e">
        <f t="shared" si="24"/>
        <v>#N/A</v>
      </c>
      <c r="BM27" s="163" t="e">
        <f t="shared" si="24"/>
        <v>#N/A</v>
      </c>
      <c r="BN27" s="163">
        <f t="shared" si="24"/>
        <v>105.23636363636363</v>
      </c>
      <c r="BO27" s="163">
        <f t="shared" si="24"/>
        <v>108.2</v>
      </c>
      <c r="BP27" s="163">
        <f t="shared" si="24"/>
        <v>111.16363636363636</v>
      </c>
      <c r="BQ27" s="163">
        <f t="shared" si="24"/>
        <v>114.12727272727273</v>
      </c>
      <c r="BR27" s="163">
        <f t="shared" si="24"/>
        <v>117.09090909090909</v>
      </c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 spans="1:83" s="84" customForma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150"/>
      <c r="AF28" s="150"/>
      <c r="AG28" s="1"/>
      <c r="AH28" s="167" t="str">
        <f>AH19</f>
        <v>Trend 12m</v>
      </c>
      <c r="AI28" s="1"/>
      <c r="AJ28" s="1"/>
      <c r="AK28" s="1"/>
      <c r="AL28" s="1"/>
      <c r="AU28" s="163" t="e">
        <f t="shared" ref="AU28:BR28" si="25">IF(AU19="",NA(),AU19)</f>
        <v>#N/A</v>
      </c>
      <c r="AV28" s="163" t="e">
        <f t="shared" si="25"/>
        <v>#N/A</v>
      </c>
      <c r="AW28" s="163" t="e">
        <f t="shared" si="25"/>
        <v>#N/A</v>
      </c>
      <c r="AX28" s="163" t="e">
        <f t="shared" si="25"/>
        <v>#N/A</v>
      </c>
      <c r="AY28" s="163" t="e">
        <f t="shared" si="25"/>
        <v>#N/A</v>
      </c>
      <c r="AZ28" s="163" t="e">
        <f t="shared" si="25"/>
        <v>#N/A</v>
      </c>
      <c r="BA28" s="163" t="e">
        <f t="shared" si="25"/>
        <v>#N/A</v>
      </c>
      <c r="BB28" s="163" t="e">
        <f t="shared" si="25"/>
        <v>#N/A</v>
      </c>
      <c r="BC28" s="163" t="e">
        <f t="shared" si="25"/>
        <v>#N/A</v>
      </c>
      <c r="BD28" s="163" t="e">
        <f t="shared" si="25"/>
        <v>#N/A</v>
      </c>
      <c r="BE28" s="163" t="e">
        <f t="shared" si="25"/>
        <v>#N/A</v>
      </c>
      <c r="BF28" s="163" t="e">
        <f t="shared" si="25"/>
        <v>#N/A</v>
      </c>
      <c r="BG28" s="163" t="e">
        <f t="shared" si="25"/>
        <v>#N/A</v>
      </c>
      <c r="BH28" s="163" t="e">
        <f t="shared" si="25"/>
        <v>#N/A</v>
      </c>
      <c r="BI28" s="163" t="e">
        <f t="shared" si="25"/>
        <v>#N/A</v>
      </c>
      <c r="BJ28" s="163" t="e">
        <f t="shared" si="25"/>
        <v>#N/A</v>
      </c>
      <c r="BK28" s="163" t="e">
        <f t="shared" si="25"/>
        <v>#N/A</v>
      </c>
      <c r="BL28" s="163" t="e">
        <f t="shared" si="25"/>
        <v>#N/A</v>
      </c>
      <c r="BM28" s="163" t="e">
        <f t="shared" si="25"/>
        <v>#N/A</v>
      </c>
      <c r="BN28" s="163">
        <f t="shared" si="25"/>
        <v>96.867647058823522</v>
      </c>
      <c r="BO28" s="163">
        <f t="shared" si="25"/>
        <v>98.127450980392155</v>
      </c>
      <c r="BP28" s="163">
        <f t="shared" si="25"/>
        <v>99.387254901960773</v>
      </c>
      <c r="BQ28" s="163">
        <f t="shared" si="25"/>
        <v>100.64705882352941</v>
      </c>
      <c r="BR28" s="163">
        <f t="shared" si="25"/>
        <v>101.90686274509804</v>
      </c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 spans="1:83" s="84" customForma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135" t="s">
        <v>97</v>
      </c>
      <c r="U29" s="164" t="str">
        <f>AA29</f>
        <v>Q1</v>
      </c>
      <c r="V29" s="164" t="str">
        <f t="shared" ref="V29:X29" si="26">AB29</f>
        <v>Q2</v>
      </c>
      <c r="W29" s="164" t="str">
        <f t="shared" si="26"/>
        <v>Q3</v>
      </c>
      <c r="X29" s="136" t="str">
        <f t="shared" si="26"/>
        <v>Q4</v>
      </c>
      <c r="Y29" s="56"/>
      <c r="Z29" s="135" t="s">
        <v>97</v>
      </c>
      <c r="AA29" s="164" t="s">
        <v>21</v>
      </c>
      <c r="AB29" s="164" t="s">
        <v>22</v>
      </c>
      <c r="AC29" s="164" t="s">
        <v>23</v>
      </c>
      <c r="AD29" s="136" t="s">
        <v>24</v>
      </c>
      <c r="AE29" s="170"/>
      <c r="AF29" s="170"/>
      <c r="AH29" s="167" t="s">
        <v>34</v>
      </c>
      <c r="AU29" s="163" t="e">
        <f t="shared" ref="AU29:BR29" si="27">IF(AU21="",NA(),AU21)</f>
        <v>#N/A</v>
      </c>
      <c r="AV29" s="163" t="e">
        <f t="shared" si="27"/>
        <v>#N/A</v>
      </c>
      <c r="AW29" s="163" t="e">
        <f t="shared" si="27"/>
        <v>#N/A</v>
      </c>
      <c r="AX29" s="163" t="e">
        <f t="shared" si="27"/>
        <v>#N/A</v>
      </c>
      <c r="AY29" s="163" t="e">
        <f t="shared" si="27"/>
        <v>#N/A</v>
      </c>
      <c r="AZ29" s="163" t="e">
        <f t="shared" si="27"/>
        <v>#N/A</v>
      </c>
      <c r="BA29" s="163" t="e">
        <f t="shared" si="27"/>
        <v>#N/A</v>
      </c>
      <c r="BB29" s="163" t="e">
        <f t="shared" si="27"/>
        <v>#N/A</v>
      </c>
      <c r="BC29" s="163" t="e">
        <f t="shared" si="27"/>
        <v>#N/A</v>
      </c>
      <c r="BD29" s="163" t="e">
        <f t="shared" si="27"/>
        <v>#N/A</v>
      </c>
      <c r="BE29" s="163" t="e">
        <f t="shared" si="27"/>
        <v>#N/A</v>
      </c>
      <c r="BF29" s="163" t="e">
        <f t="shared" si="27"/>
        <v>#N/A</v>
      </c>
      <c r="BG29" s="163" t="e">
        <f t="shared" si="27"/>
        <v>#N/A</v>
      </c>
      <c r="BH29" s="163" t="e">
        <f t="shared" si="27"/>
        <v>#N/A</v>
      </c>
      <c r="BI29" s="163" t="e">
        <f t="shared" si="27"/>
        <v>#N/A</v>
      </c>
      <c r="BJ29" s="163" t="e">
        <f t="shared" si="27"/>
        <v>#N/A</v>
      </c>
      <c r="BK29" s="163" t="e">
        <f t="shared" si="27"/>
        <v>#N/A</v>
      </c>
      <c r="BL29" s="163" t="e">
        <f t="shared" si="27"/>
        <v>#N/A</v>
      </c>
      <c r="BM29" s="163">
        <f t="shared" si="27"/>
        <v>122</v>
      </c>
      <c r="BN29" s="163">
        <f t="shared" si="27"/>
        <v>87.182787242677961</v>
      </c>
      <c r="BO29" s="163">
        <f t="shared" si="27"/>
        <v>95.080094527224773</v>
      </c>
      <c r="BP29" s="163">
        <f t="shared" si="27"/>
        <v>96.684548547440144</v>
      </c>
      <c r="BQ29" s="163">
        <f t="shared" si="27"/>
        <v>96.684548553149241</v>
      </c>
      <c r="BR29" s="163">
        <f t="shared" si="27"/>
        <v>90.6070364467285</v>
      </c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 spans="1:83" s="84" customForma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195" t="str">
        <f>T25</f>
        <v>vs 2018</v>
      </c>
      <c r="U30" s="196">
        <f t="shared" ref="U30:X31" si="28">U$21-U18</f>
        <v>112</v>
      </c>
      <c r="V30" s="196">
        <f t="shared" si="28"/>
        <v>44</v>
      </c>
      <c r="W30" s="196">
        <f t="shared" si="28"/>
        <v>-122</v>
      </c>
      <c r="X30" s="110">
        <f t="shared" si="28"/>
        <v>-246</v>
      </c>
      <c r="Z30" s="195" t="str">
        <f>Z25</f>
        <v>vs 2018</v>
      </c>
      <c r="AA30" s="196">
        <f t="shared" ref="AA30:AD31" si="29">AA$21-AA18</f>
        <v>296.52776416799998</v>
      </c>
      <c r="AB30" s="196">
        <f t="shared" si="29"/>
        <v>244.21735045500009</v>
      </c>
      <c r="AC30" s="196">
        <f t="shared" si="29"/>
        <v>-484.24723283699996</v>
      </c>
      <c r="AD30" s="110">
        <f t="shared" si="29"/>
        <v>-857.36600422799995</v>
      </c>
      <c r="AE30" s="175"/>
      <c r="AF30" s="175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 spans="1:83" s="84" customForma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195" t="str">
        <f>T26</f>
        <v>vs 2019</v>
      </c>
      <c r="U31" s="196">
        <f t="shared" si="28"/>
        <v>34</v>
      </c>
      <c r="V31" s="196">
        <f t="shared" si="28"/>
        <v>-10</v>
      </c>
      <c r="W31" s="196">
        <f t="shared" si="28"/>
        <v>-134</v>
      </c>
      <c r="X31" s="110">
        <f t="shared" si="28"/>
        <v>-208</v>
      </c>
      <c r="Z31" s="195" t="str">
        <f>Z26</f>
        <v>vs 2019</v>
      </c>
      <c r="AA31" s="196">
        <f t="shared" si="29"/>
        <v>118.56479802549097</v>
      </c>
      <c r="AB31" s="196">
        <f t="shared" si="29"/>
        <v>37.992114851531369</v>
      </c>
      <c r="AC31" s="196">
        <f t="shared" si="29"/>
        <v>-520.35759747975953</v>
      </c>
      <c r="AD31" s="110">
        <f t="shared" si="29"/>
        <v>-707.76411480641332</v>
      </c>
      <c r="AE31" s="179"/>
      <c r="AF31" s="179"/>
      <c r="AH31" s="1"/>
      <c r="AI31" s="1"/>
      <c r="AJ31" s="1"/>
      <c r="AK31" s="1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 spans="1:83" s="84" customFormat="1" ht="16.149999999999999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7"/>
      <c r="T32" s="151" t="str">
        <f>"Forecast "&amp;"vs. "&amp;$A$7</f>
        <v>Forecast vs. 2019</v>
      </c>
      <c r="U32" s="197">
        <f>U22-U19</f>
        <v>34</v>
      </c>
      <c r="V32" s="197">
        <f t="shared" ref="V32:X32" si="30">V22-V19</f>
        <v>-10</v>
      </c>
      <c r="W32" s="197">
        <f t="shared" si="30"/>
        <v>48.262881769902719</v>
      </c>
      <c r="X32" s="127">
        <f t="shared" si="30"/>
        <v>75.976133547317886</v>
      </c>
      <c r="Y32" s="175"/>
      <c r="Z32" s="151" t="str">
        <f>"Forecast "&amp;"vs. "&amp;$A$7</f>
        <v>Forecast vs. 2019</v>
      </c>
      <c r="AA32" s="197">
        <f>AA22-AA19</f>
        <v>118.56479802549097</v>
      </c>
      <c r="AB32" s="197">
        <f t="shared" ref="AB32:AD32" si="31">AB22-AB19</f>
        <v>37.992114851531369</v>
      </c>
      <c r="AC32" s="197">
        <f t="shared" si="31"/>
        <v>86.260414909563224</v>
      </c>
      <c r="AD32" s="127">
        <f t="shared" si="31"/>
        <v>237.381907387806</v>
      </c>
      <c r="AE32" s="131"/>
      <c r="AF32" s="131"/>
      <c r="AG32" s="1"/>
      <c r="BM32" s="198"/>
      <c r="BN32" s="198"/>
      <c r="BO32" s="198"/>
      <c r="BP32" s="198"/>
      <c r="BQ32" s="198"/>
      <c r="BR32" s="198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 spans="1:83" s="84" customFormat="1" ht="15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131"/>
      <c r="AF33" s="131"/>
      <c r="AG33" s="158" t="s">
        <v>82</v>
      </c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 spans="1:83" s="84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35" t="s">
        <v>88</v>
      </c>
      <c r="U34" s="164" t="str">
        <f>AA34</f>
        <v>Q1</v>
      </c>
      <c r="V34" s="164" t="str">
        <f t="shared" ref="V34:X34" si="32">AB34</f>
        <v>Q2</v>
      </c>
      <c r="W34" s="164" t="str">
        <f t="shared" si="32"/>
        <v>Q3</v>
      </c>
      <c r="X34" s="164" t="str">
        <f t="shared" si="32"/>
        <v>Q4</v>
      </c>
      <c r="Y34" s="131"/>
      <c r="Z34" s="135" t="s">
        <v>88</v>
      </c>
      <c r="AA34" s="164" t="s">
        <v>21</v>
      </c>
      <c r="AB34" s="164" t="s">
        <v>22</v>
      </c>
      <c r="AC34" s="164" t="s">
        <v>23</v>
      </c>
      <c r="AD34" s="136" t="s">
        <v>24</v>
      </c>
      <c r="AE34" s="170"/>
      <c r="AF34" s="170"/>
      <c r="AG34" s="160" t="s">
        <v>29</v>
      </c>
      <c r="AH34" s="162" t="s">
        <v>0</v>
      </c>
      <c r="AI34" s="163">
        <f>SUMIFS('Sales Data'!$E:$E,'Sales Data'!$A:$A,$E$2,'Sales Data'!$B:$B,AI$15,'Sales Data'!$C:$C,"Periodic")/1000</f>
        <v>150.41511694800002</v>
      </c>
      <c r="AJ34" s="163">
        <f>SUMIFS('Sales Data'!$E:$E,'Sales Data'!$A:$A,$E$2,'Sales Data'!$B:$B,AJ$15,'Sales Data'!$C:$C,"Periodic")/1000</f>
        <v>201.71354200799999</v>
      </c>
      <c r="AK34" s="163">
        <f>SUMIFS('Sales Data'!$E:$E,'Sales Data'!$A:$A,$E$2,'Sales Data'!$B:$B,AK$15,'Sales Data'!$C:$C,"Periodic")/1000</f>
        <v>287.478027849</v>
      </c>
      <c r="AL34" s="163">
        <f>SUMIFS('Sales Data'!$E:$E,'Sales Data'!$A:$A,$E$2,'Sales Data'!$B:$B,AL$15,'Sales Data'!$C:$C,"Periodic")/1000</f>
        <v>207.07992603299999</v>
      </c>
      <c r="AM34" s="163">
        <f>SUMIFS('Sales Data'!$E:$E,'Sales Data'!$A:$A,$E$2,'Sales Data'!$B:$B,AM$15,'Sales Data'!$C:$C,"Periodic")/1000</f>
        <v>204.97804298700001</v>
      </c>
      <c r="AN34" s="163">
        <f>SUMIFS('Sales Data'!$E:$E,'Sales Data'!$A:$A,$E$2,'Sales Data'!$B:$B,AN$15,'Sales Data'!$C:$C,"Periodic")/1000</f>
        <v>262.35300348600003</v>
      </c>
      <c r="AO34" s="163">
        <f>SUMIFS('Sales Data'!$E:$E,'Sales Data'!$A:$A,$E$2,'Sales Data'!$B:$B,AO$15,'Sales Data'!$C:$C,"Periodic")/1000</f>
        <v>361.307958912</v>
      </c>
      <c r="AP34" s="163">
        <f>SUMIFS('Sales Data'!$E:$E,'Sales Data'!$A:$A,$E$2,'Sales Data'!$B:$B,AP$15,'Sales Data'!$C:$C,"Periodic")/1000</f>
        <v>243.98099895000001</v>
      </c>
      <c r="AQ34" s="163">
        <f>SUMIFS('Sales Data'!$E:$E,'Sales Data'!$A:$A,$E$2,'Sales Data'!$B:$B,AQ$15,'Sales Data'!$C:$C,"Periodic")/1000</f>
        <v>227.50272576</v>
      </c>
      <c r="AR34" s="163">
        <f>SUMIFS('Sales Data'!$E:$E,'Sales Data'!$A:$A,$E$2,'Sales Data'!$B:$B,AR$15,'Sales Data'!$C:$C,"Periodic")/1000</f>
        <v>230.25430985699998</v>
      </c>
      <c r="AS34" s="163">
        <f>SUMIFS('Sales Data'!$E:$E,'Sales Data'!$A:$A,$E$2,'Sales Data'!$B:$B,AS$15,'Sales Data'!$C:$C,"Periodic")/1000</f>
        <v>342.65982948600004</v>
      </c>
      <c r="AT34" s="163">
        <f>SUMIFS('Sales Data'!$E:$E,'Sales Data'!$A:$A,$E$2,'Sales Data'!$B:$B,AT$15,'Sales Data'!$C:$C,"Periodic")/1000</f>
        <v>284.45186488499996</v>
      </c>
      <c r="AU34" s="163">
        <f>SUMIFS('Sales Data'!$E:$E,'Sales Data'!$A:$A,$E$2,'Sales Data'!$B:$B,AU$15,'Sales Data'!$C:$C,"Periodic")/1000</f>
        <v>331.4490467373322</v>
      </c>
      <c r="AV34" s="163">
        <f>SUMIFS('Sales Data'!$E:$E,'Sales Data'!$A:$A,$E$2,'Sales Data'!$B:$B,AV$15,'Sales Data'!$C:$C,"Periodic")/1000</f>
        <v>192.22995172811426</v>
      </c>
      <c r="AW34" s="163">
        <f>SUMIFS('Sales Data'!$E:$E,'Sales Data'!$A:$A,$E$2,'Sales Data'!$B:$B,AW$15,'Sales Data'!$C:$C,"Periodic")/1000</f>
        <v>293.89065448206242</v>
      </c>
      <c r="AX34" s="163">
        <f>SUMIFS('Sales Data'!$E:$E,'Sales Data'!$A:$A,$E$2,'Sales Data'!$B:$B,AX$15,'Sales Data'!$C:$C,"Periodic")/1000</f>
        <v>298.23460000718501</v>
      </c>
      <c r="AY34" s="163">
        <f>SUMIFS('Sales Data'!$E:$E,'Sales Data'!$A:$A,$E$2,'Sales Data'!$B:$B,AY$15,'Sales Data'!$C:$C,"Periodic")/1000</f>
        <v>370.87773730633921</v>
      </c>
      <c r="AZ34" s="163">
        <f>SUMIFS('Sales Data'!$E:$E,'Sales Data'!$A:$A,$E$2,'Sales Data'!$B:$B,AZ$15,'Sales Data'!$C:$C,"Periodic")/1000</f>
        <v>211.52387079594456</v>
      </c>
      <c r="BA34" s="163">
        <f>SUMIFS('Sales Data'!$E:$E,'Sales Data'!$A:$A,$E$2,'Sales Data'!$B:$B,BA$15,'Sales Data'!$C:$C,"Periodic")/1000</f>
        <v>330.4977830078887</v>
      </c>
      <c r="BB34" s="163">
        <f>SUMIFS('Sales Data'!$E:$E,'Sales Data'!$A:$A,$E$2,'Sales Data'!$B:$B,BB$15,'Sales Data'!$C:$C,"Periodic")/1000</f>
        <v>207.34383916267058</v>
      </c>
      <c r="BC34" s="163">
        <f>SUMIFS('Sales Data'!$E:$E,'Sales Data'!$A:$A,$E$2,'Sales Data'!$B:$B,BC$15,'Sales Data'!$C:$C,"Periodic")/1000</f>
        <v>331.0604260942003</v>
      </c>
      <c r="BD34" s="163">
        <f>SUMIFS('Sales Data'!$E:$E,'Sales Data'!$A:$A,$E$2,'Sales Data'!$B:$B,BD$15,'Sales Data'!$C:$C,"Periodic")/1000</f>
        <v>191.55252713425921</v>
      </c>
      <c r="BE34" s="163">
        <f>SUMIFS('Sales Data'!$E:$E,'Sales Data'!$A:$A,$E$2,'Sales Data'!$B:$B,BE$15,'Sales Data'!$C:$C,"Periodic")/1000</f>
        <v>319.95400557495987</v>
      </c>
      <c r="BF34" s="163">
        <f>SUMIFS('Sales Data'!$E:$E,'Sales Data'!$A:$A,$E$2,'Sales Data'!$B:$B,BF$15,'Sales Data'!$C:$C,"Periodic")/1000</f>
        <v>196.25758209719424</v>
      </c>
      <c r="BG34" s="163">
        <f>IF(OR(BG$8=1,BG$9=0),SUMIFS('Sales Data'!$E:$E,'Sales Data'!$A:$A,$E$2,'Sales Data'!$B:$B,BG$15,'Sales Data'!$C:$C,"Periodic")/1000,"")</f>
        <v>346.82725108199998</v>
      </c>
      <c r="BH34" s="163">
        <f>IF(OR(BH$8=1,BH$9=0),SUMIFS('Sales Data'!$E:$E,'Sales Data'!$A:$A,$E$2,'Sales Data'!$B:$B,BH$15,'Sales Data'!$C:$C,"Periodic")/1000,"")</f>
        <v>238.79549961599997</v>
      </c>
      <c r="BI34" s="163">
        <f>IF(OR(BI$8=1,BI$9=0),SUMIFS('Sales Data'!$E:$E,'Sales Data'!$A:$A,$E$2,'Sales Data'!$B:$B,BI$15,'Sales Data'!$C:$C,"Periodic")/1000,"")</f>
        <v>350.51170027500001</v>
      </c>
      <c r="BJ34" s="163">
        <f>IF(OR(BJ$8=1,BJ$9=0),SUMIFS('Sales Data'!$E:$E,'Sales Data'!$A:$A,$E$2,'Sales Data'!$B:$B,BJ$15,'Sales Data'!$C:$C,"Periodic")/1000,"")</f>
        <v>268.37060003700003</v>
      </c>
      <c r="BK34" s="163">
        <f>IF(OR(BK$8=1,BK$9=0),SUMIFS('Sales Data'!$E:$E,'Sales Data'!$A:$A,$E$2,'Sales Data'!$B:$B,BK$15,'Sales Data'!$C:$C,"Periodic")/1000,"")</f>
        <v>198.77341220100004</v>
      </c>
      <c r="BL34" s="163">
        <f>IF(OR(BL$8=1,BL$9=0),SUMIFS('Sales Data'!$E:$E,'Sales Data'!$A:$A,$E$2,'Sales Data'!$B:$B,BL$15,'Sales Data'!$C:$C,"Periodic")/1000,"")</f>
        <v>451.48431072299996</v>
      </c>
      <c r="BM34" s="163">
        <f>IF(OR(BM$8=1,BM$9=0),SUMIFS('Sales Data'!$E:$E,'Sales Data'!$A:$A,$E$2,'Sales Data'!$B:$B,BM$15,'Sales Data'!$C:$C,"Periodic")/1000,"")</f>
        <v>348.54445078499998</v>
      </c>
      <c r="BN34" s="163" t="str">
        <f>IF(OR(BN$8=1,BN$9=0),SUMIFS('Sales Data'!$E:$E,'Sales Data'!$A:$A,$E$2,'Sales Data'!$B:$B,BN$15,'Sales Data'!$C:$C,"Periodic")/1000,"")</f>
        <v/>
      </c>
      <c r="BO34" s="163" t="str">
        <f>IF(OR(BO$8=1,BO$9=0),SUMIFS('Sales Data'!$E:$E,'Sales Data'!$A:$A,$E$2,'Sales Data'!$B:$B,BO$15,'Sales Data'!$C:$C,"Periodic")/1000,"")</f>
        <v/>
      </c>
      <c r="BP34" s="163" t="str">
        <f>IF(OR(BP$8=1,BP$9=0),SUMIFS('Sales Data'!$E:$E,'Sales Data'!$A:$A,$E$2,'Sales Data'!$B:$B,BP$15,'Sales Data'!$C:$C,"Periodic")/1000,"")</f>
        <v/>
      </c>
      <c r="BQ34" s="163" t="str">
        <f>IF(OR(BQ$8=1,BQ$9=0),SUMIFS('Sales Data'!$E:$E,'Sales Data'!$A:$A,$E$2,'Sales Data'!$B:$B,BQ$15,'Sales Data'!$C:$C,"Periodic")/1000,"")</f>
        <v/>
      </c>
      <c r="BR34" s="163" t="str">
        <f>IF(OR(BR$8=1,BR$9=0),SUMIFS('Sales Data'!$E:$E,'Sales Data'!$A:$A,$E$2,'Sales Data'!$B:$B,BR$15,'Sales Data'!$C:$C,"Periodic")/1000,"")</f>
        <v/>
      </c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 spans="1:83" s="84" customFormat="1" ht="12.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T35" s="112" t="str">
        <f>+T19</f>
        <v>2019 Actual</v>
      </c>
      <c r="U35" s="192">
        <f>IFERROR(U19/X18-1,"")</f>
        <v>4.0650406504065151E-2</v>
      </c>
      <c r="V35" s="192">
        <f t="shared" ref="V35:X36" si="33">IFERROR(V19/U19-1,"")</f>
        <v>1.5625E-2</v>
      </c>
      <c r="W35" s="192">
        <f t="shared" si="33"/>
        <v>-1.538461538461533E-2</v>
      </c>
      <c r="X35" s="149">
        <f t="shared" si="33"/>
        <v>-0.1875</v>
      </c>
      <c r="Y35" s="131"/>
      <c r="Z35" s="112" t="str">
        <f>+Z19</f>
        <v>2019 Actual</v>
      </c>
      <c r="AA35" s="192">
        <f>IFERROR(AA19/AD18-1,"")</f>
        <v>-4.6416992374598398E-2</v>
      </c>
      <c r="AB35" s="192">
        <f t="shared" ref="AB35:AD36" si="34">IFERROR(AB19/AA19-1,"")</f>
        <v>7.7139060793892877E-2</v>
      </c>
      <c r="AC35" s="192">
        <f t="shared" si="34"/>
        <v>-1.3324639319452714E-2</v>
      </c>
      <c r="AD35" s="149">
        <f t="shared" si="34"/>
        <v>-0.18545005594145703</v>
      </c>
      <c r="AE35" s="199"/>
      <c r="AF35" s="179"/>
      <c r="AG35" s="131"/>
      <c r="AH35" s="166" t="s">
        <v>1</v>
      </c>
      <c r="AI35" s="1"/>
      <c r="AJ35" s="1"/>
      <c r="AK35" s="1"/>
      <c r="AL35" s="1"/>
      <c r="BG35" s="163" t="str">
        <f>IF(OR(BG$8=1,BG$9=1),SUMIFS('Sales Data'!$D:$D,'Sales Data'!$A:$A,$E$2,'Sales Data'!$B:$B,BG$15,'Sales Data'!$C:$C,"Periodic")/1000,"")</f>
        <v/>
      </c>
      <c r="BH35" s="163" t="str">
        <f>IF(OR(BH$8=1,BH$9=1),SUMIFS('Sales Data'!$D:$D,'Sales Data'!$A:$A,$E$2,'Sales Data'!$B:$B,BH$15,'Sales Data'!$C:$C,"Periodic")/1000,"")</f>
        <v/>
      </c>
      <c r="BI35" s="163" t="str">
        <f>IF(OR(BI$8=1,BI$9=1),SUMIFS('Sales Data'!$D:$D,'Sales Data'!$A:$A,$E$2,'Sales Data'!$B:$B,BI$15,'Sales Data'!$C:$C,"Periodic")/1000,"")</f>
        <v/>
      </c>
      <c r="BJ35" s="163" t="str">
        <f>IF(OR(BJ$8=1,BJ$9=1),SUMIFS('Sales Data'!$D:$D,'Sales Data'!$A:$A,$E$2,'Sales Data'!$B:$B,BJ$15,'Sales Data'!$C:$C,"Periodic")/1000,"")</f>
        <v/>
      </c>
      <c r="BK35" s="163" t="str">
        <f>IF(OR(BK$8=1,BK$9=1),SUMIFS('Sales Data'!$D:$D,'Sales Data'!$A:$A,$E$2,'Sales Data'!$B:$B,BK$15,'Sales Data'!$C:$C,"Periodic")/1000,"")</f>
        <v/>
      </c>
      <c r="BL35" s="163" t="str">
        <f>IF(OR(BL$8=1,BL$9=1),SUMIFS('Sales Data'!$D:$D,'Sales Data'!$A:$A,$E$2,'Sales Data'!$B:$B,BL$15,'Sales Data'!$C:$C,"Periodic")/1000,"")</f>
        <v/>
      </c>
      <c r="BM35" s="163">
        <f>IF(OR(BM$8=1,BM$9=1),SUMIFS('Sales Data'!$D:$D,'Sales Data'!$A:$A,$E$2,'Sales Data'!$B:$B,BM$15,'Sales Data'!$C:$C,"Periodic")/1000,"")</f>
        <v>329.69726462469686</v>
      </c>
      <c r="BN35" s="163">
        <f>IF(OR(BN$8=1,BN$9=1),SUMIFS('Sales Data'!$D:$D,'Sales Data'!$A:$A,$E$2,'Sales Data'!$B:$B,BN$15,'Sales Data'!$C:$C,"Periodic")/1000,"")</f>
        <v>290.16686556334116</v>
      </c>
      <c r="BO35" s="163">
        <f>IF(OR(BO$8=1,BO$9=1),SUMIFS('Sales Data'!$D:$D,'Sales Data'!$A:$A,$E$2,'Sales Data'!$B:$B,BO$15,'Sales Data'!$C:$C,"Periodic")/1000,"")</f>
        <v>316.4511468259816</v>
      </c>
      <c r="BP35" s="163">
        <f>IF(OR(BP$8=1,BP$9=1),SUMIFS('Sales Data'!$D:$D,'Sales Data'!$A:$A,$E$2,'Sales Data'!$B:$B,BP$15,'Sales Data'!$C:$C,"Periodic")/1000,"")</f>
        <v>321.79118479345891</v>
      </c>
      <c r="BQ35" s="163">
        <f>IF(OR(BQ$8=1,BQ$9=1),SUMIFS('Sales Data'!$D:$D,'Sales Data'!$A:$A,$E$2,'Sales Data'!$B:$B,BQ$15,'Sales Data'!$C:$C,"Periodic")/1000,"")</f>
        <v>321.79118481246024</v>
      </c>
      <c r="BR35" s="163">
        <f>IF(OR(BR$8=1,BR$9=1),SUMIFS('Sales Data'!$D:$D,'Sales Data'!$A:$A,$E$2,'Sales Data'!$B:$B,BR$15,'Sales Data'!$C:$C,"Periodic")/1000,"")</f>
        <v>301.56365258830016</v>
      </c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 spans="1:83" s="84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2" t="str">
        <f>+T20</f>
        <v>2020 Budget</v>
      </c>
      <c r="U36" s="192">
        <f>IFERROR(U20/X19-1,"")</f>
        <v>0.3059229567307693</v>
      </c>
      <c r="V36" s="192">
        <f t="shared" si="33"/>
        <v>-8.7592780636380763E-4</v>
      </c>
      <c r="W36" s="192">
        <f t="shared" si="33"/>
        <v>4.4653339390700264E-2</v>
      </c>
      <c r="X36" s="149">
        <f t="shared" si="33"/>
        <v>-4.9807722296445589E-2</v>
      </c>
      <c r="Y36" s="170"/>
      <c r="Z36" s="112" t="str">
        <f>+Z20</f>
        <v>2020 Budget</v>
      </c>
      <c r="AA36" s="192">
        <f>IFERROR(AA20/AD19-1,"")</f>
        <v>0.21614697340140521</v>
      </c>
      <c r="AB36" s="192">
        <f t="shared" si="34"/>
        <v>9.1018908182678659E-2</v>
      </c>
      <c r="AC36" s="192">
        <f t="shared" si="34"/>
        <v>-2.9539216684354441E-3</v>
      </c>
      <c r="AD36" s="149">
        <f t="shared" si="34"/>
        <v>9.4313800030707551E-3</v>
      </c>
      <c r="AE36" s="179"/>
      <c r="AF36" s="179"/>
      <c r="AG36" s="131"/>
      <c r="AH36" s="171" t="s">
        <v>26</v>
      </c>
      <c r="BG36" s="174" t="str">
        <f>IF(BG$9,FORECAST(BG$12,$AP34:BF34,$AP12:BF12), "")</f>
        <v/>
      </c>
      <c r="BH36" s="174" t="str">
        <f>IF(BH$9,FORECAST(BH$12,$AP34:BG34,$AP12:BG12), "")</f>
        <v/>
      </c>
      <c r="BI36" s="174" t="str">
        <f>IF(BI$9,FORECAST(BI$12,$AP34:BH34,$AP12:BH12), "")</f>
        <v/>
      </c>
      <c r="BJ36" s="174" t="str">
        <f>IF(BJ$9,FORECAST(BJ$12,$AP34:BI34,$AP12:BI12), "")</f>
        <v/>
      </c>
      <c r="BK36" s="174" t="str">
        <f>IF(BK$9,FORECAST(BK$12,$AP34:BJ34,$AP12:BJ12), "")</f>
        <v/>
      </c>
      <c r="BL36" s="174" t="str">
        <f>IF(BL$9,FORECAST(BL$12,$AP34:BK34,$AP12:BK12), "")</f>
        <v/>
      </c>
      <c r="BM36" s="174" t="str">
        <f>IF(BM$9,FORECAST(BM$12,$AP34:BL34,$AP12:BL12), "")</f>
        <v/>
      </c>
      <c r="BN36" s="174">
        <f>IF(BN$9,FORECAST(BN$12,$AP34:BM34,$AP12:BM12), "")</f>
        <v>344.45830393412996</v>
      </c>
      <c r="BO36" s="174">
        <f>IF(BO$9,FORECAST(BO$12,$AP34:BN34,$AP12:BN12), "")</f>
        <v>352.74481268649077</v>
      </c>
      <c r="BP36" s="174">
        <f>IF(BP$9,FORECAST(BP$12,$AP34:BO34,$AP12:BO12), "")</f>
        <v>361.03132143885165</v>
      </c>
      <c r="BQ36" s="174">
        <f>IF(BQ$9,FORECAST(BQ$12,$AP34:BP34,$AP12:BP12), "")</f>
        <v>369.31783019121247</v>
      </c>
      <c r="BR36" s="174">
        <f>IF(BR$9,FORECAST(BR$12,$AP34:BQ34,$AP12:BQ12), "")</f>
        <v>377.60433894357334</v>
      </c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 spans="1:83" s="84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2" t="str">
        <f>+T21</f>
        <v>2020 Actual</v>
      </c>
      <c r="U37" s="192">
        <f>IF(U21&lt;&gt;0,IFERROR(U21/X19-1,""),"")</f>
        <v>0.39423076923076916</v>
      </c>
      <c r="V37" s="192">
        <f>IF(V21&lt;&gt;0,IFERROR(V21/U21-1,""),"")</f>
        <v>-0.13793103448275867</v>
      </c>
      <c r="W37" s="192">
        <f>IF(W21&lt;&gt;0,IFERROR(W21/V21-1,""),"")</f>
        <v>-0.51200000000000001</v>
      </c>
      <c r="X37" s="149" t="str">
        <f>IF(X21&lt;&gt;0,IFERROR(X21/W21-1,""),"")</f>
        <v/>
      </c>
      <c r="Y37" s="179"/>
      <c r="Z37" s="112" t="str">
        <f>+Z21</f>
        <v>2020 Actual</v>
      </c>
      <c r="AA37" s="192">
        <f>IF(AA21&lt;&gt;0,IFERROR(AA21/AD19-1,""),"")</f>
        <v>0.32266447448956947</v>
      </c>
      <c r="AB37" s="192">
        <f>IF(AB21&lt;&gt;0,IFERROR(AB21/AA21-1,""),"")</f>
        <v>-1.8700442007880791E-2</v>
      </c>
      <c r="AC37" s="192">
        <f>IF(AC21&lt;&gt;0,IFERROR(AC21/AB21-1,""),"")</f>
        <v>-0.62058164104766311</v>
      </c>
      <c r="AD37" s="149" t="str">
        <f>IF(AD21&lt;&gt;0,IFERROR(AD21/AC21-1,""),"")</f>
        <v/>
      </c>
      <c r="AE37" s="179"/>
      <c r="AF37" s="179"/>
      <c r="AG37" s="170"/>
      <c r="AH37" s="171" t="s">
        <v>90</v>
      </c>
      <c r="BG37" s="174" t="str">
        <f>IF(BG$9,FORECAST(BG$13,$AP34:BF34,$AP13:BF13), "")</f>
        <v/>
      </c>
      <c r="BH37" s="174" t="str">
        <f>IF(BH$9,FORECAST(BH$13,$AP34:BG34,$AP13:BG13), "")</f>
        <v/>
      </c>
      <c r="BI37" s="174" t="str">
        <f>IF(BI$9,FORECAST(BI$13,$AP34:BH34,$AP13:BH13), "")</f>
        <v/>
      </c>
      <c r="BJ37" s="174" t="str">
        <f>IF(BJ$9,FORECAST(BJ$13,$AP34:BI34,$AP13:BI13), "")</f>
        <v/>
      </c>
      <c r="BK37" s="174" t="str">
        <f>IF(BK$9,FORECAST(BK$13,$AP34:BJ34,$AP13:BJ13), "")</f>
        <v/>
      </c>
      <c r="BL37" s="174" t="str">
        <f>IF(BL$9,FORECAST(BL$13,$AP34:BK34,$AP13:BK13), "")</f>
        <v/>
      </c>
      <c r="BM37" s="174" t="str">
        <f>IF(BM$9,FORECAST(BM$13,$AP34:BL34,$AP13:BL13), "")</f>
        <v/>
      </c>
      <c r="BN37" s="174">
        <f>IF(BN$9,FORECAST(BN$13,$AP34:BM34,$AP13:BM13), "")</f>
        <v>312.88756023659471</v>
      </c>
      <c r="BO37" s="174">
        <f>IF(BO$9,FORECAST(BO$13,$AP34:BN34,$AP13:BN13), "")</f>
        <v>315.27049012966927</v>
      </c>
      <c r="BP37" s="174">
        <f>IF(BP$9,FORECAST(BP$13,$AP34:BO34,$AP13:BO13), "")</f>
        <v>317.65342002274377</v>
      </c>
      <c r="BQ37" s="174">
        <f>IF(BQ$9,FORECAST(BQ$13,$AP34:BP34,$AP13:BP13), "")</f>
        <v>320.03634991581833</v>
      </c>
      <c r="BR37" s="174">
        <f>IF(BR$9,FORECAST(BR$13,$AP34:BQ34,$AP13:BQ13), "")</f>
        <v>322.4192798088929</v>
      </c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 spans="1:83" s="84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51" t="s">
        <v>34</v>
      </c>
      <c r="U38" s="193">
        <f>IFERROR(U22/X19-1,"")</f>
        <v>0.39423076923076916</v>
      </c>
      <c r="V38" s="193">
        <f>IFERROR(V22/U22-1,"")</f>
        <v>-0.13793103448275867</v>
      </c>
      <c r="W38" s="193">
        <f>IFERROR(W22/V22-1,"")</f>
        <v>0.21705152707961095</v>
      </c>
      <c r="X38" s="194">
        <f>IFERROR(X22/W22-1,"")</f>
        <v>-6.6675067640773134E-2</v>
      </c>
      <c r="Y38" s="179"/>
      <c r="Z38" s="151" t="s">
        <v>34</v>
      </c>
      <c r="AA38" s="193">
        <f>IFERROR(AA22/AD19-1,"")</f>
        <v>0.32266447448956947</v>
      </c>
      <c r="AB38" s="193">
        <f>IFERROR(AB22/AA22-1,"")</f>
        <v>-1.8700442007880791E-2</v>
      </c>
      <c r="AC38" s="193">
        <f>IFERROR(AC22/AB22-1,"")</f>
        <v>3.9770317657485954E-2</v>
      </c>
      <c r="AD38" s="194">
        <f>IFERROR(AD22/AC22-1,"")</f>
        <v>-1.0486635903608987E-2</v>
      </c>
      <c r="AE38" s="1"/>
      <c r="AF38" s="1"/>
      <c r="AG38" s="179"/>
      <c r="AH38" s="166" t="s">
        <v>1</v>
      </c>
      <c r="AI38" s="1"/>
      <c r="AJ38" s="1"/>
      <c r="AK38" s="1"/>
      <c r="BG38" s="163">
        <f>SUMIFS('Sales Data'!$D:$D,'Sales Data'!$A:$A,$E$2,'Sales Data'!$B:$B,BG$15,'Sales Data'!$C:$C,"Periodic")/1000</f>
        <v>293.6575727759772</v>
      </c>
      <c r="BH38" s="163">
        <f>SUMIFS('Sales Data'!$D:$D,'Sales Data'!$A:$A,$E$2,'Sales Data'!$B:$B,BH$15,'Sales Data'!$C:$C,"Periodic")/1000</f>
        <v>265.52396073966685</v>
      </c>
      <c r="BI38" s="163">
        <f>SUMIFS('Sales Data'!$D:$D,'Sales Data'!$A:$A,$E$2,'Sales Data'!$B:$B,BI$15,'Sales Data'!$C:$C,"Periodic")/1000</f>
        <v>301.56365258830016</v>
      </c>
      <c r="BJ38" s="163">
        <f>SUMIFS('Sales Data'!$D:$D,'Sales Data'!$A:$A,$E$2,'Sales Data'!$B:$B,BJ$15,'Sales Data'!$C:$C,"Periodic")/1000</f>
        <v>314.80977038710188</v>
      </c>
      <c r="BK38" s="163">
        <f>SUMIFS('Sales Data'!$D:$D,'Sales Data'!$A:$A,$E$2,'Sales Data'!$B:$B,BK$15,'Sales Data'!$C:$C,"Periodic")/1000</f>
        <v>313.88510500013734</v>
      </c>
      <c r="BL38" s="163">
        <f>SUMIFS('Sales Data'!$D:$D,'Sales Data'!$A:$A,$E$2,'Sales Data'!$B:$B,BL$15,'Sales Data'!$C:$C,"Periodic")/1000</f>
        <v>310.39439777938253</v>
      </c>
      <c r="BM38" s="163">
        <f>SUMIFS('Sales Data'!$D:$D,'Sales Data'!$A:$A,$E$2,'Sales Data'!$B:$B,BM$15,'Sales Data'!$C:$C,"Periodic")/1000</f>
        <v>329.69726462469686</v>
      </c>
      <c r="BN38" s="163">
        <f>SUMIFS('Sales Data'!$D:$D,'Sales Data'!$A:$A,$E$2,'Sales Data'!$B:$B,BN$15,'Sales Data'!$C:$C,"Periodic")/1000</f>
        <v>290.16686556334116</v>
      </c>
      <c r="BO38" s="163">
        <f>SUMIFS('Sales Data'!$D:$D,'Sales Data'!$A:$A,$E$2,'Sales Data'!$B:$B,BO$15,'Sales Data'!$C:$C,"Periodic")/1000</f>
        <v>316.4511468259816</v>
      </c>
      <c r="BP38" s="163">
        <f>SUMIFS('Sales Data'!$D:$D,'Sales Data'!$A:$A,$E$2,'Sales Data'!$B:$B,BP$15,'Sales Data'!$C:$C,"Periodic")/1000</f>
        <v>321.79118479345891</v>
      </c>
      <c r="BQ38" s="163">
        <f>SUMIFS('Sales Data'!$D:$D,'Sales Data'!$A:$A,$E$2,'Sales Data'!$B:$B,BQ$15,'Sales Data'!$C:$C,"Periodic")/1000</f>
        <v>321.79118481246024</v>
      </c>
      <c r="BR38" s="163">
        <f>SUMIFS('Sales Data'!$D:$D,'Sales Data'!$A:$A,$E$2,'Sales Data'!$B:$B,BR$15,'Sales Data'!$C:$C,"Periodic")/1000</f>
        <v>301.56365258830016</v>
      </c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 spans="1:83" s="84" customFormat="1" x14ac:dyDescent="0.2">
      <c r="A39" s="1"/>
      <c r="B39" s="1"/>
      <c r="C39" s="1"/>
      <c r="D39" s="1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1"/>
      <c r="Y39" s="1"/>
      <c r="Z39" s="1"/>
      <c r="AA39" s="1"/>
      <c r="AB39" s="1"/>
      <c r="AC39" s="1"/>
      <c r="AD39" s="1"/>
      <c r="AE39" s="1"/>
      <c r="AF39" s="1"/>
      <c r="AG39" s="131"/>
      <c r="AH39" s="181" t="s">
        <v>34</v>
      </c>
      <c r="AI39" s="1"/>
      <c r="AJ39" s="1"/>
      <c r="AK39" s="1"/>
      <c r="BG39" s="163" t="str">
        <f t="shared" ref="BG39:BR39" si="35">IF(OR(BG$8=1,BG$9=1),F17,"")</f>
        <v/>
      </c>
      <c r="BH39" s="163" t="str">
        <f t="shared" si="35"/>
        <v/>
      </c>
      <c r="BI39" s="163" t="str">
        <f t="shared" si="35"/>
        <v/>
      </c>
      <c r="BJ39" s="163" t="str">
        <f t="shared" si="35"/>
        <v/>
      </c>
      <c r="BK39" s="163" t="str">
        <f t="shared" si="35"/>
        <v/>
      </c>
      <c r="BL39" s="163" t="str">
        <f t="shared" si="35"/>
        <v/>
      </c>
      <c r="BM39" s="163">
        <f t="shared" si="35"/>
        <v>348.54445078499998</v>
      </c>
      <c r="BN39" s="163">
        <f t="shared" si="35"/>
        <v>290.16686556334116</v>
      </c>
      <c r="BO39" s="163">
        <f t="shared" si="35"/>
        <v>316.4511468259816</v>
      </c>
      <c r="BP39" s="163">
        <f t="shared" si="35"/>
        <v>321.79118479345891</v>
      </c>
      <c r="BQ39" s="163">
        <f t="shared" si="35"/>
        <v>321.79118481246024</v>
      </c>
      <c r="BR39" s="163">
        <f t="shared" si="35"/>
        <v>301.56365258830016</v>
      </c>
      <c r="BS39" s="89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 spans="1:83" s="84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1"/>
      <c r="AF40" s="1"/>
      <c r="AG40" s="131"/>
      <c r="AH40" s="187" t="s">
        <v>26</v>
      </c>
      <c r="AI40" s="1"/>
      <c r="AJ40" s="1"/>
      <c r="AK40" s="1"/>
      <c r="BG40" s="174">
        <f t="shared" ref="BG40:BR40" si="36">IF(BG36="",BG38,BG36)</f>
        <v>293.6575727759772</v>
      </c>
      <c r="BH40" s="174">
        <f t="shared" si="36"/>
        <v>265.52396073966685</v>
      </c>
      <c r="BI40" s="174">
        <f t="shared" si="36"/>
        <v>301.56365258830016</v>
      </c>
      <c r="BJ40" s="174">
        <f t="shared" si="36"/>
        <v>314.80977038710188</v>
      </c>
      <c r="BK40" s="174">
        <f t="shared" si="36"/>
        <v>313.88510500013734</v>
      </c>
      <c r="BL40" s="174">
        <f t="shared" si="36"/>
        <v>310.39439777938253</v>
      </c>
      <c r="BM40" s="174">
        <f t="shared" si="36"/>
        <v>329.69726462469686</v>
      </c>
      <c r="BN40" s="174">
        <f t="shared" si="36"/>
        <v>344.45830393412996</v>
      </c>
      <c r="BO40" s="174">
        <f t="shared" si="36"/>
        <v>352.74481268649077</v>
      </c>
      <c r="BP40" s="174">
        <f t="shared" si="36"/>
        <v>361.03132143885165</v>
      </c>
      <c r="BQ40" s="174">
        <f t="shared" si="36"/>
        <v>369.31783019121247</v>
      </c>
      <c r="BR40" s="174">
        <f t="shared" si="36"/>
        <v>377.60433894357334</v>
      </c>
      <c r="BS40" s="190">
        <f>SUM(BG40:BR40)</f>
        <v>3934.6883310895209</v>
      </c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 spans="1:83" s="84" customFormat="1" x14ac:dyDescent="0.2">
      <c r="A41" s="200"/>
      <c r="B41" s="2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00"/>
      <c r="Y41" s="1"/>
      <c r="Z41" s="1"/>
      <c r="AA41" s="1"/>
      <c r="AB41" s="1"/>
      <c r="AC41" s="1"/>
      <c r="AD41" s="1"/>
      <c r="AE41" s="1"/>
      <c r="AF41" s="1"/>
      <c r="AG41" s="7" t="s">
        <v>30</v>
      </c>
      <c r="AH41" s="187" t="s">
        <v>90</v>
      </c>
      <c r="AI41" s="1"/>
      <c r="AJ41" s="1"/>
      <c r="AK41" s="1"/>
      <c r="BG41" s="174">
        <f t="shared" ref="BG41:BR41" si="37">IF(BG37="",BG38,BG37)</f>
        <v>293.6575727759772</v>
      </c>
      <c r="BH41" s="174">
        <f t="shared" si="37"/>
        <v>265.52396073966685</v>
      </c>
      <c r="BI41" s="174">
        <f t="shared" si="37"/>
        <v>301.56365258830016</v>
      </c>
      <c r="BJ41" s="174">
        <f t="shared" si="37"/>
        <v>314.80977038710188</v>
      </c>
      <c r="BK41" s="174">
        <f t="shared" si="37"/>
        <v>313.88510500013734</v>
      </c>
      <c r="BL41" s="174">
        <f t="shared" si="37"/>
        <v>310.39439777938253</v>
      </c>
      <c r="BM41" s="174">
        <f t="shared" si="37"/>
        <v>329.69726462469686</v>
      </c>
      <c r="BN41" s="174">
        <f t="shared" si="37"/>
        <v>312.88756023659471</v>
      </c>
      <c r="BO41" s="174">
        <f t="shared" si="37"/>
        <v>315.27049012966927</v>
      </c>
      <c r="BP41" s="174">
        <f t="shared" si="37"/>
        <v>317.65342002274377</v>
      </c>
      <c r="BQ41" s="174">
        <f t="shared" si="37"/>
        <v>320.03634991581833</v>
      </c>
      <c r="BR41" s="174">
        <f t="shared" si="37"/>
        <v>322.4192798088929</v>
      </c>
      <c r="BS41" s="190">
        <f>SUM(BG41:BR41)</f>
        <v>3717.7988240089821</v>
      </c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 spans="1:83" s="84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00"/>
      <c r="Y42" s="1"/>
      <c r="Z42" s="1"/>
      <c r="AA42" s="1"/>
      <c r="AB42" s="1"/>
      <c r="AC42" s="1"/>
      <c r="AD42" s="1"/>
      <c r="AE42" s="1"/>
      <c r="AF42" s="1"/>
      <c r="AG42" s="179"/>
      <c r="AI42" s="1"/>
      <c r="AJ42" s="1"/>
      <c r="AK42" s="1"/>
      <c r="AL42" s="1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89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 spans="1:83" s="84" customFormat="1" x14ac:dyDescent="0.2">
      <c r="A43" s="1"/>
      <c r="B43" s="1"/>
      <c r="C43" s="200"/>
      <c r="D43" s="20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00"/>
      <c r="Y43" s="1"/>
      <c r="Z43" s="1"/>
      <c r="AA43" s="1"/>
      <c r="AB43" s="1"/>
      <c r="AC43" s="1"/>
      <c r="AD43" s="1"/>
      <c r="AE43" s="1"/>
      <c r="AF43" s="1"/>
      <c r="AG43" s="7" t="s">
        <v>89</v>
      </c>
      <c r="AH43" s="167" t="str">
        <f>AH34</f>
        <v>Actual</v>
      </c>
      <c r="AI43" s="1"/>
      <c r="AJ43" s="1"/>
      <c r="AK43" s="1"/>
      <c r="AL43" s="1"/>
      <c r="AM43" s="78"/>
      <c r="AN43" s="78"/>
      <c r="AO43" s="78"/>
      <c r="AP43" s="78"/>
      <c r="AQ43" s="78"/>
      <c r="AR43" s="78"/>
      <c r="AS43" s="78"/>
      <c r="AT43" s="78"/>
      <c r="AU43" s="163">
        <f t="shared" ref="AU43:BR43" si="38">IF(AU34="",NA(),AU34)</f>
        <v>331.4490467373322</v>
      </c>
      <c r="AV43" s="163">
        <f t="shared" si="38"/>
        <v>192.22995172811426</v>
      </c>
      <c r="AW43" s="163">
        <f t="shared" si="38"/>
        <v>293.89065448206242</v>
      </c>
      <c r="AX43" s="163">
        <f t="shared" si="38"/>
        <v>298.23460000718501</v>
      </c>
      <c r="AY43" s="163">
        <f t="shared" si="38"/>
        <v>370.87773730633921</v>
      </c>
      <c r="AZ43" s="163">
        <f t="shared" si="38"/>
        <v>211.52387079594456</v>
      </c>
      <c r="BA43" s="163">
        <f t="shared" si="38"/>
        <v>330.4977830078887</v>
      </c>
      <c r="BB43" s="163">
        <f t="shared" si="38"/>
        <v>207.34383916267058</v>
      </c>
      <c r="BC43" s="163">
        <f t="shared" si="38"/>
        <v>331.0604260942003</v>
      </c>
      <c r="BD43" s="163">
        <f t="shared" si="38"/>
        <v>191.55252713425921</v>
      </c>
      <c r="BE43" s="163">
        <f t="shared" si="38"/>
        <v>319.95400557495987</v>
      </c>
      <c r="BF43" s="163">
        <f t="shared" si="38"/>
        <v>196.25758209719424</v>
      </c>
      <c r="BG43" s="163">
        <f t="shared" si="38"/>
        <v>346.82725108199998</v>
      </c>
      <c r="BH43" s="163">
        <f t="shared" si="38"/>
        <v>238.79549961599997</v>
      </c>
      <c r="BI43" s="163">
        <f t="shared" si="38"/>
        <v>350.51170027500001</v>
      </c>
      <c r="BJ43" s="163">
        <f t="shared" si="38"/>
        <v>268.37060003700003</v>
      </c>
      <c r="BK43" s="163">
        <f t="shared" si="38"/>
        <v>198.77341220100004</v>
      </c>
      <c r="BL43" s="163">
        <f t="shared" si="38"/>
        <v>451.48431072299996</v>
      </c>
      <c r="BM43" s="163">
        <f t="shared" si="38"/>
        <v>348.54445078499998</v>
      </c>
      <c r="BN43" s="163" t="e">
        <f t="shared" si="38"/>
        <v>#N/A</v>
      </c>
      <c r="BO43" s="163" t="e">
        <f t="shared" si="38"/>
        <v>#N/A</v>
      </c>
      <c r="BP43" s="163" t="e">
        <f t="shared" si="38"/>
        <v>#N/A</v>
      </c>
      <c r="BQ43" s="163" t="e">
        <f t="shared" si="38"/>
        <v>#N/A</v>
      </c>
      <c r="BR43" s="163" t="e">
        <f t="shared" si="38"/>
        <v>#N/A</v>
      </c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 spans="1:83" s="200" customFormat="1" ht="13.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U44" s="84"/>
      <c r="V44" s="84"/>
      <c r="W44" s="84"/>
      <c r="X44" s="84"/>
      <c r="Y44" s="1"/>
      <c r="Z44" s="1"/>
      <c r="AA44" s="1"/>
      <c r="AB44" s="1"/>
      <c r="AC44" s="1"/>
      <c r="AD44" s="1"/>
      <c r="AG44" s="84"/>
      <c r="AH44" s="167" t="str">
        <f>AH38</f>
        <v>Budget</v>
      </c>
      <c r="AI44" s="1"/>
      <c r="AJ44" s="1"/>
      <c r="AK44" s="1"/>
      <c r="AL44" s="1"/>
      <c r="AM44" s="78"/>
      <c r="AN44" s="78"/>
      <c r="AO44" s="78"/>
      <c r="AP44" s="78"/>
      <c r="AQ44" s="78"/>
      <c r="AR44" s="78"/>
      <c r="AS44" s="78"/>
      <c r="AT44" s="78"/>
      <c r="AU44" s="163" t="e">
        <f t="shared" ref="AU44:BR44" si="39">IF(AU35="",NA(),AU35)</f>
        <v>#N/A</v>
      </c>
      <c r="AV44" s="163" t="e">
        <f t="shared" si="39"/>
        <v>#N/A</v>
      </c>
      <c r="AW44" s="163" t="e">
        <f t="shared" si="39"/>
        <v>#N/A</v>
      </c>
      <c r="AX44" s="163" t="e">
        <f t="shared" si="39"/>
        <v>#N/A</v>
      </c>
      <c r="AY44" s="163" t="e">
        <f t="shared" si="39"/>
        <v>#N/A</v>
      </c>
      <c r="AZ44" s="163" t="e">
        <f t="shared" si="39"/>
        <v>#N/A</v>
      </c>
      <c r="BA44" s="163" t="e">
        <f t="shared" si="39"/>
        <v>#N/A</v>
      </c>
      <c r="BB44" s="163" t="e">
        <f t="shared" si="39"/>
        <v>#N/A</v>
      </c>
      <c r="BC44" s="163" t="e">
        <f t="shared" si="39"/>
        <v>#N/A</v>
      </c>
      <c r="BD44" s="163" t="e">
        <f t="shared" si="39"/>
        <v>#N/A</v>
      </c>
      <c r="BE44" s="163" t="e">
        <f t="shared" si="39"/>
        <v>#N/A</v>
      </c>
      <c r="BF44" s="163" t="e">
        <f t="shared" si="39"/>
        <v>#N/A</v>
      </c>
      <c r="BG44" s="163" t="e">
        <f t="shared" si="39"/>
        <v>#N/A</v>
      </c>
      <c r="BH44" s="163" t="e">
        <f t="shared" si="39"/>
        <v>#N/A</v>
      </c>
      <c r="BI44" s="163" t="e">
        <f t="shared" si="39"/>
        <v>#N/A</v>
      </c>
      <c r="BJ44" s="163" t="e">
        <f t="shared" si="39"/>
        <v>#N/A</v>
      </c>
      <c r="BK44" s="163" t="e">
        <f t="shared" si="39"/>
        <v>#N/A</v>
      </c>
      <c r="BL44" s="163" t="e">
        <f t="shared" si="39"/>
        <v>#N/A</v>
      </c>
      <c r="BM44" s="163">
        <f t="shared" si="39"/>
        <v>329.69726462469686</v>
      </c>
      <c r="BN44" s="163">
        <f t="shared" si="39"/>
        <v>290.16686556334116</v>
      </c>
      <c r="BO44" s="163">
        <f t="shared" si="39"/>
        <v>316.4511468259816</v>
      </c>
      <c r="BP44" s="163">
        <f t="shared" si="39"/>
        <v>321.79118479345891</v>
      </c>
      <c r="BQ44" s="163">
        <f t="shared" si="39"/>
        <v>321.79118481246024</v>
      </c>
      <c r="BR44" s="163">
        <f t="shared" si="39"/>
        <v>301.56365258830016</v>
      </c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 spans="1:83" s="84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Y45" s="1"/>
      <c r="Z45" s="1"/>
      <c r="AA45" s="1"/>
      <c r="AB45" s="1"/>
      <c r="AC45" s="1"/>
      <c r="AD45" s="1"/>
      <c r="AE45" s="1"/>
      <c r="AF45" s="1"/>
      <c r="AH45" s="167" t="str">
        <f>AH36</f>
        <v>Trend 6m</v>
      </c>
      <c r="AI45" s="1"/>
      <c r="AJ45" s="1"/>
      <c r="AK45" s="1"/>
      <c r="AL45" s="1"/>
      <c r="AM45" s="78"/>
      <c r="AN45" s="78"/>
      <c r="AO45" s="78"/>
      <c r="AP45" s="78"/>
      <c r="AQ45" s="78"/>
      <c r="AR45" s="78"/>
      <c r="AS45" s="78"/>
      <c r="AT45" s="78"/>
      <c r="AU45" s="163" t="e">
        <f t="shared" ref="AU45:BR45" si="40">IF(AU36="",NA(),AU36)</f>
        <v>#N/A</v>
      </c>
      <c r="AV45" s="163" t="e">
        <f t="shared" si="40"/>
        <v>#N/A</v>
      </c>
      <c r="AW45" s="163" t="e">
        <f t="shared" si="40"/>
        <v>#N/A</v>
      </c>
      <c r="AX45" s="163" t="e">
        <f t="shared" si="40"/>
        <v>#N/A</v>
      </c>
      <c r="AY45" s="163" t="e">
        <f t="shared" si="40"/>
        <v>#N/A</v>
      </c>
      <c r="AZ45" s="163" t="e">
        <f t="shared" si="40"/>
        <v>#N/A</v>
      </c>
      <c r="BA45" s="163" t="e">
        <f t="shared" si="40"/>
        <v>#N/A</v>
      </c>
      <c r="BB45" s="163" t="e">
        <f t="shared" si="40"/>
        <v>#N/A</v>
      </c>
      <c r="BC45" s="163" t="e">
        <f t="shared" si="40"/>
        <v>#N/A</v>
      </c>
      <c r="BD45" s="163" t="e">
        <f t="shared" si="40"/>
        <v>#N/A</v>
      </c>
      <c r="BE45" s="163" t="e">
        <f t="shared" si="40"/>
        <v>#N/A</v>
      </c>
      <c r="BF45" s="163" t="e">
        <f t="shared" si="40"/>
        <v>#N/A</v>
      </c>
      <c r="BG45" s="163" t="e">
        <f t="shared" si="40"/>
        <v>#N/A</v>
      </c>
      <c r="BH45" s="163" t="e">
        <f t="shared" si="40"/>
        <v>#N/A</v>
      </c>
      <c r="BI45" s="163" t="e">
        <f t="shared" si="40"/>
        <v>#N/A</v>
      </c>
      <c r="BJ45" s="163" t="e">
        <f t="shared" si="40"/>
        <v>#N/A</v>
      </c>
      <c r="BK45" s="163" t="e">
        <f t="shared" si="40"/>
        <v>#N/A</v>
      </c>
      <c r="BL45" s="163" t="e">
        <f t="shared" si="40"/>
        <v>#N/A</v>
      </c>
      <c r="BM45" s="163" t="e">
        <f t="shared" si="40"/>
        <v>#N/A</v>
      </c>
      <c r="BN45" s="163">
        <f t="shared" si="40"/>
        <v>344.45830393412996</v>
      </c>
      <c r="BO45" s="163">
        <f t="shared" si="40"/>
        <v>352.74481268649077</v>
      </c>
      <c r="BP45" s="163">
        <f t="shared" si="40"/>
        <v>361.03132143885165</v>
      </c>
      <c r="BQ45" s="163">
        <f t="shared" si="40"/>
        <v>369.31783019121247</v>
      </c>
      <c r="BR45" s="163">
        <f t="shared" si="40"/>
        <v>377.60433894357334</v>
      </c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 spans="1:83" s="84" customForma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Y46" s="1"/>
      <c r="Z46" s="1"/>
      <c r="AA46" s="1"/>
      <c r="AB46" s="1"/>
      <c r="AC46" s="1"/>
      <c r="AD46" s="1"/>
      <c r="AE46" s="1"/>
      <c r="AF46" s="1"/>
      <c r="AH46" s="167" t="str">
        <f>AH37</f>
        <v>Trend 12m</v>
      </c>
      <c r="AI46" s="1"/>
      <c r="AJ46" s="1"/>
      <c r="AK46" s="1"/>
      <c r="AL46" s="1"/>
      <c r="AM46" s="78"/>
      <c r="AN46" s="78"/>
      <c r="AO46" s="78"/>
      <c r="AP46" s="78"/>
      <c r="AQ46" s="78"/>
      <c r="AR46" s="78"/>
      <c r="AS46" s="78"/>
      <c r="AT46" s="78"/>
      <c r="AU46" s="163" t="e">
        <f t="shared" ref="AU46:BR46" si="41">IF(AU37="",NA(),AU37)</f>
        <v>#N/A</v>
      </c>
      <c r="AV46" s="163" t="e">
        <f t="shared" si="41"/>
        <v>#N/A</v>
      </c>
      <c r="AW46" s="163" t="e">
        <f t="shared" si="41"/>
        <v>#N/A</v>
      </c>
      <c r="AX46" s="163" t="e">
        <f t="shared" si="41"/>
        <v>#N/A</v>
      </c>
      <c r="AY46" s="163" t="e">
        <f t="shared" si="41"/>
        <v>#N/A</v>
      </c>
      <c r="AZ46" s="163" t="e">
        <f t="shared" si="41"/>
        <v>#N/A</v>
      </c>
      <c r="BA46" s="163" t="e">
        <f t="shared" si="41"/>
        <v>#N/A</v>
      </c>
      <c r="BB46" s="163" t="e">
        <f t="shared" si="41"/>
        <v>#N/A</v>
      </c>
      <c r="BC46" s="163" t="e">
        <f t="shared" si="41"/>
        <v>#N/A</v>
      </c>
      <c r="BD46" s="163" t="e">
        <f t="shared" si="41"/>
        <v>#N/A</v>
      </c>
      <c r="BE46" s="163" t="e">
        <f t="shared" si="41"/>
        <v>#N/A</v>
      </c>
      <c r="BF46" s="163" t="e">
        <f t="shared" si="41"/>
        <v>#N/A</v>
      </c>
      <c r="BG46" s="163" t="e">
        <f t="shared" si="41"/>
        <v>#N/A</v>
      </c>
      <c r="BH46" s="163" t="e">
        <f t="shared" si="41"/>
        <v>#N/A</v>
      </c>
      <c r="BI46" s="163" t="e">
        <f t="shared" si="41"/>
        <v>#N/A</v>
      </c>
      <c r="BJ46" s="163" t="e">
        <f t="shared" si="41"/>
        <v>#N/A</v>
      </c>
      <c r="BK46" s="163" t="e">
        <f t="shared" si="41"/>
        <v>#N/A</v>
      </c>
      <c r="BL46" s="163" t="e">
        <f t="shared" si="41"/>
        <v>#N/A</v>
      </c>
      <c r="BM46" s="163" t="e">
        <f t="shared" si="41"/>
        <v>#N/A</v>
      </c>
      <c r="BN46" s="163">
        <f t="shared" si="41"/>
        <v>312.88756023659471</v>
      </c>
      <c r="BO46" s="163">
        <f t="shared" si="41"/>
        <v>315.27049012966927</v>
      </c>
      <c r="BP46" s="163">
        <f t="shared" si="41"/>
        <v>317.65342002274377</v>
      </c>
      <c r="BQ46" s="163">
        <f t="shared" si="41"/>
        <v>320.03634991581833</v>
      </c>
      <c r="BR46" s="163">
        <f t="shared" si="41"/>
        <v>322.4192798088929</v>
      </c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 spans="1:83" s="84" customForma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Y47" s="1"/>
      <c r="Z47" s="1"/>
      <c r="AA47" s="1"/>
      <c r="AB47" s="1"/>
      <c r="AC47" s="1"/>
      <c r="AD47" s="1"/>
      <c r="AE47" s="1"/>
      <c r="AF47" s="1"/>
      <c r="AG47" s="1"/>
      <c r="AH47" s="167" t="s">
        <v>34</v>
      </c>
      <c r="AI47" s="1"/>
      <c r="AJ47" s="1"/>
      <c r="AK47" s="1"/>
      <c r="AL47" s="201"/>
      <c r="AM47" s="113"/>
      <c r="AN47" s="113"/>
      <c r="AO47" s="113"/>
      <c r="AP47" s="113"/>
      <c r="AQ47" s="113"/>
      <c r="AR47" s="113"/>
      <c r="AS47" s="113"/>
      <c r="AT47" s="113"/>
      <c r="AU47" s="163" t="e">
        <f>IF(AU39="",NA(),AU39)</f>
        <v>#N/A</v>
      </c>
      <c r="AV47" s="163" t="e">
        <f t="shared" ref="AV47:BR47" si="42">IF(AV39="",NA(),AV39)</f>
        <v>#N/A</v>
      </c>
      <c r="AW47" s="163" t="e">
        <f t="shared" si="42"/>
        <v>#N/A</v>
      </c>
      <c r="AX47" s="163" t="e">
        <f t="shared" si="42"/>
        <v>#N/A</v>
      </c>
      <c r="AY47" s="163" t="e">
        <f t="shared" si="42"/>
        <v>#N/A</v>
      </c>
      <c r="AZ47" s="163" t="e">
        <f t="shared" si="42"/>
        <v>#N/A</v>
      </c>
      <c r="BA47" s="163" t="e">
        <f t="shared" si="42"/>
        <v>#N/A</v>
      </c>
      <c r="BB47" s="163" t="e">
        <f t="shared" si="42"/>
        <v>#N/A</v>
      </c>
      <c r="BC47" s="163" t="e">
        <f t="shared" si="42"/>
        <v>#N/A</v>
      </c>
      <c r="BD47" s="163" t="e">
        <f t="shared" si="42"/>
        <v>#N/A</v>
      </c>
      <c r="BE47" s="163" t="e">
        <f t="shared" si="42"/>
        <v>#N/A</v>
      </c>
      <c r="BF47" s="163" t="e">
        <f t="shared" si="42"/>
        <v>#N/A</v>
      </c>
      <c r="BG47" s="163" t="e">
        <f t="shared" si="42"/>
        <v>#N/A</v>
      </c>
      <c r="BH47" s="163" t="e">
        <f t="shared" si="42"/>
        <v>#N/A</v>
      </c>
      <c r="BI47" s="163" t="e">
        <f t="shared" si="42"/>
        <v>#N/A</v>
      </c>
      <c r="BJ47" s="163" t="e">
        <f t="shared" si="42"/>
        <v>#N/A</v>
      </c>
      <c r="BK47" s="163" t="e">
        <f t="shared" si="42"/>
        <v>#N/A</v>
      </c>
      <c r="BL47" s="163" t="e">
        <f t="shared" si="42"/>
        <v>#N/A</v>
      </c>
      <c r="BM47" s="163">
        <f t="shared" si="42"/>
        <v>348.54445078499998</v>
      </c>
      <c r="BN47" s="163">
        <f t="shared" si="42"/>
        <v>290.16686556334116</v>
      </c>
      <c r="BO47" s="163">
        <f t="shared" si="42"/>
        <v>316.4511468259816</v>
      </c>
      <c r="BP47" s="163">
        <f t="shared" si="42"/>
        <v>321.79118479345891</v>
      </c>
      <c r="BQ47" s="163">
        <f t="shared" si="42"/>
        <v>321.79118481246024</v>
      </c>
      <c r="BR47" s="163">
        <f t="shared" si="42"/>
        <v>301.56365258830016</v>
      </c>
      <c r="BS47" s="78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 spans="1:83" s="84" customForma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Y48" s="1"/>
      <c r="Z48" s="1"/>
      <c r="AA48" s="1"/>
      <c r="AB48" s="1"/>
      <c r="AC48" s="1"/>
      <c r="AD48" s="1"/>
      <c r="AE48" s="1"/>
      <c r="AF48" s="1"/>
      <c r="AH48" s="1"/>
      <c r="AI48" s="1"/>
      <c r="BS48" s="78"/>
      <c r="BW48" s="1"/>
      <c r="BX48" s="1"/>
      <c r="BY48" s="1"/>
      <c r="BZ48" s="1"/>
      <c r="CA48" s="1"/>
    </row>
    <row r="49" spans="1:79" s="84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Y49" s="1"/>
      <c r="Z49" s="1"/>
      <c r="AA49" s="1"/>
      <c r="AB49" s="1"/>
      <c r="AC49" s="1"/>
      <c r="AD49" s="1"/>
      <c r="AE49" s="1"/>
      <c r="AF49" s="1"/>
      <c r="AH49" s="1"/>
      <c r="AI49" s="1"/>
      <c r="BS49" s="78"/>
      <c r="BW49" s="1"/>
      <c r="BX49" s="1"/>
      <c r="BY49" s="1"/>
      <c r="BZ49" s="1"/>
      <c r="CA49" s="1"/>
    </row>
    <row r="50" spans="1:79" s="84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BS50" s="78"/>
      <c r="BW50" s="1"/>
      <c r="BX50" s="1"/>
      <c r="BY50" s="1"/>
      <c r="BZ50" s="1"/>
      <c r="CA50" s="1"/>
    </row>
    <row r="51" spans="1:79" s="84" customForma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BS51" s="78"/>
      <c r="BW51" s="1"/>
      <c r="BX51" s="1"/>
      <c r="BY51" s="1"/>
      <c r="BZ51" s="1"/>
      <c r="CA51" s="1"/>
    </row>
    <row r="52" spans="1:79" s="84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BW52" s="1"/>
      <c r="BX52" s="1"/>
      <c r="BY52" s="1"/>
      <c r="BZ52" s="1"/>
      <c r="CA52" s="1"/>
    </row>
    <row r="53" spans="1:79" s="84" customForma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BW53" s="1"/>
      <c r="BX53" s="1"/>
      <c r="BY53" s="1"/>
      <c r="BZ53" s="1"/>
      <c r="CA53" s="1"/>
    </row>
    <row r="54" spans="1:79" s="84" customForma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BW54" s="1"/>
      <c r="BX54" s="1"/>
      <c r="BY54" s="1"/>
      <c r="BZ54" s="1"/>
      <c r="CA54" s="1"/>
    </row>
    <row r="55" spans="1:79" s="84" customForma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BW55" s="1"/>
      <c r="BX55" s="1"/>
      <c r="BY55" s="1"/>
      <c r="BZ55" s="1"/>
      <c r="CA55" s="1"/>
    </row>
    <row r="56" spans="1:79" s="84" customForma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BW56" s="1"/>
      <c r="BX56" s="1"/>
      <c r="BY56" s="1"/>
      <c r="BZ56" s="1"/>
      <c r="CA56" s="1"/>
    </row>
    <row r="57" spans="1:79" s="84" customForma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BW57" s="1"/>
      <c r="BX57" s="1"/>
      <c r="BY57" s="1"/>
      <c r="BZ57" s="1"/>
      <c r="CA57" s="1"/>
    </row>
    <row r="58" spans="1:79" s="84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BW58" s="1"/>
      <c r="BX58" s="1"/>
      <c r="BY58" s="1"/>
      <c r="BZ58" s="1"/>
      <c r="CA58" s="1"/>
    </row>
    <row r="59" spans="1:79" x14ac:dyDescent="0.2">
      <c r="T59" s="84"/>
      <c r="U59" s="84"/>
      <c r="V59" s="84"/>
      <c r="W59" s="84"/>
      <c r="X59" s="84"/>
      <c r="AJ59" s="84"/>
    </row>
    <row r="60" spans="1:79" s="84" customForma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BW60" s="1"/>
      <c r="BX60" s="1"/>
      <c r="BY60" s="1"/>
      <c r="BZ60" s="1"/>
      <c r="CA60" s="1"/>
    </row>
    <row r="61" spans="1:79" s="84" customForma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BW61" s="1"/>
      <c r="BX61" s="1"/>
      <c r="BY61" s="1"/>
      <c r="BZ61" s="1"/>
      <c r="CA61" s="1"/>
    </row>
    <row r="62" spans="1:79" s="84" customForma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BW62" s="1"/>
      <c r="BX62" s="1"/>
      <c r="BY62" s="1"/>
      <c r="BZ62" s="1"/>
      <c r="CA62" s="1"/>
    </row>
    <row r="63" spans="1:79" s="84" customForma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BW63" s="1"/>
      <c r="BX63" s="1"/>
      <c r="BY63" s="1"/>
      <c r="BZ63" s="1"/>
      <c r="CA63" s="1"/>
    </row>
    <row r="64" spans="1:79" s="84" customForma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BW64" s="1"/>
      <c r="BX64" s="1"/>
      <c r="BY64" s="1"/>
      <c r="BZ64" s="1"/>
      <c r="CA64" s="1"/>
    </row>
    <row r="65" spans="1:79" s="84" customForma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BW65" s="1"/>
      <c r="BX65" s="1"/>
      <c r="BY65" s="1"/>
      <c r="BZ65" s="1"/>
      <c r="CA65" s="1"/>
    </row>
    <row r="66" spans="1:79" s="84" customForma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BW66" s="1"/>
      <c r="BX66" s="1"/>
      <c r="BY66" s="1"/>
      <c r="BZ66" s="1"/>
      <c r="CA66" s="1"/>
    </row>
    <row r="67" spans="1:79" s="84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BW67" s="1"/>
      <c r="BX67" s="1"/>
      <c r="BY67" s="1"/>
      <c r="BZ67" s="1"/>
      <c r="CA67" s="1"/>
    </row>
    <row r="68" spans="1:79" s="84" customForma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BW68" s="1"/>
      <c r="BX68" s="1"/>
      <c r="BY68" s="1"/>
      <c r="BZ68" s="1"/>
      <c r="CA68" s="1"/>
    </row>
    <row r="69" spans="1:79" s="84" customForma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BW69" s="1"/>
      <c r="BX69" s="1"/>
      <c r="BY69" s="1"/>
      <c r="BZ69" s="1"/>
      <c r="CA69" s="1"/>
    </row>
    <row r="70" spans="1:79" s="84" customForma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BW70" s="1"/>
      <c r="BX70" s="1"/>
      <c r="BY70" s="1"/>
      <c r="BZ70" s="1"/>
      <c r="CA70" s="1"/>
    </row>
    <row r="71" spans="1:79" s="84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BW71" s="1"/>
      <c r="BX71" s="1"/>
      <c r="BY71" s="1"/>
      <c r="BZ71" s="1"/>
      <c r="CA71" s="1"/>
    </row>
    <row r="72" spans="1:79" s="84" customForma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BW72" s="1"/>
      <c r="BX72" s="1"/>
      <c r="BY72" s="1"/>
      <c r="BZ72" s="1"/>
      <c r="CA72" s="1"/>
    </row>
    <row r="73" spans="1:79" s="8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BW73" s="1"/>
      <c r="BX73" s="1"/>
      <c r="BY73" s="1"/>
      <c r="BZ73" s="1"/>
      <c r="CA73" s="1"/>
    </row>
    <row r="74" spans="1:79" s="84" customForma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BW74" s="1"/>
      <c r="BX74" s="1"/>
      <c r="BY74" s="1"/>
      <c r="BZ74" s="1"/>
      <c r="CA74" s="1"/>
    </row>
    <row r="75" spans="1:79" s="84" customForma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BW75" s="1"/>
      <c r="BX75" s="1"/>
      <c r="BY75" s="1"/>
      <c r="BZ75" s="1"/>
      <c r="CA75" s="1"/>
    </row>
    <row r="76" spans="1:79" s="84" customForma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BW76" s="1"/>
      <c r="BX76" s="1"/>
      <c r="BY76" s="1"/>
      <c r="BZ76" s="1"/>
      <c r="CA76" s="1"/>
    </row>
    <row r="77" spans="1:79" s="84" customForma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BW77" s="1"/>
      <c r="BX77" s="1"/>
      <c r="BY77" s="1"/>
      <c r="BZ77" s="1"/>
      <c r="CA77" s="1"/>
    </row>
    <row r="78" spans="1:79" s="84" customForma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BW78" s="1"/>
      <c r="BX78" s="1"/>
      <c r="BY78" s="1"/>
      <c r="BZ78" s="1"/>
      <c r="CA78" s="1"/>
    </row>
    <row r="79" spans="1:79" s="84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BW79" s="1"/>
      <c r="BX79" s="1"/>
      <c r="BY79" s="1"/>
      <c r="BZ79" s="1"/>
      <c r="CA79" s="1"/>
    </row>
    <row r="80" spans="1:79" s="84" customForma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BW80" s="1"/>
      <c r="BX80" s="1"/>
      <c r="BY80" s="1"/>
      <c r="BZ80" s="1"/>
      <c r="CA80" s="1"/>
    </row>
    <row r="81" spans="1:79" s="84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BW81" s="1"/>
      <c r="BX81" s="1"/>
      <c r="BY81" s="1"/>
      <c r="BZ81" s="1"/>
      <c r="CA81" s="1"/>
    </row>
    <row r="82" spans="1:79" s="84" customForma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BW82" s="1"/>
      <c r="BX82" s="1"/>
      <c r="BY82" s="1"/>
      <c r="BZ82" s="1"/>
      <c r="CA82" s="1"/>
    </row>
    <row r="83" spans="1:79" s="84" customForma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BW83" s="1"/>
      <c r="BX83" s="1"/>
      <c r="BY83" s="1"/>
      <c r="BZ83" s="1"/>
      <c r="CA83" s="1"/>
    </row>
    <row r="84" spans="1:79" s="84" customForma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BW84" s="1"/>
      <c r="BX84" s="1"/>
      <c r="BY84" s="1"/>
      <c r="BZ84" s="1"/>
      <c r="CA84" s="1"/>
    </row>
    <row r="85" spans="1:79" s="84" customForma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BW85" s="1"/>
      <c r="BX85" s="1"/>
      <c r="BY85" s="1"/>
      <c r="BZ85" s="1"/>
      <c r="CA85" s="1"/>
    </row>
    <row r="86" spans="1:79" s="84" customForma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BW86" s="1"/>
      <c r="BX86" s="1"/>
      <c r="BY86" s="1"/>
      <c r="BZ86" s="1"/>
      <c r="CA86" s="1"/>
    </row>
    <row r="87" spans="1:79" s="84" customForma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BW87" s="1"/>
      <c r="BX87" s="1"/>
      <c r="BY87" s="1"/>
      <c r="BZ87" s="1"/>
      <c r="CA87" s="1"/>
    </row>
    <row r="88" spans="1:79" x14ac:dyDescent="0.2">
      <c r="AJ88" s="84"/>
    </row>
    <row r="89" spans="1:79" s="84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BW89" s="1"/>
      <c r="BX89" s="1"/>
      <c r="BY89" s="1"/>
      <c r="BZ89" s="1"/>
      <c r="CA89" s="1"/>
    </row>
    <row r="90" spans="1:79" s="84" customForma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BW90" s="1"/>
      <c r="BX90" s="1"/>
      <c r="BY90" s="1"/>
      <c r="BZ90" s="1"/>
      <c r="CA90" s="1"/>
    </row>
    <row r="91" spans="1:79" s="84" customForma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BW91" s="1"/>
      <c r="BX91" s="1"/>
      <c r="BY91" s="1"/>
      <c r="BZ91" s="1"/>
      <c r="CA91" s="1"/>
    </row>
    <row r="92" spans="1:79" s="84" customForma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BW92" s="1"/>
      <c r="BX92" s="1"/>
      <c r="BY92" s="1"/>
      <c r="BZ92" s="1"/>
      <c r="CA92" s="1"/>
    </row>
    <row r="93" spans="1:79" s="84" customForma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BW93" s="1"/>
      <c r="BX93" s="1"/>
      <c r="BY93" s="1"/>
      <c r="BZ93" s="1"/>
      <c r="CA93" s="1"/>
    </row>
    <row r="94" spans="1:79" s="84" customForma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BW94" s="1"/>
      <c r="BX94" s="1"/>
      <c r="BY94" s="1"/>
      <c r="BZ94" s="1"/>
      <c r="CA94" s="1"/>
    </row>
    <row r="95" spans="1:79" s="84" customForma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BW95" s="1"/>
      <c r="BX95" s="1"/>
      <c r="BY95" s="1"/>
      <c r="BZ95" s="1"/>
      <c r="CA95" s="1"/>
    </row>
    <row r="96" spans="1:79" s="84" customForma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BW96" s="1"/>
      <c r="BX96" s="1"/>
      <c r="BY96" s="1"/>
      <c r="BZ96" s="1"/>
      <c r="CA96" s="1"/>
    </row>
    <row r="97" spans="1:79" s="84" customForma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BW97" s="1"/>
      <c r="BX97" s="1"/>
      <c r="BY97" s="1"/>
      <c r="BZ97" s="1"/>
      <c r="CA97" s="1"/>
    </row>
    <row r="98" spans="1:79" s="84" customForma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BW98" s="1"/>
      <c r="BX98" s="1"/>
      <c r="BY98" s="1"/>
      <c r="BZ98" s="1"/>
      <c r="CA98" s="1"/>
    </row>
    <row r="99" spans="1:79" s="84" customForma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BW99" s="1"/>
      <c r="BX99" s="1"/>
      <c r="BY99" s="1"/>
      <c r="BZ99" s="1"/>
      <c r="CA99" s="1"/>
    </row>
    <row r="100" spans="1:79" s="84" customForma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BW100" s="1"/>
      <c r="BX100" s="1"/>
      <c r="BY100" s="1"/>
      <c r="BZ100" s="1"/>
      <c r="CA100" s="1"/>
    </row>
    <row r="101" spans="1:79" s="84" customForma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BW101" s="1"/>
      <c r="BX101" s="1"/>
      <c r="BY101" s="1"/>
      <c r="BZ101" s="1"/>
      <c r="CA101" s="1"/>
    </row>
    <row r="102" spans="1:79" s="84" customForma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BW102" s="1"/>
      <c r="BX102" s="1"/>
      <c r="BY102" s="1"/>
      <c r="BZ102" s="1"/>
      <c r="CA102" s="1"/>
    </row>
    <row r="103" spans="1:79" s="84" customForma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BW103" s="1"/>
      <c r="BX103" s="1"/>
      <c r="BY103" s="1"/>
      <c r="BZ103" s="1"/>
      <c r="CA103" s="1"/>
    </row>
    <row r="104" spans="1:79" s="84" customForma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BW104" s="1"/>
      <c r="BX104" s="1"/>
      <c r="BY104" s="1"/>
      <c r="BZ104" s="1"/>
      <c r="CA104" s="1"/>
    </row>
    <row r="105" spans="1:79" s="84" customForma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BW105" s="1"/>
      <c r="BX105" s="1"/>
      <c r="BY105" s="1"/>
      <c r="BZ105" s="1"/>
      <c r="CA105" s="1"/>
    </row>
    <row r="106" spans="1:79" s="84" customForma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BW106" s="1"/>
      <c r="BX106" s="1"/>
      <c r="BY106" s="1"/>
      <c r="BZ106" s="1"/>
      <c r="CA106" s="1"/>
    </row>
    <row r="107" spans="1:79" s="84" customForma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BW107" s="1"/>
      <c r="BX107" s="1"/>
      <c r="BY107" s="1"/>
      <c r="BZ107" s="1"/>
      <c r="CA107" s="1"/>
    </row>
    <row r="108" spans="1:79" s="84" customForma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02"/>
      <c r="AK108" s="203"/>
      <c r="AL108" s="167"/>
      <c r="AM108" s="204"/>
      <c r="AN108" s="205"/>
      <c r="AP108" s="206"/>
      <c r="AR108" s="206"/>
      <c r="AT108" s="206"/>
      <c r="AV108" s="206"/>
      <c r="AX108" s="206"/>
      <c r="AZ108" s="206"/>
      <c r="BB108" s="206"/>
      <c r="BD108" s="206"/>
      <c r="BF108" s="206"/>
      <c r="BH108" s="206"/>
      <c r="BJ108" s="206"/>
      <c r="BW108" s="1"/>
      <c r="BX108" s="1"/>
      <c r="BY108" s="1"/>
      <c r="BZ108" s="1"/>
      <c r="CA108" s="1"/>
    </row>
    <row r="109" spans="1:79" s="84" customForma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BW109" s="1"/>
      <c r="BX109" s="1"/>
      <c r="BY109" s="1"/>
      <c r="BZ109" s="1"/>
      <c r="CA109" s="1"/>
    </row>
    <row r="110" spans="1:79" s="84" customForma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BW110" s="1"/>
      <c r="BX110" s="1"/>
      <c r="BY110" s="1"/>
      <c r="BZ110" s="1"/>
      <c r="CA110" s="1"/>
    </row>
    <row r="111" spans="1:79" s="84" customForma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BW111" s="1"/>
      <c r="BX111" s="1"/>
      <c r="BY111" s="1"/>
      <c r="BZ111" s="1"/>
      <c r="CA111" s="1"/>
    </row>
    <row r="112" spans="1:79" s="84" customForma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BW112" s="1"/>
      <c r="BX112" s="1"/>
      <c r="BY112" s="1"/>
      <c r="BZ112" s="1"/>
      <c r="CA112" s="1"/>
    </row>
    <row r="113" spans="1:79" s="84" customForma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BW113" s="1"/>
      <c r="BX113" s="1"/>
      <c r="BY113" s="1"/>
      <c r="BZ113" s="1"/>
      <c r="CA113" s="1"/>
    </row>
    <row r="114" spans="1:79" s="84" customForma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BW114" s="1"/>
      <c r="BX114" s="1"/>
      <c r="BY114" s="1"/>
      <c r="BZ114" s="1"/>
      <c r="CA114" s="1"/>
    </row>
    <row r="115" spans="1:79" s="84" customForma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BW115" s="1"/>
      <c r="BX115" s="1"/>
      <c r="BY115" s="1"/>
      <c r="BZ115" s="1"/>
      <c r="CA115" s="1"/>
    </row>
    <row r="116" spans="1:79" s="84" customForma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BW116" s="1"/>
      <c r="BX116" s="1"/>
      <c r="BY116" s="1"/>
      <c r="BZ116" s="1"/>
      <c r="CA116" s="1"/>
    </row>
  </sheetData>
  <conditionalFormatting sqref="AD6:AD9 S11 Z10:AA10 U31:X31 AA31:AD31">
    <cfRule type="cellIs" dxfId="299" priority="73" operator="lessThan">
      <formula>0</formula>
    </cfRule>
    <cfRule type="cellIs" dxfId="298" priority="74" operator="greaterThan">
      <formula>0</formula>
    </cfRule>
  </conditionalFormatting>
  <conditionalFormatting sqref="S9 S6:S7">
    <cfRule type="cellIs" dxfId="297" priority="71" operator="lessThan">
      <formula>0</formula>
    </cfRule>
    <cfRule type="cellIs" dxfId="296" priority="72" operator="greaterThan">
      <formula>0</formula>
    </cfRule>
  </conditionalFormatting>
  <conditionalFormatting sqref="AA35:AC35">
    <cfRule type="cellIs" dxfId="295" priority="65" operator="lessThan">
      <formula>0</formula>
    </cfRule>
    <cfRule type="cellIs" dxfId="294" priority="66" operator="greaterThan">
      <formula>0</formula>
    </cfRule>
  </conditionalFormatting>
  <conditionalFormatting sqref="AA36:AD38">
    <cfRule type="cellIs" dxfId="293" priority="67" operator="lessThan">
      <formula>0</formula>
    </cfRule>
    <cfRule type="cellIs" dxfId="292" priority="68" operator="greaterThan">
      <formula>0</formula>
    </cfRule>
  </conditionalFormatting>
  <conditionalFormatting sqref="S8">
    <cfRule type="cellIs" dxfId="291" priority="69" operator="lessThan">
      <formula>0</formula>
    </cfRule>
    <cfRule type="cellIs" dxfId="290" priority="70" operator="greaterThan">
      <formula>0</formula>
    </cfRule>
  </conditionalFormatting>
  <conditionalFormatting sqref="AB13:AC13">
    <cfRule type="cellIs" dxfId="289" priority="59" operator="lessThan">
      <formula>0</formula>
    </cfRule>
    <cfRule type="cellIs" dxfId="288" priority="60" operator="greaterThan">
      <formula>0</formula>
    </cfRule>
  </conditionalFormatting>
  <conditionalFormatting sqref="AD35">
    <cfRule type="cellIs" dxfId="287" priority="63" operator="lessThan">
      <formula>0</formula>
    </cfRule>
    <cfRule type="cellIs" dxfId="286" priority="64" operator="greaterThan">
      <formula>0</formula>
    </cfRule>
  </conditionalFormatting>
  <conditionalFormatting sqref="S10">
    <cfRule type="cellIs" dxfId="285" priority="61" operator="lessThan">
      <formula>0</formula>
    </cfRule>
    <cfRule type="cellIs" dxfId="284" priority="62" operator="greaterThan">
      <formula>0</formula>
    </cfRule>
  </conditionalFormatting>
  <conditionalFormatting sqref="AD13">
    <cfRule type="cellIs" dxfId="283" priority="57" operator="lessThan">
      <formula>0</formula>
    </cfRule>
    <cfRule type="cellIs" dxfId="282" priority="58" operator="greaterThan">
      <formula>0</formula>
    </cfRule>
  </conditionalFormatting>
  <conditionalFormatting sqref="AD14">
    <cfRule type="cellIs" dxfId="281" priority="55" operator="lessThan">
      <formula>0</formula>
    </cfRule>
    <cfRule type="cellIs" dxfId="280" priority="56" operator="greaterThan">
      <formula>0</formula>
    </cfRule>
  </conditionalFormatting>
  <conditionalFormatting sqref="AB27:AD27">
    <cfRule type="cellIs" dxfId="279" priority="53" operator="lessThan">
      <formula>0</formula>
    </cfRule>
    <cfRule type="cellIs" dxfId="278" priority="54" operator="greaterThan">
      <formula>0</formula>
    </cfRule>
  </conditionalFormatting>
  <conditionalFormatting sqref="AA27">
    <cfRule type="cellIs" dxfId="277" priority="51" operator="lessThan">
      <formula>0</formula>
    </cfRule>
    <cfRule type="cellIs" dxfId="276" priority="52" operator="greaterThan">
      <formula>0</formula>
    </cfRule>
  </conditionalFormatting>
  <conditionalFormatting sqref="T10:U10 X6:X9">
    <cfRule type="cellIs" dxfId="275" priority="49" operator="lessThan">
      <formula>0</formula>
    </cfRule>
    <cfRule type="cellIs" dxfId="274" priority="50" operator="greaterThan">
      <formula>0</formula>
    </cfRule>
  </conditionalFormatting>
  <conditionalFormatting sqref="X25:X26">
    <cfRule type="cellIs" dxfId="273" priority="43" operator="lessThan">
      <formula>0</formula>
    </cfRule>
    <cfRule type="cellIs" dxfId="272" priority="44" operator="greaterThan">
      <formula>0</formula>
    </cfRule>
  </conditionalFormatting>
  <conditionalFormatting sqref="U36:X38">
    <cfRule type="cellIs" dxfId="271" priority="41" operator="lessThan">
      <formula>0</formula>
    </cfRule>
    <cfRule type="cellIs" dxfId="270" priority="42" operator="greaterThan">
      <formula>0</formula>
    </cfRule>
  </conditionalFormatting>
  <conditionalFormatting sqref="U35:W35">
    <cfRule type="cellIs" dxfId="269" priority="39" operator="lessThan">
      <formula>0</formula>
    </cfRule>
    <cfRule type="cellIs" dxfId="268" priority="40" operator="greaterThan">
      <formula>0</formula>
    </cfRule>
  </conditionalFormatting>
  <conditionalFormatting sqref="U25:U26">
    <cfRule type="cellIs" dxfId="267" priority="47" operator="lessThan">
      <formula>0</formula>
    </cfRule>
    <cfRule type="cellIs" dxfId="266" priority="48" operator="greaterThan">
      <formula>0</formula>
    </cfRule>
  </conditionalFormatting>
  <conditionalFormatting sqref="V25:W26">
    <cfRule type="cellIs" dxfId="265" priority="45" operator="lessThan">
      <formula>0</formula>
    </cfRule>
    <cfRule type="cellIs" dxfId="264" priority="46" operator="greaterThan">
      <formula>0</formula>
    </cfRule>
  </conditionalFormatting>
  <conditionalFormatting sqref="X35">
    <cfRule type="cellIs" dxfId="263" priority="37" operator="lessThan">
      <formula>0</formula>
    </cfRule>
    <cfRule type="cellIs" dxfId="262" priority="38" operator="greaterThan">
      <formula>0</formula>
    </cfRule>
  </conditionalFormatting>
  <conditionalFormatting sqref="V13:W13">
    <cfRule type="cellIs" dxfId="261" priority="35" operator="lessThan">
      <formula>0</formula>
    </cfRule>
    <cfRule type="cellIs" dxfId="260" priority="36" operator="greaterThan">
      <formula>0</formula>
    </cfRule>
  </conditionalFormatting>
  <conditionalFormatting sqref="X13">
    <cfRule type="cellIs" dxfId="259" priority="33" operator="lessThan">
      <formula>0</formula>
    </cfRule>
    <cfRule type="cellIs" dxfId="258" priority="34" operator="greaterThan">
      <formula>0</formula>
    </cfRule>
  </conditionalFormatting>
  <conditionalFormatting sqref="X14">
    <cfRule type="cellIs" dxfId="257" priority="31" operator="lessThan">
      <formula>0</formula>
    </cfRule>
    <cfRule type="cellIs" dxfId="256" priority="32" operator="greaterThan">
      <formula>0</formula>
    </cfRule>
  </conditionalFormatting>
  <conditionalFormatting sqref="V27:X27">
    <cfRule type="cellIs" dxfId="255" priority="29" operator="lessThan">
      <formula>0</formula>
    </cfRule>
    <cfRule type="cellIs" dxfId="254" priority="30" operator="greaterThan">
      <formula>0</formula>
    </cfRule>
  </conditionalFormatting>
  <conditionalFormatting sqref="U32:X32">
    <cfRule type="cellIs" dxfId="253" priority="27" operator="lessThan">
      <formula>0</formula>
    </cfRule>
    <cfRule type="cellIs" dxfId="252" priority="28" operator="greaterThan">
      <formula>0</formula>
    </cfRule>
  </conditionalFormatting>
  <conditionalFormatting sqref="U27">
    <cfRule type="cellIs" dxfId="251" priority="25" operator="lessThan">
      <formula>0</formula>
    </cfRule>
    <cfRule type="cellIs" dxfId="250" priority="26" operator="greaterThan">
      <formula>0</formula>
    </cfRule>
  </conditionalFormatting>
  <conditionalFormatting sqref="AC14 W14">
    <cfRule type="expression" dxfId="249" priority="75">
      <formula>#REF!&gt;#REF!</formula>
    </cfRule>
  </conditionalFormatting>
  <conditionalFormatting sqref="U30">
    <cfRule type="cellIs" dxfId="248" priority="23" operator="lessThan">
      <formula>0</formula>
    </cfRule>
    <cfRule type="cellIs" dxfId="247" priority="24" operator="greaterThan">
      <formula>0</formula>
    </cfRule>
  </conditionalFormatting>
  <conditionalFormatting sqref="V30">
    <cfRule type="cellIs" dxfId="246" priority="21" operator="lessThan">
      <formula>0</formula>
    </cfRule>
    <cfRule type="cellIs" dxfId="245" priority="22" operator="greaterThan">
      <formula>0</formula>
    </cfRule>
  </conditionalFormatting>
  <conditionalFormatting sqref="W30">
    <cfRule type="cellIs" dxfId="244" priority="19" operator="lessThan">
      <formula>0</formula>
    </cfRule>
    <cfRule type="cellIs" dxfId="243" priority="20" operator="greaterThan">
      <formula>0</formula>
    </cfRule>
  </conditionalFormatting>
  <conditionalFormatting sqref="X30">
    <cfRule type="cellIs" dxfId="242" priority="17" operator="lessThan">
      <formula>0</formula>
    </cfRule>
    <cfRule type="cellIs" dxfId="241" priority="18" operator="greaterThan">
      <formula>0</formula>
    </cfRule>
  </conditionalFormatting>
  <conditionalFormatting sqref="AA32:AD32">
    <cfRule type="cellIs" dxfId="240" priority="15" operator="lessThan">
      <formula>0</formula>
    </cfRule>
    <cfRule type="cellIs" dxfId="239" priority="16" operator="greaterThan">
      <formula>0</formula>
    </cfRule>
  </conditionalFormatting>
  <conditionalFormatting sqref="AA30">
    <cfRule type="cellIs" dxfId="238" priority="13" operator="lessThan">
      <formula>0</formula>
    </cfRule>
    <cfRule type="cellIs" dxfId="237" priority="14" operator="greaterThan">
      <formula>0</formula>
    </cfRule>
  </conditionalFormatting>
  <conditionalFormatting sqref="AB30">
    <cfRule type="cellIs" dxfId="236" priority="11" operator="lessThan">
      <formula>0</formula>
    </cfRule>
    <cfRule type="cellIs" dxfId="235" priority="12" operator="greaterThan">
      <formula>0</formula>
    </cfRule>
  </conditionalFormatting>
  <conditionalFormatting sqref="AC30">
    <cfRule type="cellIs" dxfId="234" priority="9" operator="lessThan">
      <formula>0</formula>
    </cfRule>
    <cfRule type="cellIs" dxfId="233" priority="10" operator="greaterThan">
      <formula>0</formula>
    </cfRule>
  </conditionalFormatting>
  <conditionalFormatting sqref="AD30">
    <cfRule type="cellIs" dxfId="232" priority="7" operator="lessThan">
      <formula>0</formula>
    </cfRule>
    <cfRule type="cellIs" dxfId="231" priority="8" operator="greaterThan">
      <formula>0</formula>
    </cfRule>
  </conditionalFormatting>
  <conditionalFormatting sqref="AD25:AD26">
    <cfRule type="cellIs" dxfId="230" priority="1" operator="lessThan">
      <formula>0</formula>
    </cfRule>
    <cfRule type="cellIs" dxfId="229" priority="2" operator="greaterThan">
      <formula>0</formula>
    </cfRule>
  </conditionalFormatting>
  <conditionalFormatting sqref="AA25:AA26">
    <cfRule type="cellIs" dxfId="228" priority="5" operator="lessThan">
      <formula>0</formula>
    </cfRule>
    <cfRule type="cellIs" dxfId="227" priority="6" operator="greaterThan">
      <formula>0</formula>
    </cfRule>
  </conditionalFormatting>
  <conditionalFormatting sqref="AB25:AC26">
    <cfRule type="cellIs" dxfId="226" priority="3" operator="lessThan">
      <formula>0</formula>
    </cfRule>
    <cfRule type="cellIs" dxfId="225" priority="4" operator="greaterThan">
      <formula>0</formula>
    </cfRule>
  </conditionalFormatting>
  <pageMargins left="0.7" right="0.7" top="0.75" bottom="0.75" header="0.3" footer="0.3"/>
  <pageSetup orientation="portrait" verticalDpi="300" r:id="rId1"/>
  <ignoredErrors>
    <ignoredError sqref="F8:R8 F15:R15" formula="1"/>
  </ignoredErrors>
  <drawing r:id="rId2"/>
  <legacyDrawing r:id="rId3"/>
  <controls>
    <mc:AlternateContent xmlns:mc="http://schemas.openxmlformats.org/markup-compatibility/2006">
      <mc:Choice Requires="x14">
        <control shapeId="575489" r:id="rId4" name="FPMExcelClientSheetOptionstb1">
          <controlPr defaultSize="0" autoLine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75489" r:id="rId4" name="FPMExcelClientSheetOptionstb1"/>
      </mc:Fallback>
    </mc:AlternateContent>
    <mc:AlternateContent xmlns:mc="http://schemas.openxmlformats.org/markup-compatibility/2006">
      <mc:Choice Requires="x14">
        <control shapeId="575490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575490" r:id="rId6" name="ConnectionDescriptorsInfotb1"/>
      </mc:Fallback>
    </mc:AlternateContent>
    <mc:AlternateContent xmlns:mc="http://schemas.openxmlformats.org/markup-compatibility/2006">
      <mc:Choice Requires="x14">
        <control shapeId="575491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575491" r:id="rId8" name="MultipleReportManagerInfotb1"/>
      </mc:Fallback>
    </mc:AlternateContent>
    <mc:AlternateContent xmlns:mc="http://schemas.openxmlformats.org/markup-compatibility/2006">
      <mc:Choice Requires="x14">
        <control shapeId="575492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575492" r:id="rId10" name="AnalyzerDynReport000tb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74BF84-65E1-4718-8144-C6B22D6B541E}">
          <x14:formula1>
            <xm:f>Mapping!$A$2:$A$19</xm:f>
          </x14:formula1>
          <xm:sqref>E2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2A28-38B6-469C-9E2E-B31411086929}">
  <sheetPr codeName="Sheet94">
    <tabColor rgb="FF50B47F"/>
  </sheetPr>
  <dimension ref="A1:CE116"/>
  <sheetViews>
    <sheetView showGridLines="0" topLeftCell="D1" zoomScaleNormal="100" workbookViewId="0">
      <selection activeCell="AD8" sqref="AD8"/>
    </sheetView>
  </sheetViews>
  <sheetFormatPr defaultColWidth="8.7109375" defaultRowHeight="12.75" outlineLevelCol="1" x14ac:dyDescent="0.2"/>
  <cols>
    <col min="1" max="1" width="26.42578125" style="1" hidden="1" customWidth="1" outlineLevel="1"/>
    <col min="2" max="2" width="19.140625" style="1" hidden="1" customWidth="1" outlineLevel="1"/>
    <col min="3" max="3" width="8.7109375" style="1" hidden="1" customWidth="1" outlineLevel="1"/>
    <col min="4" max="4" width="2.7109375" style="1" customWidth="1" collapsed="1"/>
    <col min="5" max="5" width="28.85546875" style="1" customWidth="1"/>
    <col min="6" max="17" width="11.7109375" style="1" customWidth="1"/>
    <col min="18" max="18" width="10.28515625" style="1" customWidth="1"/>
    <col min="19" max="19" width="2.28515625" style="1" customWidth="1"/>
    <col min="20" max="20" width="19" style="1" customWidth="1"/>
    <col min="21" max="24" width="8.7109375" style="1" customWidth="1"/>
    <col min="25" max="25" width="3" style="1" customWidth="1"/>
    <col min="26" max="26" width="19" style="1" customWidth="1"/>
    <col min="27" max="27" width="11" style="1" customWidth="1"/>
    <col min="28" max="30" width="8.7109375" style="1" customWidth="1"/>
    <col min="31" max="32" width="12.7109375" style="1" customWidth="1"/>
    <col min="33" max="33" width="28.42578125" style="1" hidden="1" customWidth="1" outlineLevel="1"/>
    <col min="34" max="34" width="15.5703125" style="1" hidden="1" customWidth="1" outlineLevel="1"/>
    <col min="35" max="35" width="9.85546875" style="1" hidden="1" customWidth="1" outlineLevel="1"/>
    <col min="36" max="36" width="9.42578125" style="1" hidden="1" customWidth="1" outlineLevel="1"/>
    <col min="37" max="37" width="10.140625" style="84" hidden="1" customWidth="1" outlineLevel="1"/>
    <col min="38" max="38" width="9.85546875" style="84" hidden="1" customWidth="1" outlineLevel="1"/>
    <col min="39" max="39" width="10.140625" style="84" hidden="1" customWidth="1" outlineLevel="1"/>
    <col min="40" max="41" width="9.42578125" style="84" hidden="1" customWidth="1" outlineLevel="1"/>
    <col min="42" max="42" width="10.140625" style="84" hidden="1" customWidth="1" outlineLevel="1"/>
    <col min="43" max="43" width="9.85546875" style="84" hidden="1" customWidth="1" outlineLevel="1"/>
    <col min="44" max="44" width="10.140625" style="84" hidden="1" customWidth="1" outlineLevel="1"/>
    <col min="45" max="46" width="9.85546875" style="84" hidden="1" customWidth="1" outlineLevel="1"/>
    <col min="47" max="47" width="11.28515625" style="84" hidden="1" customWidth="1" outlineLevel="1"/>
    <col min="48" max="48" width="9.42578125" style="84" hidden="1" customWidth="1" outlineLevel="1"/>
    <col min="49" max="49" width="10.140625" style="84" hidden="1" customWidth="1" outlineLevel="1"/>
    <col min="50" max="50" width="9.85546875" style="84" hidden="1" customWidth="1" outlineLevel="1"/>
    <col min="51" max="51" width="10.140625" style="84" hidden="1" customWidth="1" outlineLevel="1"/>
    <col min="52" max="52" width="9.42578125" style="84" hidden="1" customWidth="1" outlineLevel="1"/>
    <col min="53" max="53" width="9.140625" style="84" hidden="1" customWidth="1" outlineLevel="1"/>
    <col min="54" max="54" width="9.85546875" style="84" hidden="1" customWidth="1" outlineLevel="1"/>
    <col min="55" max="56" width="9.42578125" style="84" hidden="1" customWidth="1" outlineLevel="1"/>
    <col min="57" max="57" width="9.85546875" style="84" hidden="1" customWidth="1" outlineLevel="1"/>
    <col min="58" max="58" width="18.140625" style="84" hidden="1" customWidth="1" outlineLevel="1"/>
    <col min="59" max="59" width="17.7109375" style="84" hidden="1" customWidth="1" outlineLevel="1"/>
    <col min="60" max="71" width="10.7109375" style="84" hidden="1" customWidth="1" outlineLevel="1"/>
    <col min="72" max="72" width="17.42578125" style="84" customWidth="1" collapsed="1"/>
    <col min="73" max="73" width="12.7109375" style="84" customWidth="1"/>
    <col min="74" max="74" width="15.42578125" style="84" customWidth="1"/>
    <col min="75" max="208" width="9.7109375" style="1" customWidth="1"/>
    <col min="209" max="16384" width="8.7109375" style="1"/>
  </cols>
  <sheetData>
    <row r="1" spans="1:83" x14ac:dyDescent="0.2">
      <c r="J1" s="75"/>
      <c r="U1" s="56"/>
      <c r="AG1" s="76"/>
      <c r="AH1" s="76"/>
      <c r="AI1" s="76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8"/>
      <c r="BS1" s="78"/>
      <c r="BT1" s="78"/>
      <c r="BU1" s="78"/>
      <c r="BV1" s="78"/>
      <c r="BW1" s="78"/>
      <c r="BX1" s="79"/>
      <c r="BY1" s="79"/>
      <c r="BZ1" s="79"/>
      <c r="CA1" s="79"/>
    </row>
    <row r="2" spans="1:83" ht="16.899999999999999" customHeight="1" x14ac:dyDescent="0.2">
      <c r="E2" s="80" t="s">
        <v>96</v>
      </c>
      <c r="I2" s="75"/>
      <c r="J2" s="75"/>
      <c r="K2" s="75"/>
      <c r="L2" s="75"/>
      <c r="M2" s="75"/>
      <c r="N2" s="81"/>
      <c r="O2" s="81"/>
      <c r="P2" s="75"/>
      <c r="Q2" s="75"/>
      <c r="R2" s="82"/>
      <c r="S2" s="83"/>
      <c r="AG2" s="76"/>
      <c r="AH2" s="76"/>
      <c r="AI2" s="76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</row>
    <row r="3" spans="1:83" ht="10.15" customHeight="1" x14ac:dyDescent="0.35">
      <c r="E3" s="85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6"/>
      <c r="S3" s="83"/>
      <c r="AG3" s="76"/>
      <c r="AH3" s="76"/>
      <c r="AI3" s="76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</row>
    <row r="4" spans="1:83" s="15" customFormat="1" ht="17.25" customHeight="1" x14ac:dyDescent="0.25">
      <c r="E4" s="87"/>
      <c r="S4" s="17"/>
      <c r="T4" s="88" t="s">
        <v>54</v>
      </c>
      <c r="Z4" s="88" t="s">
        <v>98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7"/>
      <c r="AY4" s="77"/>
      <c r="AZ4" s="77"/>
      <c r="BA4" s="77"/>
      <c r="BB4" s="77"/>
      <c r="BC4" s="77"/>
      <c r="BD4" s="77"/>
      <c r="BE4" s="77"/>
      <c r="BF4" s="6" t="s">
        <v>85</v>
      </c>
      <c r="BG4" s="6" t="s">
        <v>84</v>
      </c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89"/>
      <c r="BV4" s="89"/>
    </row>
    <row r="5" spans="1:83" ht="15.75" x14ac:dyDescent="0.25">
      <c r="E5" s="80" t="s">
        <v>54</v>
      </c>
      <c r="F5" s="90" t="str">
        <f>Mapping!$D$2</f>
        <v>Jan</v>
      </c>
      <c r="G5" s="90" t="str">
        <f>Mapping!$D$3</f>
        <v>Feb</v>
      </c>
      <c r="H5" s="90" t="str">
        <f>Mapping!$D$4</f>
        <v>Mar</v>
      </c>
      <c r="I5" s="90" t="str">
        <f>Mapping!$D$5</f>
        <v>Apr</v>
      </c>
      <c r="J5" s="90" t="str">
        <f>Mapping!$D$6</f>
        <v>May</v>
      </c>
      <c r="K5" s="90" t="str">
        <f>Mapping!$D$7</f>
        <v>Jun</v>
      </c>
      <c r="L5" s="90" t="str">
        <f>Mapping!$D$8</f>
        <v>Jul</v>
      </c>
      <c r="M5" s="90" t="str">
        <f>Mapping!$D$9</f>
        <v>Aug</v>
      </c>
      <c r="N5" s="90" t="str">
        <f>Mapping!$D$10</f>
        <v>Sep</v>
      </c>
      <c r="O5" s="90" t="str">
        <f>Mapping!$D$11</f>
        <v>Oct</v>
      </c>
      <c r="P5" s="90" t="str">
        <f>Mapping!$D$12</f>
        <v>Nov</v>
      </c>
      <c r="Q5" s="90" t="str">
        <f>Mapping!$D$13</f>
        <v>Dec</v>
      </c>
      <c r="R5" s="91" t="s">
        <v>14</v>
      </c>
      <c r="S5" s="92"/>
      <c r="T5" s="93" t="str">
        <f>Z5</f>
        <v>Forecast based on:</v>
      </c>
      <c r="U5" s="94"/>
      <c r="V5" s="95"/>
      <c r="W5" s="96" t="str">
        <f>AC5</f>
        <v>FY</v>
      </c>
      <c r="X5" s="96" t="str">
        <f>AD5</f>
        <v>vs. LO</v>
      </c>
      <c r="Y5" s="76"/>
      <c r="Z5" s="93" t="s">
        <v>19</v>
      </c>
      <c r="AA5" s="94"/>
      <c r="AB5" s="95"/>
      <c r="AC5" s="96" t="s">
        <v>14</v>
      </c>
      <c r="AD5" s="97" t="s">
        <v>20</v>
      </c>
      <c r="AE5" s="76"/>
      <c r="AF5" s="76"/>
      <c r="AG5" s="98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7"/>
      <c r="AX5" s="77"/>
      <c r="AY5" s="77"/>
      <c r="AZ5" s="77"/>
      <c r="BA5" s="77"/>
      <c r="BB5" s="77"/>
      <c r="BC5" s="77"/>
      <c r="BD5" s="77"/>
      <c r="BE5" s="77"/>
      <c r="BF5" s="99">
        <f>Summary!$D$3</f>
        <v>7</v>
      </c>
      <c r="BG5" s="99">
        <f>BF5-1</f>
        <v>6</v>
      </c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</row>
    <row r="6" spans="1:83" ht="15" x14ac:dyDescent="0.25">
      <c r="A6" s="100">
        <f>Summary!$C$2-2</f>
        <v>2018</v>
      </c>
      <c r="B6" s="101" t="str">
        <f>Mapping!$B$2</f>
        <v>Actual</v>
      </c>
      <c r="E6" s="102" t="str">
        <f>A6&amp;" "&amp;B6</f>
        <v>2018 Actual</v>
      </c>
      <c r="F6" s="103">
        <f>SUMIFS('Units sold'!$E:$E,'Units sold'!$A:$A,$E$2,'Units sold'!$B:$B,F$5&amp;" "&amp;$A6,'Units sold'!$C:$C,"Periodic")</f>
        <v>188</v>
      </c>
      <c r="G6" s="103">
        <f>SUMIFS('Units sold'!$E:$E,'Units sold'!$A:$A,$E$2,'Units sold'!$B:$B,G$5&amp;" "&amp;$A6,'Units sold'!$C:$C,"Periodic")</f>
        <v>224</v>
      </c>
      <c r="H6" s="103">
        <f>SUMIFS('Units sold'!$E:$E,'Units sold'!$A:$A,$E$2,'Units sold'!$B:$B,H$5&amp;" "&amp;$A6,'Units sold'!$C:$C,"Periodic")</f>
        <v>328</v>
      </c>
      <c r="I6" s="103">
        <f>SUMIFS('Units sold'!$E:$E,'Units sold'!$A:$A,$E$2,'Units sold'!$B:$B,I$5&amp;" "&amp;$A6,'Units sold'!$C:$C,"Periodic")</f>
        <v>268</v>
      </c>
      <c r="J6" s="103">
        <f>SUMIFS('Units sold'!$E:$E,'Units sold'!$A:$A,$E$2,'Units sold'!$B:$B,J$5&amp;" "&amp;$A6,'Units sold'!$C:$C,"Periodic")</f>
        <v>340</v>
      </c>
      <c r="K6" s="103">
        <f>SUMIFS('Units sold'!$E:$E,'Units sold'!$A:$A,$E$2,'Units sold'!$B:$B,K$5&amp;" "&amp;$A6,'Units sold'!$C:$C,"Periodic")</f>
        <v>256</v>
      </c>
      <c r="L6" s="103">
        <f>SUMIFS('Units sold'!$E:$E,'Units sold'!$A:$A,$E$2,'Units sold'!$B:$B,L$5&amp;" "&amp;$A6,'Units sold'!$C:$C,"Periodic")</f>
        <v>256</v>
      </c>
      <c r="M6" s="103">
        <f>SUMIFS('Units sold'!$E:$E,'Units sold'!$A:$A,$E$2,'Units sold'!$B:$B,M$5&amp;" "&amp;$A6,'Units sold'!$C:$C,"Periodic")</f>
        <v>274</v>
      </c>
      <c r="N6" s="103">
        <f>SUMIFS('Units sold'!$E:$E,'Units sold'!$A:$A,$E$2,'Units sold'!$B:$B,N$5&amp;" "&amp;$A6,'Units sold'!$C:$C,"Periodic")</f>
        <v>340</v>
      </c>
      <c r="O6" s="103">
        <f>SUMIFS('Units sold'!$E:$E,'Units sold'!$A:$A,$E$2,'Units sold'!$B:$B,O$5&amp;" "&amp;$A6,'Units sold'!$C:$C,"Periodic")</f>
        <v>354</v>
      </c>
      <c r="P6" s="103">
        <f>SUMIFS('Units sold'!$E:$E,'Units sold'!$A:$A,$E$2,'Units sold'!$B:$B,P$5&amp;" "&amp;$A6,'Units sold'!$C:$C,"Periodic")</f>
        <v>382</v>
      </c>
      <c r="Q6" s="103">
        <f>SUMIFS('Units sold'!$E:$E,'Units sold'!$A:$A,$E$2,'Units sold'!$B:$B,Q$5&amp;" "&amp;$A6,'Units sold'!$C:$C,"Periodic")</f>
        <v>410</v>
      </c>
      <c r="R6" s="104">
        <f t="shared" ref="R6" si="0">SUM(F6:Q6)</f>
        <v>3620</v>
      </c>
      <c r="S6" s="105"/>
      <c r="T6" s="106" t="str">
        <f t="shared" ref="T6:T9" si="1">Z6</f>
        <v>3-month Rolling Rate</v>
      </c>
      <c r="U6" s="107"/>
      <c r="V6" s="108"/>
      <c r="W6" s="109">
        <f>(SUM(AR8:AT8)/3*Summary!$E$3)+R9</f>
        <v>2696</v>
      </c>
      <c r="X6" s="110">
        <f>$W$6-$R$8</f>
        <v>-4070.6540285999999</v>
      </c>
      <c r="Y6" s="76"/>
      <c r="Z6" s="106" t="s">
        <v>129</v>
      </c>
      <c r="AA6" s="107"/>
      <c r="AB6" s="108"/>
      <c r="AC6" s="109">
        <f>(SUM(AR9:AT9)/3*Summary!$E$3)+R16</f>
        <v>2793.6431690430004</v>
      </c>
      <c r="AD6" s="110">
        <f>$AC$6-$R$15</f>
        <v>-3143.6961788392114</v>
      </c>
      <c r="AE6" s="33"/>
      <c r="AF6" s="76"/>
      <c r="AG6" s="98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7"/>
      <c r="AX6" s="77"/>
      <c r="AY6" s="77"/>
      <c r="AZ6" s="77"/>
      <c r="BA6" s="77"/>
      <c r="BB6" s="77"/>
      <c r="BC6" s="77"/>
      <c r="BD6" s="77"/>
      <c r="BE6" s="77"/>
      <c r="BF6" s="6" t="s">
        <v>27</v>
      </c>
      <c r="BG6" s="111">
        <v>1</v>
      </c>
      <c r="BH6" s="111">
        <v>2</v>
      </c>
      <c r="BI6" s="111">
        <v>3</v>
      </c>
      <c r="BJ6" s="111">
        <v>4</v>
      </c>
      <c r="BK6" s="111">
        <v>5</v>
      </c>
      <c r="BL6" s="111">
        <v>6</v>
      </c>
      <c r="BM6" s="111">
        <v>7</v>
      </c>
      <c r="BN6" s="111">
        <v>8</v>
      </c>
      <c r="BO6" s="111">
        <v>9</v>
      </c>
      <c r="BP6" s="111">
        <v>10</v>
      </c>
      <c r="BQ6" s="111">
        <v>11</v>
      </c>
      <c r="BR6" s="111">
        <v>12</v>
      </c>
      <c r="BS6" s="77"/>
      <c r="BT6" s="77"/>
    </row>
    <row r="7" spans="1:83" ht="15" x14ac:dyDescent="0.25">
      <c r="A7" s="100">
        <f>Summary!$C$2-1</f>
        <v>2019</v>
      </c>
      <c r="B7" s="101" t="str">
        <f>Mapping!$B$2</f>
        <v>Actual</v>
      </c>
      <c r="E7" s="102" t="str">
        <f>A7&amp;" "&amp;B7</f>
        <v>2019 Actual</v>
      </c>
      <c r="F7" s="103">
        <f>SUMIFS('Units sold'!$E:$E,'Units sold'!$A:$A,$E$2,'Units sold'!$B:$B,F$5&amp;" "&amp;$A7,'Units sold'!$C:$C,"Periodic")</f>
        <v>376</v>
      </c>
      <c r="G7" s="103">
        <f>SUMIFS('Units sold'!$E:$E,'Units sold'!$A:$A,$E$2,'Units sold'!$B:$B,G$5&amp;" "&amp;$A7,'Units sold'!$C:$C,"Periodic")</f>
        <v>324</v>
      </c>
      <c r="H7" s="103">
        <f>SUMIFS('Units sold'!$E:$E,'Units sold'!$A:$A,$E$2,'Units sold'!$B:$B,H$5&amp;" "&amp;$A7,'Units sold'!$C:$C,"Periodic")</f>
        <v>312</v>
      </c>
      <c r="I7" s="103">
        <f>SUMIFS('Units sold'!$E:$E,'Units sold'!$A:$A,$E$2,'Units sold'!$B:$B,I$5&amp;" "&amp;$A7,'Units sold'!$C:$C,"Periodic")</f>
        <v>406</v>
      </c>
      <c r="J7" s="103">
        <f>SUMIFS('Units sold'!$E:$E,'Units sold'!$A:$A,$E$2,'Units sold'!$B:$B,J$5&amp;" "&amp;$A7,'Units sold'!$C:$C,"Periodic")</f>
        <v>358</v>
      </c>
      <c r="K7" s="103">
        <f>SUMIFS('Units sold'!$E:$E,'Units sold'!$A:$A,$E$2,'Units sold'!$B:$B,K$5&amp;" "&amp;$A7,'Units sold'!$C:$C,"Periodic")</f>
        <v>456</v>
      </c>
      <c r="L7" s="103">
        <f>SUMIFS('Units sold'!$E:$E,'Units sold'!$A:$A,$E$2,'Units sold'!$B:$B,L$5&amp;" "&amp;$A7,'Units sold'!$C:$C,"Periodic")</f>
        <v>392</v>
      </c>
      <c r="M7" s="103">
        <f>SUMIFS('Units sold'!$E:$E,'Units sold'!$A:$A,$E$2,'Units sold'!$B:$B,M$5&amp;" "&amp;$A7,'Units sold'!$C:$C,"Periodic")</f>
        <v>412</v>
      </c>
      <c r="N7" s="103">
        <f>SUMIFS('Units sold'!$E:$E,'Units sold'!$A:$A,$E$2,'Units sold'!$B:$B,N$5&amp;" "&amp;$A7,'Units sold'!$C:$C,"Periodic")</f>
        <v>412</v>
      </c>
      <c r="O7" s="103">
        <f>SUMIFS('Units sold'!$E:$E,'Units sold'!$A:$A,$E$2,'Units sold'!$B:$B,O$5&amp;" "&amp;$A7,'Units sold'!$C:$C,"Periodic")</f>
        <v>516</v>
      </c>
      <c r="P7" s="103">
        <f>SUMIFS('Units sold'!$E:$E,'Units sold'!$A:$A,$E$2,'Units sold'!$B:$B,P$5&amp;" "&amp;$A7,'Units sold'!$C:$C,"Periodic")</f>
        <v>548</v>
      </c>
      <c r="Q7" s="103">
        <f>SUMIFS('Units sold'!$E:$E,'Units sold'!$A:$A,$E$2,'Units sold'!$B:$B,Q$5&amp;" "&amp;$A7,'Units sold'!$C:$C,"Periodic")</f>
        <v>366</v>
      </c>
      <c r="R7" s="104">
        <f t="shared" ref="R7:R10" si="2">SUM(F7:Q7)</f>
        <v>4878</v>
      </c>
      <c r="S7" s="105"/>
      <c r="T7" s="112" t="str">
        <f t="shared" si="1"/>
        <v>2020 Trend 6 months</v>
      </c>
      <c r="U7" s="113"/>
      <c r="V7" s="114"/>
      <c r="W7" s="115">
        <f>BS22</f>
        <v>5511.1429747090906</v>
      </c>
      <c r="X7" s="110">
        <f>$W$7-$R$8</f>
        <v>-1255.5110538909094</v>
      </c>
      <c r="Y7" s="76"/>
      <c r="Z7" s="112" t="str">
        <f>A9&amp;" Trend 6 months"</f>
        <v>2020 Trend 6 months</v>
      </c>
      <c r="AA7" s="113"/>
      <c r="AB7" s="114"/>
      <c r="AC7" s="115">
        <f>BS40</f>
        <v>5012.0887949635235</v>
      </c>
      <c r="AD7" s="110">
        <f>$AC$7-$R$15</f>
        <v>-925.2505529186883</v>
      </c>
      <c r="AE7" s="76"/>
      <c r="AF7" s="76"/>
      <c r="AG7" s="33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7"/>
      <c r="AX7" s="77"/>
      <c r="AY7" s="77"/>
      <c r="AZ7" s="78"/>
      <c r="BA7" s="78"/>
      <c r="BB7" s="78"/>
      <c r="BC7" s="78"/>
      <c r="BD7" s="78"/>
      <c r="BE7" s="77"/>
      <c r="BG7" s="116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78"/>
      <c r="BT7" s="77"/>
    </row>
    <row r="8" spans="1:83" ht="15" x14ac:dyDescent="0.25">
      <c r="A8" s="100">
        <f>Summary!$C$2</f>
        <v>2020</v>
      </c>
      <c r="B8" s="101" t="str">
        <f>Mapping!$B$3</f>
        <v>Budget</v>
      </c>
      <c r="E8" s="118" t="str">
        <f>A8&amp;" "&amp;B8</f>
        <v>2020 Budget</v>
      </c>
      <c r="F8" s="119">
        <f>SUMIFS('Units sold'!$D:$D,'Units sold'!$A:$A,$E$2,'Units sold'!$B:$B,F$5&amp;" "&amp;$A8,'Units sold'!$C:$C,"Periodic")</f>
        <v>520.49613280000005</v>
      </c>
      <c r="G8" s="119">
        <f>SUMIFS('Units sold'!$D:$D,'Units sold'!$A:$A,$E$2,'Units sold'!$B:$B,G$5&amp;" "&amp;$A8,'Units sold'!$C:$C,"Periodic")</f>
        <v>484.69531219999999</v>
      </c>
      <c r="H8" s="119">
        <f>SUMIFS('Units sold'!$D:$D,'Units sold'!$A:$A,$E$2,'Units sold'!$B:$B,H$5&amp;" "&amp;$A8,'Units sold'!$C:$C,"Periodic")</f>
        <v>461.69057980000002</v>
      </c>
      <c r="I8" s="119">
        <f>SUMIFS('Units sold'!$D:$D,'Units sold'!$A:$A,$E$2,'Units sold'!$B:$B,I$5&amp;" "&amp;$A8,'Units sold'!$C:$C,"Periodic")</f>
        <v>599.5068035999999</v>
      </c>
      <c r="J8" s="119">
        <f>SUMIFS('Units sold'!$D:$D,'Units sold'!$A:$A,$E$2,'Units sold'!$B:$B,J$5&amp;" "&amp;$A8,'Units sold'!$C:$C,"Periodic")</f>
        <v>534.14345460000004</v>
      </c>
      <c r="K8" s="119">
        <f>SUMIFS('Units sold'!$D:$D,'Units sold'!$A:$A,$E$2,'Units sold'!$B:$B,K$5&amp;" "&amp;$A8,'Units sold'!$C:$C,"Periodic")</f>
        <v>619.13610599999993</v>
      </c>
      <c r="L8" s="119">
        <f>SUMIFS('Units sold'!$D:$D,'Units sold'!$A:$A,$E$2,'Units sold'!$B:$B,L$5&amp;" "&amp;$A8,'Units sold'!$C:$C,"Periodic")</f>
        <v>586.56549480000001</v>
      </c>
      <c r="M8" s="119">
        <f>SUMIFS('Units sold'!$D:$D,'Units sold'!$A:$A,$E$2,'Units sold'!$B:$B,M$5&amp;" "&amp;$A8,'Units sold'!$C:$C,"Periodic")</f>
        <v>610.84170900000004</v>
      </c>
      <c r="N8" s="119">
        <f>SUMIFS('Units sold'!$D:$D,'Units sold'!$A:$A,$E$2,'Units sold'!$B:$B,N$5&amp;" "&amp;$A8,'Units sold'!$C:$C,"Periodic")</f>
        <v>549.23390259999996</v>
      </c>
      <c r="O8" s="119">
        <f>SUMIFS('Units sold'!$D:$D,'Units sold'!$A:$A,$E$2,'Units sold'!$B:$B,O$5&amp;" "&amp;$A8,'Units sold'!$C:$C,"Periodic")</f>
        <v>592.85767999999996</v>
      </c>
      <c r="P8" s="119">
        <f>SUMIFS('Units sold'!$D:$D,'Units sold'!$A:$A,$E$2,'Units sold'!$B:$B,P$5&amp;" "&amp;$A8,'Units sold'!$C:$C,"Periodic")</f>
        <v>632.45291420000001</v>
      </c>
      <c r="Q8" s="119">
        <f>SUMIFS('Units sold'!$D:$D,'Units sold'!$A:$A,$E$2,'Units sold'!$B:$B,Q$5&amp;" "&amp;$A8,'Units sold'!$C:$C,"Periodic")</f>
        <v>575.03393899999992</v>
      </c>
      <c r="R8" s="120">
        <f t="shared" si="2"/>
        <v>6766.6540285999999</v>
      </c>
      <c r="S8" s="105"/>
      <c r="T8" s="112" t="str">
        <f t="shared" si="1"/>
        <v>2020 Trend 12 months</v>
      </c>
      <c r="U8" s="113"/>
      <c r="V8" s="114"/>
      <c r="W8" s="115">
        <f>BS23</f>
        <v>5836.0868249764717</v>
      </c>
      <c r="X8" s="110">
        <f>$W$8-$R$8</f>
        <v>-930.56720362352826</v>
      </c>
      <c r="Y8" s="76"/>
      <c r="Z8" s="112" t="str">
        <f>A9&amp;" Trend 12 months"</f>
        <v>2020 Trend 12 months</v>
      </c>
      <c r="AA8" s="113"/>
      <c r="AB8" s="114"/>
      <c r="AC8" s="115">
        <f>BS41</f>
        <v>5398.6511037336304</v>
      </c>
      <c r="AD8" s="110">
        <f>$AC$8-$R$15</f>
        <v>-538.68824414858136</v>
      </c>
      <c r="AE8" s="76"/>
      <c r="AF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8"/>
      <c r="AX8" s="78"/>
      <c r="AY8" s="78"/>
      <c r="AZ8" s="78"/>
      <c r="BA8" s="78"/>
      <c r="BB8" s="78"/>
      <c r="BC8" s="78"/>
      <c r="BD8" s="78"/>
      <c r="BE8" s="77"/>
      <c r="BF8" s="6" t="s">
        <v>28</v>
      </c>
      <c r="BG8" s="16">
        <f t="shared" ref="BG8:BL8" si="3">IF($BF$5=BG6,1,0)</f>
        <v>0</v>
      </c>
      <c r="BH8" s="16">
        <f t="shared" si="3"/>
        <v>0</v>
      </c>
      <c r="BI8" s="16">
        <f t="shared" si="3"/>
        <v>0</v>
      </c>
      <c r="BJ8" s="16">
        <f t="shared" si="3"/>
        <v>0</v>
      </c>
      <c r="BK8" s="16">
        <f t="shared" si="3"/>
        <v>0</v>
      </c>
      <c r="BL8" s="16">
        <f t="shared" si="3"/>
        <v>0</v>
      </c>
      <c r="BM8" s="16">
        <f>IF($BF$5=BM6,1,0)</f>
        <v>1</v>
      </c>
      <c r="BN8" s="16">
        <f t="shared" ref="BN8:BR8" si="4">IF($BF$5=BN6,1,0)</f>
        <v>0</v>
      </c>
      <c r="BO8" s="16">
        <f t="shared" si="4"/>
        <v>0</v>
      </c>
      <c r="BP8" s="16">
        <f t="shared" si="4"/>
        <v>0</v>
      </c>
      <c r="BQ8" s="16">
        <f t="shared" si="4"/>
        <v>0</v>
      </c>
      <c r="BR8" s="16">
        <f t="shared" si="4"/>
        <v>0</v>
      </c>
      <c r="BS8" s="78"/>
      <c r="BT8" s="77"/>
    </row>
    <row r="9" spans="1:83" ht="15" x14ac:dyDescent="0.25">
      <c r="A9" s="100">
        <f>Summary!$C$2</f>
        <v>2020</v>
      </c>
      <c r="B9" s="101" t="str">
        <f>Mapping!$B$2</f>
        <v>Actual</v>
      </c>
      <c r="E9" s="102" t="str">
        <f>A9&amp;" "&amp;B9</f>
        <v>2020 Actual</v>
      </c>
      <c r="F9" s="121">
        <f>SUMIFS('Units sold'!$E:$E,'Units sold'!$A:$A,$E$2,'Units sold'!$B:$B,F$5&amp;" "&amp;$A9,'Units sold'!$C:$C,"Periodic")</f>
        <v>396</v>
      </c>
      <c r="G9" s="121">
        <f>SUMIFS('Units sold'!$E:$E,'Units sold'!$A:$A,$E$2,'Units sold'!$B:$B,G$5&amp;" "&amp;$A9,'Units sold'!$C:$C,"Periodic")</f>
        <v>356</v>
      </c>
      <c r="H9" s="121">
        <f>SUMIFS('Units sold'!$E:$E,'Units sold'!$A:$A,$E$2,'Units sold'!$B:$B,H$5&amp;" "&amp;$A9,'Units sold'!$C:$C,"Periodic")</f>
        <v>414</v>
      </c>
      <c r="I9" s="121">
        <f>SUMIFS('Units sold'!$E:$E,'Units sold'!$A:$A,$E$2,'Units sold'!$B:$B,I$5&amp;" "&amp;$A9,'Units sold'!$C:$C,"Periodic")</f>
        <v>326</v>
      </c>
      <c r="J9" s="121">
        <f>SUMIFS('Units sold'!$E:$E,'Units sold'!$A:$A,$E$2,'Units sold'!$B:$B,J$5&amp;" "&amp;$A9,'Units sold'!$C:$C,"Periodic")</f>
        <v>366</v>
      </c>
      <c r="K9" s="121">
        <f>SUMIFS('Units sold'!$E:$E,'Units sold'!$A:$A,$E$2,'Units sold'!$B:$B,K$5&amp;" "&amp;$A9,'Units sold'!$C:$C,"Periodic")</f>
        <v>442</v>
      </c>
      <c r="L9" s="121">
        <f>SUMIFS('Units sold'!$E:$E,'Units sold'!$A:$A,$E$2,'Units sold'!$B:$B,L$5&amp;" "&amp;$A9,'Units sold'!$C:$C,"Periodic")</f>
        <v>396</v>
      </c>
      <c r="M9" s="121">
        <f>SUMIFS('Units sold'!$E:$E,'Units sold'!$A:$A,$E$2,'Units sold'!$B:$B,M$5&amp;" "&amp;$A9,'Units sold'!$C:$C,"Periodic")</f>
        <v>0</v>
      </c>
      <c r="N9" s="121">
        <f>SUMIFS('Units sold'!$E:$E,'Units sold'!$A:$A,$E$2,'Units sold'!$B:$B,N$5&amp;" "&amp;$A9,'Units sold'!$C:$C,"Periodic")</f>
        <v>0</v>
      </c>
      <c r="O9" s="121">
        <f>SUMIFS('Units sold'!$E:$E,'Units sold'!$A:$A,$E$2,'Units sold'!$B:$B,O$5&amp;" "&amp;$A9,'Units sold'!$C:$C,"Periodic")</f>
        <v>0</v>
      </c>
      <c r="P9" s="121">
        <f>SUMIFS('Units sold'!$E:$E,'Units sold'!$A:$A,$E$2,'Units sold'!$B:$B,P$5&amp;" "&amp;$A9,'Units sold'!$C:$C,"Periodic")</f>
        <v>0</v>
      </c>
      <c r="Q9" s="121">
        <f>SUMIFS('Units sold'!$E:$E,'Units sold'!$A:$A,$E$2,'Units sold'!$B:$B,Q$5&amp;" "&amp;$A9,'Units sold'!$C:$C,"Periodic")</f>
        <v>0</v>
      </c>
      <c r="R9" s="122">
        <f t="shared" si="2"/>
        <v>2696</v>
      </c>
      <c r="S9" s="105"/>
      <c r="T9" s="123" t="str">
        <f t="shared" si="1"/>
        <v>Prior Year exit rate (Q4 x 4)</v>
      </c>
      <c r="U9" s="124"/>
      <c r="V9" s="125"/>
      <c r="W9" s="126">
        <f>SUM($O$7:$Q$7)*4</f>
        <v>5720</v>
      </c>
      <c r="X9" s="127">
        <f>$W$9-$R$8</f>
        <v>-1046.6540285999999</v>
      </c>
      <c r="Y9" s="76"/>
      <c r="Z9" s="123" t="s">
        <v>130</v>
      </c>
      <c r="AA9" s="124"/>
      <c r="AB9" s="125"/>
      <c r="AC9" s="126">
        <f>SUM($O$14:$Q$14)*4</f>
        <v>6865.5195910876173</v>
      </c>
      <c r="AD9" s="127">
        <f>$AC$9-$R$15</f>
        <v>928.18024320540553</v>
      </c>
      <c r="AE9" s="98"/>
      <c r="AF9" s="98"/>
      <c r="AG9" s="128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BE9" s="77"/>
      <c r="BF9" s="6" t="s">
        <v>28</v>
      </c>
      <c r="BG9" s="111">
        <f>SUM($BG8:BG8)</f>
        <v>0</v>
      </c>
      <c r="BH9" s="16">
        <f>SUM($BG8:BG8)</f>
        <v>0</v>
      </c>
      <c r="BI9" s="16">
        <f>SUM($BG8:BH8)</f>
        <v>0</v>
      </c>
      <c r="BJ9" s="16">
        <f>SUM($BG8:BI8)</f>
        <v>0</v>
      </c>
      <c r="BK9" s="16">
        <f>SUM($BG8:BJ8)</f>
        <v>0</v>
      </c>
      <c r="BL9" s="16">
        <f>SUM($BG8:BK8)</f>
        <v>0</v>
      </c>
      <c r="BM9" s="16">
        <f>SUM($BG8:BL8)</f>
        <v>0</v>
      </c>
      <c r="BN9" s="16">
        <f>SUM($BG8:BM8)</f>
        <v>1</v>
      </c>
      <c r="BO9" s="16">
        <f>SUM($BG8:BN8)</f>
        <v>1</v>
      </c>
      <c r="BP9" s="16">
        <f>SUM($BG8:BO8)</f>
        <v>1</v>
      </c>
      <c r="BQ9" s="16">
        <f>SUM($BG8:BP8)</f>
        <v>1</v>
      </c>
      <c r="BR9" s="16">
        <f>SUM($BG8:BQ8)</f>
        <v>1</v>
      </c>
      <c r="BT9" s="77"/>
    </row>
    <row r="10" spans="1:83" x14ac:dyDescent="0.2">
      <c r="E10" s="102" t="s">
        <v>34</v>
      </c>
      <c r="F10" s="129">
        <f t="shared" ref="F10:Q10" si="5">IF(F9=0,F17/F24,F9)</f>
        <v>396</v>
      </c>
      <c r="G10" s="129">
        <f t="shared" si="5"/>
        <v>356</v>
      </c>
      <c r="H10" s="129">
        <f t="shared" si="5"/>
        <v>414</v>
      </c>
      <c r="I10" s="129">
        <f t="shared" si="5"/>
        <v>326</v>
      </c>
      <c r="J10" s="129">
        <f t="shared" si="5"/>
        <v>366</v>
      </c>
      <c r="K10" s="129">
        <f t="shared" si="5"/>
        <v>442</v>
      </c>
      <c r="L10" s="129">
        <f t="shared" si="5"/>
        <v>396</v>
      </c>
      <c r="M10" s="129">
        <f t="shared" si="5"/>
        <v>474.78993781315012</v>
      </c>
      <c r="N10" s="129">
        <f t="shared" si="5"/>
        <v>440.2548767517489</v>
      </c>
      <c r="O10" s="129">
        <f t="shared" si="5"/>
        <v>483.35155950942055</v>
      </c>
      <c r="P10" s="129">
        <f t="shared" si="5"/>
        <v>498.20863972765102</v>
      </c>
      <c r="Q10" s="129">
        <f t="shared" si="5"/>
        <v>441.09293205801731</v>
      </c>
      <c r="R10" s="122">
        <f t="shared" si="2"/>
        <v>5033.6979458599872</v>
      </c>
      <c r="S10" s="105"/>
      <c r="T10" s="105"/>
      <c r="U10" s="105"/>
      <c r="V10" s="130"/>
      <c r="W10" s="76"/>
      <c r="X10" s="76"/>
      <c r="Y10" s="76"/>
      <c r="Z10" s="105"/>
      <c r="AA10" s="105"/>
      <c r="AB10" s="130"/>
      <c r="AC10" s="76"/>
      <c r="AD10" s="76"/>
      <c r="AE10" s="98"/>
      <c r="AF10" s="98"/>
      <c r="AG10" s="131"/>
      <c r="AH10" s="131"/>
      <c r="AI10" s="131"/>
      <c r="AJ10" s="131"/>
      <c r="AK10" s="131"/>
      <c r="AL10" s="1"/>
      <c r="BG10" s="132">
        <v>1</v>
      </c>
      <c r="BH10" s="132">
        <v>2</v>
      </c>
      <c r="BI10" s="132">
        <v>3</v>
      </c>
      <c r="BJ10" s="132">
        <v>4</v>
      </c>
      <c r="BK10" s="132">
        <v>5</v>
      </c>
      <c r="BL10" s="132">
        <v>6</v>
      </c>
      <c r="BM10" s="132">
        <v>7</v>
      </c>
      <c r="BN10" s="132">
        <v>8</v>
      </c>
      <c r="BO10" s="132">
        <v>9</v>
      </c>
      <c r="BP10" s="132">
        <v>10</v>
      </c>
      <c r="BQ10" s="132">
        <v>11</v>
      </c>
      <c r="BR10" s="132">
        <v>12</v>
      </c>
      <c r="BT10" s="77"/>
    </row>
    <row r="11" spans="1:83" ht="15.75" x14ac:dyDescent="0.25">
      <c r="D11" s="98"/>
      <c r="E11" s="67"/>
      <c r="F11" s="15"/>
      <c r="G11" s="13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0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98"/>
      <c r="AF11" s="98"/>
      <c r="AG11" s="131"/>
      <c r="AH11" s="131"/>
      <c r="AI11" s="131"/>
      <c r="AJ11" s="131"/>
      <c r="AK11" s="131"/>
      <c r="AL11" s="1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</row>
    <row r="12" spans="1:83" ht="15.75" x14ac:dyDescent="0.25">
      <c r="E12" s="134" t="s">
        <v>98</v>
      </c>
      <c r="F12" s="90" t="str">
        <f>F$5</f>
        <v>Jan</v>
      </c>
      <c r="G12" s="90" t="str">
        <f t="shared" ref="G12:Q12" si="6">G$5</f>
        <v>Feb</v>
      </c>
      <c r="H12" s="90" t="str">
        <f t="shared" si="6"/>
        <v>Mar</v>
      </c>
      <c r="I12" s="90" t="str">
        <f t="shared" si="6"/>
        <v>Apr</v>
      </c>
      <c r="J12" s="90" t="str">
        <f t="shared" si="6"/>
        <v>May</v>
      </c>
      <c r="K12" s="90" t="str">
        <f t="shared" si="6"/>
        <v>Jun</v>
      </c>
      <c r="L12" s="90" t="str">
        <f t="shared" si="6"/>
        <v>Jul</v>
      </c>
      <c r="M12" s="90" t="str">
        <f t="shared" si="6"/>
        <v>Aug</v>
      </c>
      <c r="N12" s="90" t="str">
        <f t="shared" si="6"/>
        <v>Sep</v>
      </c>
      <c r="O12" s="90" t="str">
        <f t="shared" si="6"/>
        <v>Oct</v>
      </c>
      <c r="P12" s="90" t="str">
        <f t="shared" si="6"/>
        <v>Nov</v>
      </c>
      <c r="Q12" s="90" t="str">
        <f t="shared" si="6"/>
        <v>Dec</v>
      </c>
      <c r="R12" s="91" t="s">
        <v>14</v>
      </c>
      <c r="T12" s="135" t="s">
        <v>86</v>
      </c>
      <c r="U12" s="136"/>
      <c r="V12" s="137" t="str">
        <f>AB12</f>
        <v>YTD</v>
      </c>
      <c r="W12" s="136" t="str">
        <f>AC12</f>
        <v>YTG</v>
      </c>
      <c r="X12" s="136" t="str">
        <f>AD12</f>
        <v>Delta</v>
      </c>
      <c r="Y12" s="138"/>
      <c r="Z12" s="135" t="s">
        <v>86</v>
      </c>
      <c r="AA12" s="136"/>
      <c r="AB12" s="137" t="s">
        <v>15</v>
      </c>
      <c r="AC12" s="136" t="s">
        <v>16</v>
      </c>
      <c r="AD12" s="136" t="s">
        <v>33</v>
      </c>
      <c r="AE12" s="98"/>
      <c r="AF12" s="139"/>
      <c r="AG12" s="140"/>
      <c r="AH12" s="141" t="s">
        <v>25</v>
      </c>
      <c r="AI12" s="84"/>
      <c r="AJ12" s="84"/>
      <c r="BC12" s="16">
        <f t="shared" ref="BC12:BR12" si="7">BB12+1</f>
        <v>1</v>
      </c>
      <c r="BD12" s="16">
        <f t="shared" si="7"/>
        <v>2</v>
      </c>
      <c r="BE12" s="16">
        <f t="shared" si="7"/>
        <v>3</v>
      </c>
      <c r="BF12" s="16">
        <f t="shared" si="7"/>
        <v>4</v>
      </c>
      <c r="BG12" s="16">
        <f t="shared" si="7"/>
        <v>5</v>
      </c>
      <c r="BH12" s="16">
        <f t="shared" si="7"/>
        <v>6</v>
      </c>
      <c r="BI12" s="16">
        <f t="shared" si="7"/>
        <v>7</v>
      </c>
      <c r="BJ12" s="16">
        <f t="shared" si="7"/>
        <v>8</v>
      </c>
      <c r="BK12" s="16">
        <f t="shared" si="7"/>
        <v>9</v>
      </c>
      <c r="BL12" s="16">
        <f t="shared" si="7"/>
        <v>10</v>
      </c>
      <c r="BM12" s="16">
        <f t="shared" si="7"/>
        <v>11</v>
      </c>
      <c r="BN12" s="16">
        <f t="shared" si="7"/>
        <v>12</v>
      </c>
      <c r="BO12" s="16">
        <f t="shared" si="7"/>
        <v>13</v>
      </c>
      <c r="BP12" s="16">
        <f t="shared" si="7"/>
        <v>14</v>
      </c>
      <c r="BQ12" s="16">
        <f t="shared" si="7"/>
        <v>15</v>
      </c>
      <c r="BR12" s="16">
        <f t="shared" si="7"/>
        <v>16</v>
      </c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</row>
    <row r="13" spans="1:83" ht="13.5" customHeight="1" x14ac:dyDescent="0.25">
      <c r="A13" s="100">
        <f>Summary!$C$2-2</f>
        <v>2018</v>
      </c>
      <c r="B13" s="101" t="str">
        <f>Mapping!$B$2</f>
        <v>Actual</v>
      </c>
      <c r="E13" s="102" t="str">
        <f>A13&amp;" "&amp;B13</f>
        <v>2018 Actual</v>
      </c>
      <c r="F13" s="142">
        <f>SUMIFS('Sales Data'!$E:$E,'Sales Data'!$A:$A,$E$2,'Sales Data'!$B:$B,F$12&amp;" "&amp;$A13,'Sales Data'!$C:$C,"Periodic")/1000</f>
        <v>278.68442176500002</v>
      </c>
      <c r="G13" s="142">
        <f>SUMIFS('Sales Data'!$E:$E,'Sales Data'!$A:$A,$E$2,'Sales Data'!$B:$B,G$12&amp;" "&amp;$A13,'Sales Data'!$C:$C,"Periodic")/1000</f>
        <v>312.65155760399995</v>
      </c>
      <c r="H13" s="142">
        <f>SUMIFS('Sales Data'!$E:$E,'Sales Data'!$A:$A,$E$2,'Sales Data'!$B:$B,H$12&amp;" "&amp;$A13,'Sales Data'!$C:$C,"Periodic")/1000</f>
        <v>477.07184643600004</v>
      </c>
      <c r="I13" s="142">
        <f>SUMIFS('Sales Data'!$E:$E,'Sales Data'!$A:$A,$E$2,'Sales Data'!$B:$B,I$12&amp;" "&amp;$A13,'Sales Data'!$C:$C,"Periodic")/1000</f>
        <v>334.04348919</v>
      </c>
      <c r="J13" s="142">
        <f>SUMIFS('Sales Data'!$E:$E,'Sales Data'!$A:$A,$E$2,'Sales Data'!$B:$B,J$12&amp;" "&amp;$A13,'Sales Data'!$C:$C,"Periodic")/1000</f>
        <v>496.15917594900003</v>
      </c>
      <c r="K13" s="142">
        <f>SUMIFS('Sales Data'!$E:$E,'Sales Data'!$A:$A,$E$2,'Sales Data'!$B:$B,K$12&amp;" "&amp;$A13,'Sales Data'!$C:$C,"Periodic")/1000</f>
        <v>351.99729018600004</v>
      </c>
      <c r="L13" s="142">
        <f>SUMIFS('Sales Data'!$E:$E,'Sales Data'!$A:$A,$E$2,'Sales Data'!$B:$B,L$12&amp;" "&amp;$A13,'Sales Data'!$C:$C,"Periodic")/1000</f>
        <v>329.62864345500003</v>
      </c>
      <c r="M13" s="142">
        <f>SUMIFS('Sales Data'!$E:$E,'Sales Data'!$A:$A,$E$2,'Sales Data'!$B:$B,M$12&amp;" "&amp;$A13,'Sales Data'!$C:$C,"Periodic")/1000</f>
        <v>346.77263069399999</v>
      </c>
      <c r="N13" s="142">
        <f>SUMIFS('Sales Data'!$E:$E,'Sales Data'!$A:$A,$E$2,'Sales Data'!$B:$B,N$12&amp;" "&amp;$A13,'Sales Data'!$C:$C,"Periodic")/1000</f>
        <v>541.34475562200009</v>
      </c>
      <c r="O13" s="142">
        <f>SUMIFS('Sales Data'!$E:$E,'Sales Data'!$A:$A,$E$2,'Sales Data'!$B:$B,O$12&amp;" "&amp;$A13,'Sales Data'!$C:$C,"Periodic")/1000</f>
        <v>383.15245202400001</v>
      </c>
      <c r="P13" s="142">
        <f>SUMIFS('Sales Data'!$E:$E,'Sales Data'!$A:$A,$E$2,'Sales Data'!$B:$B,P$12&amp;" "&amp;$A13,'Sales Data'!$C:$C,"Periodic")/1000</f>
        <v>535.60089151199998</v>
      </c>
      <c r="Q13" s="142">
        <f>SUMIFS('Sales Data'!$E:$E,'Sales Data'!$A:$A,$E$2,'Sales Data'!$B:$B,Q$12&amp;" "&amp;$A13,'Sales Data'!$C:$C,"Periodic")/1000</f>
        <v>358.29915631799997</v>
      </c>
      <c r="R13" s="104">
        <f t="shared" ref="R13" si="8">SUM(F13:Q13)</f>
        <v>4745.406310755</v>
      </c>
      <c r="T13" s="112" t="str">
        <f>Z13</f>
        <v>GR%</v>
      </c>
      <c r="U13" s="143"/>
      <c r="V13" s="144">
        <f ca="1">IFERROR(($R$9/SUM(OFFSET(E7,,1,1,Summary!$D$3))-1),"")</f>
        <v>2.7439024390243816E-2</v>
      </c>
      <c r="W13" s="145">
        <f ca="1">((R8-R9)/(R7-SUM(OFFSET(E7,0,1,1,Summary!$D$3))))-1</f>
        <v>0.80596895678793246</v>
      </c>
      <c r="X13" s="146">
        <f ca="1">IFERROR(W13-V13,"")</f>
        <v>0.77852993239768864</v>
      </c>
      <c r="Y13" s="138"/>
      <c r="Z13" s="147" t="s">
        <v>17</v>
      </c>
      <c r="AA13" s="148"/>
      <c r="AB13" s="144">
        <f ca="1">IFERROR(R16/SUM(OFFSET(E14,0,1,1,Summary!$D$3))-1,"")</f>
        <v>-0.15146710646867056</v>
      </c>
      <c r="AC13" s="146">
        <f ca="1">IFERROR((R15-R16)/(R14-SUM(OFFSET(E14,0,1,1,Summary!$D$3)))-1,"")</f>
        <v>0.18677700725565471</v>
      </c>
      <c r="AD13" s="149">
        <f ca="1">IFERROR(AC13-AB13,"")</f>
        <v>0.33824411372432528</v>
      </c>
      <c r="AE13" s="98"/>
      <c r="AF13" s="98"/>
      <c r="AG13" s="150"/>
      <c r="AH13" s="141" t="s">
        <v>91</v>
      </c>
      <c r="AI13" s="84"/>
      <c r="AJ13" s="84"/>
      <c r="AW13" s="16">
        <f t="shared" ref="AW13:BR13" si="9">AV13+1</f>
        <v>1</v>
      </c>
      <c r="AX13" s="16">
        <f t="shared" si="9"/>
        <v>2</v>
      </c>
      <c r="AY13" s="16">
        <f t="shared" si="9"/>
        <v>3</v>
      </c>
      <c r="AZ13" s="16">
        <f t="shared" si="9"/>
        <v>4</v>
      </c>
      <c r="BA13" s="16">
        <f t="shared" si="9"/>
        <v>5</v>
      </c>
      <c r="BB13" s="16">
        <f t="shared" si="9"/>
        <v>6</v>
      </c>
      <c r="BC13" s="16">
        <f t="shared" si="9"/>
        <v>7</v>
      </c>
      <c r="BD13" s="16">
        <f t="shared" si="9"/>
        <v>8</v>
      </c>
      <c r="BE13" s="16">
        <f t="shared" si="9"/>
        <v>9</v>
      </c>
      <c r="BF13" s="16">
        <f t="shared" si="9"/>
        <v>10</v>
      </c>
      <c r="BG13" s="16">
        <f t="shared" si="9"/>
        <v>11</v>
      </c>
      <c r="BH13" s="16">
        <f t="shared" si="9"/>
        <v>12</v>
      </c>
      <c r="BI13" s="16">
        <f t="shared" si="9"/>
        <v>13</v>
      </c>
      <c r="BJ13" s="16">
        <f t="shared" si="9"/>
        <v>14</v>
      </c>
      <c r="BK13" s="16">
        <f t="shared" si="9"/>
        <v>15</v>
      </c>
      <c r="BL13" s="16">
        <f t="shared" si="9"/>
        <v>16</v>
      </c>
      <c r="BM13" s="16">
        <f t="shared" si="9"/>
        <v>17</v>
      </c>
      <c r="BN13" s="16">
        <f t="shared" si="9"/>
        <v>18</v>
      </c>
      <c r="BO13" s="16">
        <f t="shared" si="9"/>
        <v>19</v>
      </c>
      <c r="BP13" s="16">
        <f t="shared" si="9"/>
        <v>20</v>
      </c>
      <c r="BQ13" s="16">
        <f t="shared" si="9"/>
        <v>21</v>
      </c>
      <c r="BR13" s="16">
        <f t="shared" si="9"/>
        <v>22</v>
      </c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</row>
    <row r="14" spans="1:83" ht="13.5" customHeight="1" x14ac:dyDescent="0.2">
      <c r="A14" s="100">
        <f>Summary!$C$2-1</f>
        <v>2019</v>
      </c>
      <c r="B14" s="101" t="str">
        <f>Mapping!$B$2</f>
        <v>Actual</v>
      </c>
      <c r="E14" s="102" t="str">
        <f>A14&amp;" "&amp;B14</f>
        <v>2019 Actual</v>
      </c>
      <c r="F14" s="142">
        <f>SUMIFS('Sales Data'!$E:$E,'Sales Data'!$A:$A,$E$2,'Sales Data'!$B:$B,F$12&amp;" "&amp;$A14,'Sales Data'!$C:$C,"Periodic")/1000</f>
        <v>450.49034758227958</v>
      </c>
      <c r="G14" s="142">
        <f>SUMIFS('Sales Data'!$E:$E,'Sales Data'!$A:$A,$E$2,'Sales Data'!$B:$B,G$12&amp;" "&amp;$A14,'Sales Data'!$C:$C,"Periodic")/1000</f>
        <v>418.08676739741873</v>
      </c>
      <c r="H14" s="142">
        <f>SUMIFS('Sales Data'!$E:$E,'Sales Data'!$A:$A,$E$2,'Sales Data'!$B:$B,H$12&amp;" "&amp;$A14,'Sales Data'!$C:$C,"Periodic")/1000</f>
        <v>363.19782962765345</v>
      </c>
      <c r="I14" s="142">
        <f>SUMIFS('Sales Data'!$E:$E,'Sales Data'!$A:$A,$E$2,'Sales Data'!$B:$B,I$12&amp;" "&amp;$A14,'Sales Data'!$C:$C,"Periodic")/1000</f>
        <v>589.79345417409127</v>
      </c>
      <c r="J14" s="142">
        <f>SUMIFS('Sales Data'!$E:$E,'Sales Data'!$A:$A,$E$2,'Sales Data'!$B:$B,J$12&amp;" "&amp;$A14,'Sales Data'!$C:$C,"Periodic")/1000</f>
        <v>473.90503862800011</v>
      </c>
      <c r="K14" s="142">
        <f>SUMIFS('Sales Data'!$E:$E,'Sales Data'!$A:$A,$E$2,'Sales Data'!$B:$B,K$12&amp;" "&amp;$A14,'Sales Data'!$C:$C,"Periodic")/1000</f>
        <v>550.86070067254582</v>
      </c>
      <c r="L14" s="142">
        <f>SUMIFS('Sales Data'!$E:$E,'Sales Data'!$A:$A,$E$2,'Sales Data'!$B:$B,L$12&amp;" "&amp;$A14,'Sales Data'!$C:$C,"Periodic")/1000</f>
        <v>445.98745644892921</v>
      </c>
      <c r="M14" s="142">
        <f>SUMIFS('Sales Data'!$E:$E,'Sales Data'!$A:$A,$E$2,'Sales Data'!$B:$B,M$12&amp;" "&amp;$A14,'Sales Data'!$C:$C,"Periodic")/1000</f>
        <v>508.46155316924569</v>
      </c>
      <c r="N14" s="142">
        <f>SUMIFS('Sales Data'!$E:$E,'Sales Data'!$A:$A,$E$2,'Sales Data'!$B:$B,N$12&amp;" "&amp;$A14,'Sales Data'!$C:$C,"Periodic")/1000</f>
        <v>424.09441453268971</v>
      </c>
      <c r="O14" s="142">
        <f>SUMIFS('Sales Data'!$E:$E,'Sales Data'!$A:$A,$E$2,'Sales Data'!$B:$B,O$12&amp;" "&amp;$A14,'Sales Data'!$C:$C,"Periodic")/1000</f>
        <v>633.17249457973378</v>
      </c>
      <c r="P14" s="142">
        <f>SUMIFS('Sales Data'!$E:$E,'Sales Data'!$A:$A,$E$2,'Sales Data'!$B:$B,P$12&amp;" "&amp;$A14,'Sales Data'!$C:$C,"Periodic")/1000</f>
        <v>700.03736602136826</v>
      </c>
      <c r="Q14" s="142">
        <f>SUMIFS('Sales Data'!$E:$E,'Sales Data'!$A:$A,$E$2,'Sales Data'!$B:$B,Q$12&amp;" "&amp;$A14,'Sales Data'!$C:$C,"Periodic")/1000</f>
        <v>383.17003717080217</v>
      </c>
      <c r="R14" s="104">
        <f t="shared" ref="R14:R17" si="10">SUM(F14:Q14)</f>
        <v>5941.2574600047583</v>
      </c>
      <c r="T14" s="151" t="s">
        <v>87</v>
      </c>
      <c r="U14" s="152"/>
      <c r="V14" s="153">
        <f>IFERROR(R9/Summary!$D$3,"")</f>
        <v>385.14285714285717</v>
      </c>
      <c r="W14" s="154">
        <f>IFERROR((R8-R9)/Summary!$E$3,"")</f>
        <v>814.13080572000001</v>
      </c>
      <c r="X14" s="155">
        <f>IFERROR(W14-V14,"")</f>
        <v>428.98794857714284</v>
      </c>
      <c r="Y14" s="76"/>
      <c r="Z14" s="156" t="s">
        <v>18</v>
      </c>
      <c r="AA14" s="154"/>
      <c r="AB14" s="153">
        <f>R16/Summary!$D$3</f>
        <v>399.09188129185719</v>
      </c>
      <c r="AC14" s="154">
        <f>IFERROR((R15-R16)/Summary!$E$3,"")</f>
        <v>628.73923576784227</v>
      </c>
      <c r="AD14" s="157">
        <f>IFERROR(AC14-AB14,"")</f>
        <v>229.64735447598508</v>
      </c>
      <c r="AE14" s="33"/>
      <c r="AF14" s="33"/>
      <c r="AG14" s="158" t="s">
        <v>54</v>
      </c>
      <c r="AH14" s="159"/>
      <c r="AI14" s="84"/>
      <c r="AJ14" s="84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</row>
    <row r="15" spans="1:83" ht="13.5" customHeight="1" x14ac:dyDescent="0.2">
      <c r="A15" s="100">
        <f>Summary!$C$2</f>
        <v>2020</v>
      </c>
      <c r="B15" s="101" t="str">
        <f>Mapping!$B$3</f>
        <v>Budget</v>
      </c>
      <c r="E15" s="118" t="str">
        <f>A15&amp;" "&amp;B15</f>
        <v>2020 Budget</v>
      </c>
      <c r="F15" s="119">
        <f>SUMIFS('Sales Data'!$D:$D,'Sales Data'!$A:$A,$E$2,'Sales Data'!$B:$B,F$12&amp;" "&amp;$A15,'Sales Data'!$C:$C,"Periodic")/1000</f>
        <v>510.53315585713494</v>
      </c>
      <c r="G15" s="119">
        <f>SUMIFS('Sales Data'!$D:$D,'Sales Data'!$A:$A,$E$2,'Sales Data'!$B:$B,G$12&amp;" "&amp;$A15,'Sales Data'!$C:$C,"Periodic")/1000</f>
        <v>512.81952569877456</v>
      </c>
      <c r="H15" s="119">
        <f>SUMIFS('Sales Data'!$D:$D,'Sales Data'!$A:$A,$E$2,'Sales Data'!$B:$B,H$12&amp;" "&amp;$A15,'Sales Data'!$C:$C,"Periodic")/1000</f>
        <v>480.2391672672897</v>
      </c>
      <c r="I15" s="119">
        <f>SUMIFS('Sales Data'!$D:$D,'Sales Data'!$A:$A,$E$2,'Sales Data'!$B:$B,I$12&amp;" "&amp;$A15,'Sales Data'!$C:$C,"Periodic")/1000</f>
        <v>523.32731507337894</v>
      </c>
      <c r="J15" s="119">
        <f>SUMIFS('Sales Data'!$D:$D,'Sales Data'!$A:$A,$E$2,'Sales Data'!$B:$B,J$12&amp;" "&amp;$A15,'Sales Data'!$C:$C,"Periodic")/1000</f>
        <v>510.74623835263452</v>
      </c>
      <c r="K15" s="119">
        <f>SUMIFS('Sales Data'!$D:$D,'Sales Data'!$A:$A,$E$2,'Sales Data'!$B:$B,K$12&amp;" "&amp;$A15,'Sales Data'!$C:$C,"Periodic")/1000</f>
        <v>526.30209818941967</v>
      </c>
      <c r="L15" s="119">
        <f>SUMIFS('Sales Data'!$D:$D,'Sales Data'!$A:$A,$E$2,'Sales Data'!$B:$B,L$12&amp;" "&amp;$A15,'Sales Data'!$C:$C,"Periodic")/1000</f>
        <v>451.00764205129218</v>
      </c>
      <c r="M15" s="119">
        <f>SUMIFS('Sales Data'!$D:$D,'Sales Data'!$A:$A,$E$2,'Sales Data'!$B:$B,M$12&amp;" "&amp;$A15,'Sales Data'!$C:$C,"Periodic")/1000</f>
        <v>491.98578134349322</v>
      </c>
      <c r="N15" s="119">
        <f>SUMIFS('Sales Data'!$D:$D,'Sales Data'!$A:$A,$E$2,'Sales Data'!$B:$B,N$12&amp;" "&amp;$A15,'Sales Data'!$C:$C,"Periodic")/1000</f>
        <v>456.19993660066439</v>
      </c>
      <c r="O15" s="119">
        <f>SUMIFS('Sales Data'!$D:$D,'Sales Data'!$A:$A,$E$2,'Sales Data'!$B:$B,O$12&amp;" "&amp;$A15,'Sales Data'!$C:$C,"Periodic")/1000</f>
        <v>500.8574860792931</v>
      </c>
      <c r="P15" s="119">
        <f>SUMIFS('Sales Data'!$D:$D,'Sales Data'!$A:$A,$E$2,'Sales Data'!$B:$B,P$12&amp;" "&amp;$A15,'Sales Data'!$C:$C,"Periodic")/1000</f>
        <v>516.25265694857467</v>
      </c>
      <c r="Q15" s="119">
        <f>SUMIFS('Sales Data'!$D:$D,'Sales Data'!$A:$A,$E$2,'Sales Data'!$B:$B,Q$12&amp;" "&amp;$A15,'Sales Data'!$C:$C,"Periodic")/1000</f>
        <v>457.06834442026269</v>
      </c>
      <c r="R15" s="120">
        <f t="shared" si="10"/>
        <v>5937.3393478822118</v>
      </c>
      <c r="S15" s="84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G15" s="160" t="s">
        <v>29</v>
      </c>
      <c r="AI15" s="141" t="str">
        <f>'Bridges for Trends'!Y4</f>
        <v>Jan 2018</v>
      </c>
      <c r="AJ15" s="141" t="str">
        <f>'Bridges for Trends'!X4</f>
        <v>Feb 2018</v>
      </c>
      <c r="AK15" s="141" t="str">
        <f>'Bridges for Trends'!W4</f>
        <v>Mar 2018</v>
      </c>
      <c r="AL15" s="141" t="str">
        <f>'Bridges for Trends'!V4</f>
        <v>Apr 2018</v>
      </c>
      <c r="AM15" s="141" t="str">
        <f>'Bridges for Trends'!U4</f>
        <v>May 2018</v>
      </c>
      <c r="AN15" s="141" t="str">
        <f>'Bridges for Trends'!T4</f>
        <v>Jun 2018</v>
      </c>
      <c r="AO15" s="141" t="str">
        <f>'Bridges for Trends'!S4</f>
        <v>Jul 2018</v>
      </c>
      <c r="AP15" s="141" t="str">
        <f>'Bridges for Trends'!R4</f>
        <v>Aug 2018</v>
      </c>
      <c r="AQ15" s="141" t="str">
        <f>'Bridges for Trends'!Q4</f>
        <v>Sep 2018</v>
      </c>
      <c r="AR15" s="141" t="str">
        <f>'Bridges for Trends'!P4</f>
        <v>Oct 2018</v>
      </c>
      <c r="AS15" s="141" t="str">
        <f>'Bridges for Trends'!O4</f>
        <v>Nov 2018</v>
      </c>
      <c r="AT15" s="141" t="str">
        <f>'Bridges for Trends'!N4</f>
        <v>Dec 2018</v>
      </c>
      <c r="AU15" s="141" t="str">
        <f>'Bridges for Trends'!M4</f>
        <v>Jan 2019</v>
      </c>
      <c r="AV15" s="141" t="str">
        <f>'Bridges for Trends'!L4</f>
        <v>Feb 2019</v>
      </c>
      <c r="AW15" s="141" t="str">
        <f>'Bridges for Trends'!K4</f>
        <v>Mar 2019</v>
      </c>
      <c r="AX15" s="141" t="str">
        <f>'Bridges for Trends'!J4</f>
        <v>Apr 2019</v>
      </c>
      <c r="AY15" s="141" t="str">
        <f>'Bridges for Trends'!I4</f>
        <v>May 2019</v>
      </c>
      <c r="AZ15" s="141" t="str">
        <f>'Bridges for Trends'!H4</f>
        <v>Jun 2019</v>
      </c>
      <c r="BA15" s="141" t="str">
        <f>'Bridges for Trends'!G4</f>
        <v>Jul 2019</v>
      </c>
      <c r="BB15" s="141" t="str">
        <f>'Bridges for Trends'!F4</f>
        <v>Aug 2019</v>
      </c>
      <c r="BC15" s="141" t="str">
        <f>'Bridges for Trends'!E4</f>
        <v>Sep 2019</v>
      </c>
      <c r="BD15" s="141" t="str">
        <f>'Bridges for Trends'!D4</f>
        <v>Oct 2019</v>
      </c>
      <c r="BE15" s="141" t="str">
        <f>'Bridges for Trends'!C4</f>
        <v>Nov 2019</v>
      </c>
      <c r="BF15" s="141" t="str">
        <f>'Bridges for Trends'!B4</f>
        <v>Dec 2019</v>
      </c>
      <c r="BG15" s="141" t="str">
        <f>'Bridges for Trends'!A4</f>
        <v>Jan 2020</v>
      </c>
      <c r="BH15" s="141" t="str">
        <f>'Bridges for Trends'!A5</f>
        <v>Feb 2020</v>
      </c>
      <c r="BI15" s="141" t="str">
        <f>'Bridges for Trends'!A6</f>
        <v>Mar 2020</v>
      </c>
      <c r="BJ15" s="141" t="str">
        <f>'Bridges for Trends'!A7</f>
        <v>Apr 2020</v>
      </c>
      <c r="BK15" s="141" t="str">
        <f>'Bridges for Trends'!A8</f>
        <v>May 2020</v>
      </c>
      <c r="BL15" s="141" t="str">
        <f>'Bridges for Trends'!A9</f>
        <v>Jun 2020</v>
      </c>
      <c r="BM15" s="141" t="str">
        <f>'Bridges for Trends'!A10</f>
        <v>Jul 2020</v>
      </c>
      <c r="BN15" s="141" t="str">
        <f>'Bridges for Trends'!A11</f>
        <v>Aug 2020</v>
      </c>
      <c r="BO15" s="141" t="str">
        <f>'Bridges for Trends'!A12</f>
        <v>Sep 2020</v>
      </c>
      <c r="BP15" s="141" t="str">
        <f>'Bridges for Trends'!A13</f>
        <v>Oct 2020</v>
      </c>
      <c r="BQ15" s="141" t="str">
        <f>'Bridges for Trends'!A14</f>
        <v>Nov 2020</v>
      </c>
      <c r="BR15" s="141" t="str">
        <f>'Bridges for Trends'!A15</f>
        <v>Dec 2020</v>
      </c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</row>
    <row r="16" spans="1:83" ht="13.5" customHeight="1" x14ac:dyDescent="0.2">
      <c r="A16" s="100">
        <f>Summary!$C$2</f>
        <v>2020</v>
      </c>
      <c r="B16" s="101" t="str">
        <f>Mapping!$B$2</f>
        <v>Actual</v>
      </c>
      <c r="E16" s="102" t="str">
        <f>A16&amp;" "&amp;B16</f>
        <v>2020 Actual</v>
      </c>
      <c r="F16" s="161">
        <f>SUMIFS('Sales Data'!$E:$E,'Sales Data'!$A:$A,$E$2,'Sales Data'!$B:$B,F$12&amp;" "&amp;$A16,'Sales Data'!$C:$C,"Periodic")/1000</f>
        <v>448.48043121900002</v>
      </c>
      <c r="G16" s="161">
        <f>SUMIFS('Sales Data'!$E:$E,'Sales Data'!$A:$A,$E$2,'Sales Data'!$B:$B,G$12&amp;" "&amp;$A16,'Sales Data'!$C:$C,"Periodic")/1000</f>
        <v>404.02749370800007</v>
      </c>
      <c r="H16" s="161">
        <f>SUMIFS('Sales Data'!$E:$E,'Sales Data'!$A:$A,$E$2,'Sales Data'!$B:$B,H$12&amp;" "&amp;$A16,'Sales Data'!$C:$C,"Periodic")/1000</f>
        <v>362.43555380999999</v>
      </c>
      <c r="I16" s="161">
        <f>SUMIFS('Sales Data'!$E:$E,'Sales Data'!$A:$A,$E$2,'Sales Data'!$B:$B,I$12&amp;" "&amp;$A16,'Sales Data'!$C:$C,"Periodic")/1000</f>
        <v>309.66281012400003</v>
      </c>
      <c r="J16" s="161">
        <f>SUMIFS('Sales Data'!$E:$E,'Sales Data'!$A:$A,$E$2,'Sales Data'!$B:$B,J$12&amp;" "&amp;$A16,'Sales Data'!$C:$C,"Periodic")/1000</f>
        <v>462.26029832099994</v>
      </c>
      <c r="K16" s="161">
        <f>SUMIFS('Sales Data'!$E:$E,'Sales Data'!$A:$A,$E$2,'Sales Data'!$B:$B,K$12&amp;" "&amp;$A16,'Sales Data'!$C:$C,"Periodic")/1000</f>
        <v>484.914631101</v>
      </c>
      <c r="L16" s="161">
        <f>SUMIFS('Sales Data'!$E:$E,'Sales Data'!$A:$A,$E$2,'Sales Data'!$B:$B,L$12&amp;" "&amp;$A16,'Sales Data'!$C:$C,"Periodic")/1000</f>
        <v>321.86195075999996</v>
      </c>
      <c r="M16" s="161">
        <f>SUMIFS('Sales Data'!$E:$E,'Sales Data'!$A:$A,$E$2,'Sales Data'!$B:$B,M$12&amp;" "&amp;$A16,'Sales Data'!$C:$C,"Periodic")/1000</f>
        <v>0</v>
      </c>
      <c r="N16" s="161">
        <f>SUMIFS('Sales Data'!$E:$E,'Sales Data'!$A:$A,$E$2,'Sales Data'!$B:$B,N$12&amp;" "&amp;$A16,'Sales Data'!$C:$C,"Periodic")/1000</f>
        <v>0</v>
      </c>
      <c r="O16" s="161">
        <f>SUMIFS('Sales Data'!$E:$E,'Sales Data'!$A:$A,$E$2,'Sales Data'!$B:$B,O$12&amp;" "&amp;$A16,'Sales Data'!$C:$C,"Periodic")/1000</f>
        <v>0</v>
      </c>
      <c r="P16" s="161">
        <f>SUMIFS('Sales Data'!$E:$E,'Sales Data'!$A:$A,$E$2,'Sales Data'!$B:$B,P$12&amp;" "&amp;$A16,'Sales Data'!$C:$C,"Periodic")/1000</f>
        <v>0</v>
      </c>
      <c r="Q16" s="161">
        <f>SUMIFS('Sales Data'!$E:$E,'Sales Data'!$A:$A,$E$2,'Sales Data'!$B:$B,Q$12&amp;" "&amp;$A16,'Sales Data'!$C:$C,"Periodic")/1000</f>
        <v>0</v>
      </c>
      <c r="R16" s="122">
        <f t="shared" si="10"/>
        <v>2793.6431690430004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128"/>
      <c r="AF16" s="128"/>
      <c r="AG16" s="131"/>
      <c r="AH16" s="162" t="s">
        <v>0</v>
      </c>
      <c r="AI16" s="163">
        <f>SUMIFS('Units sold'!$E:$E,'Units sold'!$A:$A,$E$2,'Units sold'!$B:$B,AI$15,'Units sold'!$C:$C,"Periodic")</f>
        <v>188</v>
      </c>
      <c r="AJ16" s="163">
        <f>SUMIFS('Units sold'!$E:$E,'Units sold'!$A:$A,$E$2,'Units sold'!$B:$B,AJ$15,'Units sold'!$C:$C,"Periodic")</f>
        <v>224</v>
      </c>
      <c r="AK16" s="163">
        <f>SUMIFS('Units sold'!$E:$E,'Units sold'!$A:$A,$E$2,'Units sold'!$B:$B,AK$15,'Units sold'!$C:$C,"Periodic")</f>
        <v>328</v>
      </c>
      <c r="AL16" s="163">
        <f>SUMIFS('Units sold'!$E:$E,'Units sold'!$A:$A,$E$2,'Units sold'!$B:$B,AL$15,'Units sold'!$C:$C,"Periodic")</f>
        <v>268</v>
      </c>
      <c r="AM16" s="163">
        <f>SUMIFS('Units sold'!$E:$E,'Units sold'!$A:$A,$E$2,'Units sold'!$B:$B,AM$15,'Units sold'!$C:$C,"Periodic")</f>
        <v>340</v>
      </c>
      <c r="AN16" s="163">
        <f>SUMIFS('Units sold'!$E:$E,'Units sold'!$A:$A,$E$2,'Units sold'!$B:$B,AN$15,'Units sold'!$C:$C,"Periodic")</f>
        <v>256</v>
      </c>
      <c r="AO16" s="163">
        <f>SUMIFS('Units sold'!$E:$E,'Units sold'!$A:$A,$E$2,'Units sold'!$B:$B,AO$15,'Units sold'!$C:$C,"Periodic")</f>
        <v>256</v>
      </c>
      <c r="AP16" s="163">
        <f>SUMIFS('Units sold'!$E:$E,'Units sold'!$A:$A,$E$2,'Units sold'!$B:$B,AP$15,'Units sold'!$C:$C,"Periodic")</f>
        <v>274</v>
      </c>
      <c r="AQ16" s="163">
        <f>SUMIFS('Units sold'!$E:$E,'Units sold'!$A:$A,$E$2,'Units sold'!$B:$B,AQ$15,'Units sold'!$C:$C,"Periodic")</f>
        <v>340</v>
      </c>
      <c r="AR16" s="163">
        <f>SUMIFS('Units sold'!$E:$E,'Units sold'!$A:$A,$E$2,'Units sold'!$B:$B,AR$15,'Units sold'!$C:$C,"Periodic")</f>
        <v>354</v>
      </c>
      <c r="AS16" s="163">
        <f>SUMIFS('Units sold'!$E:$E,'Units sold'!$A:$A,$E$2,'Units sold'!$B:$B,AS$15,'Units sold'!$C:$C,"Periodic")</f>
        <v>382</v>
      </c>
      <c r="AT16" s="163">
        <f>SUMIFS('Units sold'!$E:$E,'Units sold'!$A:$A,$E$2,'Units sold'!$B:$B,AT$15,'Units sold'!$C:$C,"Periodic")</f>
        <v>410</v>
      </c>
      <c r="AU16" s="163">
        <f>SUMIFS('Units sold'!$E:$E,'Units sold'!$A:$A,$E$2,'Units sold'!$B:$B,AU$15,'Units sold'!$C:$C,"Periodic")</f>
        <v>376</v>
      </c>
      <c r="AV16" s="163">
        <f>SUMIFS('Units sold'!$E:$E,'Units sold'!$A:$A,$E$2,'Units sold'!$B:$B,AV$15,'Units sold'!$C:$C,"Periodic")</f>
        <v>324</v>
      </c>
      <c r="AW16" s="163">
        <f>SUMIFS('Units sold'!$E:$E,'Units sold'!$A:$A,$E$2,'Units sold'!$B:$B,AW$15,'Units sold'!$C:$C,"Periodic")</f>
        <v>312</v>
      </c>
      <c r="AX16" s="163">
        <f>SUMIFS('Units sold'!$E:$E,'Units sold'!$A:$A,$E$2,'Units sold'!$B:$B,AX$15,'Units sold'!$C:$C,"Periodic")</f>
        <v>406</v>
      </c>
      <c r="AY16" s="163">
        <f>SUMIFS('Units sold'!$E:$E,'Units sold'!$A:$A,$E$2,'Units sold'!$B:$B,AY$15,'Units sold'!$C:$C,"Periodic")</f>
        <v>358</v>
      </c>
      <c r="AZ16" s="163">
        <f>SUMIFS('Units sold'!$E:$E,'Units sold'!$A:$A,$E$2,'Units sold'!$B:$B,AZ$15,'Units sold'!$C:$C,"Periodic")</f>
        <v>456</v>
      </c>
      <c r="BA16" s="163">
        <f>SUMIFS('Units sold'!$E:$E,'Units sold'!$A:$A,$E$2,'Units sold'!$B:$B,BA$15,'Units sold'!$C:$C,"Periodic")</f>
        <v>392</v>
      </c>
      <c r="BB16" s="163">
        <f>SUMIFS('Units sold'!$E:$E,'Units sold'!$A:$A,$E$2,'Units sold'!$B:$B,BB$15,'Units sold'!$C:$C,"Periodic")</f>
        <v>412</v>
      </c>
      <c r="BC16" s="163">
        <f>SUMIFS('Units sold'!$E:$E,'Units sold'!$A:$A,$E$2,'Units sold'!$B:$B,BC$15,'Units sold'!$C:$C,"Periodic")</f>
        <v>412</v>
      </c>
      <c r="BD16" s="163">
        <f>SUMIFS('Units sold'!$E:$E,'Units sold'!$A:$A,$E$2,'Units sold'!$B:$B,BD$15,'Units sold'!$C:$C,"Periodic")</f>
        <v>516</v>
      </c>
      <c r="BE16" s="163">
        <f>SUMIFS('Units sold'!$E:$E,'Units sold'!$A:$A,$E$2,'Units sold'!$B:$B,BE$15,'Units sold'!$C:$C,"Periodic")</f>
        <v>548</v>
      </c>
      <c r="BF16" s="163">
        <f>SUMIFS('Units sold'!$E:$E,'Units sold'!$A:$A,$E$2,'Units sold'!$B:$B,BF$15,'Units sold'!$C:$C,"Periodic")</f>
        <v>366</v>
      </c>
      <c r="BG16" s="163">
        <f>IF(OR(BG$8=1,BG$9=0),SUMIFS('Units sold'!$E:$E,'Units sold'!$A:$A,$E$2,'Units sold'!$B:$B,BG$15,'Units sold'!$C:$C,"Periodic"),"")</f>
        <v>396</v>
      </c>
      <c r="BH16" s="163">
        <f>IF(OR(BH$8=1,BH$9=0),SUMIFS('Units sold'!$E:$E,'Units sold'!$A:$A,$E$2,'Units sold'!$B:$B,BH$15,'Units sold'!$C:$C,"Periodic"),"")</f>
        <v>356</v>
      </c>
      <c r="BI16" s="163">
        <f>IF(OR(BI$8=1,BI$9=0),SUMIFS('Units sold'!$E:$E,'Units sold'!$A:$A,$E$2,'Units sold'!$B:$B,BI$15,'Units sold'!$C:$C,"Periodic"),"")</f>
        <v>414</v>
      </c>
      <c r="BJ16" s="163">
        <f>IF(OR(BJ$8=1,BJ$9=0),SUMIFS('Units sold'!$E:$E,'Units sold'!$A:$A,$E$2,'Units sold'!$B:$B,BJ$15,'Units sold'!$C:$C,"Periodic"),"")</f>
        <v>326</v>
      </c>
      <c r="BK16" s="163">
        <f>IF(OR(BK$8=1,BK$9=0),SUMIFS('Units sold'!$E:$E,'Units sold'!$A:$A,$E$2,'Units sold'!$B:$B,BK$15,'Units sold'!$C:$C,"Periodic"),"")</f>
        <v>366</v>
      </c>
      <c r="BL16" s="163">
        <f>IF(OR(BL$8=1,BL$9=0),SUMIFS('Units sold'!$E:$E,'Units sold'!$A:$A,$E$2,'Units sold'!$B:$B,BL$15,'Units sold'!$C:$C,"Periodic"),"")</f>
        <v>442</v>
      </c>
      <c r="BM16" s="163">
        <f>IF(OR(BM$8=1,BM$9=0),SUMIFS('Units sold'!$E:$E,'Units sold'!$A:$A,$E$2,'Units sold'!$B:$B,BM$15,'Units sold'!$C:$C,"Periodic"),"")</f>
        <v>396</v>
      </c>
      <c r="BN16" s="163" t="str">
        <f>IF(OR(BN$8=1,BN$9=0),SUMIFS('Units sold'!$E:$E,'Units sold'!$A:$A,$E$2,'Units sold'!$B:$B,BN$15,'Units sold'!$C:$C,"Periodic"),"")</f>
        <v/>
      </c>
      <c r="BO16" s="163" t="str">
        <f>IF(OR(BO$8=1,BO$9=0),SUMIFS('Units sold'!$E:$E,'Units sold'!$A:$A,$E$2,'Units sold'!$B:$B,BO$15,'Units sold'!$C:$C,"Periodic"),"")</f>
        <v/>
      </c>
      <c r="BP16" s="163" t="str">
        <f>IF(OR(BP$8=1,BP$9=0),SUMIFS('Units sold'!$E:$E,'Units sold'!$A:$A,$E$2,'Units sold'!$B:$B,BP$15,'Units sold'!$C:$C,"Periodic"),"")</f>
        <v/>
      </c>
      <c r="BQ16" s="163" t="str">
        <f>IF(OR(BQ$8=1,BQ$9=0),SUMIFS('Units sold'!$E:$E,'Units sold'!$A:$A,$E$2,'Units sold'!$B:$B,BQ$15,'Units sold'!$C:$C,"Periodic"),"")</f>
        <v/>
      </c>
      <c r="BR16" s="163" t="str">
        <f>IF(OR(BR$8=1,BR$9=0),SUMIFS('Units sold'!$E:$E,'Units sold'!$A:$A,$E$2,'Units sold'!$B:$B,BR$15,'Units sold'!$C:$C,"Periodic"),"")</f>
        <v/>
      </c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</row>
    <row r="17" spans="1:83" s="84" customFormat="1" x14ac:dyDescent="0.2">
      <c r="A17" s="1"/>
      <c r="B17" s="1"/>
      <c r="C17" s="1"/>
      <c r="D17" s="1"/>
      <c r="E17" s="102" t="s">
        <v>34</v>
      </c>
      <c r="F17" s="161">
        <f t="shared" ref="F17:Q17" si="11">IF(F16&lt;&gt;0,F16,F15)</f>
        <v>448.48043121900002</v>
      </c>
      <c r="G17" s="161">
        <f t="shared" si="11"/>
        <v>404.02749370800007</v>
      </c>
      <c r="H17" s="161">
        <f t="shared" si="11"/>
        <v>362.43555380999999</v>
      </c>
      <c r="I17" s="161">
        <f t="shared" si="11"/>
        <v>309.66281012400003</v>
      </c>
      <c r="J17" s="161">
        <f t="shared" si="11"/>
        <v>462.26029832099994</v>
      </c>
      <c r="K17" s="161">
        <f t="shared" si="11"/>
        <v>484.914631101</v>
      </c>
      <c r="L17" s="161">
        <f t="shared" si="11"/>
        <v>321.86195075999996</v>
      </c>
      <c r="M17" s="161">
        <f t="shared" si="11"/>
        <v>491.98578134349322</v>
      </c>
      <c r="N17" s="161">
        <f t="shared" si="11"/>
        <v>456.19993660066439</v>
      </c>
      <c r="O17" s="161">
        <f t="shared" si="11"/>
        <v>500.8574860792931</v>
      </c>
      <c r="P17" s="161">
        <f t="shared" si="11"/>
        <v>516.25265694857467</v>
      </c>
      <c r="Q17" s="161">
        <f t="shared" si="11"/>
        <v>457.06834442026269</v>
      </c>
      <c r="R17" s="122">
        <f t="shared" si="10"/>
        <v>5216.0073744352876</v>
      </c>
      <c r="T17" s="135" t="s">
        <v>54</v>
      </c>
      <c r="U17" s="164" t="str">
        <f>AA17</f>
        <v>Q1</v>
      </c>
      <c r="V17" s="164" t="str">
        <f t="shared" ref="V17:X17" si="12">AB17</f>
        <v>Q2</v>
      </c>
      <c r="W17" s="164" t="str">
        <f t="shared" si="12"/>
        <v>Q3</v>
      </c>
      <c r="X17" s="136" t="str">
        <f t="shared" si="12"/>
        <v>Q4</v>
      </c>
      <c r="Y17" s="76"/>
      <c r="Z17" s="135" t="s">
        <v>82</v>
      </c>
      <c r="AA17" s="164" t="s">
        <v>21</v>
      </c>
      <c r="AB17" s="164" t="s">
        <v>22</v>
      </c>
      <c r="AC17" s="164" t="s">
        <v>23</v>
      </c>
      <c r="AD17" s="136" t="s">
        <v>24</v>
      </c>
      <c r="AE17" s="165"/>
      <c r="AF17" s="165"/>
      <c r="AG17" s="131"/>
      <c r="AH17" s="166" t="s">
        <v>1</v>
      </c>
      <c r="BG17" s="163" t="str">
        <f>IF(OR(BG$8=1,BG$9=1),SUMIFS('Units sold'!$D:$D,'Units sold'!$A:$A,$E$2,'Units sold'!$B:$B,BG$15,'Units sold'!$C:$C,"Periodic"),"")</f>
        <v/>
      </c>
      <c r="BH17" s="163" t="str">
        <f>IF(OR(BH$8=1,BH$9=1),SUMIFS('Units sold'!$D:$D,'Units sold'!$A:$A,$E$2,'Units sold'!$B:$B,BH$15,'Units sold'!$C:$C,"Periodic"),"")</f>
        <v/>
      </c>
      <c r="BI17" s="163" t="str">
        <f>IF(OR(BI$8=1,BI$9=1),SUMIFS('Units sold'!$D:$D,'Units sold'!$A:$A,$E$2,'Units sold'!$B:$B,BI$15,'Units sold'!$C:$C,"Periodic"),"")</f>
        <v/>
      </c>
      <c r="BJ17" s="163" t="str">
        <f>IF(OR(BJ$8=1,BJ$9=1),SUMIFS('Units sold'!$D:$D,'Units sold'!$A:$A,$E$2,'Units sold'!$B:$B,BJ$15,'Units sold'!$C:$C,"Periodic"),"")</f>
        <v/>
      </c>
      <c r="BK17" s="163" t="str">
        <f>IF(OR(BK$8=1,BK$9=1),SUMIFS('Units sold'!$D:$D,'Units sold'!$A:$A,$E$2,'Units sold'!$B:$B,BK$15,'Units sold'!$C:$C,"Periodic"),"")</f>
        <v/>
      </c>
      <c r="BL17" s="163" t="str">
        <f>IF(OR(BL$8=1,BL$9=1),SUMIFS('Units sold'!$D:$D,'Units sold'!$A:$A,$E$2,'Units sold'!$B:$B,BL$15,'Units sold'!$C:$C,"Periodic"),"")</f>
        <v/>
      </c>
      <c r="BM17" s="163">
        <f>IF(OR(BM$8=1,BM$9=1),SUMIFS('Units sold'!$D:$D,'Units sold'!$A:$A,$E$2,'Units sold'!$B:$B,BM$15,'Units sold'!$C:$C,"Periodic"),"")</f>
        <v>586.56549480000001</v>
      </c>
      <c r="BN17" s="163">
        <f>IF(OR(BN$8=1,BN$9=1),SUMIFS('Units sold'!$D:$D,'Units sold'!$A:$A,$E$2,'Units sold'!$B:$B,BN$15,'Units sold'!$C:$C,"Periodic"),"")</f>
        <v>610.84170900000004</v>
      </c>
      <c r="BO17" s="163">
        <f>IF(OR(BO$8=1,BO$9=1),SUMIFS('Units sold'!$D:$D,'Units sold'!$A:$A,$E$2,'Units sold'!$B:$B,BO$15,'Units sold'!$C:$C,"Periodic"),"")</f>
        <v>549.23390259999996</v>
      </c>
      <c r="BP17" s="163">
        <f>IF(OR(BP$8=1,BP$9=1),SUMIFS('Units sold'!$D:$D,'Units sold'!$A:$A,$E$2,'Units sold'!$B:$B,BP$15,'Units sold'!$C:$C,"Periodic"),"")</f>
        <v>592.85767999999996</v>
      </c>
      <c r="BQ17" s="163">
        <f>IF(OR(BQ$8=1,BQ$9=1),SUMIFS('Units sold'!$D:$D,'Units sold'!$A:$A,$E$2,'Units sold'!$B:$B,BQ$15,'Units sold'!$C:$C,"Periodic"),"")</f>
        <v>632.45291420000001</v>
      </c>
      <c r="BR17" s="163">
        <f>IF(OR(BR$8=1,BR$9=1),SUMIFS('Units sold'!$D:$D,'Units sold'!$A:$A,$E$2,'Units sold'!$B:$B,BR$15,'Units sold'!$C:$C,"Periodic"),"")</f>
        <v>575.03393899999992</v>
      </c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</row>
    <row r="18" spans="1:83" s="84" customFormat="1" x14ac:dyDescent="0.2">
      <c r="A18" s="1"/>
      <c r="B18" s="1"/>
      <c r="C18" s="1"/>
      <c r="D18" s="1"/>
      <c r="E18" s="167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T18" s="106" t="str">
        <f>E6</f>
        <v>2018 Actual</v>
      </c>
      <c r="U18" s="168">
        <f>SUM(F6:H6)</f>
        <v>740</v>
      </c>
      <c r="V18" s="168">
        <f>SUM(I6:K6)</f>
        <v>864</v>
      </c>
      <c r="W18" s="168">
        <f>SUM(L6:N6)</f>
        <v>870</v>
      </c>
      <c r="X18" s="169">
        <f>SUM(O6:Q6)</f>
        <v>1146</v>
      </c>
      <c r="Y18" s="165"/>
      <c r="Z18" s="106" t="str">
        <f>+E13</f>
        <v>2018 Actual</v>
      </c>
      <c r="AA18" s="168">
        <f>SUM(F13:H13)</f>
        <v>1068.4078258049999</v>
      </c>
      <c r="AB18" s="168">
        <f>SUM(I13:K13)</f>
        <v>1182.199955325</v>
      </c>
      <c r="AC18" s="168">
        <f>SUM(L13:N13)</f>
        <v>1217.7460297710002</v>
      </c>
      <c r="AD18" s="169">
        <f>SUM(O13:Q13)</f>
        <v>1277.052499854</v>
      </c>
      <c r="AE18" s="165"/>
      <c r="AF18" s="165"/>
      <c r="AG18" s="170"/>
      <c r="AH18" s="171" t="s">
        <v>26</v>
      </c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3"/>
      <c r="BA18" s="173"/>
      <c r="BB18" s="173"/>
      <c r="BC18" s="173"/>
      <c r="BD18" s="173"/>
      <c r="BE18" s="173"/>
      <c r="BF18" s="173"/>
      <c r="BG18" s="174" t="str">
        <f>IF(BG$9,FORECAST(BG12,$AP16:BF16,$AP12:BF12), "")</f>
        <v/>
      </c>
      <c r="BH18" s="174" t="str">
        <f>IF(BH$9,FORECAST(BH12,$AP16:BG16,$AP12:BG12), "")</f>
        <v/>
      </c>
      <c r="BI18" s="174" t="str">
        <f>IF(BI$9,FORECAST(BI12,$AP16:BH16,$AP12:BH12), "")</f>
        <v/>
      </c>
      <c r="BJ18" s="174" t="str">
        <f>IF(BJ$9,FORECAST(BJ12,$AP16:BI16,$AP12:BI12), "")</f>
        <v/>
      </c>
      <c r="BK18" s="174" t="str">
        <f>IF(BK$9,FORECAST(BK12,$AP16:BJ16,$AP12:BJ12), "")</f>
        <v/>
      </c>
      <c r="BL18" s="174" t="str">
        <f>IF(BL$9,FORECAST(BL12,$AP16:BK16,$AP12:BK12), "")</f>
        <v/>
      </c>
      <c r="BM18" s="174" t="str">
        <f>IF(BM$9,FORECAST(BM12,$AP16:BL16,$AP12:BL12), "")</f>
        <v/>
      </c>
      <c r="BN18" s="174">
        <f>IF(BN$9,FORECAST(BN12,$AP16:BM16,$AP12:BM12), "")</f>
        <v>358.87272727272733</v>
      </c>
      <c r="BO18" s="174">
        <f>IF(BO$9,FORECAST(BO12,$AP16:BN16,$AP12:BN12), "")</f>
        <v>349.92727272727279</v>
      </c>
      <c r="BP18" s="174">
        <f>IF(BP$9,FORECAST(BP12,$AP16:BO16,$AP12:BO12), "")</f>
        <v>340.98181818181826</v>
      </c>
      <c r="BQ18" s="174">
        <f>IF(BQ$9,FORECAST(BQ12,$AP16:BP16,$AP12:BP12), "")</f>
        <v>332.03636363636372</v>
      </c>
      <c r="BR18" s="174">
        <f>IF(BR$9,FORECAST(BR12,$AP16:BQ16,$AP12:BQ12), "")</f>
        <v>323.09090909090912</v>
      </c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</row>
    <row r="19" spans="1:83" s="84" customFormat="1" ht="15.75" x14ac:dyDescent="0.2">
      <c r="A19" s="1"/>
      <c r="B19" s="1"/>
      <c r="C19" s="1"/>
      <c r="D19" s="1"/>
      <c r="E19" s="91" t="s">
        <v>99</v>
      </c>
      <c r="F19" s="90" t="str">
        <f t="shared" ref="F19:Q19" si="13">F$5</f>
        <v>Jan</v>
      </c>
      <c r="G19" s="90" t="str">
        <f t="shared" si="13"/>
        <v>Feb</v>
      </c>
      <c r="H19" s="90" t="str">
        <f t="shared" si="13"/>
        <v>Mar</v>
      </c>
      <c r="I19" s="90" t="str">
        <f t="shared" si="13"/>
        <v>Apr</v>
      </c>
      <c r="J19" s="90" t="str">
        <f t="shared" si="13"/>
        <v>May</v>
      </c>
      <c r="K19" s="90" t="str">
        <f t="shared" si="13"/>
        <v>Jun</v>
      </c>
      <c r="L19" s="90" t="str">
        <f t="shared" si="13"/>
        <v>Jul</v>
      </c>
      <c r="M19" s="90" t="str">
        <f t="shared" si="13"/>
        <v>Aug</v>
      </c>
      <c r="N19" s="90" t="str">
        <f t="shared" si="13"/>
        <v>Sep</v>
      </c>
      <c r="O19" s="90" t="str">
        <f t="shared" si="13"/>
        <v>Oct</v>
      </c>
      <c r="P19" s="90" t="str">
        <f t="shared" si="13"/>
        <v>Nov</v>
      </c>
      <c r="Q19" s="90" t="str">
        <f t="shared" si="13"/>
        <v>Dec</v>
      </c>
      <c r="R19" s="91" t="s">
        <v>14</v>
      </c>
      <c r="T19" s="112" t="str">
        <f>E7</f>
        <v>2019 Actual</v>
      </c>
      <c r="U19" s="150">
        <f>SUM(F7:H7)</f>
        <v>1012</v>
      </c>
      <c r="V19" s="150">
        <f>SUM(I7:K7)</f>
        <v>1220</v>
      </c>
      <c r="W19" s="150">
        <f>SUM(L7:N7)</f>
        <v>1216</v>
      </c>
      <c r="X19" s="143">
        <f>SUM(O7:Q7)</f>
        <v>1430</v>
      </c>
      <c r="Y19" s="165"/>
      <c r="Z19" s="112" t="str">
        <f>+E14</f>
        <v>2019 Actual</v>
      </c>
      <c r="AA19" s="150">
        <f>SUM(F14:H14)</f>
        <v>1231.7749446073517</v>
      </c>
      <c r="AB19" s="150">
        <f>SUM(I14:K14)</f>
        <v>1614.5591934746371</v>
      </c>
      <c r="AC19" s="150">
        <f>SUM(L14:N14)</f>
        <v>1378.5434241508647</v>
      </c>
      <c r="AD19" s="143">
        <f>SUM(O14:Q14)</f>
        <v>1716.3798977719043</v>
      </c>
      <c r="AE19" s="165"/>
      <c r="AF19" s="165"/>
      <c r="AG19" s="175"/>
      <c r="AH19" s="171" t="s">
        <v>90</v>
      </c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3"/>
      <c r="AZ19" s="173"/>
      <c r="BA19" s="173"/>
      <c r="BB19" s="173"/>
      <c r="BC19" s="173"/>
      <c r="BD19" s="173"/>
      <c r="BE19" s="173"/>
      <c r="BF19" s="173"/>
      <c r="BG19" s="174" t="str">
        <f>IF(BG$9,FORECAST(BG13,$AP16:BF16,$AP13:BF13), "")</f>
        <v/>
      </c>
      <c r="BH19" s="174" t="str">
        <f>IF(BH$9,FORECAST(BH13,$AP16:BG16,$AP13:BG13), "")</f>
        <v/>
      </c>
      <c r="BI19" s="174" t="str">
        <f>IF(BI$9,FORECAST(BI13,$AP16:BH16,$AP13:BH13), "")</f>
        <v/>
      </c>
      <c r="BJ19" s="174" t="str">
        <f>IF(BJ$9,FORECAST(BJ13,$AP16:BI16,$AP13:BI13), "")</f>
        <v/>
      </c>
      <c r="BK19" s="174" t="str">
        <f>IF(BK$9,FORECAST(BK13,$AP16:BJ16,$AP13:BJ13), "")</f>
        <v/>
      </c>
      <c r="BL19" s="174" t="str">
        <f>IF(BL$9,FORECAST(BL13,$AP16:BK16,$AP13:BK13), "")</f>
        <v/>
      </c>
      <c r="BM19" s="174" t="str">
        <f>IF(BM$9,FORECAST(BM13,$AP16:BL16,$AP13:BL13), "")</f>
        <v/>
      </c>
      <c r="BN19" s="174">
        <f>IF(BN$9,FORECAST(BN13,$AP16:BM16,$AP13:BM13), "")</f>
        <v>405.6764705882353</v>
      </c>
      <c r="BO19" s="174">
        <f>IF(BO$9,FORECAST(BO13,$AP16:BN16,$AP13:BN13), "")</f>
        <v>405.82352941176475</v>
      </c>
      <c r="BP19" s="174">
        <f>IF(BP$9,FORECAST(BP13,$AP16:BO16,$AP13:BO13), "")</f>
        <v>405.97058823529414</v>
      </c>
      <c r="BQ19" s="174">
        <f>IF(BQ$9,FORECAST(BQ13,$AP16:BP16,$AP13:BP13), "")</f>
        <v>406.11764705882354</v>
      </c>
      <c r="BR19" s="174">
        <f>IF(BR$9,FORECAST(BR13,$AP16:BQ16,$AP13:BQ13), "")</f>
        <v>406.26470588235298</v>
      </c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</row>
    <row r="20" spans="1:83" s="84" customFormat="1" x14ac:dyDescent="0.2">
      <c r="A20" s="1"/>
      <c r="B20" s="1"/>
      <c r="C20" s="1"/>
      <c r="D20" s="1"/>
      <c r="E20" s="176" t="str">
        <f>+E13</f>
        <v>2018 Actual</v>
      </c>
      <c r="F20" s="177">
        <f t="shared" ref="F20:R20" si="14">IFERROR(F13/F6,"")</f>
        <v>1.4823639455585107</v>
      </c>
      <c r="G20" s="177">
        <f t="shared" si="14"/>
        <v>1.395765882160714</v>
      </c>
      <c r="H20" s="177">
        <f t="shared" si="14"/>
        <v>1.4544873366951221</v>
      </c>
      <c r="I20" s="177">
        <f t="shared" si="14"/>
        <v>1.2464309298134328</v>
      </c>
      <c r="J20" s="177">
        <f t="shared" si="14"/>
        <v>1.4592916939676472</v>
      </c>
      <c r="K20" s="177">
        <f t="shared" si="14"/>
        <v>1.3749894147890627</v>
      </c>
      <c r="L20" s="177">
        <f t="shared" si="14"/>
        <v>1.2876118884960939</v>
      </c>
      <c r="M20" s="177">
        <f t="shared" si="14"/>
        <v>1.2655935426788321</v>
      </c>
      <c r="N20" s="177">
        <f t="shared" si="14"/>
        <v>1.5921904577117649</v>
      </c>
      <c r="O20" s="177">
        <f t="shared" si="14"/>
        <v>1.0823515593898305</v>
      </c>
      <c r="P20" s="177">
        <f t="shared" si="14"/>
        <v>1.4020965746387435</v>
      </c>
      <c r="Q20" s="177">
        <f t="shared" si="14"/>
        <v>0.87390038126341452</v>
      </c>
      <c r="R20" s="178">
        <f t="shared" si="14"/>
        <v>1.3108857212030387</v>
      </c>
      <c r="T20" s="112" t="str">
        <f>E8</f>
        <v>2020 Budget</v>
      </c>
      <c r="U20" s="150">
        <f>SUM(F8:H8)</f>
        <v>1466.8820248000002</v>
      </c>
      <c r="V20" s="150">
        <f>SUM(I8:K8)</f>
        <v>1752.7863641999998</v>
      </c>
      <c r="W20" s="150">
        <f>SUM(L8:N8)</f>
        <v>1746.6411063999999</v>
      </c>
      <c r="X20" s="143">
        <f>SUM(O8:Q8)</f>
        <v>1800.3445331999999</v>
      </c>
      <c r="Y20" s="165"/>
      <c r="Z20" s="112" t="str">
        <f>+E15</f>
        <v>2020 Budget</v>
      </c>
      <c r="AA20" s="150">
        <f>SUM(F15:H15)</f>
        <v>1503.5918488231991</v>
      </c>
      <c r="AB20" s="150">
        <f>SUM(I15:K15)</f>
        <v>1560.3756516154331</v>
      </c>
      <c r="AC20" s="150">
        <f>SUM(L15:N15)</f>
        <v>1399.1933599954498</v>
      </c>
      <c r="AD20" s="143">
        <f>SUM(O15:Q15)</f>
        <v>1474.1784874481305</v>
      </c>
      <c r="AE20" s="165"/>
      <c r="AF20" s="165"/>
      <c r="AG20" s="131"/>
      <c r="AH20" s="166" t="s">
        <v>1</v>
      </c>
      <c r="AI20" s="179"/>
      <c r="AJ20" s="179"/>
      <c r="AK20" s="179"/>
      <c r="AL20" s="1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63">
        <f>SUMIFS('Units sold'!$D:$D,'Units sold'!$A:$A,$E$2,'Units sold'!$B:$B,BG$15,'Units sold'!$C:$C,"Periodic")</f>
        <v>520.49613280000005</v>
      </c>
      <c r="BH20" s="163">
        <f>SUMIFS('Units sold'!$D:$D,'Units sold'!$A:$A,$E$2,'Units sold'!$B:$B,BH$15,'Units sold'!$C:$C,"Periodic")</f>
        <v>484.69531219999999</v>
      </c>
      <c r="BI20" s="163">
        <f>SUMIFS('Units sold'!$D:$D,'Units sold'!$A:$A,$E$2,'Units sold'!$B:$B,BI$15,'Units sold'!$C:$C,"Periodic")</f>
        <v>461.69057980000002</v>
      </c>
      <c r="BJ20" s="163">
        <f>SUMIFS('Units sold'!$D:$D,'Units sold'!$A:$A,$E$2,'Units sold'!$B:$B,BJ$15,'Units sold'!$C:$C,"Periodic")</f>
        <v>599.5068035999999</v>
      </c>
      <c r="BK20" s="163">
        <f>SUMIFS('Units sold'!$D:$D,'Units sold'!$A:$A,$E$2,'Units sold'!$B:$B,BK$15,'Units sold'!$C:$C,"Periodic")</f>
        <v>534.14345460000004</v>
      </c>
      <c r="BL20" s="163">
        <f>SUMIFS('Units sold'!$D:$D,'Units sold'!$A:$A,$E$2,'Units sold'!$B:$B,BL$15,'Units sold'!$C:$C,"Periodic")</f>
        <v>619.13610599999993</v>
      </c>
      <c r="BM20" s="163">
        <f>SUMIFS('Units sold'!$D:$D,'Units sold'!$A:$A,$E$2,'Units sold'!$B:$B,BM$15,'Units sold'!$C:$C,"Periodic")</f>
        <v>586.56549480000001</v>
      </c>
      <c r="BN20" s="163">
        <f>SUMIFS('Units sold'!$D:$D,'Units sold'!$A:$A,$E$2,'Units sold'!$B:$B,BN$15,'Units sold'!$C:$C,"Periodic")</f>
        <v>610.84170900000004</v>
      </c>
      <c r="BO20" s="163">
        <f>SUMIFS('Units sold'!$D:$D,'Units sold'!$A:$A,$E$2,'Units sold'!$B:$B,BO$15,'Units sold'!$C:$C,"Periodic")</f>
        <v>549.23390259999996</v>
      </c>
      <c r="BP20" s="163">
        <f>SUMIFS('Units sold'!$D:$D,'Units sold'!$A:$A,$E$2,'Units sold'!$B:$B,BP$15,'Units sold'!$C:$C,"Periodic")</f>
        <v>592.85767999999996</v>
      </c>
      <c r="BQ20" s="163">
        <f>SUMIFS('Units sold'!$D:$D,'Units sold'!$A:$A,$E$2,'Units sold'!$B:$B,BQ$15,'Units sold'!$C:$C,"Periodic")</f>
        <v>632.45291420000001</v>
      </c>
      <c r="BR20" s="163">
        <f>SUMIFS('Units sold'!$D:$D,'Units sold'!$A:$A,$E$2,'Units sold'!$B:$B,BR$15,'Units sold'!$C:$C,"Periodic")</f>
        <v>575.03393899999992</v>
      </c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</row>
    <row r="21" spans="1:83" s="84" customFormat="1" x14ac:dyDescent="0.2">
      <c r="A21" s="1"/>
      <c r="B21" s="1"/>
      <c r="C21" s="1"/>
      <c r="D21" s="1"/>
      <c r="E21" s="176" t="str">
        <f>+E14</f>
        <v>2019 Actual</v>
      </c>
      <c r="F21" s="177">
        <f t="shared" ref="F21:R21" si="15">IFERROR(F14/F7,"")</f>
        <v>1.1981126265486159</v>
      </c>
      <c r="G21" s="177">
        <f t="shared" si="15"/>
        <v>1.2903912573994405</v>
      </c>
      <c r="H21" s="177">
        <f t="shared" si="15"/>
        <v>1.1640956077809406</v>
      </c>
      <c r="I21" s="177">
        <f t="shared" si="15"/>
        <v>1.4526932368819983</v>
      </c>
      <c r="J21" s="177">
        <f t="shared" si="15"/>
        <v>1.3237570911396652</v>
      </c>
      <c r="K21" s="177">
        <f t="shared" si="15"/>
        <v>1.2080278523520742</v>
      </c>
      <c r="L21" s="177">
        <f t="shared" si="15"/>
        <v>1.137723103186044</v>
      </c>
      <c r="M21" s="177">
        <f t="shared" si="15"/>
        <v>1.2341299834204993</v>
      </c>
      <c r="N21" s="177">
        <f t="shared" si="15"/>
        <v>1.029355375079344</v>
      </c>
      <c r="O21" s="177">
        <f t="shared" si="15"/>
        <v>1.2270784778677011</v>
      </c>
      <c r="P21" s="177">
        <f t="shared" si="15"/>
        <v>1.2774404489441027</v>
      </c>
      <c r="Q21" s="177">
        <f t="shared" si="15"/>
        <v>1.0469126698655797</v>
      </c>
      <c r="R21" s="178">
        <f t="shared" si="15"/>
        <v>1.2179699590005655</v>
      </c>
      <c r="T21" s="112" t="str">
        <f>E9</f>
        <v>2020 Actual</v>
      </c>
      <c r="U21" s="150">
        <f>SUM(F9:H9)</f>
        <v>1166</v>
      </c>
      <c r="V21" s="150">
        <f>SUM(I9:K9)</f>
        <v>1134</v>
      </c>
      <c r="W21" s="150">
        <f>SUM(L9:N9)</f>
        <v>396</v>
      </c>
      <c r="X21" s="143">
        <f>SUM(O9:Q9)</f>
        <v>0</v>
      </c>
      <c r="Y21" s="165"/>
      <c r="Z21" s="112" t="str">
        <f>+E16</f>
        <v>2020 Actual</v>
      </c>
      <c r="AA21" s="150">
        <f>SUM(F16:H16)</f>
        <v>1214.9434787370001</v>
      </c>
      <c r="AB21" s="150">
        <f>SUM(I16:K16)</f>
        <v>1256.837739546</v>
      </c>
      <c r="AC21" s="150">
        <f>SUM(L16:N16)</f>
        <v>321.86195075999996</v>
      </c>
      <c r="AD21" s="143">
        <f>SUM(O16:Q16)</f>
        <v>0</v>
      </c>
      <c r="AE21" s="131"/>
      <c r="AF21" s="131"/>
      <c r="AG21" s="131"/>
      <c r="AH21" s="181" t="s">
        <v>34</v>
      </c>
      <c r="AI21" s="131"/>
      <c r="AJ21" s="131"/>
      <c r="AK21" s="131"/>
      <c r="AL21" s="1"/>
      <c r="BD21" s="182"/>
      <c r="BE21" s="182"/>
      <c r="BF21" s="182"/>
      <c r="BG21" s="163" t="str">
        <f t="shared" ref="BG21:BR21" si="16">IF(OR(BG$8=1,BG$9=1),F10,"")</f>
        <v/>
      </c>
      <c r="BH21" s="163" t="str">
        <f t="shared" si="16"/>
        <v/>
      </c>
      <c r="BI21" s="163" t="str">
        <f t="shared" si="16"/>
        <v/>
      </c>
      <c r="BJ21" s="163" t="str">
        <f t="shared" si="16"/>
        <v/>
      </c>
      <c r="BK21" s="163" t="str">
        <f t="shared" si="16"/>
        <v/>
      </c>
      <c r="BL21" s="163" t="str">
        <f t="shared" si="16"/>
        <v/>
      </c>
      <c r="BM21" s="163">
        <f t="shared" si="16"/>
        <v>396</v>
      </c>
      <c r="BN21" s="163">
        <f t="shared" si="16"/>
        <v>474.78993781315012</v>
      </c>
      <c r="BO21" s="163">
        <f t="shared" si="16"/>
        <v>440.2548767517489</v>
      </c>
      <c r="BP21" s="163">
        <f t="shared" si="16"/>
        <v>483.35155950942055</v>
      </c>
      <c r="BQ21" s="163">
        <f t="shared" si="16"/>
        <v>498.20863972765102</v>
      </c>
      <c r="BR21" s="163">
        <f t="shared" si="16"/>
        <v>441.09293205801731</v>
      </c>
      <c r="BS21" s="180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</row>
    <row r="22" spans="1:83" s="84" customFormat="1" x14ac:dyDescent="0.2">
      <c r="A22" s="1"/>
      <c r="B22" s="1"/>
      <c r="C22" s="1"/>
      <c r="D22" s="1"/>
      <c r="E22" s="183" t="str">
        <f>+E15</f>
        <v>2020 Budget</v>
      </c>
      <c r="F22" s="184">
        <f t="shared" ref="F22:R22" si="17">IFERROR(F15/F8,"")</f>
        <v>0.98085869170771844</v>
      </c>
      <c r="G22" s="184">
        <f t="shared" si="17"/>
        <v>1.0580245213660529</v>
      </c>
      <c r="H22" s="184">
        <f t="shared" si="17"/>
        <v>1.0401753647980532</v>
      </c>
      <c r="I22" s="184">
        <f t="shared" si="17"/>
        <v>0.87292973479338676</v>
      </c>
      <c r="J22" s="184">
        <f t="shared" si="17"/>
        <v>0.95619675567327356</v>
      </c>
      <c r="K22" s="184">
        <f t="shared" si="17"/>
        <v>0.85005880466195871</v>
      </c>
      <c r="L22" s="184">
        <f t="shared" si="17"/>
        <v>0.76889562384686694</v>
      </c>
      <c r="M22" s="184">
        <f t="shared" si="17"/>
        <v>0.80542270459709753</v>
      </c>
      <c r="N22" s="184">
        <f t="shared" si="17"/>
        <v>0.83061139241600856</v>
      </c>
      <c r="O22" s="184">
        <f t="shared" si="17"/>
        <v>0.84481909061090876</v>
      </c>
      <c r="P22" s="184">
        <f t="shared" si="17"/>
        <v>0.81627050070848528</v>
      </c>
      <c r="Q22" s="184">
        <f t="shared" si="17"/>
        <v>0.79485455278538397</v>
      </c>
      <c r="R22" s="185">
        <f t="shared" si="17"/>
        <v>0.87744095128661825</v>
      </c>
      <c r="T22" s="151" t="s">
        <v>34</v>
      </c>
      <c r="U22" s="186">
        <f>SUM(F10:H10)</f>
        <v>1166</v>
      </c>
      <c r="V22" s="186">
        <f>SUM(I10:K10)</f>
        <v>1134</v>
      </c>
      <c r="W22" s="186">
        <f>SUM(L10:N10)</f>
        <v>1311.0448145648991</v>
      </c>
      <c r="X22" s="152">
        <f>SUM(O10:Q10)</f>
        <v>1422.653131295089</v>
      </c>
      <c r="Y22" s="131"/>
      <c r="Z22" s="151" t="s">
        <v>34</v>
      </c>
      <c r="AA22" s="186">
        <f>SUM(F17:H17)</f>
        <v>1214.9434787370001</v>
      </c>
      <c r="AB22" s="186">
        <f>SUM(I17:K17)</f>
        <v>1256.837739546</v>
      </c>
      <c r="AC22" s="186">
        <f>SUM(L17:N17)</f>
        <v>1270.0476687041576</v>
      </c>
      <c r="AD22" s="152">
        <f>SUM(O17:Q17)</f>
        <v>1474.1784874481305</v>
      </c>
      <c r="AE22" s="131"/>
      <c r="AF22" s="131"/>
      <c r="AG22" s="7" t="s">
        <v>30</v>
      </c>
      <c r="AH22" s="187" t="s">
        <v>26</v>
      </c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3"/>
      <c r="BA22" s="173"/>
      <c r="BB22" s="173"/>
      <c r="BC22" s="173"/>
      <c r="BD22" s="173"/>
      <c r="BE22" s="173"/>
      <c r="BF22" s="173"/>
      <c r="BG22" s="174">
        <f t="shared" ref="BG22:BR22" si="18">IF(BG18="",BG20,BG18)</f>
        <v>520.49613280000005</v>
      </c>
      <c r="BH22" s="174">
        <f t="shared" si="18"/>
        <v>484.69531219999999</v>
      </c>
      <c r="BI22" s="174">
        <f t="shared" si="18"/>
        <v>461.69057980000002</v>
      </c>
      <c r="BJ22" s="174">
        <f t="shared" si="18"/>
        <v>599.5068035999999</v>
      </c>
      <c r="BK22" s="174">
        <f t="shared" si="18"/>
        <v>534.14345460000004</v>
      </c>
      <c r="BL22" s="174">
        <f t="shared" si="18"/>
        <v>619.13610599999993</v>
      </c>
      <c r="BM22" s="174">
        <f t="shared" si="18"/>
        <v>586.56549480000001</v>
      </c>
      <c r="BN22" s="174">
        <f t="shared" si="18"/>
        <v>358.87272727272733</v>
      </c>
      <c r="BO22" s="174">
        <f t="shared" si="18"/>
        <v>349.92727272727279</v>
      </c>
      <c r="BP22" s="174">
        <f t="shared" si="18"/>
        <v>340.98181818181826</v>
      </c>
      <c r="BQ22" s="174">
        <f t="shared" si="18"/>
        <v>332.03636363636372</v>
      </c>
      <c r="BR22" s="174">
        <f t="shared" si="18"/>
        <v>323.09090909090912</v>
      </c>
      <c r="BS22" s="190">
        <f>SUM(BG22:BR22)</f>
        <v>5511.1429747090906</v>
      </c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</row>
    <row r="23" spans="1:83" s="84" customFormat="1" x14ac:dyDescent="0.2">
      <c r="A23" s="1"/>
      <c r="B23" s="1"/>
      <c r="C23" s="1"/>
      <c r="D23" s="1"/>
      <c r="E23" s="176" t="str">
        <f>+E16</f>
        <v>2020 Actual</v>
      </c>
      <c r="F23" s="188">
        <f t="shared" ref="F23:R23" si="19">IFERROR(F16/F9,"")</f>
        <v>1.1325263414621212</v>
      </c>
      <c r="G23" s="188">
        <f t="shared" si="19"/>
        <v>1.1349086901910115</v>
      </c>
      <c r="H23" s="188">
        <f t="shared" si="19"/>
        <v>0.87544819760869563</v>
      </c>
      <c r="I23" s="188">
        <f t="shared" si="19"/>
        <v>0.94988592062576693</v>
      </c>
      <c r="J23" s="188">
        <f t="shared" si="19"/>
        <v>1.2630062795655737</v>
      </c>
      <c r="K23" s="188">
        <f t="shared" si="19"/>
        <v>1.0970919255678733</v>
      </c>
      <c r="L23" s="188">
        <f t="shared" si="19"/>
        <v>0.81278270393939378</v>
      </c>
      <c r="M23" s="188" t="str">
        <f t="shared" si="19"/>
        <v/>
      </c>
      <c r="N23" s="188" t="str">
        <f t="shared" si="19"/>
        <v/>
      </c>
      <c r="O23" s="188" t="str">
        <f t="shared" si="19"/>
        <v/>
      </c>
      <c r="P23" s="188" t="str">
        <f t="shared" si="19"/>
        <v/>
      </c>
      <c r="Q23" s="188" t="str">
        <f t="shared" si="19"/>
        <v/>
      </c>
      <c r="R23" s="189">
        <f t="shared" si="19"/>
        <v>1.036217792671736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140"/>
      <c r="AF23" s="140"/>
      <c r="AG23" s="179"/>
      <c r="AH23" s="187" t="s">
        <v>90</v>
      </c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3"/>
      <c r="AZ23" s="173"/>
      <c r="BA23" s="173"/>
      <c r="BB23" s="173"/>
      <c r="BC23" s="173"/>
      <c r="BD23" s="173"/>
      <c r="BE23" s="173"/>
      <c r="BF23" s="173"/>
      <c r="BG23" s="174">
        <f t="shared" ref="BG23:BR23" si="20">IF(BG19="",BG20,BG19)</f>
        <v>520.49613280000005</v>
      </c>
      <c r="BH23" s="174">
        <f t="shared" si="20"/>
        <v>484.69531219999999</v>
      </c>
      <c r="BI23" s="174">
        <f t="shared" si="20"/>
        <v>461.69057980000002</v>
      </c>
      <c r="BJ23" s="174">
        <f t="shared" si="20"/>
        <v>599.5068035999999</v>
      </c>
      <c r="BK23" s="174">
        <f t="shared" si="20"/>
        <v>534.14345460000004</v>
      </c>
      <c r="BL23" s="174">
        <f t="shared" si="20"/>
        <v>619.13610599999993</v>
      </c>
      <c r="BM23" s="174">
        <f t="shared" si="20"/>
        <v>586.56549480000001</v>
      </c>
      <c r="BN23" s="174">
        <f t="shared" si="20"/>
        <v>405.6764705882353</v>
      </c>
      <c r="BO23" s="174">
        <f t="shared" si="20"/>
        <v>405.82352941176475</v>
      </c>
      <c r="BP23" s="174">
        <f t="shared" si="20"/>
        <v>405.97058823529414</v>
      </c>
      <c r="BQ23" s="174">
        <f t="shared" si="20"/>
        <v>406.11764705882354</v>
      </c>
      <c r="BR23" s="174">
        <f t="shared" si="20"/>
        <v>406.26470588235298</v>
      </c>
      <c r="BS23" s="190">
        <f>SUM(BG23:BR23)</f>
        <v>5836.0868249764717</v>
      </c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</row>
    <row r="24" spans="1:83" s="84" customFormat="1" x14ac:dyDescent="0.2">
      <c r="A24" s="1"/>
      <c r="B24" s="1"/>
      <c r="C24" s="1"/>
      <c r="D24" s="1"/>
      <c r="E24" s="176" t="str">
        <f>+E17</f>
        <v>Forecast</v>
      </c>
      <c r="F24" s="188">
        <f>IF(F23="",IFERROR(SUM(E17:$F17)/SUM(E10:$F10),""),F17/F10)</f>
        <v>1.1325263414621212</v>
      </c>
      <c r="G24" s="191">
        <f>IF(G23="",IFERROR(SUM(F17:$F17)/SUM(F10:$F10),""),G17/G10)</f>
        <v>1.1349086901910115</v>
      </c>
      <c r="H24" s="191">
        <f>IF(H23="",IFERROR(SUM($F17:G17)/SUM($F10:G10),""),H17/H10)</f>
        <v>0.87544819760869563</v>
      </c>
      <c r="I24" s="191">
        <f>IF(I23="",IFERROR(SUM($F17:H17)/SUM($F10:H10),""),I17/I10)</f>
        <v>0.94988592062576693</v>
      </c>
      <c r="J24" s="191">
        <f>IF(J23="",IFERROR(SUM($F17:I17)/SUM($F10:I10),""),J17/J10)</f>
        <v>1.2630062795655737</v>
      </c>
      <c r="K24" s="191">
        <f>IF(K23="",IFERROR(SUM($F17:J17)/SUM($F10:J10),""),K17/K10)</f>
        <v>1.0970919255678733</v>
      </c>
      <c r="L24" s="191">
        <f>IF(L23="",IFERROR(SUM($F17:K17)/SUM($F10:K10),""),L17/L10)</f>
        <v>0.81278270393939378</v>
      </c>
      <c r="M24" s="191">
        <f>IF(M23="",IFERROR(SUM($F17:L17)/SUM($F10:L10),""),M17/M10)</f>
        <v>1.036217792671736</v>
      </c>
      <c r="N24" s="191">
        <f>IF(N23="",IFERROR(SUM($F17:M17)/SUM($F10:M10),""),N17/N10)</f>
        <v>1.036217792671736</v>
      </c>
      <c r="O24" s="191">
        <f>IF(O23="",IFERROR(SUM($F17:N17)/SUM($F10:N10),""),O17/O10)</f>
        <v>1.0362177926717362</v>
      </c>
      <c r="P24" s="191">
        <f>IF(P23="",IFERROR(SUM($F17:O17)/SUM($F10:O10),""),P17/P10)</f>
        <v>1.036217792671736</v>
      </c>
      <c r="Q24" s="191">
        <f>IF(Q23="",IFERROR(SUM($F17:P17)/SUM($F10:P10),""),Q17/Q10)</f>
        <v>1.036217792671736</v>
      </c>
      <c r="R24" s="189">
        <f>IFERROR(R17/R10,"")</f>
        <v>1.036217792671736</v>
      </c>
      <c r="T24" s="135" t="s">
        <v>97</v>
      </c>
      <c r="U24" s="164" t="str">
        <f>AA24</f>
        <v>Q1</v>
      </c>
      <c r="V24" s="164" t="str">
        <f t="shared" ref="V24:X24" si="21">AB24</f>
        <v>Q2</v>
      </c>
      <c r="W24" s="164" t="str">
        <f t="shared" si="21"/>
        <v>Q3</v>
      </c>
      <c r="X24" s="164" t="str">
        <f t="shared" si="21"/>
        <v>Q4</v>
      </c>
      <c r="Y24" s="140"/>
      <c r="Z24" s="135" t="s">
        <v>97</v>
      </c>
      <c r="AA24" s="164" t="s">
        <v>21</v>
      </c>
      <c r="AB24" s="164" t="s">
        <v>22</v>
      </c>
      <c r="AC24" s="164" t="s">
        <v>23</v>
      </c>
      <c r="AD24" s="136" t="s">
        <v>24</v>
      </c>
      <c r="AE24" s="150"/>
      <c r="AF24" s="150"/>
      <c r="AG24" s="7" t="s">
        <v>89</v>
      </c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 spans="1:83" s="84" customFormat="1" x14ac:dyDescent="0.2">
      <c r="A25" s="1"/>
      <c r="B25" s="1"/>
      <c r="C25" s="1"/>
      <c r="D25" s="1"/>
      <c r="T25" s="112" t="str">
        <f>"vs "&amp;$A$6</f>
        <v>vs 2018</v>
      </c>
      <c r="U25" s="192">
        <f t="shared" ref="U25:X26" si="22">IFERROR(U$21/U18-1,"")</f>
        <v>0.57567567567567557</v>
      </c>
      <c r="V25" s="192">
        <f t="shared" si="22"/>
        <v>0.3125</v>
      </c>
      <c r="W25" s="192">
        <f t="shared" si="22"/>
        <v>-0.54482758620689653</v>
      </c>
      <c r="X25" s="149">
        <f t="shared" si="22"/>
        <v>-1</v>
      </c>
      <c r="Y25" s="150"/>
      <c r="Z25" s="112" t="str">
        <f>"vs "&amp;$A$6</f>
        <v>vs 2018</v>
      </c>
      <c r="AA25" s="192">
        <f t="shared" ref="AA25:AD26" si="23">IFERROR(AA$21/AA18-1,"")</f>
        <v>0.13715329426906031</v>
      </c>
      <c r="AB25" s="192">
        <f t="shared" si="23"/>
        <v>6.3134653224108161E-2</v>
      </c>
      <c r="AC25" s="192">
        <f t="shared" si="23"/>
        <v>-0.73569041253985712</v>
      </c>
      <c r="AD25" s="149">
        <f t="shared" si="23"/>
        <v>-1</v>
      </c>
      <c r="AE25" s="150"/>
      <c r="AF25" s="150"/>
      <c r="AH25" s="167" t="str">
        <f>AH16</f>
        <v>Actual</v>
      </c>
      <c r="AU25" s="163">
        <f t="shared" ref="AU25:BR25" si="24">IF(AU16="",NA(),AU16)</f>
        <v>376</v>
      </c>
      <c r="AV25" s="163">
        <f t="shared" si="24"/>
        <v>324</v>
      </c>
      <c r="AW25" s="163">
        <f t="shared" si="24"/>
        <v>312</v>
      </c>
      <c r="AX25" s="163">
        <f t="shared" si="24"/>
        <v>406</v>
      </c>
      <c r="AY25" s="163">
        <f t="shared" si="24"/>
        <v>358</v>
      </c>
      <c r="AZ25" s="163">
        <f t="shared" si="24"/>
        <v>456</v>
      </c>
      <c r="BA25" s="163">
        <f t="shared" si="24"/>
        <v>392</v>
      </c>
      <c r="BB25" s="163">
        <f t="shared" si="24"/>
        <v>412</v>
      </c>
      <c r="BC25" s="163">
        <f t="shared" si="24"/>
        <v>412</v>
      </c>
      <c r="BD25" s="163">
        <f t="shared" si="24"/>
        <v>516</v>
      </c>
      <c r="BE25" s="163">
        <f t="shared" si="24"/>
        <v>548</v>
      </c>
      <c r="BF25" s="163">
        <f t="shared" si="24"/>
        <v>366</v>
      </c>
      <c r="BG25" s="163">
        <f t="shared" si="24"/>
        <v>396</v>
      </c>
      <c r="BH25" s="163">
        <f t="shared" si="24"/>
        <v>356</v>
      </c>
      <c r="BI25" s="163">
        <f t="shared" si="24"/>
        <v>414</v>
      </c>
      <c r="BJ25" s="163">
        <f t="shared" si="24"/>
        <v>326</v>
      </c>
      <c r="BK25" s="163">
        <f t="shared" si="24"/>
        <v>366</v>
      </c>
      <c r="BL25" s="163">
        <f t="shared" si="24"/>
        <v>442</v>
      </c>
      <c r="BM25" s="163">
        <f t="shared" si="24"/>
        <v>396</v>
      </c>
      <c r="BN25" s="163" t="e">
        <f t="shared" si="24"/>
        <v>#N/A</v>
      </c>
      <c r="BO25" s="163" t="e">
        <f t="shared" si="24"/>
        <v>#N/A</v>
      </c>
      <c r="BP25" s="163" t="e">
        <f t="shared" si="24"/>
        <v>#N/A</v>
      </c>
      <c r="BQ25" s="163" t="e">
        <f t="shared" si="24"/>
        <v>#N/A</v>
      </c>
      <c r="BR25" s="163" t="e">
        <f t="shared" si="24"/>
        <v>#N/A</v>
      </c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 spans="1:83" s="84" customForma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112" t="str">
        <f>"vs "&amp;$A$7</f>
        <v>vs 2019</v>
      </c>
      <c r="U26" s="192">
        <f t="shared" si="22"/>
        <v>0.15217391304347827</v>
      </c>
      <c r="V26" s="192">
        <f t="shared" si="22"/>
        <v>-7.0491803278688536E-2</v>
      </c>
      <c r="W26" s="192">
        <f t="shared" si="22"/>
        <v>-0.67434210526315796</v>
      </c>
      <c r="X26" s="149">
        <f t="shared" si="22"/>
        <v>-1</v>
      </c>
      <c r="Y26" s="150"/>
      <c r="Z26" s="112" t="str">
        <f>"vs "&amp;$A$7</f>
        <v>vs 2019</v>
      </c>
      <c r="AA26" s="192">
        <f t="shared" si="23"/>
        <v>-1.3664400257562437E-2</v>
      </c>
      <c r="AB26" s="192">
        <f t="shared" si="23"/>
        <v>-0.22155982597255985</v>
      </c>
      <c r="AC26" s="192">
        <f t="shared" si="23"/>
        <v>-0.76652026688368136</v>
      </c>
      <c r="AD26" s="149">
        <f t="shared" si="23"/>
        <v>-1</v>
      </c>
      <c r="AE26" s="150"/>
      <c r="AF26" s="150"/>
      <c r="AH26" s="167" t="str">
        <f>AH20</f>
        <v>Budget</v>
      </c>
      <c r="AU26" s="163" t="e">
        <f t="shared" ref="AU26:BR26" si="25">IF(AU17="",NA(),AU17)</f>
        <v>#N/A</v>
      </c>
      <c r="AV26" s="163" t="e">
        <f t="shared" si="25"/>
        <v>#N/A</v>
      </c>
      <c r="AW26" s="163" t="e">
        <f t="shared" si="25"/>
        <v>#N/A</v>
      </c>
      <c r="AX26" s="163" t="e">
        <f t="shared" si="25"/>
        <v>#N/A</v>
      </c>
      <c r="AY26" s="163" t="e">
        <f t="shared" si="25"/>
        <v>#N/A</v>
      </c>
      <c r="AZ26" s="163" t="e">
        <f t="shared" si="25"/>
        <v>#N/A</v>
      </c>
      <c r="BA26" s="163" t="e">
        <f t="shared" si="25"/>
        <v>#N/A</v>
      </c>
      <c r="BB26" s="163" t="e">
        <f t="shared" si="25"/>
        <v>#N/A</v>
      </c>
      <c r="BC26" s="163" t="e">
        <f t="shared" si="25"/>
        <v>#N/A</v>
      </c>
      <c r="BD26" s="163" t="e">
        <f t="shared" si="25"/>
        <v>#N/A</v>
      </c>
      <c r="BE26" s="163" t="e">
        <f t="shared" si="25"/>
        <v>#N/A</v>
      </c>
      <c r="BF26" s="163" t="e">
        <f t="shared" si="25"/>
        <v>#N/A</v>
      </c>
      <c r="BG26" s="163" t="e">
        <f t="shared" si="25"/>
        <v>#N/A</v>
      </c>
      <c r="BH26" s="163" t="e">
        <f t="shared" si="25"/>
        <v>#N/A</v>
      </c>
      <c r="BI26" s="163" t="e">
        <f t="shared" si="25"/>
        <v>#N/A</v>
      </c>
      <c r="BJ26" s="163" t="e">
        <f t="shared" si="25"/>
        <v>#N/A</v>
      </c>
      <c r="BK26" s="163" t="e">
        <f t="shared" si="25"/>
        <v>#N/A</v>
      </c>
      <c r="BL26" s="163" t="e">
        <f t="shared" si="25"/>
        <v>#N/A</v>
      </c>
      <c r="BM26" s="163">
        <f t="shared" si="25"/>
        <v>586.56549480000001</v>
      </c>
      <c r="BN26" s="163">
        <f t="shared" si="25"/>
        <v>610.84170900000004</v>
      </c>
      <c r="BO26" s="163">
        <f t="shared" si="25"/>
        <v>549.23390259999996</v>
      </c>
      <c r="BP26" s="163">
        <f t="shared" si="25"/>
        <v>592.85767999999996</v>
      </c>
      <c r="BQ26" s="163">
        <f t="shared" si="25"/>
        <v>632.45291420000001</v>
      </c>
      <c r="BR26" s="163">
        <f t="shared" si="25"/>
        <v>575.03393899999992</v>
      </c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 spans="1:83" s="84" customForma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151" t="str">
        <f>"Forecast "&amp;"vs. "&amp;$A$7</f>
        <v>Forecast vs. 2019</v>
      </c>
      <c r="U27" s="193">
        <f>IFERROR(U22/U19-1,"")</f>
        <v>0.15217391304347827</v>
      </c>
      <c r="V27" s="193">
        <f>IFERROR(V22/V19-1,"")</f>
        <v>-7.0491803278688536E-2</v>
      </c>
      <c r="W27" s="193">
        <f>IFERROR(W22/W19-1,"")</f>
        <v>7.8161854082976268E-2</v>
      </c>
      <c r="X27" s="194">
        <f>IFERROR(X22/X19-1,"")</f>
        <v>-5.1376704230147174E-3</v>
      </c>
      <c r="Y27" s="56"/>
      <c r="Z27" s="151" t="str">
        <f>"Forecast "&amp;"vs. "&amp;$A$7</f>
        <v>Forecast vs. 2019</v>
      </c>
      <c r="AA27" s="193">
        <f>IFERROR(AA22/AA19-1,"")</f>
        <v>-1.3664400257562437E-2</v>
      </c>
      <c r="AB27" s="193">
        <f>IFERROR(AB22/AB19-1,"")</f>
        <v>-0.22155982597255985</v>
      </c>
      <c r="AC27" s="193">
        <f>IFERROR(AC22/AC19-1,"")</f>
        <v>-7.8703183045203517E-2</v>
      </c>
      <c r="AD27" s="194">
        <f>IFERROR(AD22/AD19-1,"")</f>
        <v>-0.14111177288791621</v>
      </c>
      <c r="AE27" s="150"/>
      <c r="AF27" s="150"/>
      <c r="AH27" s="167" t="str">
        <f>AH18</f>
        <v>Trend 6m</v>
      </c>
      <c r="AU27" s="163" t="e">
        <f t="shared" ref="AU27:BR27" si="26">IF(AU18="",NA(),AU18)</f>
        <v>#N/A</v>
      </c>
      <c r="AV27" s="163" t="e">
        <f t="shared" si="26"/>
        <v>#N/A</v>
      </c>
      <c r="AW27" s="163" t="e">
        <f t="shared" si="26"/>
        <v>#N/A</v>
      </c>
      <c r="AX27" s="163" t="e">
        <f t="shared" si="26"/>
        <v>#N/A</v>
      </c>
      <c r="AY27" s="163" t="e">
        <f t="shared" si="26"/>
        <v>#N/A</v>
      </c>
      <c r="AZ27" s="163" t="e">
        <f t="shared" si="26"/>
        <v>#N/A</v>
      </c>
      <c r="BA27" s="163" t="e">
        <f t="shared" si="26"/>
        <v>#N/A</v>
      </c>
      <c r="BB27" s="163" t="e">
        <f t="shared" si="26"/>
        <v>#N/A</v>
      </c>
      <c r="BC27" s="163" t="e">
        <f t="shared" si="26"/>
        <v>#N/A</v>
      </c>
      <c r="BD27" s="163" t="e">
        <f t="shared" si="26"/>
        <v>#N/A</v>
      </c>
      <c r="BE27" s="163" t="e">
        <f t="shared" si="26"/>
        <v>#N/A</v>
      </c>
      <c r="BF27" s="163" t="e">
        <f t="shared" si="26"/>
        <v>#N/A</v>
      </c>
      <c r="BG27" s="163" t="e">
        <f t="shared" si="26"/>
        <v>#N/A</v>
      </c>
      <c r="BH27" s="163" t="e">
        <f t="shared" si="26"/>
        <v>#N/A</v>
      </c>
      <c r="BI27" s="163" t="e">
        <f t="shared" si="26"/>
        <v>#N/A</v>
      </c>
      <c r="BJ27" s="163" t="e">
        <f t="shared" si="26"/>
        <v>#N/A</v>
      </c>
      <c r="BK27" s="163" t="e">
        <f t="shared" si="26"/>
        <v>#N/A</v>
      </c>
      <c r="BL27" s="163" t="e">
        <f t="shared" si="26"/>
        <v>#N/A</v>
      </c>
      <c r="BM27" s="163" t="e">
        <f t="shared" si="26"/>
        <v>#N/A</v>
      </c>
      <c r="BN27" s="163">
        <f t="shared" si="26"/>
        <v>358.87272727272733</v>
      </c>
      <c r="BO27" s="163">
        <f t="shared" si="26"/>
        <v>349.92727272727279</v>
      </c>
      <c r="BP27" s="163">
        <f t="shared" si="26"/>
        <v>340.98181818181826</v>
      </c>
      <c r="BQ27" s="163">
        <f t="shared" si="26"/>
        <v>332.03636363636372</v>
      </c>
      <c r="BR27" s="163">
        <f t="shared" si="26"/>
        <v>323.09090909090912</v>
      </c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 spans="1:83" s="84" customForma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150"/>
      <c r="AF28" s="150"/>
      <c r="AG28" s="1"/>
      <c r="AH28" s="167" t="str">
        <f>AH19</f>
        <v>Trend 12m</v>
      </c>
      <c r="AI28" s="1"/>
      <c r="AJ28" s="1"/>
      <c r="AK28" s="1"/>
      <c r="AL28" s="1"/>
      <c r="AU28" s="163" t="e">
        <f t="shared" ref="AU28:BR28" si="27">IF(AU19="",NA(),AU19)</f>
        <v>#N/A</v>
      </c>
      <c r="AV28" s="163" t="e">
        <f t="shared" si="27"/>
        <v>#N/A</v>
      </c>
      <c r="AW28" s="163" t="e">
        <f t="shared" si="27"/>
        <v>#N/A</v>
      </c>
      <c r="AX28" s="163" t="e">
        <f t="shared" si="27"/>
        <v>#N/A</v>
      </c>
      <c r="AY28" s="163" t="e">
        <f t="shared" si="27"/>
        <v>#N/A</v>
      </c>
      <c r="AZ28" s="163" t="e">
        <f t="shared" si="27"/>
        <v>#N/A</v>
      </c>
      <c r="BA28" s="163" t="e">
        <f t="shared" si="27"/>
        <v>#N/A</v>
      </c>
      <c r="BB28" s="163" t="e">
        <f t="shared" si="27"/>
        <v>#N/A</v>
      </c>
      <c r="BC28" s="163" t="e">
        <f t="shared" si="27"/>
        <v>#N/A</v>
      </c>
      <c r="BD28" s="163" t="e">
        <f t="shared" si="27"/>
        <v>#N/A</v>
      </c>
      <c r="BE28" s="163" t="e">
        <f t="shared" si="27"/>
        <v>#N/A</v>
      </c>
      <c r="BF28" s="163" t="e">
        <f t="shared" si="27"/>
        <v>#N/A</v>
      </c>
      <c r="BG28" s="163" t="e">
        <f t="shared" si="27"/>
        <v>#N/A</v>
      </c>
      <c r="BH28" s="163" t="e">
        <f t="shared" si="27"/>
        <v>#N/A</v>
      </c>
      <c r="BI28" s="163" t="e">
        <f t="shared" si="27"/>
        <v>#N/A</v>
      </c>
      <c r="BJ28" s="163" t="e">
        <f t="shared" si="27"/>
        <v>#N/A</v>
      </c>
      <c r="BK28" s="163" t="e">
        <f t="shared" si="27"/>
        <v>#N/A</v>
      </c>
      <c r="BL28" s="163" t="e">
        <f t="shared" si="27"/>
        <v>#N/A</v>
      </c>
      <c r="BM28" s="163" t="e">
        <f t="shared" si="27"/>
        <v>#N/A</v>
      </c>
      <c r="BN28" s="163">
        <f t="shared" si="27"/>
        <v>405.6764705882353</v>
      </c>
      <c r="BO28" s="163">
        <f t="shared" si="27"/>
        <v>405.82352941176475</v>
      </c>
      <c r="BP28" s="163">
        <f t="shared" si="27"/>
        <v>405.97058823529414</v>
      </c>
      <c r="BQ28" s="163">
        <f t="shared" si="27"/>
        <v>406.11764705882354</v>
      </c>
      <c r="BR28" s="163">
        <f t="shared" si="27"/>
        <v>406.26470588235298</v>
      </c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 spans="1:83" s="84" customForma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135" t="s">
        <v>97</v>
      </c>
      <c r="U29" s="164" t="str">
        <f>AA29</f>
        <v>Q1</v>
      </c>
      <c r="V29" s="164" t="str">
        <f t="shared" ref="V29:X29" si="28">AB29</f>
        <v>Q2</v>
      </c>
      <c r="W29" s="164" t="str">
        <f t="shared" si="28"/>
        <v>Q3</v>
      </c>
      <c r="X29" s="136" t="str">
        <f t="shared" si="28"/>
        <v>Q4</v>
      </c>
      <c r="Y29" s="56"/>
      <c r="Z29" s="135" t="s">
        <v>97</v>
      </c>
      <c r="AA29" s="164" t="s">
        <v>21</v>
      </c>
      <c r="AB29" s="164" t="s">
        <v>22</v>
      </c>
      <c r="AC29" s="164" t="s">
        <v>23</v>
      </c>
      <c r="AD29" s="136" t="s">
        <v>24</v>
      </c>
      <c r="AE29" s="170"/>
      <c r="AF29" s="170"/>
      <c r="AH29" s="167" t="s">
        <v>34</v>
      </c>
      <c r="AU29" s="163" t="e">
        <f t="shared" ref="AU29:BR29" si="29">IF(AU21="",NA(),AU21)</f>
        <v>#N/A</v>
      </c>
      <c r="AV29" s="163" t="e">
        <f t="shared" si="29"/>
        <v>#N/A</v>
      </c>
      <c r="AW29" s="163" t="e">
        <f t="shared" si="29"/>
        <v>#N/A</v>
      </c>
      <c r="AX29" s="163" t="e">
        <f t="shared" si="29"/>
        <v>#N/A</v>
      </c>
      <c r="AY29" s="163" t="e">
        <f t="shared" si="29"/>
        <v>#N/A</v>
      </c>
      <c r="AZ29" s="163" t="e">
        <f t="shared" si="29"/>
        <v>#N/A</v>
      </c>
      <c r="BA29" s="163" t="e">
        <f t="shared" si="29"/>
        <v>#N/A</v>
      </c>
      <c r="BB29" s="163" t="e">
        <f t="shared" si="29"/>
        <v>#N/A</v>
      </c>
      <c r="BC29" s="163" t="e">
        <f t="shared" si="29"/>
        <v>#N/A</v>
      </c>
      <c r="BD29" s="163" t="e">
        <f t="shared" si="29"/>
        <v>#N/A</v>
      </c>
      <c r="BE29" s="163" t="e">
        <f t="shared" si="29"/>
        <v>#N/A</v>
      </c>
      <c r="BF29" s="163" t="e">
        <f t="shared" si="29"/>
        <v>#N/A</v>
      </c>
      <c r="BG29" s="163" t="e">
        <f t="shared" si="29"/>
        <v>#N/A</v>
      </c>
      <c r="BH29" s="163" t="e">
        <f t="shared" si="29"/>
        <v>#N/A</v>
      </c>
      <c r="BI29" s="163" t="e">
        <f t="shared" si="29"/>
        <v>#N/A</v>
      </c>
      <c r="BJ29" s="163" t="e">
        <f t="shared" si="29"/>
        <v>#N/A</v>
      </c>
      <c r="BK29" s="163" t="e">
        <f t="shared" si="29"/>
        <v>#N/A</v>
      </c>
      <c r="BL29" s="163" t="e">
        <f t="shared" si="29"/>
        <v>#N/A</v>
      </c>
      <c r="BM29" s="163">
        <f t="shared" si="29"/>
        <v>396</v>
      </c>
      <c r="BN29" s="163">
        <f t="shared" si="29"/>
        <v>474.78993781315012</v>
      </c>
      <c r="BO29" s="163">
        <f t="shared" si="29"/>
        <v>440.2548767517489</v>
      </c>
      <c r="BP29" s="163">
        <f t="shared" si="29"/>
        <v>483.35155950942055</v>
      </c>
      <c r="BQ29" s="163">
        <f t="shared" si="29"/>
        <v>498.20863972765102</v>
      </c>
      <c r="BR29" s="163">
        <f t="shared" si="29"/>
        <v>441.09293205801731</v>
      </c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 spans="1:83" s="84" customForma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195" t="str">
        <f>T25</f>
        <v>vs 2018</v>
      </c>
      <c r="U30" s="196">
        <f t="shared" ref="U30:X31" si="30">U$21-U18</f>
        <v>426</v>
      </c>
      <c r="V30" s="196">
        <f t="shared" si="30"/>
        <v>270</v>
      </c>
      <c r="W30" s="196">
        <f t="shared" si="30"/>
        <v>-474</v>
      </c>
      <c r="X30" s="110">
        <f t="shared" si="30"/>
        <v>-1146</v>
      </c>
      <c r="Z30" s="195" t="str">
        <f>Z25</f>
        <v>vs 2018</v>
      </c>
      <c r="AA30" s="196">
        <f t="shared" ref="AA30:AD31" si="31">AA$21-AA18</f>
        <v>146.53565293200018</v>
      </c>
      <c r="AB30" s="196">
        <f t="shared" si="31"/>
        <v>74.637784220999947</v>
      </c>
      <c r="AC30" s="196">
        <f t="shared" si="31"/>
        <v>-895.88407901100027</v>
      </c>
      <c r="AD30" s="110">
        <f t="shared" si="31"/>
        <v>-1277.052499854</v>
      </c>
      <c r="AE30" s="175"/>
      <c r="AF30" s="175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 spans="1:83" s="84" customForma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195" t="str">
        <f>T26</f>
        <v>vs 2019</v>
      </c>
      <c r="U31" s="196">
        <f t="shared" si="30"/>
        <v>154</v>
      </c>
      <c r="V31" s="196">
        <f t="shared" si="30"/>
        <v>-86</v>
      </c>
      <c r="W31" s="196">
        <f t="shared" si="30"/>
        <v>-820</v>
      </c>
      <c r="X31" s="110">
        <f t="shared" si="30"/>
        <v>-1430</v>
      </c>
      <c r="Z31" s="195" t="str">
        <f>Z26</f>
        <v>vs 2019</v>
      </c>
      <c r="AA31" s="196">
        <f t="shared" si="31"/>
        <v>-16.831465870351622</v>
      </c>
      <c r="AB31" s="196">
        <f t="shared" si="31"/>
        <v>-357.72145392863717</v>
      </c>
      <c r="AC31" s="196">
        <f t="shared" si="31"/>
        <v>-1056.6814733908648</v>
      </c>
      <c r="AD31" s="110">
        <f t="shared" si="31"/>
        <v>-1716.3798977719043</v>
      </c>
      <c r="AE31" s="179"/>
      <c r="AF31" s="179"/>
      <c r="AH31" s="1"/>
      <c r="AI31" s="1"/>
      <c r="AJ31" s="1"/>
      <c r="AK31" s="1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 spans="1:83" s="84" customFormat="1" ht="16.149999999999999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7"/>
      <c r="T32" s="151" t="str">
        <f>"Forecast "&amp;"vs. "&amp;$A$7</f>
        <v>Forecast vs. 2019</v>
      </c>
      <c r="U32" s="197">
        <f>U22-U19</f>
        <v>154</v>
      </c>
      <c r="V32" s="197">
        <f t="shared" ref="V32:X32" si="32">V22-V19</f>
        <v>-86</v>
      </c>
      <c r="W32" s="197">
        <f t="shared" si="32"/>
        <v>95.04481456489907</v>
      </c>
      <c r="X32" s="127">
        <f t="shared" si="32"/>
        <v>-7.3468687049110031</v>
      </c>
      <c r="Y32" s="175"/>
      <c r="Z32" s="151" t="str">
        <f>"Forecast "&amp;"vs. "&amp;$A$7</f>
        <v>Forecast vs. 2019</v>
      </c>
      <c r="AA32" s="197">
        <f>AA22-AA19</f>
        <v>-16.831465870351622</v>
      </c>
      <c r="AB32" s="197">
        <f t="shared" ref="AB32:AD32" si="33">AB22-AB19</f>
        <v>-357.72145392863717</v>
      </c>
      <c r="AC32" s="197">
        <f t="shared" si="33"/>
        <v>-108.49575544670711</v>
      </c>
      <c r="AD32" s="127">
        <f t="shared" si="33"/>
        <v>-242.20141032377387</v>
      </c>
      <c r="AE32" s="131"/>
      <c r="AF32" s="131"/>
      <c r="AG32" s="1"/>
      <c r="BM32" s="198"/>
      <c r="BN32" s="198"/>
      <c r="BO32" s="198"/>
      <c r="BP32" s="198"/>
      <c r="BQ32" s="198"/>
      <c r="BR32" s="198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 spans="1:83" s="84" customFormat="1" ht="15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131"/>
      <c r="AF33" s="131"/>
      <c r="AG33" s="158" t="s">
        <v>82</v>
      </c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 spans="1:83" s="84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35" t="s">
        <v>88</v>
      </c>
      <c r="U34" s="164" t="str">
        <f>AA34</f>
        <v>Q1</v>
      </c>
      <c r="V34" s="164" t="str">
        <f t="shared" ref="V34:X34" si="34">AB34</f>
        <v>Q2</v>
      </c>
      <c r="W34" s="164" t="str">
        <f t="shared" si="34"/>
        <v>Q3</v>
      </c>
      <c r="X34" s="164" t="str">
        <f t="shared" si="34"/>
        <v>Q4</v>
      </c>
      <c r="Y34" s="131"/>
      <c r="Z34" s="135" t="s">
        <v>88</v>
      </c>
      <c r="AA34" s="164" t="s">
        <v>21</v>
      </c>
      <c r="AB34" s="164" t="s">
        <v>22</v>
      </c>
      <c r="AC34" s="164" t="s">
        <v>23</v>
      </c>
      <c r="AD34" s="136" t="s">
        <v>24</v>
      </c>
      <c r="AE34" s="170"/>
      <c r="AF34" s="170"/>
      <c r="AG34" s="160" t="s">
        <v>29</v>
      </c>
      <c r="AH34" s="162" t="s">
        <v>0</v>
      </c>
      <c r="AI34" s="163">
        <f>SUMIFS('Sales Data'!$E:$E,'Sales Data'!$A:$A,$E$2,'Sales Data'!$B:$B,AI$15,'Sales Data'!$C:$C,"Periodic")/1000</f>
        <v>278.68442176500002</v>
      </c>
      <c r="AJ34" s="163">
        <f>SUMIFS('Sales Data'!$E:$E,'Sales Data'!$A:$A,$E$2,'Sales Data'!$B:$B,AJ$15,'Sales Data'!$C:$C,"Periodic")/1000</f>
        <v>312.65155760399995</v>
      </c>
      <c r="AK34" s="163">
        <f>SUMIFS('Sales Data'!$E:$E,'Sales Data'!$A:$A,$E$2,'Sales Data'!$B:$B,AK$15,'Sales Data'!$C:$C,"Periodic")/1000</f>
        <v>477.07184643600004</v>
      </c>
      <c r="AL34" s="163">
        <f>SUMIFS('Sales Data'!$E:$E,'Sales Data'!$A:$A,$E$2,'Sales Data'!$B:$B,AL$15,'Sales Data'!$C:$C,"Periodic")/1000</f>
        <v>334.04348919</v>
      </c>
      <c r="AM34" s="163">
        <f>SUMIFS('Sales Data'!$E:$E,'Sales Data'!$A:$A,$E$2,'Sales Data'!$B:$B,AM$15,'Sales Data'!$C:$C,"Periodic")/1000</f>
        <v>496.15917594900003</v>
      </c>
      <c r="AN34" s="163">
        <f>SUMIFS('Sales Data'!$E:$E,'Sales Data'!$A:$A,$E$2,'Sales Data'!$B:$B,AN$15,'Sales Data'!$C:$C,"Periodic")/1000</f>
        <v>351.99729018600004</v>
      </c>
      <c r="AO34" s="163">
        <f>SUMIFS('Sales Data'!$E:$E,'Sales Data'!$A:$A,$E$2,'Sales Data'!$B:$B,AO$15,'Sales Data'!$C:$C,"Periodic")/1000</f>
        <v>329.62864345500003</v>
      </c>
      <c r="AP34" s="163">
        <f>SUMIFS('Sales Data'!$E:$E,'Sales Data'!$A:$A,$E$2,'Sales Data'!$B:$B,AP$15,'Sales Data'!$C:$C,"Periodic")/1000</f>
        <v>346.77263069399999</v>
      </c>
      <c r="AQ34" s="163">
        <f>SUMIFS('Sales Data'!$E:$E,'Sales Data'!$A:$A,$E$2,'Sales Data'!$B:$B,AQ$15,'Sales Data'!$C:$C,"Periodic")/1000</f>
        <v>541.34475562200009</v>
      </c>
      <c r="AR34" s="163">
        <f>SUMIFS('Sales Data'!$E:$E,'Sales Data'!$A:$A,$E$2,'Sales Data'!$B:$B,AR$15,'Sales Data'!$C:$C,"Periodic")/1000</f>
        <v>383.15245202400001</v>
      </c>
      <c r="AS34" s="163">
        <f>SUMIFS('Sales Data'!$E:$E,'Sales Data'!$A:$A,$E$2,'Sales Data'!$B:$B,AS$15,'Sales Data'!$C:$C,"Periodic")/1000</f>
        <v>535.60089151199998</v>
      </c>
      <c r="AT34" s="163">
        <f>SUMIFS('Sales Data'!$E:$E,'Sales Data'!$A:$A,$E$2,'Sales Data'!$B:$B,AT$15,'Sales Data'!$C:$C,"Periodic")/1000</f>
        <v>358.29915631799997</v>
      </c>
      <c r="AU34" s="163">
        <f>SUMIFS('Sales Data'!$E:$E,'Sales Data'!$A:$A,$E$2,'Sales Data'!$B:$B,AU$15,'Sales Data'!$C:$C,"Periodic")/1000</f>
        <v>450.49034758227958</v>
      </c>
      <c r="AV34" s="163">
        <f>SUMIFS('Sales Data'!$E:$E,'Sales Data'!$A:$A,$E$2,'Sales Data'!$B:$B,AV$15,'Sales Data'!$C:$C,"Periodic")/1000</f>
        <v>418.08676739741873</v>
      </c>
      <c r="AW34" s="163">
        <f>SUMIFS('Sales Data'!$E:$E,'Sales Data'!$A:$A,$E$2,'Sales Data'!$B:$B,AW$15,'Sales Data'!$C:$C,"Periodic")/1000</f>
        <v>363.19782962765345</v>
      </c>
      <c r="AX34" s="163">
        <f>SUMIFS('Sales Data'!$E:$E,'Sales Data'!$A:$A,$E$2,'Sales Data'!$B:$B,AX$15,'Sales Data'!$C:$C,"Periodic")/1000</f>
        <v>589.79345417409127</v>
      </c>
      <c r="AY34" s="163">
        <f>SUMIFS('Sales Data'!$E:$E,'Sales Data'!$A:$A,$E$2,'Sales Data'!$B:$B,AY$15,'Sales Data'!$C:$C,"Periodic")/1000</f>
        <v>473.90503862800011</v>
      </c>
      <c r="AZ34" s="163">
        <f>SUMIFS('Sales Data'!$E:$E,'Sales Data'!$A:$A,$E$2,'Sales Data'!$B:$B,AZ$15,'Sales Data'!$C:$C,"Periodic")/1000</f>
        <v>550.86070067254582</v>
      </c>
      <c r="BA34" s="163">
        <f>SUMIFS('Sales Data'!$E:$E,'Sales Data'!$A:$A,$E$2,'Sales Data'!$B:$B,BA$15,'Sales Data'!$C:$C,"Periodic")/1000</f>
        <v>445.98745644892921</v>
      </c>
      <c r="BB34" s="163">
        <f>SUMIFS('Sales Data'!$E:$E,'Sales Data'!$A:$A,$E$2,'Sales Data'!$B:$B,BB$15,'Sales Data'!$C:$C,"Periodic")/1000</f>
        <v>508.46155316924569</v>
      </c>
      <c r="BC34" s="163">
        <f>SUMIFS('Sales Data'!$E:$E,'Sales Data'!$A:$A,$E$2,'Sales Data'!$B:$B,BC$15,'Sales Data'!$C:$C,"Periodic")/1000</f>
        <v>424.09441453268971</v>
      </c>
      <c r="BD34" s="163">
        <f>SUMIFS('Sales Data'!$E:$E,'Sales Data'!$A:$A,$E$2,'Sales Data'!$B:$B,BD$15,'Sales Data'!$C:$C,"Periodic")/1000</f>
        <v>633.17249457973378</v>
      </c>
      <c r="BE34" s="163">
        <f>SUMIFS('Sales Data'!$E:$E,'Sales Data'!$A:$A,$E$2,'Sales Data'!$B:$B,BE$15,'Sales Data'!$C:$C,"Periodic")/1000</f>
        <v>700.03736602136826</v>
      </c>
      <c r="BF34" s="163">
        <f>SUMIFS('Sales Data'!$E:$E,'Sales Data'!$A:$A,$E$2,'Sales Data'!$B:$B,BF$15,'Sales Data'!$C:$C,"Periodic")/1000</f>
        <v>383.17003717080217</v>
      </c>
      <c r="BG34" s="163">
        <f>IF(OR(BG$8=1,BG$9=0),SUMIFS('Sales Data'!$E:$E,'Sales Data'!$A:$A,$E$2,'Sales Data'!$B:$B,BG$15,'Sales Data'!$C:$C,"Periodic")/1000,"")</f>
        <v>448.48043121900002</v>
      </c>
      <c r="BH34" s="163">
        <f>IF(OR(BH$8=1,BH$9=0),SUMIFS('Sales Data'!$E:$E,'Sales Data'!$A:$A,$E$2,'Sales Data'!$B:$B,BH$15,'Sales Data'!$C:$C,"Periodic")/1000,"")</f>
        <v>404.02749370800007</v>
      </c>
      <c r="BI34" s="163">
        <f>IF(OR(BI$8=1,BI$9=0),SUMIFS('Sales Data'!$E:$E,'Sales Data'!$A:$A,$E$2,'Sales Data'!$B:$B,BI$15,'Sales Data'!$C:$C,"Periodic")/1000,"")</f>
        <v>362.43555380999999</v>
      </c>
      <c r="BJ34" s="163">
        <f>IF(OR(BJ$8=1,BJ$9=0),SUMIFS('Sales Data'!$E:$E,'Sales Data'!$A:$A,$E$2,'Sales Data'!$B:$B,BJ$15,'Sales Data'!$C:$C,"Periodic")/1000,"")</f>
        <v>309.66281012400003</v>
      </c>
      <c r="BK34" s="163">
        <f>IF(OR(BK$8=1,BK$9=0),SUMIFS('Sales Data'!$E:$E,'Sales Data'!$A:$A,$E$2,'Sales Data'!$B:$B,BK$15,'Sales Data'!$C:$C,"Periodic")/1000,"")</f>
        <v>462.26029832099994</v>
      </c>
      <c r="BL34" s="163">
        <f>IF(OR(BL$8=1,BL$9=0),SUMIFS('Sales Data'!$E:$E,'Sales Data'!$A:$A,$E$2,'Sales Data'!$B:$B,BL$15,'Sales Data'!$C:$C,"Periodic")/1000,"")</f>
        <v>484.914631101</v>
      </c>
      <c r="BM34" s="163">
        <f>IF(OR(BM$8=1,BM$9=0),SUMIFS('Sales Data'!$E:$E,'Sales Data'!$A:$A,$E$2,'Sales Data'!$B:$B,BM$15,'Sales Data'!$C:$C,"Periodic")/1000,"")</f>
        <v>321.86195075999996</v>
      </c>
      <c r="BN34" s="163" t="str">
        <f>IF(OR(BN$8=1,BN$9=0),SUMIFS('Sales Data'!$E:$E,'Sales Data'!$A:$A,$E$2,'Sales Data'!$B:$B,BN$15,'Sales Data'!$C:$C,"Periodic")/1000,"")</f>
        <v/>
      </c>
      <c r="BO34" s="163" t="str">
        <f>IF(OR(BO$8=1,BO$9=0),SUMIFS('Sales Data'!$E:$E,'Sales Data'!$A:$A,$E$2,'Sales Data'!$B:$B,BO$15,'Sales Data'!$C:$C,"Periodic")/1000,"")</f>
        <v/>
      </c>
      <c r="BP34" s="163" t="str">
        <f>IF(OR(BP$8=1,BP$9=0),SUMIFS('Sales Data'!$E:$E,'Sales Data'!$A:$A,$E$2,'Sales Data'!$B:$B,BP$15,'Sales Data'!$C:$C,"Periodic")/1000,"")</f>
        <v/>
      </c>
      <c r="BQ34" s="163" t="str">
        <f>IF(OR(BQ$8=1,BQ$9=0),SUMIFS('Sales Data'!$E:$E,'Sales Data'!$A:$A,$E$2,'Sales Data'!$B:$B,BQ$15,'Sales Data'!$C:$C,"Periodic")/1000,"")</f>
        <v/>
      </c>
      <c r="BR34" s="163" t="str">
        <f>IF(OR(BR$8=1,BR$9=0),SUMIFS('Sales Data'!$E:$E,'Sales Data'!$A:$A,$E$2,'Sales Data'!$B:$B,BR$15,'Sales Data'!$C:$C,"Periodic")/1000,"")</f>
        <v/>
      </c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 spans="1:83" s="84" customFormat="1" ht="12.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T35" s="112" t="str">
        <f>+T19</f>
        <v>2019 Actual</v>
      </c>
      <c r="U35" s="192">
        <f>IFERROR(U19/X18-1,"")</f>
        <v>-0.1169284467713787</v>
      </c>
      <c r="V35" s="192">
        <f t="shared" ref="V35:X36" si="35">IFERROR(V19/U19-1,"")</f>
        <v>0.20553359683794459</v>
      </c>
      <c r="W35" s="192">
        <f t="shared" si="35"/>
        <v>-3.2786885245901232E-3</v>
      </c>
      <c r="X35" s="149">
        <f t="shared" si="35"/>
        <v>0.17598684210526305</v>
      </c>
      <c r="Y35" s="131"/>
      <c r="Z35" s="112" t="str">
        <f>+Z19</f>
        <v>2019 Actual</v>
      </c>
      <c r="AA35" s="192">
        <f>IFERROR(AA19/AD18-1,"")</f>
        <v>-3.5454732872630235E-2</v>
      </c>
      <c r="AB35" s="192">
        <f t="shared" ref="AB35:AD36" si="36">IFERROR(AB19/AA19-1,"")</f>
        <v>0.31075826841834653</v>
      </c>
      <c r="AC35" s="192">
        <f t="shared" si="36"/>
        <v>-0.14617969429528999</v>
      </c>
      <c r="AD35" s="149">
        <f t="shared" si="36"/>
        <v>0.24506770530579058</v>
      </c>
      <c r="AE35" s="199"/>
      <c r="AF35" s="179"/>
      <c r="AG35" s="131"/>
      <c r="AH35" s="166" t="s">
        <v>1</v>
      </c>
      <c r="AI35" s="1"/>
      <c r="AJ35" s="1"/>
      <c r="AK35" s="1"/>
      <c r="AL35" s="1"/>
      <c r="BG35" s="163" t="str">
        <f>IF(OR(BG$8=1,BG$9=1),SUMIFS('Sales Data'!$D:$D,'Sales Data'!$A:$A,$E$2,'Sales Data'!$B:$B,BG$15,'Sales Data'!$C:$C,"Periodic")/1000,"")</f>
        <v/>
      </c>
      <c r="BH35" s="163" t="str">
        <f>IF(OR(BH$8=1,BH$9=1),SUMIFS('Sales Data'!$D:$D,'Sales Data'!$A:$A,$E$2,'Sales Data'!$B:$B,BH$15,'Sales Data'!$C:$C,"Periodic")/1000,"")</f>
        <v/>
      </c>
      <c r="BI35" s="163" t="str">
        <f>IF(OR(BI$8=1,BI$9=1),SUMIFS('Sales Data'!$D:$D,'Sales Data'!$A:$A,$E$2,'Sales Data'!$B:$B,BI$15,'Sales Data'!$C:$C,"Periodic")/1000,"")</f>
        <v/>
      </c>
      <c r="BJ35" s="163" t="str">
        <f>IF(OR(BJ$8=1,BJ$9=1),SUMIFS('Sales Data'!$D:$D,'Sales Data'!$A:$A,$E$2,'Sales Data'!$B:$B,BJ$15,'Sales Data'!$C:$C,"Periodic")/1000,"")</f>
        <v/>
      </c>
      <c r="BK35" s="163" t="str">
        <f>IF(OR(BK$8=1,BK$9=1),SUMIFS('Sales Data'!$D:$D,'Sales Data'!$A:$A,$E$2,'Sales Data'!$B:$B,BK$15,'Sales Data'!$C:$C,"Periodic")/1000,"")</f>
        <v/>
      </c>
      <c r="BL35" s="163" t="str">
        <f>IF(OR(BL$8=1,BL$9=1),SUMIFS('Sales Data'!$D:$D,'Sales Data'!$A:$A,$E$2,'Sales Data'!$B:$B,BL$15,'Sales Data'!$C:$C,"Periodic")/1000,"")</f>
        <v/>
      </c>
      <c r="BM35" s="163">
        <f>IF(OR(BM$8=1,BM$9=1),SUMIFS('Sales Data'!$D:$D,'Sales Data'!$A:$A,$E$2,'Sales Data'!$B:$B,BM$15,'Sales Data'!$C:$C,"Periodic")/1000,"")</f>
        <v>451.00764205129218</v>
      </c>
      <c r="BN35" s="163">
        <f>IF(OR(BN$8=1,BN$9=1),SUMIFS('Sales Data'!$D:$D,'Sales Data'!$A:$A,$E$2,'Sales Data'!$B:$B,BN$15,'Sales Data'!$C:$C,"Periodic")/1000,"")</f>
        <v>491.98578134349322</v>
      </c>
      <c r="BO35" s="163">
        <f>IF(OR(BO$8=1,BO$9=1),SUMIFS('Sales Data'!$D:$D,'Sales Data'!$A:$A,$E$2,'Sales Data'!$B:$B,BO$15,'Sales Data'!$C:$C,"Periodic")/1000,"")</f>
        <v>456.19993660066439</v>
      </c>
      <c r="BP35" s="163">
        <f>IF(OR(BP$8=1,BP$9=1),SUMIFS('Sales Data'!$D:$D,'Sales Data'!$A:$A,$E$2,'Sales Data'!$B:$B,BP$15,'Sales Data'!$C:$C,"Periodic")/1000,"")</f>
        <v>500.8574860792931</v>
      </c>
      <c r="BQ35" s="163">
        <f>IF(OR(BQ$8=1,BQ$9=1),SUMIFS('Sales Data'!$D:$D,'Sales Data'!$A:$A,$E$2,'Sales Data'!$B:$B,BQ$15,'Sales Data'!$C:$C,"Periodic")/1000,"")</f>
        <v>516.25265694857467</v>
      </c>
      <c r="BR35" s="163">
        <f>IF(OR(BR$8=1,BR$9=1),SUMIFS('Sales Data'!$D:$D,'Sales Data'!$A:$A,$E$2,'Sales Data'!$B:$B,BR$15,'Sales Data'!$C:$C,"Periodic")/1000,"")</f>
        <v>457.06834442026269</v>
      </c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 spans="1:83" s="84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2" t="str">
        <f>+T20</f>
        <v>2020 Budget</v>
      </c>
      <c r="U36" s="192">
        <f>IFERROR(U20/X19-1,"")</f>
        <v>2.5791625734265855E-2</v>
      </c>
      <c r="V36" s="192">
        <f t="shared" si="35"/>
        <v>0.19490615780023668</v>
      </c>
      <c r="W36" s="192">
        <f t="shared" si="35"/>
        <v>-3.5059936142329828E-3</v>
      </c>
      <c r="X36" s="149">
        <f t="shared" si="35"/>
        <v>3.074668665658975E-2</v>
      </c>
      <c r="Y36" s="170"/>
      <c r="Z36" s="112" t="str">
        <f>+Z20</f>
        <v>2020 Budget</v>
      </c>
      <c r="AA36" s="192">
        <f>IFERROR(AA20/AD19-1,"")</f>
        <v>-0.12397491326071408</v>
      </c>
      <c r="AB36" s="192">
        <f t="shared" si="36"/>
        <v>3.7765436701905797E-2</v>
      </c>
      <c r="AC36" s="192">
        <f t="shared" si="36"/>
        <v>-0.10329710762476574</v>
      </c>
      <c r="AD36" s="149">
        <f t="shared" si="36"/>
        <v>5.3591683320255656E-2</v>
      </c>
      <c r="AE36" s="179"/>
      <c r="AF36" s="179"/>
      <c r="AG36" s="131"/>
      <c r="AH36" s="171" t="s">
        <v>26</v>
      </c>
      <c r="BG36" s="174" t="str">
        <f>IF(BG$9,FORECAST(BG$12,$AP34:BF34,$AP12:BF12), "")</f>
        <v/>
      </c>
      <c r="BH36" s="174" t="str">
        <f>IF(BH$9,FORECAST(BH$12,$AP34:BG34,$AP12:BG12), "")</f>
        <v/>
      </c>
      <c r="BI36" s="174" t="str">
        <f>IF(BI$9,FORECAST(BI$12,$AP34:BH34,$AP12:BH12), "")</f>
        <v/>
      </c>
      <c r="BJ36" s="174" t="str">
        <f>IF(BJ$9,FORECAST(BJ$12,$AP34:BI34,$AP12:BI12), "")</f>
        <v/>
      </c>
      <c r="BK36" s="174" t="str">
        <f>IF(BK$9,FORECAST(BK$12,$AP34:BJ34,$AP12:BJ12), "")</f>
        <v/>
      </c>
      <c r="BL36" s="174" t="str">
        <f>IF(BL$9,FORECAST(BL$12,$AP34:BK34,$AP12:BK12), "")</f>
        <v/>
      </c>
      <c r="BM36" s="174" t="str">
        <f>IF(BM$9,FORECAST(BM$12,$AP34:BL34,$AP12:BL12), "")</f>
        <v/>
      </c>
      <c r="BN36" s="174">
        <f>IF(BN$9,FORECAST(BN$12,$AP34:BM34,$AP12:BM12), "")</f>
        <v>336.70608153803062</v>
      </c>
      <c r="BO36" s="174">
        <f>IF(BO$9,FORECAST(BO$12,$AP34:BN34,$AP12:BN12), "")</f>
        <v>318.06440601637519</v>
      </c>
      <c r="BP36" s="174">
        <f>IF(BP$9,FORECAST(BP$12,$AP34:BO34,$AP12:BO12), "")</f>
        <v>299.42273049471981</v>
      </c>
      <c r="BQ36" s="174">
        <f>IF(BQ$9,FORECAST(BQ$12,$AP34:BP34,$AP12:BP12), "")</f>
        <v>280.78105497306439</v>
      </c>
      <c r="BR36" s="174">
        <f>IF(BR$9,FORECAST(BR$12,$AP34:BQ34,$AP12:BQ12), "")</f>
        <v>262.13937945140901</v>
      </c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 spans="1:83" s="84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2" t="str">
        <f>+T21</f>
        <v>2020 Actual</v>
      </c>
      <c r="U37" s="192">
        <f>IF(U21&lt;&gt;0,IFERROR(U21/X19-1,""),"")</f>
        <v>-0.18461538461538463</v>
      </c>
      <c r="V37" s="192">
        <f>IF(V21&lt;&gt;0,IFERROR(V21/U21-1,""),"")</f>
        <v>-2.7444253859348233E-2</v>
      </c>
      <c r="W37" s="192">
        <f>IF(W21&lt;&gt;0,IFERROR(W21/V21-1,""),"")</f>
        <v>-0.65079365079365081</v>
      </c>
      <c r="X37" s="149" t="str">
        <f>IF(X21&lt;&gt;0,IFERROR(X21/W21-1,""),"")</f>
        <v/>
      </c>
      <c r="Y37" s="179"/>
      <c r="Z37" s="112" t="str">
        <f>+Z21</f>
        <v>2020 Actual</v>
      </c>
      <c r="AA37" s="192">
        <f>IF(AA21&lt;&gt;0,IFERROR(AA21/AD19-1,""),"")</f>
        <v>-0.29214768809972502</v>
      </c>
      <c r="AB37" s="192">
        <f>IF(AB21&lt;&gt;0,IFERROR(AB21/AA21-1,""),"")</f>
        <v>3.4482477203426232E-2</v>
      </c>
      <c r="AC37" s="192">
        <f>IF(AC21&lt;&gt;0,IFERROR(AC21/AB21-1,""),"")</f>
        <v>-0.74391129369152753</v>
      </c>
      <c r="AD37" s="149" t="str">
        <f>IF(AD21&lt;&gt;0,IFERROR(AD21/AC21-1,""),"")</f>
        <v/>
      </c>
      <c r="AE37" s="179"/>
      <c r="AF37" s="179"/>
      <c r="AG37" s="170"/>
      <c r="AH37" s="171" t="s">
        <v>90</v>
      </c>
      <c r="BG37" s="174" t="str">
        <f>IF(BG$9,FORECAST(BG$13,$AP34:BF34,$AP13:BF13), "")</f>
        <v/>
      </c>
      <c r="BH37" s="174" t="str">
        <f>IF(BH$9,FORECAST(BH$13,$AP34:BG34,$AP13:BG13), "")</f>
        <v/>
      </c>
      <c r="BI37" s="174" t="str">
        <f>IF(BI$9,FORECAST(BI$13,$AP34:BH34,$AP13:BH13), "")</f>
        <v/>
      </c>
      <c r="BJ37" s="174" t="str">
        <f>IF(BJ$9,FORECAST(BJ$13,$AP34:BI34,$AP13:BI13), "")</f>
        <v/>
      </c>
      <c r="BK37" s="174" t="str">
        <f>IF(BK$9,FORECAST(BK$13,$AP34:BJ34,$AP13:BJ13), "")</f>
        <v/>
      </c>
      <c r="BL37" s="174" t="str">
        <f>IF(BL$9,FORECAST(BL$13,$AP34:BK34,$AP13:BK13), "")</f>
        <v/>
      </c>
      <c r="BM37" s="174" t="str">
        <f>IF(BM$9,FORECAST(BM$13,$AP34:BL34,$AP13:BL13), "")</f>
        <v/>
      </c>
      <c r="BN37" s="174">
        <f>IF(BN$9,FORECAST(BN$13,$AP34:BM34,$AP13:BM13), "")</f>
        <v>392.36968685664988</v>
      </c>
      <c r="BO37" s="174">
        <f>IF(BO$9,FORECAST(BO$13,$AP34:BN34,$AP13:BN13), "")</f>
        <v>384.55243955269555</v>
      </c>
      <c r="BP37" s="174">
        <f>IF(BP$9,FORECAST(BP$13,$AP34:BO34,$AP13:BO13), "")</f>
        <v>376.73519224874121</v>
      </c>
      <c r="BQ37" s="174">
        <f>IF(BQ$9,FORECAST(BQ$13,$AP34:BP34,$AP13:BP13), "")</f>
        <v>368.91794494478694</v>
      </c>
      <c r="BR37" s="174">
        <f>IF(BR$9,FORECAST(BR$13,$AP34:BQ34,$AP13:BQ13), "")</f>
        <v>361.10069764083261</v>
      </c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 spans="1:83" s="84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51" t="s">
        <v>34</v>
      </c>
      <c r="U38" s="193">
        <f>IFERROR(U22/X19-1,"")</f>
        <v>-0.18461538461538463</v>
      </c>
      <c r="V38" s="193">
        <f>IFERROR(V22/U22-1,"")</f>
        <v>-2.7444253859348233E-2</v>
      </c>
      <c r="W38" s="193">
        <f>IFERROR(W22/V22-1,"")</f>
        <v>0.15612417510132204</v>
      </c>
      <c r="X38" s="194">
        <f>IFERROR(X22/W22-1,"")</f>
        <v>8.5129291913053073E-2</v>
      </c>
      <c r="Y38" s="179"/>
      <c r="Z38" s="151" t="s">
        <v>34</v>
      </c>
      <c r="AA38" s="193">
        <f>IFERROR(AA22/AD19-1,"")</f>
        <v>-0.29214768809972502</v>
      </c>
      <c r="AB38" s="193">
        <f>IFERROR(AB22/AA22-1,"")</f>
        <v>3.4482477203426232E-2</v>
      </c>
      <c r="AC38" s="193">
        <f>IFERROR(AC22/AB22-1,"")</f>
        <v>1.0510449155456847E-2</v>
      </c>
      <c r="AD38" s="194">
        <f>IFERROR(AD22/AC22-1,"")</f>
        <v>0.16072689535523477</v>
      </c>
      <c r="AE38" s="1"/>
      <c r="AF38" s="1"/>
      <c r="AG38" s="179"/>
      <c r="AH38" s="166" t="s">
        <v>1</v>
      </c>
      <c r="AI38" s="1"/>
      <c r="AJ38" s="1"/>
      <c r="AK38" s="1"/>
      <c r="BG38" s="163">
        <f>SUMIFS('Sales Data'!$D:$D,'Sales Data'!$A:$A,$E$2,'Sales Data'!$B:$B,BG$15,'Sales Data'!$C:$C,"Periodic")/1000</f>
        <v>510.53315585713494</v>
      </c>
      <c r="BH38" s="163">
        <f>SUMIFS('Sales Data'!$D:$D,'Sales Data'!$A:$A,$E$2,'Sales Data'!$B:$B,BH$15,'Sales Data'!$C:$C,"Periodic")/1000</f>
        <v>512.81952569877456</v>
      </c>
      <c r="BI38" s="163">
        <f>SUMIFS('Sales Data'!$D:$D,'Sales Data'!$A:$A,$E$2,'Sales Data'!$B:$B,BI$15,'Sales Data'!$C:$C,"Periodic")/1000</f>
        <v>480.2391672672897</v>
      </c>
      <c r="BJ38" s="163">
        <f>SUMIFS('Sales Data'!$D:$D,'Sales Data'!$A:$A,$E$2,'Sales Data'!$B:$B,BJ$15,'Sales Data'!$C:$C,"Periodic")/1000</f>
        <v>523.32731507337894</v>
      </c>
      <c r="BK38" s="163">
        <f>SUMIFS('Sales Data'!$D:$D,'Sales Data'!$A:$A,$E$2,'Sales Data'!$B:$B,BK$15,'Sales Data'!$C:$C,"Periodic")/1000</f>
        <v>510.74623835263452</v>
      </c>
      <c r="BL38" s="163">
        <f>SUMIFS('Sales Data'!$D:$D,'Sales Data'!$A:$A,$E$2,'Sales Data'!$B:$B,BL$15,'Sales Data'!$C:$C,"Periodic")/1000</f>
        <v>526.30209818941967</v>
      </c>
      <c r="BM38" s="163">
        <f>SUMIFS('Sales Data'!$D:$D,'Sales Data'!$A:$A,$E$2,'Sales Data'!$B:$B,BM$15,'Sales Data'!$C:$C,"Periodic")/1000</f>
        <v>451.00764205129218</v>
      </c>
      <c r="BN38" s="163">
        <f>SUMIFS('Sales Data'!$D:$D,'Sales Data'!$A:$A,$E$2,'Sales Data'!$B:$B,BN$15,'Sales Data'!$C:$C,"Periodic")/1000</f>
        <v>491.98578134349322</v>
      </c>
      <c r="BO38" s="163">
        <f>SUMIFS('Sales Data'!$D:$D,'Sales Data'!$A:$A,$E$2,'Sales Data'!$B:$B,BO$15,'Sales Data'!$C:$C,"Periodic")/1000</f>
        <v>456.19993660066439</v>
      </c>
      <c r="BP38" s="163">
        <f>SUMIFS('Sales Data'!$D:$D,'Sales Data'!$A:$A,$E$2,'Sales Data'!$B:$B,BP$15,'Sales Data'!$C:$C,"Periodic")/1000</f>
        <v>500.8574860792931</v>
      </c>
      <c r="BQ38" s="163">
        <f>SUMIFS('Sales Data'!$D:$D,'Sales Data'!$A:$A,$E$2,'Sales Data'!$B:$B,BQ$15,'Sales Data'!$C:$C,"Periodic")/1000</f>
        <v>516.25265694857467</v>
      </c>
      <c r="BR38" s="163">
        <f>SUMIFS('Sales Data'!$D:$D,'Sales Data'!$A:$A,$E$2,'Sales Data'!$B:$B,BR$15,'Sales Data'!$C:$C,"Periodic")/1000</f>
        <v>457.06834442026269</v>
      </c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 spans="1:83" s="84" customFormat="1" x14ac:dyDescent="0.2">
      <c r="A39" s="1"/>
      <c r="B39" s="1"/>
      <c r="C39" s="1"/>
      <c r="D39" s="1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1"/>
      <c r="Y39" s="1"/>
      <c r="Z39" s="1"/>
      <c r="AA39" s="1"/>
      <c r="AB39" s="1"/>
      <c r="AC39" s="1"/>
      <c r="AD39" s="1"/>
      <c r="AE39" s="1"/>
      <c r="AF39" s="1"/>
      <c r="AG39" s="131"/>
      <c r="AH39" s="181" t="s">
        <v>34</v>
      </c>
      <c r="AI39" s="1"/>
      <c r="AJ39" s="1"/>
      <c r="AK39" s="1"/>
      <c r="BG39" s="163" t="str">
        <f t="shared" ref="BG39:BR39" si="37">IF(OR(BG$8=1,BG$9=1),F17,"")</f>
        <v/>
      </c>
      <c r="BH39" s="163" t="str">
        <f t="shared" si="37"/>
        <v/>
      </c>
      <c r="BI39" s="163" t="str">
        <f t="shared" si="37"/>
        <v/>
      </c>
      <c r="BJ39" s="163" t="str">
        <f t="shared" si="37"/>
        <v/>
      </c>
      <c r="BK39" s="163" t="str">
        <f t="shared" si="37"/>
        <v/>
      </c>
      <c r="BL39" s="163" t="str">
        <f t="shared" si="37"/>
        <v/>
      </c>
      <c r="BM39" s="163">
        <f t="shared" si="37"/>
        <v>321.86195075999996</v>
      </c>
      <c r="BN39" s="163">
        <f t="shared" si="37"/>
        <v>491.98578134349322</v>
      </c>
      <c r="BO39" s="163">
        <f t="shared" si="37"/>
        <v>456.19993660066439</v>
      </c>
      <c r="BP39" s="163">
        <f t="shared" si="37"/>
        <v>500.8574860792931</v>
      </c>
      <c r="BQ39" s="163">
        <f t="shared" si="37"/>
        <v>516.25265694857467</v>
      </c>
      <c r="BR39" s="163">
        <f t="shared" si="37"/>
        <v>457.06834442026269</v>
      </c>
      <c r="BS39" s="89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 spans="1:83" s="84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1"/>
      <c r="AF40" s="1"/>
      <c r="AG40" s="131"/>
      <c r="AH40" s="187" t="s">
        <v>26</v>
      </c>
      <c r="AI40" s="1"/>
      <c r="AJ40" s="1"/>
      <c r="AK40" s="1"/>
      <c r="BG40" s="174">
        <f t="shared" ref="BG40:BR40" si="38">IF(BG36="",BG38,BG36)</f>
        <v>510.53315585713494</v>
      </c>
      <c r="BH40" s="174">
        <f t="shared" si="38"/>
        <v>512.81952569877456</v>
      </c>
      <c r="BI40" s="174">
        <f t="shared" si="38"/>
        <v>480.2391672672897</v>
      </c>
      <c r="BJ40" s="174">
        <f t="shared" si="38"/>
        <v>523.32731507337894</v>
      </c>
      <c r="BK40" s="174">
        <f t="shared" si="38"/>
        <v>510.74623835263452</v>
      </c>
      <c r="BL40" s="174">
        <f t="shared" si="38"/>
        <v>526.30209818941967</v>
      </c>
      <c r="BM40" s="174">
        <f t="shared" si="38"/>
        <v>451.00764205129218</v>
      </c>
      <c r="BN40" s="174">
        <f t="shared" si="38"/>
        <v>336.70608153803062</v>
      </c>
      <c r="BO40" s="174">
        <f t="shared" si="38"/>
        <v>318.06440601637519</v>
      </c>
      <c r="BP40" s="174">
        <f t="shared" si="38"/>
        <v>299.42273049471981</v>
      </c>
      <c r="BQ40" s="174">
        <f t="shared" si="38"/>
        <v>280.78105497306439</v>
      </c>
      <c r="BR40" s="174">
        <f t="shared" si="38"/>
        <v>262.13937945140901</v>
      </c>
      <c r="BS40" s="190">
        <f>SUM(BG40:BR40)</f>
        <v>5012.0887949635235</v>
      </c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 spans="1:83" s="84" customFormat="1" x14ac:dyDescent="0.2">
      <c r="A41" s="200"/>
      <c r="B41" s="2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00"/>
      <c r="Y41" s="1"/>
      <c r="Z41" s="1"/>
      <c r="AA41" s="1"/>
      <c r="AB41" s="1"/>
      <c r="AC41" s="1"/>
      <c r="AD41" s="1"/>
      <c r="AE41" s="1"/>
      <c r="AF41" s="1"/>
      <c r="AG41" s="7" t="s">
        <v>30</v>
      </c>
      <c r="AH41" s="187" t="s">
        <v>90</v>
      </c>
      <c r="AI41" s="1"/>
      <c r="AJ41" s="1"/>
      <c r="AK41" s="1"/>
      <c r="BG41" s="174">
        <f t="shared" ref="BG41:BR41" si="39">IF(BG37="",BG38,BG37)</f>
        <v>510.53315585713494</v>
      </c>
      <c r="BH41" s="174">
        <f t="shared" si="39"/>
        <v>512.81952569877456</v>
      </c>
      <c r="BI41" s="174">
        <f t="shared" si="39"/>
        <v>480.2391672672897</v>
      </c>
      <c r="BJ41" s="174">
        <f t="shared" si="39"/>
        <v>523.32731507337894</v>
      </c>
      <c r="BK41" s="174">
        <f t="shared" si="39"/>
        <v>510.74623835263452</v>
      </c>
      <c r="BL41" s="174">
        <f t="shared" si="39"/>
        <v>526.30209818941967</v>
      </c>
      <c r="BM41" s="174">
        <f t="shared" si="39"/>
        <v>451.00764205129218</v>
      </c>
      <c r="BN41" s="174">
        <f t="shared" si="39"/>
        <v>392.36968685664988</v>
      </c>
      <c r="BO41" s="174">
        <f t="shared" si="39"/>
        <v>384.55243955269555</v>
      </c>
      <c r="BP41" s="174">
        <f t="shared" si="39"/>
        <v>376.73519224874121</v>
      </c>
      <c r="BQ41" s="174">
        <f t="shared" si="39"/>
        <v>368.91794494478694</v>
      </c>
      <c r="BR41" s="174">
        <f t="shared" si="39"/>
        <v>361.10069764083261</v>
      </c>
      <c r="BS41" s="190">
        <f>SUM(BG41:BR41)</f>
        <v>5398.6511037336304</v>
      </c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 spans="1:83" s="84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00"/>
      <c r="Y42" s="1"/>
      <c r="Z42" s="1"/>
      <c r="AA42" s="1"/>
      <c r="AB42" s="1"/>
      <c r="AC42" s="1"/>
      <c r="AD42" s="1"/>
      <c r="AE42" s="1"/>
      <c r="AF42" s="1"/>
      <c r="AG42" s="179"/>
      <c r="AI42" s="1"/>
      <c r="AJ42" s="1"/>
      <c r="AK42" s="1"/>
      <c r="AL42" s="1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89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 spans="1:83" s="84" customFormat="1" x14ac:dyDescent="0.2">
      <c r="A43" s="1"/>
      <c r="B43" s="1"/>
      <c r="C43" s="200"/>
      <c r="D43" s="20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00"/>
      <c r="Y43" s="1"/>
      <c r="Z43" s="1"/>
      <c r="AA43" s="1"/>
      <c r="AB43" s="1"/>
      <c r="AC43" s="1"/>
      <c r="AD43" s="1"/>
      <c r="AE43" s="1"/>
      <c r="AF43" s="1"/>
      <c r="AG43" s="7" t="s">
        <v>89</v>
      </c>
      <c r="AH43" s="167" t="str">
        <f>AH34</f>
        <v>Actual</v>
      </c>
      <c r="AI43" s="1"/>
      <c r="AJ43" s="1"/>
      <c r="AK43" s="1"/>
      <c r="AL43" s="1"/>
      <c r="AM43" s="78"/>
      <c r="AN43" s="78"/>
      <c r="AO43" s="78"/>
      <c r="AP43" s="78"/>
      <c r="AQ43" s="78"/>
      <c r="AR43" s="78"/>
      <c r="AS43" s="78"/>
      <c r="AT43" s="78"/>
      <c r="AU43" s="163">
        <f t="shared" ref="AU43:BR43" si="40">IF(AU34="",NA(),AU34)</f>
        <v>450.49034758227958</v>
      </c>
      <c r="AV43" s="163">
        <f t="shared" si="40"/>
        <v>418.08676739741873</v>
      </c>
      <c r="AW43" s="163">
        <f t="shared" si="40"/>
        <v>363.19782962765345</v>
      </c>
      <c r="AX43" s="163">
        <f t="shared" si="40"/>
        <v>589.79345417409127</v>
      </c>
      <c r="AY43" s="163">
        <f t="shared" si="40"/>
        <v>473.90503862800011</v>
      </c>
      <c r="AZ43" s="163">
        <f t="shared" si="40"/>
        <v>550.86070067254582</v>
      </c>
      <c r="BA43" s="163">
        <f t="shared" si="40"/>
        <v>445.98745644892921</v>
      </c>
      <c r="BB43" s="163">
        <f t="shared" si="40"/>
        <v>508.46155316924569</v>
      </c>
      <c r="BC43" s="163">
        <f t="shared" si="40"/>
        <v>424.09441453268971</v>
      </c>
      <c r="BD43" s="163">
        <f t="shared" si="40"/>
        <v>633.17249457973378</v>
      </c>
      <c r="BE43" s="163">
        <f t="shared" si="40"/>
        <v>700.03736602136826</v>
      </c>
      <c r="BF43" s="163">
        <f t="shared" si="40"/>
        <v>383.17003717080217</v>
      </c>
      <c r="BG43" s="163">
        <f t="shared" si="40"/>
        <v>448.48043121900002</v>
      </c>
      <c r="BH43" s="163">
        <f t="shared" si="40"/>
        <v>404.02749370800007</v>
      </c>
      <c r="BI43" s="163">
        <f t="shared" si="40"/>
        <v>362.43555380999999</v>
      </c>
      <c r="BJ43" s="163">
        <f t="shared" si="40"/>
        <v>309.66281012400003</v>
      </c>
      <c r="BK43" s="163">
        <f t="shared" si="40"/>
        <v>462.26029832099994</v>
      </c>
      <c r="BL43" s="163">
        <f t="shared" si="40"/>
        <v>484.914631101</v>
      </c>
      <c r="BM43" s="163">
        <f t="shared" si="40"/>
        <v>321.86195075999996</v>
      </c>
      <c r="BN43" s="163" t="e">
        <f t="shared" si="40"/>
        <v>#N/A</v>
      </c>
      <c r="BO43" s="163" t="e">
        <f t="shared" si="40"/>
        <v>#N/A</v>
      </c>
      <c r="BP43" s="163" t="e">
        <f t="shared" si="40"/>
        <v>#N/A</v>
      </c>
      <c r="BQ43" s="163" t="e">
        <f t="shared" si="40"/>
        <v>#N/A</v>
      </c>
      <c r="BR43" s="163" t="e">
        <f t="shared" si="40"/>
        <v>#N/A</v>
      </c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 spans="1:83" s="200" customFormat="1" ht="13.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U44" s="84"/>
      <c r="V44" s="84"/>
      <c r="W44" s="84"/>
      <c r="X44" s="84"/>
      <c r="Y44" s="1"/>
      <c r="Z44" s="1"/>
      <c r="AA44" s="1"/>
      <c r="AB44" s="1"/>
      <c r="AC44" s="1"/>
      <c r="AD44" s="1"/>
      <c r="AG44" s="84"/>
      <c r="AH44" s="167" t="str">
        <f>AH38</f>
        <v>Budget</v>
      </c>
      <c r="AI44" s="1"/>
      <c r="AJ44" s="1"/>
      <c r="AK44" s="1"/>
      <c r="AL44" s="1"/>
      <c r="AM44" s="78"/>
      <c r="AN44" s="78"/>
      <c r="AO44" s="78"/>
      <c r="AP44" s="78"/>
      <c r="AQ44" s="78"/>
      <c r="AR44" s="78"/>
      <c r="AS44" s="78"/>
      <c r="AT44" s="78"/>
      <c r="AU44" s="163" t="e">
        <f t="shared" ref="AU44:BR44" si="41">IF(AU35="",NA(),AU35)</f>
        <v>#N/A</v>
      </c>
      <c r="AV44" s="163" t="e">
        <f t="shared" si="41"/>
        <v>#N/A</v>
      </c>
      <c r="AW44" s="163" t="e">
        <f t="shared" si="41"/>
        <v>#N/A</v>
      </c>
      <c r="AX44" s="163" t="e">
        <f t="shared" si="41"/>
        <v>#N/A</v>
      </c>
      <c r="AY44" s="163" t="e">
        <f t="shared" si="41"/>
        <v>#N/A</v>
      </c>
      <c r="AZ44" s="163" t="e">
        <f t="shared" si="41"/>
        <v>#N/A</v>
      </c>
      <c r="BA44" s="163" t="e">
        <f t="shared" si="41"/>
        <v>#N/A</v>
      </c>
      <c r="BB44" s="163" t="e">
        <f t="shared" si="41"/>
        <v>#N/A</v>
      </c>
      <c r="BC44" s="163" t="e">
        <f t="shared" si="41"/>
        <v>#N/A</v>
      </c>
      <c r="BD44" s="163" t="e">
        <f t="shared" si="41"/>
        <v>#N/A</v>
      </c>
      <c r="BE44" s="163" t="e">
        <f t="shared" si="41"/>
        <v>#N/A</v>
      </c>
      <c r="BF44" s="163" t="e">
        <f t="shared" si="41"/>
        <v>#N/A</v>
      </c>
      <c r="BG44" s="163" t="e">
        <f t="shared" si="41"/>
        <v>#N/A</v>
      </c>
      <c r="BH44" s="163" t="e">
        <f t="shared" si="41"/>
        <v>#N/A</v>
      </c>
      <c r="BI44" s="163" t="e">
        <f t="shared" si="41"/>
        <v>#N/A</v>
      </c>
      <c r="BJ44" s="163" t="e">
        <f t="shared" si="41"/>
        <v>#N/A</v>
      </c>
      <c r="BK44" s="163" t="e">
        <f t="shared" si="41"/>
        <v>#N/A</v>
      </c>
      <c r="BL44" s="163" t="e">
        <f t="shared" si="41"/>
        <v>#N/A</v>
      </c>
      <c r="BM44" s="163">
        <f t="shared" si="41"/>
        <v>451.00764205129218</v>
      </c>
      <c r="BN44" s="163">
        <f t="shared" si="41"/>
        <v>491.98578134349322</v>
      </c>
      <c r="BO44" s="163">
        <f t="shared" si="41"/>
        <v>456.19993660066439</v>
      </c>
      <c r="BP44" s="163">
        <f t="shared" si="41"/>
        <v>500.8574860792931</v>
      </c>
      <c r="BQ44" s="163">
        <f t="shared" si="41"/>
        <v>516.25265694857467</v>
      </c>
      <c r="BR44" s="163">
        <f t="shared" si="41"/>
        <v>457.06834442026269</v>
      </c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 spans="1:83" s="84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Y45" s="1"/>
      <c r="Z45" s="1"/>
      <c r="AA45" s="1"/>
      <c r="AB45" s="1"/>
      <c r="AC45" s="1"/>
      <c r="AD45" s="1"/>
      <c r="AE45" s="1"/>
      <c r="AF45" s="1"/>
      <c r="AH45" s="167" t="str">
        <f>AH36</f>
        <v>Trend 6m</v>
      </c>
      <c r="AI45" s="1"/>
      <c r="AJ45" s="1"/>
      <c r="AK45" s="1"/>
      <c r="AL45" s="1"/>
      <c r="AM45" s="78"/>
      <c r="AN45" s="78"/>
      <c r="AO45" s="78"/>
      <c r="AP45" s="78"/>
      <c r="AQ45" s="78"/>
      <c r="AR45" s="78"/>
      <c r="AS45" s="78"/>
      <c r="AT45" s="78"/>
      <c r="AU45" s="163" t="e">
        <f t="shared" ref="AU45:BR45" si="42">IF(AU36="",NA(),AU36)</f>
        <v>#N/A</v>
      </c>
      <c r="AV45" s="163" t="e">
        <f t="shared" si="42"/>
        <v>#N/A</v>
      </c>
      <c r="AW45" s="163" t="e">
        <f t="shared" si="42"/>
        <v>#N/A</v>
      </c>
      <c r="AX45" s="163" t="e">
        <f t="shared" si="42"/>
        <v>#N/A</v>
      </c>
      <c r="AY45" s="163" t="e">
        <f t="shared" si="42"/>
        <v>#N/A</v>
      </c>
      <c r="AZ45" s="163" t="e">
        <f t="shared" si="42"/>
        <v>#N/A</v>
      </c>
      <c r="BA45" s="163" t="e">
        <f t="shared" si="42"/>
        <v>#N/A</v>
      </c>
      <c r="BB45" s="163" t="e">
        <f t="shared" si="42"/>
        <v>#N/A</v>
      </c>
      <c r="BC45" s="163" t="e">
        <f t="shared" si="42"/>
        <v>#N/A</v>
      </c>
      <c r="BD45" s="163" t="e">
        <f t="shared" si="42"/>
        <v>#N/A</v>
      </c>
      <c r="BE45" s="163" t="e">
        <f t="shared" si="42"/>
        <v>#N/A</v>
      </c>
      <c r="BF45" s="163" t="e">
        <f t="shared" si="42"/>
        <v>#N/A</v>
      </c>
      <c r="BG45" s="163" t="e">
        <f t="shared" si="42"/>
        <v>#N/A</v>
      </c>
      <c r="BH45" s="163" t="e">
        <f t="shared" si="42"/>
        <v>#N/A</v>
      </c>
      <c r="BI45" s="163" t="e">
        <f t="shared" si="42"/>
        <v>#N/A</v>
      </c>
      <c r="BJ45" s="163" t="e">
        <f t="shared" si="42"/>
        <v>#N/A</v>
      </c>
      <c r="BK45" s="163" t="e">
        <f t="shared" si="42"/>
        <v>#N/A</v>
      </c>
      <c r="BL45" s="163" t="e">
        <f t="shared" si="42"/>
        <v>#N/A</v>
      </c>
      <c r="BM45" s="163" t="e">
        <f t="shared" si="42"/>
        <v>#N/A</v>
      </c>
      <c r="BN45" s="163">
        <f t="shared" si="42"/>
        <v>336.70608153803062</v>
      </c>
      <c r="BO45" s="163">
        <f t="shared" si="42"/>
        <v>318.06440601637519</v>
      </c>
      <c r="BP45" s="163">
        <f t="shared" si="42"/>
        <v>299.42273049471981</v>
      </c>
      <c r="BQ45" s="163">
        <f t="shared" si="42"/>
        <v>280.78105497306439</v>
      </c>
      <c r="BR45" s="163">
        <f t="shared" si="42"/>
        <v>262.13937945140901</v>
      </c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 spans="1:83" s="84" customForma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Y46" s="1"/>
      <c r="Z46" s="1"/>
      <c r="AA46" s="1"/>
      <c r="AB46" s="1"/>
      <c r="AC46" s="1"/>
      <c r="AD46" s="1"/>
      <c r="AE46" s="1"/>
      <c r="AF46" s="1"/>
      <c r="AH46" s="167" t="str">
        <f>AH37</f>
        <v>Trend 12m</v>
      </c>
      <c r="AI46" s="1"/>
      <c r="AJ46" s="1"/>
      <c r="AK46" s="1"/>
      <c r="AL46" s="1"/>
      <c r="AM46" s="78"/>
      <c r="AN46" s="78"/>
      <c r="AO46" s="78"/>
      <c r="AP46" s="78"/>
      <c r="AQ46" s="78"/>
      <c r="AR46" s="78"/>
      <c r="AS46" s="78"/>
      <c r="AT46" s="78"/>
      <c r="AU46" s="163" t="e">
        <f t="shared" ref="AU46:BR46" si="43">IF(AU37="",NA(),AU37)</f>
        <v>#N/A</v>
      </c>
      <c r="AV46" s="163" t="e">
        <f t="shared" si="43"/>
        <v>#N/A</v>
      </c>
      <c r="AW46" s="163" t="e">
        <f t="shared" si="43"/>
        <v>#N/A</v>
      </c>
      <c r="AX46" s="163" t="e">
        <f t="shared" si="43"/>
        <v>#N/A</v>
      </c>
      <c r="AY46" s="163" t="e">
        <f t="shared" si="43"/>
        <v>#N/A</v>
      </c>
      <c r="AZ46" s="163" t="e">
        <f t="shared" si="43"/>
        <v>#N/A</v>
      </c>
      <c r="BA46" s="163" t="e">
        <f t="shared" si="43"/>
        <v>#N/A</v>
      </c>
      <c r="BB46" s="163" t="e">
        <f t="shared" si="43"/>
        <v>#N/A</v>
      </c>
      <c r="BC46" s="163" t="e">
        <f t="shared" si="43"/>
        <v>#N/A</v>
      </c>
      <c r="BD46" s="163" t="e">
        <f t="shared" si="43"/>
        <v>#N/A</v>
      </c>
      <c r="BE46" s="163" t="e">
        <f t="shared" si="43"/>
        <v>#N/A</v>
      </c>
      <c r="BF46" s="163" t="e">
        <f t="shared" si="43"/>
        <v>#N/A</v>
      </c>
      <c r="BG46" s="163" t="e">
        <f t="shared" si="43"/>
        <v>#N/A</v>
      </c>
      <c r="BH46" s="163" t="e">
        <f t="shared" si="43"/>
        <v>#N/A</v>
      </c>
      <c r="BI46" s="163" t="e">
        <f t="shared" si="43"/>
        <v>#N/A</v>
      </c>
      <c r="BJ46" s="163" t="e">
        <f t="shared" si="43"/>
        <v>#N/A</v>
      </c>
      <c r="BK46" s="163" t="e">
        <f t="shared" si="43"/>
        <v>#N/A</v>
      </c>
      <c r="BL46" s="163" t="e">
        <f t="shared" si="43"/>
        <v>#N/A</v>
      </c>
      <c r="BM46" s="163" t="e">
        <f t="shared" si="43"/>
        <v>#N/A</v>
      </c>
      <c r="BN46" s="163">
        <f t="shared" si="43"/>
        <v>392.36968685664988</v>
      </c>
      <c r="BO46" s="163">
        <f t="shared" si="43"/>
        <v>384.55243955269555</v>
      </c>
      <c r="BP46" s="163">
        <f t="shared" si="43"/>
        <v>376.73519224874121</v>
      </c>
      <c r="BQ46" s="163">
        <f t="shared" si="43"/>
        <v>368.91794494478694</v>
      </c>
      <c r="BR46" s="163">
        <f t="shared" si="43"/>
        <v>361.10069764083261</v>
      </c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 spans="1:83" s="84" customForma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Y47" s="1"/>
      <c r="Z47" s="1"/>
      <c r="AA47" s="1"/>
      <c r="AB47" s="1"/>
      <c r="AC47" s="1"/>
      <c r="AD47" s="1"/>
      <c r="AE47" s="1"/>
      <c r="AF47" s="1"/>
      <c r="AG47" s="1"/>
      <c r="AH47" s="167" t="s">
        <v>34</v>
      </c>
      <c r="AI47" s="1"/>
      <c r="AJ47" s="1"/>
      <c r="AK47" s="1"/>
      <c r="AL47" s="201"/>
      <c r="AM47" s="113"/>
      <c r="AN47" s="113"/>
      <c r="AO47" s="113"/>
      <c r="AP47" s="113"/>
      <c r="AQ47" s="113"/>
      <c r="AR47" s="113"/>
      <c r="AS47" s="113"/>
      <c r="AT47" s="113"/>
      <c r="AU47" s="163" t="e">
        <f>IF(AU39="",NA(),AU39)</f>
        <v>#N/A</v>
      </c>
      <c r="AV47" s="163" t="e">
        <f t="shared" ref="AV47:BR47" si="44">IF(AV39="",NA(),AV39)</f>
        <v>#N/A</v>
      </c>
      <c r="AW47" s="163" t="e">
        <f t="shared" si="44"/>
        <v>#N/A</v>
      </c>
      <c r="AX47" s="163" t="e">
        <f t="shared" si="44"/>
        <v>#N/A</v>
      </c>
      <c r="AY47" s="163" t="e">
        <f t="shared" si="44"/>
        <v>#N/A</v>
      </c>
      <c r="AZ47" s="163" t="e">
        <f t="shared" si="44"/>
        <v>#N/A</v>
      </c>
      <c r="BA47" s="163" t="e">
        <f t="shared" si="44"/>
        <v>#N/A</v>
      </c>
      <c r="BB47" s="163" t="e">
        <f t="shared" si="44"/>
        <v>#N/A</v>
      </c>
      <c r="BC47" s="163" t="e">
        <f t="shared" si="44"/>
        <v>#N/A</v>
      </c>
      <c r="BD47" s="163" t="e">
        <f t="shared" si="44"/>
        <v>#N/A</v>
      </c>
      <c r="BE47" s="163" t="e">
        <f t="shared" si="44"/>
        <v>#N/A</v>
      </c>
      <c r="BF47" s="163" t="e">
        <f t="shared" si="44"/>
        <v>#N/A</v>
      </c>
      <c r="BG47" s="163" t="e">
        <f t="shared" si="44"/>
        <v>#N/A</v>
      </c>
      <c r="BH47" s="163" t="e">
        <f t="shared" si="44"/>
        <v>#N/A</v>
      </c>
      <c r="BI47" s="163" t="e">
        <f t="shared" si="44"/>
        <v>#N/A</v>
      </c>
      <c r="BJ47" s="163" t="e">
        <f t="shared" si="44"/>
        <v>#N/A</v>
      </c>
      <c r="BK47" s="163" t="e">
        <f t="shared" si="44"/>
        <v>#N/A</v>
      </c>
      <c r="BL47" s="163" t="e">
        <f t="shared" si="44"/>
        <v>#N/A</v>
      </c>
      <c r="BM47" s="163">
        <f t="shared" si="44"/>
        <v>321.86195075999996</v>
      </c>
      <c r="BN47" s="163">
        <f t="shared" si="44"/>
        <v>491.98578134349322</v>
      </c>
      <c r="BO47" s="163">
        <f t="shared" si="44"/>
        <v>456.19993660066439</v>
      </c>
      <c r="BP47" s="163">
        <f t="shared" si="44"/>
        <v>500.8574860792931</v>
      </c>
      <c r="BQ47" s="163">
        <f t="shared" si="44"/>
        <v>516.25265694857467</v>
      </c>
      <c r="BR47" s="163">
        <f t="shared" si="44"/>
        <v>457.06834442026269</v>
      </c>
      <c r="BS47" s="78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 spans="1:83" s="84" customForma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Y48" s="1"/>
      <c r="Z48" s="1"/>
      <c r="AA48" s="1"/>
      <c r="AB48" s="1"/>
      <c r="AC48" s="1"/>
      <c r="AD48" s="1"/>
      <c r="AE48" s="1"/>
      <c r="AF48" s="1"/>
      <c r="AH48" s="1"/>
      <c r="AI48" s="1"/>
      <c r="BS48" s="78"/>
      <c r="BW48" s="1"/>
      <c r="BX48" s="1"/>
      <c r="BY48" s="1"/>
      <c r="BZ48" s="1"/>
      <c r="CA48" s="1"/>
    </row>
    <row r="49" spans="1:79" s="84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Y49" s="1"/>
      <c r="Z49" s="1"/>
      <c r="AA49" s="1"/>
      <c r="AB49" s="1"/>
      <c r="AC49" s="1"/>
      <c r="AD49" s="1"/>
      <c r="AE49" s="1"/>
      <c r="AF49" s="1"/>
      <c r="AH49" s="1"/>
      <c r="AI49" s="1"/>
      <c r="BS49" s="78"/>
      <c r="BW49" s="1"/>
      <c r="BX49" s="1"/>
      <c r="BY49" s="1"/>
      <c r="BZ49" s="1"/>
      <c r="CA49" s="1"/>
    </row>
    <row r="50" spans="1:79" s="84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BS50" s="78"/>
      <c r="BW50" s="1"/>
      <c r="BX50" s="1"/>
      <c r="BY50" s="1"/>
      <c r="BZ50" s="1"/>
      <c r="CA50" s="1"/>
    </row>
    <row r="51" spans="1:79" s="84" customForma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BS51" s="78"/>
      <c r="BW51" s="1"/>
      <c r="BX51" s="1"/>
      <c r="BY51" s="1"/>
      <c r="BZ51" s="1"/>
      <c r="CA51" s="1"/>
    </row>
    <row r="52" spans="1:79" s="84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BW52" s="1"/>
      <c r="BX52" s="1"/>
      <c r="BY52" s="1"/>
      <c r="BZ52" s="1"/>
      <c r="CA52" s="1"/>
    </row>
    <row r="53" spans="1:79" s="84" customForma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BW53" s="1"/>
      <c r="BX53" s="1"/>
      <c r="BY53" s="1"/>
      <c r="BZ53" s="1"/>
      <c r="CA53" s="1"/>
    </row>
    <row r="54" spans="1:79" s="84" customForma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BW54" s="1"/>
      <c r="BX54" s="1"/>
      <c r="BY54" s="1"/>
      <c r="BZ54" s="1"/>
      <c r="CA54" s="1"/>
    </row>
    <row r="55" spans="1:79" s="84" customForma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BW55" s="1"/>
      <c r="BX55" s="1"/>
      <c r="BY55" s="1"/>
      <c r="BZ55" s="1"/>
      <c r="CA55" s="1"/>
    </row>
    <row r="56" spans="1:79" s="84" customForma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BW56" s="1"/>
      <c r="BX56" s="1"/>
      <c r="BY56" s="1"/>
      <c r="BZ56" s="1"/>
      <c r="CA56" s="1"/>
    </row>
    <row r="57" spans="1:79" s="84" customForma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BW57" s="1"/>
      <c r="BX57" s="1"/>
      <c r="BY57" s="1"/>
      <c r="BZ57" s="1"/>
      <c r="CA57" s="1"/>
    </row>
    <row r="58" spans="1:79" s="84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BW58" s="1"/>
      <c r="BX58" s="1"/>
      <c r="BY58" s="1"/>
      <c r="BZ58" s="1"/>
      <c r="CA58" s="1"/>
    </row>
    <row r="59" spans="1:79" x14ac:dyDescent="0.2">
      <c r="T59" s="84"/>
      <c r="U59" s="84"/>
      <c r="V59" s="84"/>
      <c r="W59" s="84"/>
      <c r="X59" s="84"/>
      <c r="AJ59" s="84"/>
    </row>
    <row r="60" spans="1:79" s="84" customForma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BW60" s="1"/>
      <c r="BX60" s="1"/>
      <c r="BY60" s="1"/>
      <c r="BZ60" s="1"/>
      <c r="CA60" s="1"/>
    </row>
    <row r="61" spans="1:79" s="84" customForma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BW61" s="1"/>
      <c r="BX61" s="1"/>
      <c r="BY61" s="1"/>
      <c r="BZ61" s="1"/>
      <c r="CA61" s="1"/>
    </row>
    <row r="62" spans="1:79" s="84" customForma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BW62" s="1"/>
      <c r="BX62" s="1"/>
      <c r="BY62" s="1"/>
      <c r="BZ62" s="1"/>
      <c r="CA62" s="1"/>
    </row>
    <row r="63" spans="1:79" s="84" customForma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BW63" s="1"/>
      <c r="BX63" s="1"/>
      <c r="BY63" s="1"/>
      <c r="BZ63" s="1"/>
      <c r="CA63" s="1"/>
    </row>
    <row r="64" spans="1:79" s="84" customForma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BW64" s="1"/>
      <c r="BX64" s="1"/>
      <c r="BY64" s="1"/>
      <c r="BZ64" s="1"/>
      <c r="CA64" s="1"/>
    </row>
    <row r="65" spans="1:79" s="84" customForma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BW65" s="1"/>
      <c r="BX65" s="1"/>
      <c r="BY65" s="1"/>
      <c r="BZ65" s="1"/>
      <c r="CA65" s="1"/>
    </row>
    <row r="66" spans="1:79" s="84" customForma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BW66" s="1"/>
      <c r="BX66" s="1"/>
      <c r="BY66" s="1"/>
      <c r="BZ66" s="1"/>
      <c r="CA66" s="1"/>
    </row>
    <row r="67" spans="1:79" s="84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BW67" s="1"/>
      <c r="BX67" s="1"/>
      <c r="BY67" s="1"/>
      <c r="BZ67" s="1"/>
      <c r="CA67" s="1"/>
    </row>
    <row r="68" spans="1:79" s="84" customForma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BW68" s="1"/>
      <c r="BX68" s="1"/>
      <c r="BY68" s="1"/>
      <c r="BZ68" s="1"/>
      <c r="CA68" s="1"/>
    </row>
    <row r="69" spans="1:79" s="84" customForma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BW69" s="1"/>
      <c r="BX69" s="1"/>
      <c r="BY69" s="1"/>
      <c r="BZ69" s="1"/>
      <c r="CA69" s="1"/>
    </row>
    <row r="70" spans="1:79" s="84" customForma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BW70" s="1"/>
      <c r="BX70" s="1"/>
      <c r="BY70" s="1"/>
      <c r="BZ70" s="1"/>
      <c r="CA70" s="1"/>
    </row>
    <row r="71" spans="1:79" s="84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BW71" s="1"/>
      <c r="BX71" s="1"/>
      <c r="BY71" s="1"/>
      <c r="BZ71" s="1"/>
      <c r="CA71" s="1"/>
    </row>
    <row r="72" spans="1:79" s="84" customForma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BW72" s="1"/>
      <c r="BX72" s="1"/>
      <c r="BY72" s="1"/>
      <c r="BZ72" s="1"/>
      <c r="CA72" s="1"/>
    </row>
    <row r="73" spans="1:79" s="8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BW73" s="1"/>
      <c r="BX73" s="1"/>
      <c r="BY73" s="1"/>
      <c r="BZ73" s="1"/>
      <c r="CA73" s="1"/>
    </row>
    <row r="74" spans="1:79" s="84" customForma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BW74" s="1"/>
      <c r="BX74" s="1"/>
      <c r="BY74" s="1"/>
      <c r="BZ74" s="1"/>
      <c r="CA74" s="1"/>
    </row>
    <row r="75" spans="1:79" s="84" customForma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BW75" s="1"/>
      <c r="BX75" s="1"/>
      <c r="BY75" s="1"/>
      <c r="BZ75" s="1"/>
      <c r="CA75" s="1"/>
    </row>
    <row r="76" spans="1:79" s="84" customForma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BW76" s="1"/>
      <c r="BX76" s="1"/>
      <c r="BY76" s="1"/>
      <c r="BZ76" s="1"/>
      <c r="CA76" s="1"/>
    </row>
    <row r="77" spans="1:79" s="84" customForma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BW77" s="1"/>
      <c r="BX77" s="1"/>
      <c r="BY77" s="1"/>
      <c r="BZ77" s="1"/>
      <c r="CA77" s="1"/>
    </row>
    <row r="78" spans="1:79" s="84" customForma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BW78" s="1"/>
      <c r="BX78" s="1"/>
      <c r="BY78" s="1"/>
      <c r="BZ78" s="1"/>
      <c r="CA78" s="1"/>
    </row>
    <row r="79" spans="1:79" s="84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BW79" s="1"/>
      <c r="BX79" s="1"/>
      <c r="BY79" s="1"/>
      <c r="BZ79" s="1"/>
      <c r="CA79" s="1"/>
    </row>
    <row r="80" spans="1:79" s="84" customForma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BW80" s="1"/>
      <c r="BX80" s="1"/>
      <c r="BY80" s="1"/>
      <c r="BZ80" s="1"/>
      <c r="CA80" s="1"/>
    </row>
    <row r="81" spans="1:79" s="84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BW81" s="1"/>
      <c r="BX81" s="1"/>
      <c r="BY81" s="1"/>
      <c r="BZ81" s="1"/>
      <c r="CA81" s="1"/>
    </row>
    <row r="82" spans="1:79" s="84" customForma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BW82" s="1"/>
      <c r="BX82" s="1"/>
      <c r="BY82" s="1"/>
      <c r="BZ82" s="1"/>
      <c r="CA82" s="1"/>
    </row>
    <row r="83" spans="1:79" s="84" customForma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BW83" s="1"/>
      <c r="BX83" s="1"/>
      <c r="BY83" s="1"/>
      <c r="BZ83" s="1"/>
      <c r="CA83" s="1"/>
    </row>
    <row r="84" spans="1:79" s="84" customForma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BW84" s="1"/>
      <c r="BX84" s="1"/>
      <c r="BY84" s="1"/>
      <c r="BZ84" s="1"/>
      <c r="CA84" s="1"/>
    </row>
    <row r="85" spans="1:79" s="84" customForma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BW85" s="1"/>
      <c r="BX85" s="1"/>
      <c r="BY85" s="1"/>
      <c r="BZ85" s="1"/>
      <c r="CA85" s="1"/>
    </row>
    <row r="86" spans="1:79" s="84" customForma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BW86" s="1"/>
      <c r="BX86" s="1"/>
      <c r="BY86" s="1"/>
      <c r="BZ86" s="1"/>
      <c r="CA86" s="1"/>
    </row>
    <row r="87" spans="1:79" s="84" customForma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BW87" s="1"/>
      <c r="BX87" s="1"/>
      <c r="BY87" s="1"/>
      <c r="BZ87" s="1"/>
      <c r="CA87" s="1"/>
    </row>
    <row r="88" spans="1:79" x14ac:dyDescent="0.2">
      <c r="AJ88" s="84"/>
    </row>
    <row r="89" spans="1:79" s="84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BW89" s="1"/>
      <c r="BX89" s="1"/>
      <c r="BY89" s="1"/>
      <c r="BZ89" s="1"/>
      <c r="CA89" s="1"/>
    </row>
    <row r="90" spans="1:79" s="84" customForma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BW90" s="1"/>
      <c r="BX90" s="1"/>
      <c r="BY90" s="1"/>
      <c r="BZ90" s="1"/>
      <c r="CA90" s="1"/>
    </row>
    <row r="91" spans="1:79" s="84" customForma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BW91" s="1"/>
      <c r="BX91" s="1"/>
      <c r="BY91" s="1"/>
      <c r="BZ91" s="1"/>
      <c r="CA91" s="1"/>
    </row>
    <row r="92" spans="1:79" s="84" customForma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BW92" s="1"/>
      <c r="BX92" s="1"/>
      <c r="BY92" s="1"/>
      <c r="BZ92" s="1"/>
      <c r="CA92" s="1"/>
    </row>
    <row r="93" spans="1:79" s="84" customForma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BW93" s="1"/>
      <c r="BX93" s="1"/>
      <c r="BY93" s="1"/>
      <c r="BZ93" s="1"/>
      <c r="CA93" s="1"/>
    </row>
    <row r="94" spans="1:79" s="84" customForma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BW94" s="1"/>
      <c r="BX94" s="1"/>
      <c r="BY94" s="1"/>
      <c r="BZ94" s="1"/>
      <c r="CA94" s="1"/>
    </row>
    <row r="95" spans="1:79" s="84" customForma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BW95" s="1"/>
      <c r="BX95" s="1"/>
      <c r="BY95" s="1"/>
      <c r="BZ95" s="1"/>
      <c r="CA95" s="1"/>
    </row>
    <row r="96" spans="1:79" s="84" customForma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BW96" s="1"/>
      <c r="BX96" s="1"/>
      <c r="BY96" s="1"/>
      <c r="BZ96" s="1"/>
      <c r="CA96" s="1"/>
    </row>
    <row r="97" spans="1:79" s="84" customForma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BW97" s="1"/>
      <c r="BX97" s="1"/>
      <c r="BY97" s="1"/>
      <c r="BZ97" s="1"/>
      <c r="CA97" s="1"/>
    </row>
    <row r="98" spans="1:79" s="84" customForma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BW98" s="1"/>
      <c r="BX98" s="1"/>
      <c r="BY98" s="1"/>
      <c r="BZ98" s="1"/>
      <c r="CA98" s="1"/>
    </row>
    <row r="99" spans="1:79" s="84" customForma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BW99" s="1"/>
      <c r="BX99" s="1"/>
      <c r="BY99" s="1"/>
      <c r="BZ99" s="1"/>
      <c r="CA99" s="1"/>
    </row>
    <row r="100" spans="1:79" s="84" customForma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BW100" s="1"/>
      <c r="BX100" s="1"/>
      <c r="BY100" s="1"/>
      <c r="BZ100" s="1"/>
      <c r="CA100" s="1"/>
    </row>
    <row r="101" spans="1:79" s="84" customForma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BW101" s="1"/>
      <c r="BX101" s="1"/>
      <c r="BY101" s="1"/>
      <c r="BZ101" s="1"/>
      <c r="CA101" s="1"/>
    </row>
    <row r="102" spans="1:79" s="84" customForma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BW102" s="1"/>
      <c r="BX102" s="1"/>
      <c r="BY102" s="1"/>
      <c r="BZ102" s="1"/>
      <c r="CA102" s="1"/>
    </row>
    <row r="103" spans="1:79" s="84" customForma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BW103" s="1"/>
      <c r="BX103" s="1"/>
      <c r="BY103" s="1"/>
      <c r="BZ103" s="1"/>
      <c r="CA103" s="1"/>
    </row>
    <row r="104" spans="1:79" s="84" customForma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BW104" s="1"/>
      <c r="BX104" s="1"/>
      <c r="BY104" s="1"/>
      <c r="BZ104" s="1"/>
      <c r="CA104" s="1"/>
    </row>
    <row r="105" spans="1:79" s="84" customForma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BW105" s="1"/>
      <c r="BX105" s="1"/>
      <c r="BY105" s="1"/>
      <c r="BZ105" s="1"/>
      <c r="CA105" s="1"/>
    </row>
    <row r="106" spans="1:79" s="84" customForma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BW106" s="1"/>
      <c r="BX106" s="1"/>
      <c r="BY106" s="1"/>
      <c r="BZ106" s="1"/>
      <c r="CA106" s="1"/>
    </row>
    <row r="107" spans="1:79" s="84" customForma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BW107" s="1"/>
      <c r="BX107" s="1"/>
      <c r="BY107" s="1"/>
      <c r="BZ107" s="1"/>
      <c r="CA107" s="1"/>
    </row>
    <row r="108" spans="1:79" s="84" customForma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02"/>
      <c r="AK108" s="203"/>
      <c r="AL108" s="167"/>
      <c r="AM108" s="204"/>
      <c r="AN108" s="205"/>
      <c r="AP108" s="206"/>
      <c r="AR108" s="206"/>
      <c r="AT108" s="206"/>
      <c r="AV108" s="206"/>
      <c r="AX108" s="206"/>
      <c r="AZ108" s="206"/>
      <c r="BB108" s="206"/>
      <c r="BD108" s="206"/>
      <c r="BF108" s="206"/>
      <c r="BH108" s="206"/>
      <c r="BJ108" s="206"/>
      <c r="BW108" s="1"/>
      <c r="BX108" s="1"/>
      <c r="BY108" s="1"/>
      <c r="BZ108" s="1"/>
      <c r="CA108" s="1"/>
    </row>
    <row r="109" spans="1:79" s="84" customForma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BW109" s="1"/>
      <c r="BX109" s="1"/>
      <c r="BY109" s="1"/>
      <c r="BZ109" s="1"/>
      <c r="CA109" s="1"/>
    </row>
    <row r="110" spans="1:79" s="84" customForma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BW110" s="1"/>
      <c r="BX110" s="1"/>
      <c r="BY110" s="1"/>
      <c r="BZ110" s="1"/>
      <c r="CA110" s="1"/>
    </row>
    <row r="111" spans="1:79" s="84" customForma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BW111" s="1"/>
      <c r="BX111" s="1"/>
      <c r="BY111" s="1"/>
      <c r="BZ111" s="1"/>
      <c r="CA111" s="1"/>
    </row>
    <row r="112" spans="1:79" s="84" customForma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BW112" s="1"/>
      <c r="BX112" s="1"/>
      <c r="BY112" s="1"/>
      <c r="BZ112" s="1"/>
      <c r="CA112" s="1"/>
    </row>
    <row r="113" spans="1:79" s="84" customForma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BW113" s="1"/>
      <c r="BX113" s="1"/>
      <c r="BY113" s="1"/>
      <c r="BZ113" s="1"/>
      <c r="CA113" s="1"/>
    </row>
    <row r="114" spans="1:79" s="84" customForma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BW114" s="1"/>
      <c r="BX114" s="1"/>
      <c r="BY114" s="1"/>
      <c r="BZ114" s="1"/>
      <c r="CA114" s="1"/>
    </row>
    <row r="115" spans="1:79" s="84" customForma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BW115" s="1"/>
      <c r="BX115" s="1"/>
      <c r="BY115" s="1"/>
      <c r="BZ115" s="1"/>
      <c r="CA115" s="1"/>
    </row>
    <row r="116" spans="1:79" s="84" customForma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BW116" s="1"/>
      <c r="BX116" s="1"/>
      <c r="BY116" s="1"/>
      <c r="BZ116" s="1"/>
      <c r="CA116" s="1"/>
    </row>
  </sheetData>
  <conditionalFormatting sqref="AD6:AD9 S11 Z10:AA10 U31:X31 AA31:AD31">
    <cfRule type="cellIs" dxfId="224" priority="124" operator="lessThan">
      <formula>0</formula>
    </cfRule>
    <cfRule type="cellIs" dxfId="223" priority="125" operator="greaterThan">
      <formula>0</formula>
    </cfRule>
  </conditionalFormatting>
  <conditionalFormatting sqref="S9 S6:S7">
    <cfRule type="cellIs" dxfId="222" priority="122" operator="lessThan">
      <formula>0</formula>
    </cfRule>
    <cfRule type="cellIs" dxfId="221" priority="123" operator="greaterThan">
      <formula>0</formula>
    </cfRule>
  </conditionalFormatting>
  <conditionalFormatting sqref="AA35:AC35">
    <cfRule type="cellIs" dxfId="220" priority="108" operator="lessThan">
      <formula>0</formula>
    </cfRule>
    <cfRule type="cellIs" dxfId="219" priority="109" operator="greaterThan">
      <formula>0</formula>
    </cfRule>
  </conditionalFormatting>
  <conditionalFormatting sqref="AA36:AD38">
    <cfRule type="cellIs" dxfId="218" priority="112" operator="lessThan">
      <formula>0</formula>
    </cfRule>
    <cfRule type="cellIs" dxfId="217" priority="113" operator="greaterThan">
      <formula>0</formula>
    </cfRule>
  </conditionalFormatting>
  <conditionalFormatting sqref="S8">
    <cfRule type="cellIs" dxfId="216" priority="120" operator="lessThan">
      <formula>0</formula>
    </cfRule>
    <cfRule type="cellIs" dxfId="215" priority="121" operator="greaterThan">
      <formula>0</formula>
    </cfRule>
  </conditionalFormatting>
  <conditionalFormatting sqref="AB13:AC13">
    <cfRule type="cellIs" dxfId="214" priority="102" operator="lessThan">
      <formula>0</formula>
    </cfRule>
    <cfRule type="cellIs" dxfId="213" priority="103" operator="greaterThan">
      <formula>0</formula>
    </cfRule>
  </conditionalFormatting>
  <conditionalFormatting sqref="AD35">
    <cfRule type="cellIs" dxfId="212" priority="106" operator="lessThan">
      <formula>0</formula>
    </cfRule>
    <cfRule type="cellIs" dxfId="211" priority="107" operator="greaterThan">
      <formula>0</formula>
    </cfRule>
  </conditionalFormatting>
  <conditionalFormatting sqref="S10">
    <cfRule type="cellIs" dxfId="210" priority="104" operator="lessThan">
      <formula>0</formula>
    </cfRule>
    <cfRule type="cellIs" dxfId="209" priority="105" operator="greaterThan">
      <formula>0</formula>
    </cfRule>
  </conditionalFormatting>
  <conditionalFormatting sqref="AD13">
    <cfRule type="cellIs" dxfId="208" priority="100" operator="lessThan">
      <formula>0</formula>
    </cfRule>
    <cfRule type="cellIs" dxfId="207" priority="101" operator="greaterThan">
      <formula>0</formula>
    </cfRule>
  </conditionalFormatting>
  <conditionalFormatting sqref="AD14">
    <cfRule type="cellIs" dxfId="206" priority="98" operator="lessThan">
      <formula>0</formula>
    </cfRule>
    <cfRule type="cellIs" dxfId="205" priority="99" operator="greaterThan">
      <formula>0</formula>
    </cfRule>
  </conditionalFormatting>
  <conditionalFormatting sqref="AB27:AD27">
    <cfRule type="cellIs" dxfId="204" priority="90" operator="lessThan">
      <formula>0</formula>
    </cfRule>
    <cfRule type="cellIs" dxfId="203" priority="91" operator="greaterThan">
      <formula>0</formula>
    </cfRule>
  </conditionalFormatting>
  <conditionalFormatting sqref="AA27">
    <cfRule type="cellIs" dxfId="202" priority="88" operator="lessThan">
      <formula>0</formula>
    </cfRule>
    <cfRule type="cellIs" dxfId="201" priority="89" operator="greaterThan">
      <formula>0</formula>
    </cfRule>
  </conditionalFormatting>
  <conditionalFormatting sqref="T10:U10 X6:X9">
    <cfRule type="cellIs" dxfId="200" priority="86" operator="lessThan">
      <formula>0</formula>
    </cfRule>
    <cfRule type="cellIs" dxfId="199" priority="87" operator="greaterThan">
      <formula>0</formula>
    </cfRule>
  </conditionalFormatting>
  <conditionalFormatting sqref="X25:X26">
    <cfRule type="cellIs" dxfId="198" priority="80" operator="lessThan">
      <formula>0</formula>
    </cfRule>
    <cfRule type="cellIs" dxfId="197" priority="81" operator="greaterThan">
      <formula>0</formula>
    </cfRule>
  </conditionalFormatting>
  <conditionalFormatting sqref="U36:X38">
    <cfRule type="cellIs" dxfId="196" priority="78" operator="lessThan">
      <formula>0</formula>
    </cfRule>
    <cfRule type="cellIs" dxfId="195" priority="79" operator="greaterThan">
      <formula>0</formula>
    </cfRule>
  </conditionalFormatting>
  <conditionalFormatting sqref="U35:W35">
    <cfRule type="cellIs" dxfId="194" priority="74" operator="lessThan">
      <formula>0</formula>
    </cfRule>
    <cfRule type="cellIs" dxfId="193" priority="75" operator="greaterThan">
      <formula>0</formula>
    </cfRule>
  </conditionalFormatting>
  <conditionalFormatting sqref="U25:U26">
    <cfRule type="cellIs" dxfId="192" priority="84" operator="lessThan">
      <formula>0</formula>
    </cfRule>
    <cfRule type="cellIs" dxfId="191" priority="85" operator="greaterThan">
      <formula>0</formula>
    </cfRule>
  </conditionalFormatting>
  <conditionalFormatting sqref="V25:W26">
    <cfRule type="cellIs" dxfId="190" priority="82" operator="lessThan">
      <formula>0</formula>
    </cfRule>
    <cfRule type="cellIs" dxfId="189" priority="83" operator="greaterThan">
      <formula>0</formula>
    </cfRule>
  </conditionalFormatting>
  <conditionalFormatting sqref="X35">
    <cfRule type="cellIs" dxfId="188" priority="72" operator="lessThan">
      <formula>0</formula>
    </cfRule>
    <cfRule type="cellIs" dxfId="187" priority="73" operator="greaterThan">
      <formula>0</formula>
    </cfRule>
  </conditionalFormatting>
  <conditionalFormatting sqref="V13:W13">
    <cfRule type="cellIs" dxfId="186" priority="68" operator="lessThan">
      <formula>0</formula>
    </cfRule>
    <cfRule type="cellIs" dxfId="185" priority="69" operator="greaterThan">
      <formula>0</formula>
    </cfRule>
  </conditionalFormatting>
  <conditionalFormatting sqref="X13">
    <cfRule type="cellIs" dxfId="184" priority="66" operator="lessThan">
      <formula>0</formula>
    </cfRule>
    <cfRule type="cellIs" dxfId="183" priority="67" operator="greaterThan">
      <formula>0</formula>
    </cfRule>
  </conditionalFormatting>
  <conditionalFormatting sqref="X14">
    <cfRule type="cellIs" dxfId="182" priority="64" operator="lessThan">
      <formula>0</formula>
    </cfRule>
    <cfRule type="cellIs" dxfId="181" priority="65" operator="greaterThan">
      <formula>0</formula>
    </cfRule>
  </conditionalFormatting>
  <conditionalFormatting sqref="V27:X27">
    <cfRule type="cellIs" dxfId="180" priority="56" operator="lessThan">
      <formula>0</formula>
    </cfRule>
    <cfRule type="cellIs" dxfId="179" priority="57" operator="greaterThan">
      <formula>0</formula>
    </cfRule>
  </conditionalFormatting>
  <conditionalFormatting sqref="U32:X32">
    <cfRule type="cellIs" dxfId="178" priority="54" operator="lessThan">
      <formula>0</formula>
    </cfRule>
    <cfRule type="cellIs" dxfId="177" priority="55" operator="greaterThan">
      <formula>0</formula>
    </cfRule>
  </conditionalFormatting>
  <conditionalFormatting sqref="U27">
    <cfRule type="cellIs" dxfId="176" priority="52" operator="lessThan">
      <formula>0</formula>
    </cfRule>
    <cfRule type="cellIs" dxfId="175" priority="53" operator="greaterThan">
      <formula>0</formula>
    </cfRule>
  </conditionalFormatting>
  <conditionalFormatting sqref="AC14 W14">
    <cfRule type="expression" dxfId="174" priority="126">
      <formula>#REF!&gt;#REF!</formula>
    </cfRule>
  </conditionalFormatting>
  <conditionalFormatting sqref="U30">
    <cfRule type="cellIs" dxfId="173" priority="50" operator="lessThan">
      <formula>0</formula>
    </cfRule>
    <cfRule type="cellIs" dxfId="172" priority="51" operator="greaterThan">
      <formula>0</formula>
    </cfRule>
  </conditionalFormatting>
  <conditionalFormatting sqref="V30">
    <cfRule type="cellIs" dxfId="171" priority="48" operator="lessThan">
      <formula>0</formula>
    </cfRule>
    <cfRule type="cellIs" dxfId="170" priority="49" operator="greaterThan">
      <formula>0</formula>
    </cfRule>
  </conditionalFormatting>
  <conditionalFormatting sqref="W30">
    <cfRule type="cellIs" dxfId="169" priority="46" operator="lessThan">
      <formula>0</formula>
    </cfRule>
    <cfRule type="cellIs" dxfId="168" priority="47" operator="greaterThan">
      <formula>0</formula>
    </cfRule>
  </conditionalFormatting>
  <conditionalFormatting sqref="X30">
    <cfRule type="cellIs" dxfId="167" priority="44" operator="lessThan">
      <formula>0</formula>
    </cfRule>
    <cfRule type="cellIs" dxfId="166" priority="45" operator="greaterThan">
      <formula>0</formula>
    </cfRule>
  </conditionalFormatting>
  <conditionalFormatting sqref="AA32:AD32">
    <cfRule type="cellIs" dxfId="165" priority="40" operator="lessThan">
      <formula>0</formula>
    </cfRule>
    <cfRule type="cellIs" dxfId="164" priority="41" operator="greaterThan">
      <formula>0</formula>
    </cfRule>
  </conditionalFormatting>
  <conditionalFormatting sqref="AA30">
    <cfRule type="cellIs" dxfId="163" priority="25" operator="lessThan">
      <formula>0</formula>
    </cfRule>
    <cfRule type="cellIs" dxfId="162" priority="26" operator="greaterThan">
      <formula>0</formula>
    </cfRule>
  </conditionalFormatting>
  <conditionalFormatting sqref="AB30">
    <cfRule type="cellIs" dxfId="161" priority="23" operator="lessThan">
      <formula>0</formula>
    </cfRule>
    <cfRule type="cellIs" dxfId="160" priority="24" operator="greaterThan">
      <formula>0</formula>
    </cfRule>
  </conditionalFormatting>
  <conditionalFormatting sqref="AC30">
    <cfRule type="cellIs" dxfId="159" priority="21" operator="lessThan">
      <formula>0</formula>
    </cfRule>
    <cfRule type="cellIs" dxfId="158" priority="22" operator="greaterThan">
      <formula>0</formula>
    </cfRule>
  </conditionalFormatting>
  <conditionalFormatting sqref="AD30">
    <cfRule type="cellIs" dxfId="157" priority="19" operator="lessThan">
      <formula>0</formula>
    </cfRule>
    <cfRule type="cellIs" dxfId="156" priority="20" operator="greaterThan">
      <formula>0</formula>
    </cfRule>
  </conditionalFormatting>
  <conditionalFormatting sqref="AD25:AD26">
    <cfRule type="cellIs" dxfId="155" priority="1" operator="lessThan">
      <formula>0</formula>
    </cfRule>
    <cfRule type="cellIs" dxfId="154" priority="2" operator="greaterThan">
      <formula>0</formula>
    </cfRule>
  </conditionalFormatting>
  <conditionalFormatting sqref="AA25:AA26">
    <cfRule type="cellIs" dxfId="153" priority="5" operator="lessThan">
      <formula>0</formula>
    </cfRule>
    <cfRule type="cellIs" dxfId="152" priority="6" operator="greaterThan">
      <formula>0</formula>
    </cfRule>
  </conditionalFormatting>
  <conditionalFormatting sqref="AB25:AC26">
    <cfRule type="cellIs" dxfId="151" priority="3" operator="lessThan">
      <formula>0</formula>
    </cfRule>
    <cfRule type="cellIs" dxfId="150" priority="4" operator="greaterThan">
      <formula>0</formula>
    </cfRule>
  </conditionalFormatting>
  <pageMargins left="0.7" right="0.7" top="0.75" bottom="0.75" header="0.3" footer="0.3"/>
  <pageSetup orientation="portrait" verticalDpi="300" r:id="rId1"/>
  <customProperties>
    <customPr name="_pios_id" r:id="rId2"/>
  </customProperties>
  <ignoredErrors>
    <ignoredError sqref="AH44 AH26 F8:Q8 F15:Q15 V37:X37 AB37:AD37" formula="1"/>
  </ignoredErrors>
  <drawing r:id="rId3"/>
  <legacyDrawing r:id="rId4"/>
  <controls>
    <mc:AlternateContent xmlns:mc="http://schemas.openxmlformats.org/markup-compatibility/2006">
      <mc:Choice Requires="x14">
        <control shapeId="570372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0372" r:id="rId5" name="AnalyzerDynReport000tb1"/>
      </mc:Fallback>
    </mc:AlternateContent>
    <mc:AlternateContent xmlns:mc="http://schemas.openxmlformats.org/markup-compatibility/2006">
      <mc:Choice Requires="x14">
        <control shapeId="570371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0371" r:id="rId7" name="MultipleReportManagerInfotb1"/>
      </mc:Fallback>
    </mc:AlternateContent>
    <mc:AlternateContent xmlns:mc="http://schemas.openxmlformats.org/markup-compatibility/2006">
      <mc:Choice Requires="x14">
        <control shapeId="570370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0370" r:id="rId9" name="ConnectionDescriptorsInfotb1"/>
      </mc:Fallback>
    </mc:AlternateContent>
    <mc:AlternateContent xmlns:mc="http://schemas.openxmlformats.org/markup-compatibility/2006">
      <mc:Choice Requires="x14">
        <control shapeId="570369" r:id="rId11" name="FPMExcelClientSheetOptionstb1">
          <controlPr defaultSize="0" autoLine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70369" r:id="rId11" name="FPMExcelClientSheetOptionstb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110AEC-96C2-49FC-B107-40367292A722}">
          <x14:formula1>
            <xm:f>Mapping!$A$2:$A$19</xm:f>
          </x14:formula1>
          <xm:sqref>E2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F924-D697-42C5-9149-A70B4700014E}">
  <sheetPr codeName="Sheet96">
    <tabColor rgb="FF50B47F"/>
  </sheetPr>
  <dimension ref="A1:CE116"/>
  <sheetViews>
    <sheetView showGridLines="0" topLeftCell="D1" zoomScaleNormal="100" workbookViewId="0">
      <selection activeCell="BS43" sqref="BS43"/>
    </sheetView>
  </sheetViews>
  <sheetFormatPr defaultColWidth="8.7109375" defaultRowHeight="12.75" outlineLevelCol="1" x14ac:dyDescent="0.2"/>
  <cols>
    <col min="1" max="1" width="26.42578125" style="1" hidden="1" customWidth="1" outlineLevel="1"/>
    <col min="2" max="2" width="19.140625" style="1" hidden="1" customWidth="1" outlineLevel="1"/>
    <col min="3" max="3" width="8.7109375" style="1" hidden="1" customWidth="1" outlineLevel="1"/>
    <col min="4" max="4" width="2.7109375" style="1" customWidth="1" collapsed="1"/>
    <col min="5" max="5" width="28.85546875" style="1" customWidth="1"/>
    <col min="6" max="17" width="11.7109375" style="1" customWidth="1"/>
    <col min="18" max="18" width="10.28515625" style="1" customWidth="1"/>
    <col min="19" max="19" width="2.28515625" style="1" customWidth="1"/>
    <col min="20" max="20" width="19" style="1" customWidth="1"/>
    <col min="21" max="24" width="8.7109375" style="1" customWidth="1"/>
    <col min="25" max="25" width="3" style="1" customWidth="1"/>
    <col min="26" max="26" width="19" style="1" customWidth="1"/>
    <col min="27" max="27" width="11" style="1" customWidth="1"/>
    <col min="28" max="30" width="8.7109375" style="1" customWidth="1"/>
    <col min="31" max="32" width="12.7109375" style="1" customWidth="1"/>
    <col min="33" max="33" width="28.42578125" style="1" hidden="1" customWidth="1" outlineLevel="1"/>
    <col min="34" max="34" width="15.5703125" style="1" hidden="1" customWidth="1" outlineLevel="1"/>
    <col min="35" max="35" width="9.85546875" style="1" hidden="1" customWidth="1" outlineLevel="1"/>
    <col min="36" max="36" width="9.42578125" style="1" hidden="1" customWidth="1" outlineLevel="1"/>
    <col min="37" max="37" width="10.140625" style="84" hidden="1" customWidth="1" outlineLevel="1"/>
    <col min="38" max="38" width="9.85546875" style="84" hidden="1" customWidth="1" outlineLevel="1"/>
    <col min="39" max="39" width="10.140625" style="84" hidden="1" customWidth="1" outlineLevel="1"/>
    <col min="40" max="41" width="9.42578125" style="84" hidden="1" customWidth="1" outlineLevel="1"/>
    <col min="42" max="42" width="10.140625" style="84" hidden="1" customWidth="1" outlineLevel="1"/>
    <col min="43" max="43" width="9.85546875" style="84" hidden="1" customWidth="1" outlineLevel="1"/>
    <col min="44" max="44" width="10.140625" style="84" hidden="1" customWidth="1" outlineLevel="1"/>
    <col min="45" max="46" width="9.85546875" style="84" hidden="1" customWidth="1" outlineLevel="1"/>
    <col min="47" max="47" width="11.28515625" style="84" hidden="1" customWidth="1" outlineLevel="1"/>
    <col min="48" max="48" width="9.42578125" style="84" hidden="1" customWidth="1" outlineLevel="1"/>
    <col min="49" max="49" width="10.140625" style="84" hidden="1" customWidth="1" outlineLevel="1"/>
    <col min="50" max="50" width="9.85546875" style="84" hidden="1" customWidth="1" outlineLevel="1"/>
    <col min="51" max="51" width="10.140625" style="84" hidden="1" customWidth="1" outlineLevel="1"/>
    <col min="52" max="52" width="9.42578125" style="84" hidden="1" customWidth="1" outlineLevel="1"/>
    <col min="53" max="53" width="9.140625" style="84" hidden="1" customWidth="1" outlineLevel="1"/>
    <col min="54" max="54" width="9.85546875" style="84" hidden="1" customWidth="1" outlineLevel="1"/>
    <col min="55" max="56" width="9.42578125" style="84" hidden="1" customWidth="1" outlineLevel="1"/>
    <col min="57" max="57" width="9.85546875" style="84" hidden="1" customWidth="1" outlineLevel="1"/>
    <col min="58" max="58" width="18.140625" style="84" hidden="1" customWidth="1" outlineLevel="1"/>
    <col min="59" max="59" width="17.7109375" style="84" hidden="1" customWidth="1" outlineLevel="1"/>
    <col min="60" max="71" width="10.7109375" style="84" hidden="1" customWidth="1" outlineLevel="1"/>
    <col min="72" max="72" width="17.42578125" style="84" customWidth="1" collapsed="1"/>
    <col min="73" max="73" width="12.7109375" style="84" customWidth="1"/>
    <col min="74" max="74" width="15.42578125" style="84" customWidth="1"/>
    <col min="75" max="208" width="9.7109375" style="1" customWidth="1"/>
    <col min="209" max="16384" width="8.7109375" style="1"/>
  </cols>
  <sheetData>
    <row r="1" spans="1:83" x14ac:dyDescent="0.2">
      <c r="J1" s="75"/>
      <c r="U1" s="56"/>
      <c r="AG1" s="76"/>
      <c r="AH1" s="76"/>
      <c r="AI1" s="76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8"/>
      <c r="BS1" s="78"/>
      <c r="BT1" s="78"/>
      <c r="BU1" s="78"/>
      <c r="BV1" s="78"/>
      <c r="BW1" s="78"/>
      <c r="BX1" s="79"/>
      <c r="BY1" s="79"/>
      <c r="BZ1" s="79"/>
      <c r="CA1" s="79"/>
    </row>
    <row r="2" spans="1:83" ht="16.899999999999999" customHeight="1" x14ac:dyDescent="0.2">
      <c r="E2" s="80" t="s">
        <v>94</v>
      </c>
      <c r="I2" s="75"/>
      <c r="J2" s="75"/>
      <c r="K2" s="75"/>
      <c r="L2" s="75"/>
      <c r="M2" s="75"/>
      <c r="N2" s="81"/>
      <c r="O2" s="81"/>
      <c r="P2" s="75"/>
      <c r="Q2" s="75"/>
      <c r="R2" s="82"/>
      <c r="S2" s="83"/>
      <c r="AG2" s="76"/>
      <c r="AH2" s="76"/>
      <c r="AI2" s="76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</row>
    <row r="3" spans="1:83" ht="10.15" customHeight="1" x14ac:dyDescent="0.35">
      <c r="E3" s="85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6"/>
      <c r="S3" s="83"/>
      <c r="AG3" s="76"/>
      <c r="AH3" s="76"/>
      <c r="AI3" s="76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</row>
    <row r="4" spans="1:83" s="15" customFormat="1" ht="17.25" customHeight="1" x14ac:dyDescent="0.25">
      <c r="E4" s="87"/>
      <c r="S4" s="17"/>
      <c r="T4" s="88" t="s">
        <v>54</v>
      </c>
      <c r="Z4" s="88" t="s">
        <v>98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7"/>
      <c r="AY4" s="77"/>
      <c r="AZ4" s="77"/>
      <c r="BA4" s="77"/>
      <c r="BB4" s="77"/>
      <c r="BC4" s="77"/>
      <c r="BD4" s="77"/>
      <c r="BE4" s="77"/>
      <c r="BF4" s="6" t="s">
        <v>85</v>
      </c>
      <c r="BG4" s="6" t="s">
        <v>84</v>
      </c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89"/>
      <c r="BV4" s="89"/>
    </row>
    <row r="5" spans="1:83" ht="15.75" x14ac:dyDescent="0.25">
      <c r="E5" s="80" t="s">
        <v>54</v>
      </c>
      <c r="F5" s="90" t="str">
        <f>Mapping!$D$2</f>
        <v>Jan</v>
      </c>
      <c r="G5" s="90" t="str">
        <f>Mapping!$D$3</f>
        <v>Feb</v>
      </c>
      <c r="H5" s="90" t="str">
        <f>Mapping!$D$4</f>
        <v>Mar</v>
      </c>
      <c r="I5" s="90" t="str">
        <f>Mapping!$D$5</f>
        <v>Apr</v>
      </c>
      <c r="J5" s="90" t="str">
        <f>Mapping!$D$6</f>
        <v>May</v>
      </c>
      <c r="K5" s="90" t="str">
        <f>Mapping!$D$7</f>
        <v>Jun</v>
      </c>
      <c r="L5" s="90" t="str">
        <f>Mapping!$D$8</f>
        <v>Jul</v>
      </c>
      <c r="M5" s="90" t="str">
        <f>Mapping!$D$9</f>
        <v>Aug</v>
      </c>
      <c r="N5" s="90" t="str">
        <f>Mapping!$D$10</f>
        <v>Sep</v>
      </c>
      <c r="O5" s="90" t="str">
        <f>Mapping!$D$11</f>
        <v>Oct</v>
      </c>
      <c r="P5" s="90" t="str">
        <f>Mapping!$D$12</f>
        <v>Nov</v>
      </c>
      <c r="Q5" s="90" t="str">
        <f>Mapping!$D$13</f>
        <v>Dec</v>
      </c>
      <c r="R5" s="91" t="s">
        <v>14</v>
      </c>
      <c r="S5" s="92"/>
      <c r="T5" s="93" t="str">
        <f>Z5</f>
        <v>Forecast based on:</v>
      </c>
      <c r="U5" s="94"/>
      <c r="V5" s="95"/>
      <c r="W5" s="96" t="str">
        <f>AC5</f>
        <v>FY</v>
      </c>
      <c r="X5" s="96" t="str">
        <f>AD5</f>
        <v>vs. LO</v>
      </c>
      <c r="Y5" s="76"/>
      <c r="Z5" s="93" t="s">
        <v>19</v>
      </c>
      <c r="AA5" s="94"/>
      <c r="AB5" s="95"/>
      <c r="AC5" s="96" t="s">
        <v>14</v>
      </c>
      <c r="AD5" s="97" t="s">
        <v>20</v>
      </c>
      <c r="AE5" s="76"/>
      <c r="AF5" s="76"/>
      <c r="AG5" s="98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7"/>
      <c r="AX5" s="77"/>
      <c r="AY5" s="77"/>
      <c r="AZ5" s="77"/>
      <c r="BA5" s="77"/>
      <c r="BB5" s="77"/>
      <c r="BC5" s="77"/>
      <c r="BD5" s="77"/>
      <c r="BE5" s="77"/>
      <c r="BF5" s="99">
        <f>Summary!$D$3</f>
        <v>7</v>
      </c>
      <c r="BG5" s="99">
        <f>BF5-1</f>
        <v>6</v>
      </c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</row>
    <row r="6" spans="1:83" ht="15" x14ac:dyDescent="0.25">
      <c r="A6" s="100">
        <f>Summary!$C$2-2</f>
        <v>2018</v>
      </c>
      <c r="B6" s="101" t="str">
        <f>Mapping!$B$2</f>
        <v>Actual</v>
      </c>
      <c r="E6" s="102" t="str">
        <f>A6&amp;" "&amp;B6</f>
        <v>2018 Actual</v>
      </c>
      <c r="F6" s="103">
        <f>SUMIFS('Units sold'!$E:$E,'Units sold'!$A:$A,$E$2,'Units sold'!$B:$B,F$5&amp;" "&amp;$A6,'Units sold'!$C:$C,"Periodic")</f>
        <v>34</v>
      </c>
      <c r="G6" s="103">
        <f>SUMIFS('Units sold'!$E:$E,'Units sold'!$A:$A,$E$2,'Units sold'!$B:$B,G$5&amp;" "&amp;$A6,'Units sold'!$C:$C,"Periodic")</f>
        <v>28</v>
      </c>
      <c r="H6" s="103">
        <f>SUMIFS('Units sold'!$E:$E,'Units sold'!$A:$A,$E$2,'Units sold'!$B:$B,H$5&amp;" "&amp;$A6,'Units sold'!$C:$C,"Periodic")</f>
        <v>44</v>
      </c>
      <c r="I6" s="103">
        <f>SUMIFS('Units sold'!$E:$E,'Units sold'!$A:$A,$E$2,'Units sold'!$B:$B,I$5&amp;" "&amp;$A6,'Units sold'!$C:$C,"Periodic")</f>
        <v>44</v>
      </c>
      <c r="J6" s="103">
        <f>SUMIFS('Units sold'!$E:$E,'Units sold'!$A:$A,$E$2,'Units sold'!$B:$B,J$5&amp;" "&amp;$A6,'Units sold'!$C:$C,"Periodic")</f>
        <v>42</v>
      </c>
      <c r="K6" s="103">
        <f>SUMIFS('Units sold'!$E:$E,'Units sold'!$A:$A,$E$2,'Units sold'!$B:$B,K$5&amp;" "&amp;$A6,'Units sold'!$C:$C,"Periodic")</f>
        <v>44</v>
      </c>
      <c r="L6" s="103">
        <f>SUMIFS('Units sold'!$E:$E,'Units sold'!$A:$A,$E$2,'Units sold'!$B:$B,L$5&amp;" "&amp;$A6,'Units sold'!$C:$C,"Periodic")</f>
        <v>40</v>
      </c>
      <c r="M6" s="103">
        <f>SUMIFS('Units sold'!$E:$E,'Units sold'!$A:$A,$E$2,'Units sold'!$B:$B,M$5&amp;" "&amp;$A6,'Units sold'!$C:$C,"Periodic")</f>
        <v>56</v>
      </c>
      <c r="N6" s="103">
        <f>SUMIFS('Units sold'!$E:$E,'Units sold'!$A:$A,$E$2,'Units sold'!$B:$B,N$5&amp;" "&amp;$A6,'Units sold'!$C:$C,"Periodic")</f>
        <v>50</v>
      </c>
      <c r="O6" s="103">
        <f>SUMIFS('Units sold'!$E:$E,'Units sold'!$A:$A,$E$2,'Units sold'!$B:$B,O$5&amp;" "&amp;$A6,'Units sold'!$C:$C,"Periodic")</f>
        <v>58</v>
      </c>
      <c r="P6" s="103">
        <f>SUMIFS('Units sold'!$E:$E,'Units sold'!$A:$A,$E$2,'Units sold'!$B:$B,P$5&amp;" "&amp;$A6,'Units sold'!$C:$C,"Periodic")</f>
        <v>110</v>
      </c>
      <c r="Q6" s="103">
        <f>SUMIFS('Units sold'!$E:$E,'Units sold'!$A:$A,$E$2,'Units sold'!$B:$B,Q$5&amp;" "&amp;$A6,'Units sold'!$C:$C,"Periodic")</f>
        <v>92</v>
      </c>
      <c r="R6" s="104">
        <f t="shared" ref="R6:R10" si="0">SUM(F6:Q6)</f>
        <v>642</v>
      </c>
      <c r="S6" s="105"/>
      <c r="T6" s="106" t="str">
        <f t="shared" ref="T6:T9" si="1">Z6</f>
        <v>3-month Rolling Rate</v>
      </c>
      <c r="U6" s="107"/>
      <c r="V6" s="108"/>
      <c r="W6" s="109">
        <f>(SUM(AR8:AT8)/3*Summary!$E$3)+R9</f>
        <v>2784</v>
      </c>
      <c r="X6" s="110">
        <f>$W$6-$R$8</f>
        <v>-5931.1047472000009</v>
      </c>
      <c r="Y6" s="76"/>
      <c r="Z6" s="106" t="s">
        <v>129</v>
      </c>
      <c r="AA6" s="107"/>
      <c r="AB6" s="108"/>
      <c r="AC6" s="109">
        <f>(SUM(AR9:AT9)/3*Summary!$E$3)+R16</f>
        <v>1731.7656407459999</v>
      </c>
      <c r="AD6" s="110">
        <f>$AC$6-$R$15</f>
        <v>-3189.5909172742486</v>
      </c>
      <c r="AE6" s="33"/>
      <c r="AF6" s="76"/>
      <c r="AG6" s="98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7"/>
      <c r="AX6" s="77"/>
      <c r="AY6" s="77"/>
      <c r="AZ6" s="77"/>
      <c r="BA6" s="77"/>
      <c r="BB6" s="77"/>
      <c r="BC6" s="77"/>
      <c r="BD6" s="77"/>
      <c r="BE6" s="77"/>
      <c r="BF6" s="6" t="s">
        <v>27</v>
      </c>
      <c r="BG6" s="111">
        <v>1</v>
      </c>
      <c r="BH6" s="111">
        <v>2</v>
      </c>
      <c r="BI6" s="111">
        <v>3</v>
      </c>
      <c r="BJ6" s="111">
        <v>4</v>
      </c>
      <c r="BK6" s="111">
        <v>5</v>
      </c>
      <c r="BL6" s="111">
        <v>6</v>
      </c>
      <c r="BM6" s="111">
        <v>7</v>
      </c>
      <c r="BN6" s="111">
        <v>8</v>
      </c>
      <c r="BO6" s="111">
        <v>9</v>
      </c>
      <c r="BP6" s="111">
        <v>10</v>
      </c>
      <c r="BQ6" s="111">
        <v>11</v>
      </c>
      <c r="BR6" s="111">
        <v>12</v>
      </c>
      <c r="BS6" s="77"/>
      <c r="BT6" s="77"/>
    </row>
    <row r="7" spans="1:83" ht="15" x14ac:dyDescent="0.25">
      <c r="A7" s="100">
        <f>Summary!$C$2-1</f>
        <v>2019</v>
      </c>
      <c r="B7" s="101" t="str">
        <f>Mapping!$B$2</f>
        <v>Actual</v>
      </c>
      <c r="E7" s="102" t="str">
        <f>A7&amp;" "&amp;B7</f>
        <v>2019 Actual</v>
      </c>
      <c r="F7" s="103">
        <f>SUMIFS('Units sold'!$E:$E,'Units sold'!$A:$A,$E$2,'Units sold'!$B:$B,F$5&amp;" "&amp;$A7,'Units sold'!$C:$C,"Periodic")</f>
        <v>128</v>
      </c>
      <c r="G7" s="103">
        <f>SUMIFS('Units sold'!$E:$E,'Units sold'!$A:$A,$E$2,'Units sold'!$B:$B,G$5&amp;" "&amp;$A7,'Units sold'!$C:$C,"Periodic")</f>
        <v>74</v>
      </c>
      <c r="H7" s="103">
        <f>SUMIFS('Units sold'!$E:$E,'Units sold'!$A:$A,$E$2,'Units sold'!$B:$B,H$5&amp;" "&amp;$A7,'Units sold'!$C:$C,"Periodic")</f>
        <v>108</v>
      </c>
      <c r="I7" s="103">
        <f>SUMIFS('Units sold'!$E:$E,'Units sold'!$A:$A,$E$2,'Units sold'!$B:$B,I$5&amp;" "&amp;$A7,'Units sold'!$C:$C,"Periodic")</f>
        <v>92</v>
      </c>
      <c r="J7" s="103">
        <f>SUMIFS('Units sold'!$E:$E,'Units sold'!$A:$A,$E$2,'Units sold'!$B:$B,J$5&amp;" "&amp;$A7,'Units sold'!$C:$C,"Periodic")</f>
        <v>104</v>
      </c>
      <c r="K7" s="103">
        <f>SUMIFS('Units sold'!$E:$E,'Units sold'!$A:$A,$E$2,'Units sold'!$B:$B,K$5&amp;" "&amp;$A7,'Units sold'!$C:$C,"Periodic")</f>
        <v>206</v>
      </c>
      <c r="L7" s="103">
        <f>SUMIFS('Units sold'!$E:$E,'Units sold'!$A:$A,$E$2,'Units sold'!$B:$B,L$5&amp;" "&amp;$A7,'Units sold'!$C:$C,"Periodic")</f>
        <v>232</v>
      </c>
      <c r="M7" s="103">
        <f>SUMIFS('Units sold'!$E:$E,'Units sold'!$A:$A,$E$2,'Units sold'!$B:$B,M$5&amp;" "&amp;$A7,'Units sold'!$C:$C,"Periodic")</f>
        <v>234</v>
      </c>
      <c r="N7" s="103">
        <f>SUMIFS('Units sold'!$E:$E,'Units sold'!$A:$A,$E$2,'Units sold'!$B:$B,N$5&amp;" "&amp;$A7,'Units sold'!$C:$C,"Periodic")</f>
        <v>270</v>
      </c>
      <c r="O7" s="103">
        <f>SUMIFS('Units sold'!$E:$E,'Units sold'!$A:$A,$E$2,'Units sold'!$B:$B,O$5&amp;" "&amp;$A7,'Units sold'!$C:$C,"Periodic")</f>
        <v>320</v>
      </c>
      <c r="P7" s="103">
        <f>SUMIFS('Units sold'!$E:$E,'Units sold'!$A:$A,$E$2,'Units sold'!$B:$B,P$5&amp;" "&amp;$A7,'Units sold'!$C:$C,"Periodic")</f>
        <v>378</v>
      </c>
      <c r="Q7" s="103">
        <f>SUMIFS('Units sold'!$E:$E,'Units sold'!$A:$A,$E$2,'Units sold'!$B:$B,Q$5&amp;" "&amp;$A7,'Units sold'!$C:$C,"Periodic")</f>
        <v>426</v>
      </c>
      <c r="R7" s="104">
        <f t="shared" si="0"/>
        <v>2572</v>
      </c>
      <c r="S7" s="105"/>
      <c r="T7" s="112" t="str">
        <f t="shared" si="1"/>
        <v>2020 Trend 6 months</v>
      </c>
      <c r="U7" s="113"/>
      <c r="V7" s="114"/>
      <c r="W7" s="115">
        <f>BS22</f>
        <v>6567.8918565272734</v>
      </c>
      <c r="X7" s="110">
        <f>$W$7-$R$8</f>
        <v>-2147.2128906727276</v>
      </c>
      <c r="Y7" s="76"/>
      <c r="Z7" s="112" t="str">
        <f>A9&amp;" Trend 6 months"</f>
        <v>2020 Trend 6 months</v>
      </c>
      <c r="AA7" s="113"/>
      <c r="AB7" s="114"/>
      <c r="AC7" s="115">
        <f>BS40</f>
        <v>3747.0330396004028</v>
      </c>
      <c r="AD7" s="110">
        <f>$AC$7-$R$15</f>
        <v>-1174.3235184198456</v>
      </c>
      <c r="AE7" s="76"/>
      <c r="AF7" s="76"/>
      <c r="AG7" s="33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7"/>
      <c r="AX7" s="77"/>
      <c r="AY7" s="77"/>
      <c r="AZ7" s="78"/>
      <c r="BA7" s="78"/>
      <c r="BB7" s="78"/>
      <c r="BC7" s="78"/>
      <c r="BD7" s="78"/>
      <c r="BE7" s="77"/>
      <c r="BG7" s="116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78"/>
      <c r="BT7" s="77"/>
    </row>
    <row r="8" spans="1:83" ht="15" x14ac:dyDescent="0.25">
      <c r="A8" s="100">
        <f>Summary!$C$2</f>
        <v>2020</v>
      </c>
      <c r="B8" s="101" t="str">
        <f>Mapping!$B$3</f>
        <v>Budget</v>
      </c>
      <c r="E8" s="118" t="str">
        <f>A8&amp;" "&amp;B8</f>
        <v>2020 Budget</v>
      </c>
      <c r="F8" s="119">
        <f>SUMIFS('Units sold'!$D:$D,'Units sold'!$A:$A,$E$2,'Units sold'!$B:$B,F$5&amp;" "&amp;$A8,'Units sold'!$C:$C,"Periodic")</f>
        <v>497.22690299999999</v>
      </c>
      <c r="G8" s="119">
        <f>SUMIFS('Units sold'!$D:$D,'Units sold'!$A:$A,$E$2,'Units sold'!$B:$B,G$5&amp;" "&amp;$A8,'Units sold'!$C:$C,"Periodic")</f>
        <v>524.20670719999998</v>
      </c>
      <c r="H8" s="119">
        <f>SUMIFS('Units sold'!$D:$D,'Units sold'!$A:$A,$E$2,'Units sold'!$B:$B,H$5&amp;" "&amp;$A8,'Units sold'!$C:$C,"Periodic")</f>
        <v>557.63668800000005</v>
      </c>
      <c r="I8" s="119">
        <f>SUMIFS('Units sold'!$D:$D,'Units sold'!$A:$A,$E$2,'Units sold'!$B:$B,I$5&amp;" "&amp;$A8,'Units sold'!$C:$C,"Periodic")</f>
        <v>574.18219959999999</v>
      </c>
      <c r="J8" s="119">
        <f>SUMIFS('Units sold'!$D:$D,'Units sold'!$A:$A,$E$2,'Units sold'!$B:$B,J$5&amp;" "&amp;$A8,'Units sold'!$C:$C,"Periodic")</f>
        <v>615.59459060000006</v>
      </c>
      <c r="K8" s="119">
        <f>SUMIFS('Units sold'!$D:$D,'Units sold'!$A:$A,$E$2,'Units sold'!$B:$B,K$5&amp;" "&amp;$A8,'Units sold'!$C:$C,"Periodic")</f>
        <v>652.83400160000008</v>
      </c>
      <c r="L8" s="119">
        <f>SUMIFS('Units sold'!$D:$D,'Units sold'!$A:$A,$E$2,'Units sold'!$B:$B,L$5&amp;" "&amp;$A8,'Units sold'!$C:$C,"Periodic")</f>
        <v>739.48349380000002</v>
      </c>
      <c r="M8" s="119">
        <f>SUMIFS('Units sold'!$D:$D,'Units sold'!$A:$A,$E$2,'Units sold'!$B:$B,M$5&amp;" "&amp;$A8,'Units sold'!$C:$C,"Periodic")</f>
        <v>786.80442240000002</v>
      </c>
      <c r="N8" s="119">
        <f>SUMIFS('Units sold'!$D:$D,'Units sold'!$A:$A,$E$2,'Units sold'!$B:$B,N$5&amp;" "&amp;$A8,'Units sold'!$C:$C,"Periodic")</f>
        <v>842.37312420000001</v>
      </c>
      <c r="O8" s="119">
        <f>SUMIFS('Units sold'!$D:$D,'Units sold'!$A:$A,$E$2,'Units sold'!$B:$B,O$5&amp;" "&amp;$A8,'Units sold'!$C:$C,"Periodic")</f>
        <v>907.37609739999994</v>
      </c>
      <c r="P8" s="119">
        <f>SUMIFS('Units sold'!$D:$D,'Units sold'!$A:$A,$E$2,'Units sold'!$B:$B,P$5&amp;" "&amp;$A8,'Units sold'!$C:$C,"Periodic")</f>
        <v>972.86586119999993</v>
      </c>
      <c r="Q8" s="119">
        <f>SUMIFS('Units sold'!$D:$D,'Units sold'!$A:$A,$E$2,'Units sold'!$B:$B,Q$5&amp;" "&amp;$A8,'Units sold'!$C:$C,"Periodic")</f>
        <v>1044.5206582000001</v>
      </c>
      <c r="R8" s="120">
        <f t="shared" si="0"/>
        <v>8715.1047472000009</v>
      </c>
      <c r="S8" s="105"/>
      <c r="T8" s="112" t="str">
        <f t="shared" si="1"/>
        <v>2020 Trend 12 months</v>
      </c>
      <c r="U8" s="113"/>
      <c r="V8" s="114"/>
      <c r="W8" s="115">
        <f>BS23</f>
        <v>6908.885172035295</v>
      </c>
      <c r="X8" s="110">
        <f>$W$8-$R$8</f>
        <v>-1806.2195751647059</v>
      </c>
      <c r="Y8" s="76"/>
      <c r="Z8" s="112" t="str">
        <f>A9&amp;" Trend 12 months"</f>
        <v>2020 Trend 12 months</v>
      </c>
      <c r="AA8" s="113"/>
      <c r="AB8" s="114"/>
      <c r="AC8" s="115">
        <f>BS41</f>
        <v>3914.8643506411386</v>
      </c>
      <c r="AD8" s="110">
        <f>$AC$8-$R$15</f>
        <v>-1006.4922073791099</v>
      </c>
      <c r="AE8" s="76"/>
      <c r="AF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8"/>
      <c r="AX8" s="78"/>
      <c r="AY8" s="78"/>
      <c r="AZ8" s="78"/>
      <c r="BA8" s="78"/>
      <c r="BB8" s="78"/>
      <c r="BC8" s="78"/>
      <c r="BD8" s="78"/>
      <c r="BE8" s="77"/>
      <c r="BF8" s="6" t="s">
        <v>28</v>
      </c>
      <c r="BG8" s="16">
        <f t="shared" ref="BG8:BL8" si="2">IF($BF$5=BG6,1,0)</f>
        <v>0</v>
      </c>
      <c r="BH8" s="16">
        <f t="shared" si="2"/>
        <v>0</v>
      </c>
      <c r="BI8" s="16">
        <f t="shared" si="2"/>
        <v>0</v>
      </c>
      <c r="BJ8" s="16">
        <f t="shared" si="2"/>
        <v>0</v>
      </c>
      <c r="BK8" s="16">
        <f t="shared" si="2"/>
        <v>0</v>
      </c>
      <c r="BL8" s="16">
        <f t="shared" si="2"/>
        <v>0</v>
      </c>
      <c r="BM8" s="16">
        <f>IF($BF$5=BM6,1,0)</f>
        <v>1</v>
      </c>
      <c r="BN8" s="16">
        <f t="shared" ref="BN8:BR8" si="3">IF($BF$5=BN6,1,0)</f>
        <v>0</v>
      </c>
      <c r="BO8" s="16">
        <f t="shared" si="3"/>
        <v>0</v>
      </c>
      <c r="BP8" s="16">
        <f t="shared" si="3"/>
        <v>0</v>
      </c>
      <c r="BQ8" s="16">
        <f t="shared" si="3"/>
        <v>0</v>
      </c>
      <c r="BR8" s="16">
        <f t="shared" si="3"/>
        <v>0</v>
      </c>
      <c r="BS8" s="78"/>
      <c r="BT8" s="77"/>
    </row>
    <row r="9" spans="1:83" ht="15" x14ac:dyDescent="0.25">
      <c r="A9" s="100">
        <f>Summary!$C$2</f>
        <v>2020</v>
      </c>
      <c r="B9" s="101" t="str">
        <f>Mapping!$B$2</f>
        <v>Actual</v>
      </c>
      <c r="E9" s="102" t="str">
        <f>A9&amp;" "&amp;B9</f>
        <v>2020 Actual</v>
      </c>
      <c r="F9" s="121">
        <f>SUMIFS('Units sold'!$E:$E,'Units sold'!$A:$A,$E$2,'Units sold'!$B:$B,F$5&amp;" "&amp;$A9,'Units sold'!$C:$C,"Periodic")</f>
        <v>336</v>
      </c>
      <c r="G9" s="121">
        <f>SUMIFS('Units sold'!$E:$E,'Units sold'!$A:$A,$E$2,'Units sold'!$B:$B,G$5&amp;" "&amp;$A9,'Units sold'!$C:$C,"Periodic")</f>
        <v>356</v>
      </c>
      <c r="H9" s="121">
        <f>SUMIFS('Units sold'!$E:$E,'Units sold'!$A:$A,$E$2,'Units sold'!$B:$B,H$5&amp;" "&amp;$A9,'Units sold'!$C:$C,"Periodic")</f>
        <v>498</v>
      </c>
      <c r="I9" s="121">
        <f>SUMIFS('Units sold'!$E:$E,'Units sold'!$A:$A,$E$2,'Units sold'!$B:$B,I$5&amp;" "&amp;$A9,'Units sold'!$C:$C,"Periodic")</f>
        <v>316</v>
      </c>
      <c r="J9" s="121">
        <f>SUMIFS('Units sold'!$E:$E,'Units sold'!$A:$A,$E$2,'Units sold'!$B:$B,J$5&amp;" "&amp;$A9,'Units sold'!$C:$C,"Periodic")</f>
        <v>384</v>
      </c>
      <c r="K9" s="121">
        <f>SUMIFS('Units sold'!$E:$E,'Units sold'!$A:$A,$E$2,'Units sold'!$B:$B,K$5&amp;" "&amp;$A9,'Units sold'!$C:$C,"Periodic")</f>
        <v>404</v>
      </c>
      <c r="L9" s="121">
        <f>SUMIFS('Units sold'!$E:$E,'Units sold'!$A:$A,$E$2,'Units sold'!$B:$B,L$5&amp;" "&amp;$A9,'Units sold'!$C:$C,"Periodic")</f>
        <v>490</v>
      </c>
      <c r="M9" s="121">
        <f>SUMIFS('Units sold'!$E:$E,'Units sold'!$A:$A,$E$2,'Units sold'!$B:$B,M$5&amp;" "&amp;$A9,'Units sold'!$C:$C,"Periodic")</f>
        <v>0</v>
      </c>
      <c r="N9" s="121">
        <f>SUMIFS('Units sold'!$E:$E,'Units sold'!$A:$A,$E$2,'Units sold'!$B:$B,N$5&amp;" "&amp;$A9,'Units sold'!$C:$C,"Periodic")</f>
        <v>0</v>
      </c>
      <c r="O9" s="121">
        <f>SUMIFS('Units sold'!$E:$E,'Units sold'!$A:$A,$E$2,'Units sold'!$B:$B,O$5&amp;" "&amp;$A9,'Units sold'!$C:$C,"Periodic")</f>
        <v>0</v>
      </c>
      <c r="P9" s="121">
        <f>SUMIFS('Units sold'!$E:$E,'Units sold'!$A:$A,$E$2,'Units sold'!$B:$B,P$5&amp;" "&amp;$A9,'Units sold'!$C:$C,"Periodic")</f>
        <v>0</v>
      </c>
      <c r="Q9" s="121">
        <f>SUMIFS('Units sold'!$E:$E,'Units sold'!$A:$A,$E$2,'Units sold'!$B:$B,Q$5&amp;" "&amp;$A9,'Units sold'!$C:$C,"Periodic")</f>
        <v>0</v>
      </c>
      <c r="R9" s="122">
        <f t="shared" si="0"/>
        <v>2784</v>
      </c>
      <c r="S9" s="105"/>
      <c r="T9" s="123" t="str">
        <f t="shared" si="1"/>
        <v>Prior Year exit rate (Q4 x 4)</v>
      </c>
      <c r="U9" s="124"/>
      <c r="V9" s="125"/>
      <c r="W9" s="126">
        <f>SUM($O$7:$Q$7)*4</f>
        <v>4496</v>
      </c>
      <c r="X9" s="127">
        <f>$W$9-$R$8</f>
        <v>-4219.1047472000009</v>
      </c>
      <c r="Y9" s="76"/>
      <c r="Z9" s="123" t="s">
        <v>130</v>
      </c>
      <c r="AA9" s="124"/>
      <c r="AB9" s="125"/>
      <c r="AC9" s="126">
        <f>SUM($O$14:$Q$14)*4</f>
        <v>2775.0923497639114</v>
      </c>
      <c r="AD9" s="127">
        <f>$AC$9-$R$15</f>
        <v>-2146.264208256337</v>
      </c>
      <c r="AE9" s="98"/>
      <c r="AF9" s="98"/>
      <c r="AG9" s="128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BE9" s="77"/>
      <c r="BF9" s="6" t="s">
        <v>28</v>
      </c>
      <c r="BG9" s="111">
        <f>SUM($BG8:BG8)</f>
        <v>0</v>
      </c>
      <c r="BH9" s="16">
        <f>SUM($BG8:BG8)</f>
        <v>0</v>
      </c>
      <c r="BI9" s="16">
        <f>SUM($BG8:BH8)</f>
        <v>0</v>
      </c>
      <c r="BJ9" s="16">
        <f>SUM($BG8:BI8)</f>
        <v>0</v>
      </c>
      <c r="BK9" s="16">
        <f>SUM($BG8:BJ8)</f>
        <v>0</v>
      </c>
      <c r="BL9" s="16">
        <f>SUM($BG8:BK8)</f>
        <v>0</v>
      </c>
      <c r="BM9" s="16">
        <f>SUM($BG8:BL8)</f>
        <v>0</v>
      </c>
      <c r="BN9" s="16">
        <f>SUM($BG8:BM8)</f>
        <v>1</v>
      </c>
      <c r="BO9" s="16">
        <f>SUM($BG8:BN8)</f>
        <v>1</v>
      </c>
      <c r="BP9" s="16">
        <f>SUM($BG8:BO8)</f>
        <v>1</v>
      </c>
      <c r="BQ9" s="16">
        <f>SUM($BG8:BP8)</f>
        <v>1</v>
      </c>
      <c r="BR9" s="16">
        <f>SUM($BG8:BQ8)</f>
        <v>1</v>
      </c>
      <c r="BT9" s="77"/>
    </row>
    <row r="10" spans="1:83" x14ac:dyDescent="0.2">
      <c r="E10" s="102" t="s">
        <v>34</v>
      </c>
      <c r="F10" s="129">
        <f t="shared" ref="F10:Q10" si="4">IF(F9=0,F17/F24,F9)</f>
        <v>336</v>
      </c>
      <c r="G10" s="129">
        <f t="shared" si="4"/>
        <v>356</v>
      </c>
      <c r="H10" s="129">
        <f t="shared" si="4"/>
        <v>498</v>
      </c>
      <c r="I10" s="129">
        <f t="shared" si="4"/>
        <v>316</v>
      </c>
      <c r="J10" s="129">
        <f t="shared" si="4"/>
        <v>384</v>
      </c>
      <c r="K10" s="129">
        <f t="shared" si="4"/>
        <v>404</v>
      </c>
      <c r="L10" s="129">
        <f t="shared" si="4"/>
        <v>490</v>
      </c>
      <c r="M10" s="129">
        <f t="shared" si="4"/>
        <v>721.23834733884996</v>
      </c>
      <c r="N10" s="129">
        <f t="shared" si="4"/>
        <v>777.27956029652228</v>
      </c>
      <c r="O10" s="129">
        <f t="shared" si="4"/>
        <v>842.30277590830678</v>
      </c>
      <c r="P10" s="129">
        <f t="shared" si="4"/>
        <v>913.00096384280994</v>
      </c>
      <c r="Q10" s="129">
        <f t="shared" si="4"/>
        <v>988.41572760154975</v>
      </c>
      <c r="R10" s="122">
        <f t="shared" si="0"/>
        <v>7026.2373749880389</v>
      </c>
      <c r="S10" s="105"/>
      <c r="T10" s="105"/>
      <c r="U10" s="105"/>
      <c r="V10" s="130"/>
      <c r="W10" s="76"/>
      <c r="X10" s="76"/>
      <c r="Y10" s="76"/>
      <c r="Z10" s="105"/>
      <c r="AA10" s="105"/>
      <c r="AB10" s="130"/>
      <c r="AC10" s="76"/>
      <c r="AD10" s="76"/>
      <c r="AE10" s="98"/>
      <c r="AF10" s="98"/>
      <c r="AG10" s="131"/>
      <c r="AH10" s="131"/>
      <c r="AI10" s="131"/>
      <c r="AJ10" s="131"/>
      <c r="AK10" s="131"/>
      <c r="AL10" s="1"/>
      <c r="BG10" s="132">
        <v>1</v>
      </c>
      <c r="BH10" s="132">
        <v>2</v>
      </c>
      <c r="BI10" s="132">
        <v>3</v>
      </c>
      <c r="BJ10" s="132">
        <v>4</v>
      </c>
      <c r="BK10" s="132">
        <v>5</v>
      </c>
      <c r="BL10" s="132">
        <v>6</v>
      </c>
      <c r="BM10" s="132">
        <v>7</v>
      </c>
      <c r="BN10" s="132">
        <v>8</v>
      </c>
      <c r="BO10" s="132">
        <v>9</v>
      </c>
      <c r="BP10" s="132">
        <v>10</v>
      </c>
      <c r="BQ10" s="132">
        <v>11</v>
      </c>
      <c r="BR10" s="132">
        <v>12</v>
      </c>
      <c r="BT10" s="77"/>
    </row>
    <row r="11" spans="1:83" ht="15.75" x14ac:dyDescent="0.25">
      <c r="D11" s="98"/>
      <c r="E11" s="67"/>
      <c r="F11" s="15"/>
      <c r="G11" s="13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0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98"/>
      <c r="AF11" s="98"/>
      <c r="AG11" s="131"/>
      <c r="AH11" s="131"/>
      <c r="AI11" s="131"/>
      <c r="AJ11" s="131"/>
      <c r="AK11" s="131"/>
      <c r="AL11" s="1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</row>
    <row r="12" spans="1:83" ht="15.75" x14ac:dyDescent="0.25">
      <c r="E12" s="134" t="s">
        <v>98</v>
      </c>
      <c r="F12" s="90" t="str">
        <f>F$5</f>
        <v>Jan</v>
      </c>
      <c r="G12" s="90" t="str">
        <f t="shared" ref="G12:Q12" si="5">G$5</f>
        <v>Feb</v>
      </c>
      <c r="H12" s="90" t="str">
        <f t="shared" si="5"/>
        <v>Mar</v>
      </c>
      <c r="I12" s="90" t="str">
        <f t="shared" si="5"/>
        <v>Apr</v>
      </c>
      <c r="J12" s="90" t="str">
        <f t="shared" si="5"/>
        <v>May</v>
      </c>
      <c r="K12" s="90" t="str">
        <f t="shared" si="5"/>
        <v>Jun</v>
      </c>
      <c r="L12" s="90" t="str">
        <f t="shared" si="5"/>
        <v>Jul</v>
      </c>
      <c r="M12" s="90" t="str">
        <f t="shared" si="5"/>
        <v>Aug</v>
      </c>
      <c r="N12" s="90" t="str">
        <f t="shared" si="5"/>
        <v>Sep</v>
      </c>
      <c r="O12" s="90" t="str">
        <f t="shared" si="5"/>
        <v>Oct</v>
      </c>
      <c r="P12" s="90" t="str">
        <f t="shared" si="5"/>
        <v>Nov</v>
      </c>
      <c r="Q12" s="90" t="str">
        <f t="shared" si="5"/>
        <v>Dec</v>
      </c>
      <c r="R12" s="91" t="s">
        <v>14</v>
      </c>
      <c r="T12" s="135" t="s">
        <v>86</v>
      </c>
      <c r="U12" s="136"/>
      <c r="V12" s="137" t="str">
        <f>AB12</f>
        <v>YTD</v>
      </c>
      <c r="W12" s="136" t="str">
        <f>AC12</f>
        <v>YTG</v>
      </c>
      <c r="X12" s="136" t="str">
        <f>AD12</f>
        <v>Delta</v>
      </c>
      <c r="Y12" s="138"/>
      <c r="Z12" s="135" t="s">
        <v>86</v>
      </c>
      <c r="AA12" s="136"/>
      <c r="AB12" s="137" t="s">
        <v>15</v>
      </c>
      <c r="AC12" s="136" t="s">
        <v>16</v>
      </c>
      <c r="AD12" s="136" t="s">
        <v>33</v>
      </c>
      <c r="AE12" s="98"/>
      <c r="AF12" s="139"/>
      <c r="AG12" s="140"/>
      <c r="AH12" s="141" t="s">
        <v>25</v>
      </c>
      <c r="AI12" s="84"/>
      <c r="AJ12" s="84"/>
      <c r="BC12" s="16">
        <f t="shared" ref="BC12:BR12" si="6">BB12+1</f>
        <v>1</v>
      </c>
      <c r="BD12" s="16">
        <f t="shared" si="6"/>
        <v>2</v>
      </c>
      <c r="BE12" s="16">
        <f t="shared" si="6"/>
        <v>3</v>
      </c>
      <c r="BF12" s="16">
        <f t="shared" si="6"/>
        <v>4</v>
      </c>
      <c r="BG12" s="16">
        <f t="shared" si="6"/>
        <v>5</v>
      </c>
      <c r="BH12" s="16">
        <f t="shared" si="6"/>
        <v>6</v>
      </c>
      <c r="BI12" s="16">
        <f t="shared" si="6"/>
        <v>7</v>
      </c>
      <c r="BJ12" s="16">
        <f t="shared" si="6"/>
        <v>8</v>
      </c>
      <c r="BK12" s="16">
        <f t="shared" si="6"/>
        <v>9</v>
      </c>
      <c r="BL12" s="16">
        <f t="shared" si="6"/>
        <v>10</v>
      </c>
      <c r="BM12" s="16">
        <f t="shared" si="6"/>
        <v>11</v>
      </c>
      <c r="BN12" s="16">
        <f t="shared" si="6"/>
        <v>12</v>
      </c>
      <c r="BO12" s="16">
        <f t="shared" si="6"/>
        <v>13</v>
      </c>
      <c r="BP12" s="16">
        <f t="shared" si="6"/>
        <v>14</v>
      </c>
      <c r="BQ12" s="16">
        <f t="shared" si="6"/>
        <v>15</v>
      </c>
      <c r="BR12" s="16">
        <f t="shared" si="6"/>
        <v>16</v>
      </c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</row>
    <row r="13" spans="1:83" ht="13.5" customHeight="1" x14ac:dyDescent="0.25">
      <c r="A13" s="100">
        <f>Summary!$C$2-2</f>
        <v>2018</v>
      </c>
      <c r="B13" s="101" t="str">
        <f>Mapping!$B$2</f>
        <v>Actual</v>
      </c>
      <c r="E13" s="102" t="str">
        <f>A13&amp;" "&amp;B13</f>
        <v>2018 Actual</v>
      </c>
      <c r="F13" s="142">
        <f>SUMIFS('Sales Data'!$E:$E,'Sales Data'!$A:$A,$E$2,'Sales Data'!$B:$B,F$12&amp;" "&amp;$A13,'Sales Data'!$C:$C,"Periodic")/1000</f>
        <v>44.341027902</v>
      </c>
      <c r="G13" s="142">
        <f>SUMIFS('Sales Data'!$E:$E,'Sales Data'!$A:$A,$E$2,'Sales Data'!$B:$B,G$12&amp;" "&amp;$A13,'Sales Data'!$C:$C,"Periodic")/1000</f>
        <v>53.100388281000001</v>
      </c>
      <c r="H13" s="142">
        <f>SUMIFS('Sales Data'!$E:$E,'Sales Data'!$A:$A,$E$2,'Sales Data'!$B:$B,H$12&amp;" "&amp;$A13,'Sales Data'!$C:$C,"Periodic")/1000</f>
        <v>68.090247261000002</v>
      </c>
      <c r="I13" s="142">
        <f>SUMIFS('Sales Data'!$E:$E,'Sales Data'!$A:$A,$E$2,'Sales Data'!$B:$B,I$12&amp;" "&amp;$A13,'Sales Data'!$C:$C,"Periodic")/1000</f>
        <v>50.651194191000002</v>
      </c>
      <c r="J13" s="142">
        <f>SUMIFS('Sales Data'!$E:$E,'Sales Data'!$A:$A,$E$2,'Sales Data'!$B:$B,J$12&amp;" "&amp;$A13,'Sales Data'!$C:$C,"Periodic")/1000</f>
        <v>33.437618643</v>
      </c>
      <c r="K13" s="142">
        <f>SUMIFS('Sales Data'!$E:$E,'Sales Data'!$A:$A,$E$2,'Sales Data'!$B:$B,K$12&amp;" "&amp;$A13,'Sales Data'!$C:$C,"Periodic")/1000</f>
        <v>45.843140394000002</v>
      </c>
      <c r="L13" s="142">
        <f>SUMIFS('Sales Data'!$E:$E,'Sales Data'!$A:$A,$E$2,'Sales Data'!$B:$B,L$12&amp;" "&amp;$A13,'Sales Data'!$C:$C,"Periodic")/1000</f>
        <v>35.726898678000005</v>
      </c>
      <c r="M13" s="142">
        <f>SUMIFS('Sales Data'!$E:$E,'Sales Data'!$A:$A,$E$2,'Sales Data'!$B:$B,M$12&amp;" "&amp;$A13,'Sales Data'!$C:$C,"Periodic")/1000</f>
        <v>54.933064674000001</v>
      </c>
      <c r="N13" s="142">
        <f>SUMIFS('Sales Data'!$E:$E,'Sales Data'!$A:$A,$E$2,'Sales Data'!$B:$B,N$12&amp;" "&amp;$A13,'Sales Data'!$C:$C,"Periodic")/1000</f>
        <v>50.288517923999997</v>
      </c>
      <c r="O13" s="142">
        <f>SUMIFS('Sales Data'!$E:$E,'Sales Data'!$A:$A,$E$2,'Sales Data'!$B:$B,O$12&amp;" "&amp;$A13,'Sales Data'!$C:$C,"Periodic")/1000</f>
        <v>56.579233688999999</v>
      </c>
      <c r="P13" s="142">
        <f>SUMIFS('Sales Data'!$E:$E,'Sales Data'!$A:$A,$E$2,'Sales Data'!$B:$B,P$12&amp;" "&amp;$A13,'Sales Data'!$C:$C,"Periodic")/1000</f>
        <v>-26.975803908000003</v>
      </c>
      <c r="Q13" s="142">
        <f>SUMIFS('Sales Data'!$E:$E,'Sales Data'!$A:$A,$E$2,'Sales Data'!$B:$B,Q$12&amp;" "&amp;$A13,'Sales Data'!$C:$C,"Periodic")/1000</f>
        <v>224.98300192800002</v>
      </c>
      <c r="R13" s="104">
        <f t="shared" ref="R13:R17" si="7">SUM(F13:Q13)</f>
        <v>690.99852965700006</v>
      </c>
      <c r="T13" s="112" t="str">
        <f>Z13</f>
        <v>GR%</v>
      </c>
      <c r="U13" s="143"/>
      <c r="V13" s="144">
        <f ca="1">IFERROR(($R$9/SUM(OFFSET(E7,,1,1,Summary!$D$3))-1),"")</f>
        <v>1.9491525423728815</v>
      </c>
      <c r="W13" s="145">
        <f ca="1">((R8-R9)/(R7-SUM(OFFSET(E7,0,1,1,Summary!$D$3))))-1</f>
        <v>2.6431847341523347</v>
      </c>
      <c r="X13" s="146">
        <f ca="1">IFERROR(W13-V13,"")</f>
        <v>0.69403219177945319</v>
      </c>
      <c r="Y13" s="138"/>
      <c r="Z13" s="147" t="s">
        <v>17</v>
      </c>
      <c r="AA13" s="148"/>
      <c r="AB13" s="144">
        <f ca="1">IFERROR(R16/SUM(OFFSET(E14,0,1,1,Summary!$D$3))-1,"")</f>
        <v>1.2943515706390731</v>
      </c>
      <c r="AC13" s="146">
        <f ca="1">IFERROR((R15-R16)/(R14-SUM(OFFSET(E14,0,1,1,Summary!$D$3)))-1,"")</f>
        <v>2.0746945294717594</v>
      </c>
      <c r="AD13" s="149">
        <f ca="1">IFERROR(AC13-AB13,"")</f>
        <v>0.78034295883268623</v>
      </c>
      <c r="AE13" s="98"/>
      <c r="AF13" s="98"/>
      <c r="AG13" s="150"/>
      <c r="AH13" s="141" t="s">
        <v>91</v>
      </c>
      <c r="AI13" s="84"/>
      <c r="AJ13" s="84"/>
      <c r="AW13" s="16">
        <f t="shared" ref="AW13:BR13" si="8">AV13+1</f>
        <v>1</v>
      </c>
      <c r="AX13" s="16">
        <f t="shared" si="8"/>
        <v>2</v>
      </c>
      <c r="AY13" s="16">
        <f t="shared" si="8"/>
        <v>3</v>
      </c>
      <c r="AZ13" s="16">
        <f t="shared" si="8"/>
        <v>4</v>
      </c>
      <c r="BA13" s="16">
        <f t="shared" si="8"/>
        <v>5</v>
      </c>
      <c r="BB13" s="16">
        <f t="shared" si="8"/>
        <v>6</v>
      </c>
      <c r="BC13" s="16">
        <f t="shared" si="8"/>
        <v>7</v>
      </c>
      <c r="BD13" s="16">
        <f t="shared" si="8"/>
        <v>8</v>
      </c>
      <c r="BE13" s="16">
        <f t="shared" si="8"/>
        <v>9</v>
      </c>
      <c r="BF13" s="16">
        <f t="shared" si="8"/>
        <v>10</v>
      </c>
      <c r="BG13" s="16">
        <f t="shared" si="8"/>
        <v>11</v>
      </c>
      <c r="BH13" s="16">
        <f t="shared" si="8"/>
        <v>12</v>
      </c>
      <c r="BI13" s="16">
        <f t="shared" si="8"/>
        <v>13</v>
      </c>
      <c r="BJ13" s="16">
        <f t="shared" si="8"/>
        <v>14</v>
      </c>
      <c r="BK13" s="16">
        <f t="shared" si="8"/>
        <v>15</v>
      </c>
      <c r="BL13" s="16">
        <f t="shared" si="8"/>
        <v>16</v>
      </c>
      <c r="BM13" s="16">
        <f t="shared" si="8"/>
        <v>17</v>
      </c>
      <c r="BN13" s="16">
        <f t="shared" si="8"/>
        <v>18</v>
      </c>
      <c r="BO13" s="16">
        <f t="shared" si="8"/>
        <v>19</v>
      </c>
      <c r="BP13" s="16">
        <f t="shared" si="8"/>
        <v>20</v>
      </c>
      <c r="BQ13" s="16">
        <f t="shared" si="8"/>
        <v>21</v>
      </c>
      <c r="BR13" s="16">
        <f t="shared" si="8"/>
        <v>22</v>
      </c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</row>
    <row r="14" spans="1:83" ht="13.5" customHeight="1" x14ac:dyDescent="0.2">
      <c r="A14" s="100">
        <f>Summary!$C$2-1</f>
        <v>2019</v>
      </c>
      <c r="B14" s="101" t="str">
        <f>Mapping!$B$2</f>
        <v>Actual</v>
      </c>
      <c r="E14" s="102" t="str">
        <f>A14&amp;" "&amp;B14</f>
        <v>2019 Actual</v>
      </c>
      <c r="F14" s="142">
        <f>SUMIFS('Sales Data'!$E:$E,'Sales Data'!$A:$A,$E$2,'Sales Data'!$B:$B,F$12&amp;" "&amp;$A14,'Sales Data'!$C:$C,"Periodic")/1000</f>
        <v>128.2637424294746</v>
      </c>
      <c r="G14" s="142">
        <f>SUMIFS('Sales Data'!$E:$E,'Sales Data'!$A:$A,$E$2,'Sales Data'!$B:$B,G$12&amp;" "&amp;$A14,'Sales Data'!$C:$C,"Periodic")/1000</f>
        <v>73.225479163447801</v>
      </c>
      <c r="H14" s="142">
        <f>SUMIFS('Sales Data'!$E:$E,'Sales Data'!$A:$A,$E$2,'Sales Data'!$B:$B,H$12&amp;" "&amp;$A14,'Sales Data'!$C:$C,"Periodic")/1000</f>
        <v>103.21733274663573</v>
      </c>
      <c r="I14" s="142">
        <f>SUMIFS('Sales Data'!$E:$E,'Sales Data'!$A:$A,$E$2,'Sales Data'!$B:$B,I$12&amp;" "&amp;$A14,'Sales Data'!$C:$C,"Periodic")/1000</f>
        <v>81.303604700199216</v>
      </c>
      <c r="J14" s="142">
        <f>SUMIFS('Sales Data'!$E:$E,'Sales Data'!$A:$A,$E$2,'Sales Data'!$B:$B,J$12&amp;" "&amp;$A14,'Sales Data'!$C:$C,"Periodic")/1000</f>
        <v>99.382012036533439</v>
      </c>
      <c r="K14" s="142">
        <f>SUMIFS('Sales Data'!$E:$E,'Sales Data'!$A:$A,$E$2,'Sales Data'!$B:$B,K$12&amp;" "&amp;$A14,'Sales Data'!$C:$C,"Periodic")/1000</f>
        <v>127.67019029246728</v>
      </c>
      <c r="L14" s="142">
        <f>SUMIFS('Sales Data'!$E:$E,'Sales Data'!$A:$A,$E$2,'Sales Data'!$B:$B,L$12&amp;" "&amp;$A14,'Sales Data'!$C:$C,"Periodic")/1000</f>
        <v>141.73287703650118</v>
      </c>
      <c r="M14" s="142">
        <f>SUMIFS('Sales Data'!$E:$E,'Sales Data'!$A:$A,$E$2,'Sales Data'!$B:$B,M$12&amp;" "&amp;$A14,'Sales Data'!$C:$C,"Periodic")/1000</f>
        <v>171.96272132692715</v>
      </c>
      <c r="N14" s="142">
        <f>SUMIFS('Sales Data'!$E:$E,'Sales Data'!$A:$A,$E$2,'Sales Data'!$B:$B,N$12&amp;" "&amp;$A14,'Sales Data'!$C:$C,"Periodic")/1000</f>
        <v>171.6325823685728</v>
      </c>
      <c r="O14" s="142">
        <f>SUMIFS('Sales Data'!$E:$E,'Sales Data'!$A:$A,$E$2,'Sales Data'!$B:$B,O$12&amp;" "&amp;$A14,'Sales Data'!$C:$C,"Periodic")/1000</f>
        <v>212.70068453824723</v>
      </c>
      <c r="P14" s="142">
        <f>SUMIFS('Sales Data'!$E:$E,'Sales Data'!$A:$A,$E$2,'Sales Data'!$B:$B,P$12&amp;" "&amp;$A14,'Sales Data'!$C:$C,"Periodic")/1000</f>
        <v>258.54867200973763</v>
      </c>
      <c r="Q14" s="142">
        <f>SUMIFS('Sales Data'!$E:$E,'Sales Data'!$A:$A,$E$2,'Sales Data'!$B:$B,Q$12&amp;" "&amp;$A14,'Sales Data'!$C:$C,"Periodic")/1000</f>
        <v>222.52373089299294</v>
      </c>
      <c r="R14" s="104">
        <f t="shared" si="7"/>
        <v>1792.163629541737</v>
      </c>
      <c r="T14" s="151" t="s">
        <v>87</v>
      </c>
      <c r="U14" s="152"/>
      <c r="V14" s="153">
        <f>IFERROR(R9/Summary!$D$3,"")</f>
        <v>397.71428571428572</v>
      </c>
      <c r="W14" s="154">
        <f>IFERROR((R8-R9)/Summary!$E$3,"")</f>
        <v>1186.2209494400001</v>
      </c>
      <c r="X14" s="155">
        <f>IFERROR(W14-V14,"")</f>
        <v>788.50666372571436</v>
      </c>
      <c r="Y14" s="76"/>
      <c r="Z14" s="156" t="s">
        <v>18</v>
      </c>
      <c r="AA14" s="154"/>
      <c r="AB14" s="153">
        <f>R16/Summary!$D$3</f>
        <v>247.39509153514285</v>
      </c>
      <c r="AC14" s="154">
        <f>IFERROR((R15-R16)/Summary!$E$3,"")</f>
        <v>637.91818345484967</v>
      </c>
      <c r="AD14" s="157">
        <f>IFERROR(AC14-AB14,"")</f>
        <v>390.52309191970681</v>
      </c>
      <c r="AE14" s="33"/>
      <c r="AF14" s="33"/>
      <c r="AG14" s="158" t="s">
        <v>54</v>
      </c>
      <c r="AH14" s="159"/>
      <c r="AI14" s="84"/>
      <c r="AJ14" s="84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</row>
    <row r="15" spans="1:83" ht="13.5" customHeight="1" x14ac:dyDescent="0.2">
      <c r="A15" s="100">
        <f>Summary!$C$2</f>
        <v>2020</v>
      </c>
      <c r="B15" s="101" t="str">
        <f>Mapping!$B$3</f>
        <v>Budget</v>
      </c>
      <c r="E15" s="118" t="str">
        <f>A15&amp;" "&amp;B15</f>
        <v>2020 Budget</v>
      </c>
      <c r="F15" s="119">
        <f>SUMIFS('Sales Data'!$D:$D,'Sales Data'!$A:$A,$E$2,'Sales Data'!$B:$B,F$12&amp;" "&amp;$A15,'Sales Data'!$C:$C,"Periodic")/1000</f>
        <v>267.07822491269371</v>
      </c>
      <c r="G15" s="119">
        <f>SUMIFS('Sales Data'!$D:$D,'Sales Data'!$A:$A,$E$2,'Sales Data'!$B:$B,G$12&amp;" "&amp;$A15,'Sales Data'!$C:$C,"Periodic")/1000</f>
        <v>284.01924127063745</v>
      </c>
      <c r="H15" s="119">
        <f>SUMIFS('Sales Data'!$D:$D,'Sales Data'!$A:$A,$E$2,'Sales Data'!$B:$B,H$12&amp;" "&amp;$A15,'Sales Data'!$C:$C,"Periodic")/1000</f>
        <v>302.03940041450676</v>
      </c>
      <c r="I15" s="119">
        <f>SUMIFS('Sales Data'!$D:$D,'Sales Data'!$A:$A,$E$2,'Sales Data'!$B:$B,I$12&amp;" "&amp;$A15,'Sales Data'!$C:$C,"Periodic")/1000</f>
        <v>311.97686332657958</v>
      </c>
      <c r="J15" s="119">
        <f>SUMIFS('Sales Data'!$D:$D,'Sales Data'!$A:$A,$E$2,'Sales Data'!$B:$B,J$12&amp;" "&amp;$A15,'Sales Data'!$C:$C,"Periodic")/1000</f>
        <v>337.87737277464396</v>
      </c>
      <c r="K15" s="119">
        <f>SUMIFS('Sales Data'!$D:$D,'Sales Data'!$A:$A,$E$2,'Sales Data'!$B:$B,K$12&amp;" "&amp;$A15,'Sales Data'!$C:$C,"Periodic")/1000</f>
        <v>361.82194257837216</v>
      </c>
      <c r="L15" s="119">
        <f>SUMIFS('Sales Data'!$D:$D,'Sales Data'!$A:$A,$E$2,'Sales Data'!$B:$B,L$12&amp;" "&amp;$A15,'Sales Data'!$C:$C,"Periodic")/1000</f>
        <v>417.69260545373788</v>
      </c>
      <c r="M15" s="119">
        <f>SUMIFS('Sales Data'!$D:$D,'Sales Data'!$A:$A,$E$2,'Sales Data'!$B:$B,M$12&amp;" "&amp;$A15,'Sales Data'!$C:$C,"Periodic")/1000</f>
        <v>448.6407287032506</v>
      </c>
      <c r="N15" s="119">
        <f>SUMIFS('Sales Data'!$D:$D,'Sales Data'!$A:$A,$E$2,'Sales Data'!$B:$B,N$12&amp;" "&amp;$A15,'Sales Data'!$C:$C,"Periodic")/1000</f>
        <v>483.50073124126294</v>
      </c>
      <c r="O15" s="119">
        <f>SUMIFS('Sales Data'!$D:$D,'Sales Data'!$A:$A,$E$2,'Sales Data'!$B:$B,O$12&amp;" "&amp;$A15,'Sales Data'!$C:$C,"Periodic")/1000</f>
        <v>523.94791897377274</v>
      </c>
      <c r="P15" s="119">
        <f>SUMIFS('Sales Data'!$D:$D,'Sales Data'!$A:$A,$E$2,'Sales Data'!$B:$B,P$12&amp;" "&amp;$A15,'Sales Data'!$C:$C,"Periodic")/1000</f>
        <v>567.92517929272958</v>
      </c>
      <c r="Q15" s="119">
        <f>SUMIFS('Sales Data'!$D:$D,'Sales Data'!$A:$A,$E$2,'Sales Data'!$B:$B,Q$12&amp;" "&amp;$A15,'Sales Data'!$C:$C,"Periodic")/1000</f>
        <v>614.83634907806095</v>
      </c>
      <c r="R15" s="120">
        <f t="shared" si="7"/>
        <v>4921.3565580202485</v>
      </c>
      <c r="S15" s="84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G15" s="160" t="s">
        <v>29</v>
      </c>
      <c r="AI15" s="141" t="str">
        <f>'Bridges for Trends'!Y4</f>
        <v>Jan 2018</v>
      </c>
      <c r="AJ15" s="141" t="str">
        <f>'Bridges for Trends'!X4</f>
        <v>Feb 2018</v>
      </c>
      <c r="AK15" s="141" t="str">
        <f>'Bridges for Trends'!W4</f>
        <v>Mar 2018</v>
      </c>
      <c r="AL15" s="141" t="str">
        <f>'Bridges for Trends'!V4</f>
        <v>Apr 2018</v>
      </c>
      <c r="AM15" s="141" t="str">
        <f>'Bridges for Trends'!U4</f>
        <v>May 2018</v>
      </c>
      <c r="AN15" s="141" t="str">
        <f>'Bridges for Trends'!T4</f>
        <v>Jun 2018</v>
      </c>
      <c r="AO15" s="141" t="str">
        <f>'Bridges for Trends'!S4</f>
        <v>Jul 2018</v>
      </c>
      <c r="AP15" s="141" t="str">
        <f>'Bridges for Trends'!R4</f>
        <v>Aug 2018</v>
      </c>
      <c r="AQ15" s="141" t="str">
        <f>'Bridges for Trends'!Q4</f>
        <v>Sep 2018</v>
      </c>
      <c r="AR15" s="141" t="str">
        <f>'Bridges for Trends'!P4</f>
        <v>Oct 2018</v>
      </c>
      <c r="AS15" s="141" t="str">
        <f>'Bridges for Trends'!O4</f>
        <v>Nov 2018</v>
      </c>
      <c r="AT15" s="141" t="str">
        <f>'Bridges for Trends'!N4</f>
        <v>Dec 2018</v>
      </c>
      <c r="AU15" s="141" t="str">
        <f>'Bridges for Trends'!M4</f>
        <v>Jan 2019</v>
      </c>
      <c r="AV15" s="141" t="str">
        <f>'Bridges for Trends'!L4</f>
        <v>Feb 2019</v>
      </c>
      <c r="AW15" s="141" t="str">
        <f>'Bridges for Trends'!K4</f>
        <v>Mar 2019</v>
      </c>
      <c r="AX15" s="141" t="str">
        <f>'Bridges for Trends'!J4</f>
        <v>Apr 2019</v>
      </c>
      <c r="AY15" s="141" t="str">
        <f>'Bridges for Trends'!I4</f>
        <v>May 2019</v>
      </c>
      <c r="AZ15" s="141" t="str">
        <f>'Bridges for Trends'!H4</f>
        <v>Jun 2019</v>
      </c>
      <c r="BA15" s="141" t="str">
        <f>'Bridges for Trends'!G4</f>
        <v>Jul 2019</v>
      </c>
      <c r="BB15" s="141" t="str">
        <f>'Bridges for Trends'!F4</f>
        <v>Aug 2019</v>
      </c>
      <c r="BC15" s="141" t="str">
        <f>'Bridges for Trends'!E4</f>
        <v>Sep 2019</v>
      </c>
      <c r="BD15" s="141" t="str">
        <f>'Bridges for Trends'!D4</f>
        <v>Oct 2019</v>
      </c>
      <c r="BE15" s="141" t="str">
        <f>'Bridges for Trends'!C4</f>
        <v>Nov 2019</v>
      </c>
      <c r="BF15" s="141" t="str">
        <f>'Bridges for Trends'!B4</f>
        <v>Dec 2019</v>
      </c>
      <c r="BG15" s="141" t="str">
        <f>'Bridges for Trends'!A4</f>
        <v>Jan 2020</v>
      </c>
      <c r="BH15" s="141" t="str">
        <f>'Bridges for Trends'!A5</f>
        <v>Feb 2020</v>
      </c>
      <c r="BI15" s="141" t="str">
        <f>'Bridges for Trends'!A6</f>
        <v>Mar 2020</v>
      </c>
      <c r="BJ15" s="141" t="str">
        <f>'Bridges for Trends'!A7</f>
        <v>Apr 2020</v>
      </c>
      <c r="BK15" s="141" t="str">
        <f>'Bridges for Trends'!A8</f>
        <v>May 2020</v>
      </c>
      <c r="BL15" s="141" t="str">
        <f>'Bridges for Trends'!A9</f>
        <v>Jun 2020</v>
      </c>
      <c r="BM15" s="141" t="str">
        <f>'Bridges for Trends'!A10</f>
        <v>Jul 2020</v>
      </c>
      <c r="BN15" s="141" t="str">
        <f>'Bridges for Trends'!A11</f>
        <v>Aug 2020</v>
      </c>
      <c r="BO15" s="141" t="str">
        <f>'Bridges for Trends'!A12</f>
        <v>Sep 2020</v>
      </c>
      <c r="BP15" s="141" t="str">
        <f>'Bridges for Trends'!A13</f>
        <v>Oct 2020</v>
      </c>
      <c r="BQ15" s="141" t="str">
        <f>'Bridges for Trends'!A14</f>
        <v>Nov 2020</v>
      </c>
      <c r="BR15" s="141" t="str">
        <f>'Bridges for Trends'!A15</f>
        <v>Dec 2020</v>
      </c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</row>
    <row r="16" spans="1:83" ht="13.5" customHeight="1" x14ac:dyDescent="0.2">
      <c r="A16" s="100">
        <f>Summary!$C$2</f>
        <v>2020</v>
      </c>
      <c r="B16" s="101" t="str">
        <f>Mapping!$B$2</f>
        <v>Actual</v>
      </c>
      <c r="E16" s="102" t="str">
        <f>A16&amp;" "&amp;B16</f>
        <v>2020 Actual</v>
      </c>
      <c r="F16" s="161">
        <f>SUMIFS('Sales Data'!$E:$E,'Sales Data'!$A:$A,$E$2,'Sales Data'!$B:$B,F$12&amp;" "&amp;$A16,'Sales Data'!$C:$C,"Periodic")/1000</f>
        <v>215.61462076800001</v>
      </c>
      <c r="G16" s="161">
        <f>SUMIFS('Sales Data'!$E:$E,'Sales Data'!$A:$A,$E$2,'Sales Data'!$B:$B,G$12&amp;" "&amp;$A16,'Sales Data'!$C:$C,"Periodic")/1000</f>
        <v>214.22626620299999</v>
      </c>
      <c r="H16" s="161">
        <f>SUMIFS('Sales Data'!$E:$E,'Sales Data'!$A:$A,$E$2,'Sales Data'!$B:$B,H$12&amp;" "&amp;$A16,'Sales Data'!$C:$C,"Periodic")/1000</f>
        <v>306.67822567799999</v>
      </c>
      <c r="I16" s="161">
        <f>SUMIFS('Sales Data'!$E:$E,'Sales Data'!$A:$A,$E$2,'Sales Data'!$B:$B,I$12&amp;" "&amp;$A16,'Sales Data'!$C:$C,"Periodic")/1000</f>
        <v>206.04026443199999</v>
      </c>
      <c r="J16" s="161">
        <f>SUMIFS('Sales Data'!$E:$E,'Sales Data'!$A:$A,$E$2,'Sales Data'!$B:$B,J$12&amp;" "&amp;$A16,'Sales Data'!$C:$C,"Periodic")/1000</f>
        <v>244.29622353899998</v>
      </c>
      <c r="K16" s="161">
        <f>SUMIFS('Sales Data'!$E:$E,'Sales Data'!$A:$A,$E$2,'Sales Data'!$B:$B,K$12&amp;" "&amp;$A16,'Sales Data'!$C:$C,"Periodic")/1000</f>
        <v>249.93769601399998</v>
      </c>
      <c r="L16" s="161">
        <f>SUMIFS('Sales Data'!$E:$E,'Sales Data'!$A:$A,$E$2,'Sales Data'!$B:$B,L$12&amp;" "&amp;$A16,'Sales Data'!$C:$C,"Periodic")/1000</f>
        <v>294.97234411200003</v>
      </c>
      <c r="M16" s="161">
        <f>SUMIFS('Sales Data'!$E:$E,'Sales Data'!$A:$A,$E$2,'Sales Data'!$B:$B,M$12&amp;" "&amp;$A16,'Sales Data'!$C:$C,"Periodic")/1000</f>
        <v>0</v>
      </c>
      <c r="N16" s="161">
        <f>SUMIFS('Sales Data'!$E:$E,'Sales Data'!$A:$A,$E$2,'Sales Data'!$B:$B,N$12&amp;" "&amp;$A16,'Sales Data'!$C:$C,"Periodic")/1000</f>
        <v>0</v>
      </c>
      <c r="O16" s="161">
        <f>SUMIFS('Sales Data'!$E:$E,'Sales Data'!$A:$A,$E$2,'Sales Data'!$B:$B,O$12&amp;" "&amp;$A16,'Sales Data'!$C:$C,"Periodic")/1000</f>
        <v>0</v>
      </c>
      <c r="P16" s="161">
        <f>SUMIFS('Sales Data'!$E:$E,'Sales Data'!$A:$A,$E$2,'Sales Data'!$B:$B,P$12&amp;" "&amp;$A16,'Sales Data'!$C:$C,"Periodic")/1000</f>
        <v>0</v>
      </c>
      <c r="Q16" s="161">
        <f>SUMIFS('Sales Data'!$E:$E,'Sales Data'!$A:$A,$E$2,'Sales Data'!$B:$B,Q$12&amp;" "&amp;$A16,'Sales Data'!$C:$C,"Periodic")/1000</f>
        <v>0</v>
      </c>
      <c r="R16" s="122">
        <f t="shared" si="7"/>
        <v>1731.7656407459999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128"/>
      <c r="AF16" s="128"/>
      <c r="AG16" s="131"/>
      <c r="AH16" s="162" t="s">
        <v>0</v>
      </c>
      <c r="AI16" s="163">
        <f>SUMIFS('Units sold'!$E:$E,'Units sold'!$A:$A,$E$2,'Units sold'!$B:$B,AI$15,'Units sold'!$C:$C,"Periodic")</f>
        <v>34</v>
      </c>
      <c r="AJ16" s="163">
        <f>SUMIFS('Units sold'!$E:$E,'Units sold'!$A:$A,$E$2,'Units sold'!$B:$B,AJ$15,'Units sold'!$C:$C,"Periodic")</f>
        <v>28</v>
      </c>
      <c r="AK16" s="163">
        <f>SUMIFS('Units sold'!$E:$E,'Units sold'!$A:$A,$E$2,'Units sold'!$B:$B,AK$15,'Units sold'!$C:$C,"Periodic")</f>
        <v>44</v>
      </c>
      <c r="AL16" s="163">
        <f>SUMIFS('Units sold'!$E:$E,'Units sold'!$A:$A,$E$2,'Units sold'!$B:$B,AL$15,'Units sold'!$C:$C,"Periodic")</f>
        <v>44</v>
      </c>
      <c r="AM16" s="163">
        <f>SUMIFS('Units sold'!$E:$E,'Units sold'!$A:$A,$E$2,'Units sold'!$B:$B,AM$15,'Units sold'!$C:$C,"Periodic")</f>
        <v>42</v>
      </c>
      <c r="AN16" s="163">
        <f>SUMIFS('Units sold'!$E:$E,'Units sold'!$A:$A,$E$2,'Units sold'!$B:$B,AN$15,'Units sold'!$C:$C,"Periodic")</f>
        <v>44</v>
      </c>
      <c r="AO16" s="163">
        <f>SUMIFS('Units sold'!$E:$E,'Units sold'!$A:$A,$E$2,'Units sold'!$B:$B,AO$15,'Units sold'!$C:$C,"Periodic")</f>
        <v>40</v>
      </c>
      <c r="AP16" s="163">
        <f>SUMIFS('Units sold'!$E:$E,'Units sold'!$A:$A,$E$2,'Units sold'!$B:$B,AP$15,'Units sold'!$C:$C,"Periodic")</f>
        <v>56</v>
      </c>
      <c r="AQ16" s="163">
        <f>SUMIFS('Units sold'!$E:$E,'Units sold'!$A:$A,$E$2,'Units sold'!$B:$B,AQ$15,'Units sold'!$C:$C,"Periodic")</f>
        <v>50</v>
      </c>
      <c r="AR16" s="163">
        <f>SUMIFS('Units sold'!$E:$E,'Units sold'!$A:$A,$E$2,'Units sold'!$B:$B,AR$15,'Units sold'!$C:$C,"Periodic")</f>
        <v>58</v>
      </c>
      <c r="AS16" s="163">
        <f>SUMIFS('Units sold'!$E:$E,'Units sold'!$A:$A,$E$2,'Units sold'!$B:$B,AS$15,'Units sold'!$C:$C,"Periodic")</f>
        <v>110</v>
      </c>
      <c r="AT16" s="163">
        <f>SUMIFS('Units sold'!$E:$E,'Units sold'!$A:$A,$E$2,'Units sold'!$B:$B,AT$15,'Units sold'!$C:$C,"Periodic")</f>
        <v>92</v>
      </c>
      <c r="AU16" s="163">
        <f>SUMIFS('Units sold'!$E:$E,'Units sold'!$A:$A,$E$2,'Units sold'!$B:$B,AU$15,'Units sold'!$C:$C,"Periodic")</f>
        <v>128</v>
      </c>
      <c r="AV16" s="163">
        <f>SUMIFS('Units sold'!$E:$E,'Units sold'!$A:$A,$E$2,'Units sold'!$B:$B,AV$15,'Units sold'!$C:$C,"Periodic")</f>
        <v>74</v>
      </c>
      <c r="AW16" s="163">
        <f>SUMIFS('Units sold'!$E:$E,'Units sold'!$A:$A,$E$2,'Units sold'!$B:$B,AW$15,'Units sold'!$C:$C,"Periodic")</f>
        <v>108</v>
      </c>
      <c r="AX16" s="163">
        <f>SUMIFS('Units sold'!$E:$E,'Units sold'!$A:$A,$E$2,'Units sold'!$B:$B,AX$15,'Units sold'!$C:$C,"Periodic")</f>
        <v>92</v>
      </c>
      <c r="AY16" s="163">
        <f>SUMIFS('Units sold'!$E:$E,'Units sold'!$A:$A,$E$2,'Units sold'!$B:$B,AY$15,'Units sold'!$C:$C,"Periodic")</f>
        <v>104</v>
      </c>
      <c r="AZ16" s="163">
        <f>SUMIFS('Units sold'!$E:$E,'Units sold'!$A:$A,$E$2,'Units sold'!$B:$B,AZ$15,'Units sold'!$C:$C,"Periodic")</f>
        <v>206</v>
      </c>
      <c r="BA16" s="163">
        <f>SUMIFS('Units sold'!$E:$E,'Units sold'!$A:$A,$E$2,'Units sold'!$B:$B,BA$15,'Units sold'!$C:$C,"Periodic")</f>
        <v>232</v>
      </c>
      <c r="BB16" s="163">
        <f>SUMIFS('Units sold'!$E:$E,'Units sold'!$A:$A,$E$2,'Units sold'!$B:$B,BB$15,'Units sold'!$C:$C,"Periodic")</f>
        <v>234</v>
      </c>
      <c r="BC16" s="163">
        <f>SUMIFS('Units sold'!$E:$E,'Units sold'!$A:$A,$E$2,'Units sold'!$B:$B,BC$15,'Units sold'!$C:$C,"Periodic")</f>
        <v>270</v>
      </c>
      <c r="BD16" s="163">
        <f>SUMIFS('Units sold'!$E:$E,'Units sold'!$A:$A,$E$2,'Units sold'!$B:$B,BD$15,'Units sold'!$C:$C,"Periodic")</f>
        <v>320</v>
      </c>
      <c r="BE16" s="163">
        <f>SUMIFS('Units sold'!$E:$E,'Units sold'!$A:$A,$E$2,'Units sold'!$B:$B,BE$15,'Units sold'!$C:$C,"Periodic")</f>
        <v>378</v>
      </c>
      <c r="BF16" s="163">
        <f>SUMIFS('Units sold'!$E:$E,'Units sold'!$A:$A,$E$2,'Units sold'!$B:$B,BF$15,'Units sold'!$C:$C,"Periodic")</f>
        <v>426</v>
      </c>
      <c r="BG16" s="163">
        <f>IF(OR(BG$8=1,BG$9=0),SUMIFS('Units sold'!$E:$E,'Units sold'!$A:$A,$E$2,'Units sold'!$B:$B,BG$15,'Units sold'!$C:$C,"Periodic"),"")</f>
        <v>336</v>
      </c>
      <c r="BH16" s="163">
        <f>IF(OR(BH$8=1,BH$9=0),SUMIFS('Units sold'!$E:$E,'Units sold'!$A:$A,$E$2,'Units sold'!$B:$B,BH$15,'Units sold'!$C:$C,"Periodic"),"")</f>
        <v>356</v>
      </c>
      <c r="BI16" s="163">
        <f>IF(OR(BI$8=1,BI$9=0),SUMIFS('Units sold'!$E:$E,'Units sold'!$A:$A,$E$2,'Units sold'!$B:$B,BI$15,'Units sold'!$C:$C,"Periodic"),"")</f>
        <v>498</v>
      </c>
      <c r="BJ16" s="163">
        <f>IF(OR(BJ$8=1,BJ$9=0),SUMIFS('Units sold'!$E:$E,'Units sold'!$A:$A,$E$2,'Units sold'!$B:$B,BJ$15,'Units sold'!$C:$C,"Periodic"),"")</f>
        <v>316</v>
      </c>
      <c r="BK16" s="163">
        <f>IF(OR(BK$8=1,BK$9=0),SUMIFS('Units sold'!$E:$E,'Units sold'!$A:$A,$E$2,'Units sold'!$B:$B,BK$15,'Units sold'!$C:$C,"Periodic"),"")</f>
        <v>384</v>
      </c>
      <c r="BL16" s="163">
        <f>IF(OR(BL$8=1,BL$9=0),SUMIFS('Units sold'!$E:$E,'Units sold'!$A:$A,$E$2,'Units sold'!$B:$B,BL$15,'Units sold'!$C:$C,"Periodic"),"")</f>
        <v>404</v>
      </c>
      <c r="BM16" s="163">
        <f>IF(OR(BM$8=1,BM$9=0),SUMIFS('Units sold'!$E:$E,'Units sold'!$A:$A,$E$2,'Units sold'!$B:$B,BM$15,'Units sold'!$C:$C,"Periodic"),"")</f>
        <v>490</v>
      </c>
      <c r="BN16" s="163" t="str">
        <f>IF(OR(BN$8=1,BN$9=0),SUMIFS('Units sold'!$E:$E,'Units sold'!$A:$A,$E$2,'Units sold'!$B:$B,BN$15,'Units sold'!$C:$C,"Periodic"),"")</f>
        <v/>
      </c>
      <c r="BO16" s="163" t="str">
        <f>IF(OR(BO$8=1,BO$9=0),SUMIFS('Units sold'!$E:$E,'Units sold'!$A:$A,$E$2,'Units sold'!$B:$B,BO$15,'Units sold'!$C:$C,"Periodic"),"")</f>
        <v/>
      </c>
      <c r="BP16" s="163" t="str">
        <f>IF(OR(BP$8=1,BP$9=0),SUMIFS('Units sold'!$E:$E,'Units sold'!$A:$A,$E$2,'Units sold'!$B:$B,BP$15,'Units sold'!$C:$C,"Periodic"),"")</f>
        <v/>
      </c>
      <c r="BQ16" s="163" t="str">
        <f>IF(OR(BQ$8=1,BQ$9=0),SUMIFS('Units sold'!$E:$E,'Units sold'!$A:$A,$E$2,'Units sold'!$B:$B,BQ$15,'Units sold'!$C:$C,"Periodic"),"")</f>
        <v/>
      </c>
      <c r="BR16" s="163" t="str">
        <f>IF(OR(BR$8=1,BR$9=0),SUMIFS('Units sold'!$E:$E,'Units sold'!$A:$A,$E$2,'Units sold'!$B:$B,BR$15,'Units sold'!$C:$C,"Periodic"),"")</f>
        <v/>
      </c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</row>
    <row r="17" spans="1:83" s="84" customFormat="1" x14ac:dyDescent="0.2">
      <c r="A17" s="1"/>
      <c r="B17" s="1"/>
      <c r="C17" s="1"/>
      <c r="D17" s="1"/>
      <c r="E17" s="102" t="s">
        <v>34</v>
      </c>
      <c r="F17" s="161">
        <f t="shared" ref="F17:Q17" si="9">IF(F16&lt;&gt;0,F16,F15)</f>
        <v>215.61462076800001</v>
      </c>
      <c r="G17" s="161">
        <f t="shared" si="9"/>
        <v>214.22626620299999</v>
      </c>
      <c r="H17" s="161">
        <f t="shared" si="9"/>
        <v>306.67822567799999</v>
      </c>
      <c r="I17" s="161">
        <f t="shared" si="9"/>
        <v>206.04026443199999</v>
      </c>
      <c r="J17" s="161">
        <f t="shared" si="9"/>
        <v>244.29622353899998</v>
      </c>
      <c r="K17" s="161">
        <f t="shared" si="9"/>
        <v>249.93769601399998</v>
      </c>
      <c r="L17" s="161">
        <f t="shared" si="9"/>
        <v>294.97234411200003</v>
      </c>
      <c r="M17" s="161">
        <f t="shared" si="9"/>
        <v>448.6407287032506</v>
      </c>
      <c r="N17" s="161">
        <f t="shared" si="9"/>
        <v>483.50073124126294</v>
      </c>
      <c r="O17" s="161">
        <f t="shared" si="9"/>
        <v>523.94791897377274</v>
      </c>
      <c r="P17" s="161">
        <f t="shared" si="9"/>
        <v>567.92517929272958</v>
      </c>
      <c r="Q17" s="161">
        <f t="shared" si="9"/>
        <v>614.83634907806095</v>
      </c>
      <c r="R17" s="122">
        <f t="shared" si="7"/>
        <v>4370.6165480350774</v>
      </c>
      <c r="T17" s="135" t="s">
        <v>54</v>
      </c>
      <c r="U17" s="164" t="str">
        <f>AA17</f>
        <v>Q1</v>
      </c>
      <c r="V17" s="164" t="str">
        <f t="shared" ref="V17:X17" si="10">AB17</f>
        <v>Q2</v>
      </c>
      <c r="W17" s="164" t="str">
        <f t="shared" si="10"/>
        <v>Q3</v>
      </c>
      <c r="X17" s="136" t="str">
        <f t="shared" si="10"/>
        <v>Q4</v>
      </c>
      <c r="Y17" s="76"/>
      <c r="Z17" s="135" t="s">
        <v>82</v>
      </c>
      <c r="AA17" s="164" t="s">
        <v>21</v>
      </c>
      <c r="AB17" s="164" t="s">
        <v>22</v>
      </c>
      <c r="AC17" s="164" t="s">
        <v>23</v>
      </c>
      <c r="AD17" s="136" t="s">
        <v>24</v>
      </c>
      <c r="AE17" s="165"/>
      <c r="AF17" s="165"/>
      <c r="AG17" s="131"/>
      <c r="AH17" s="166" t="s">
        <v>1</v>
      </c>
      <c r="BG17" s="163" t="str">
        <f>IF(OR(BG$8=1,BG$9=1),SUMIFS('Units sold'!$D:$D,'Units sold'!$A:$A,$E$2,'Units sold'!$B:$B,BG$15,'Units sold'!$C:$C,"Periodic"),"")</f>
        <v/>
      </c>
      <c r="BH17" s="163" t="str">
        <f>IF(OR(BH$8=1,BH$9=1),SUMIFS('Units sold'!$D:$D,'Units sold'!$A:$A,$E$2,'Units sold'!$B:$B,BH$15,'Units sold'!$C:$C,"Periodic"),"")</f>
        <v/>
      </c>
      <c r="BI17" s="163" t="str">
        <f>IF(OR(BI$8=1,BI$9=1),SUMIFS('Units sold'!$D:$D,'Units sold'!$A:$A,$E$2,'Units sold'!$B:$B,BI$15,'Units sold'!$C:$C,"Periodic"),"")</f>
        <v/>
      </c>
      <c r="BJ17" s="163" t="str">
        <f>IF(OR(BJ$8=1,BJ$9=1),SUMIFS('Units sold'!$D:$D,'Units sold'!$A:$A,$E$2,'Units sold'!$B:$B,BJ$15,'Units sold'!$C:$C,"Periodic"),"")</f>
        <v/>
      </c>
      <c r="BK17" s="163" t="str">
        <f>IF(OR(BK$8=1,BK$9=1),SUMIFS('Units sold'!$D:$D,'Units sold'!$A:$A,$E$2,'Units sold'!$B:$B,BK$15,'Units sold'!$C:$C,"Periodic"),"")</f>
        <v/>
      </c>
      <c r="BL17" s="163" t="str">
        <f>IF(OR(BL$8=1,BL$9=1),SUMIFS('Units sold'!$D:$D,'Units sold'!$A:$A,$E$2,'Units sold'!$B:$B,BL$15,'Units sold'!$C:$C,"Periodic"),"")</f>
        <v/>
      </c>
      <c r="BM17" s="163">
        <f>IF(OR(BM$8=1,BM$9=1),SUMIFS('Units sold'!$D:$D,'Units sold'!$A:$A,$E$2,'Units sold'!$B:$B,BM$15,'Units sold'!$C:$C,"Periodic"),"")</f>
        <v>739.48349380000002</v>
      </c>
      <c r="BN17" s="163">
        <f>IF(OR(BN$8=1,BN$9=1),SUMIFS('Units sold'!$D:$D,'Units sold'!$A:$A,$E$2,'Units sold'!$B:$B,BN$15,'Units sold'!$C:$C,"Periodic"),"")</f>
        <v>786.80442240000002</v>
      </c>
      <c r="BO17" s="163">
        <f>IF(OR(BO$8=1,BO$9=1),SUMIFS('Units sold'!$D:$D,'Units sold'!$A:$A,$E$2,'Units sold'!$B:$B,BO$15,'Units sold'!$C:$C,"Periodic"),"")</f>
        <v>842.37312420000001</v>
      </c>
      <c r="BP17" s="163">
        <f>IF(OR(BP$8=1,BP$9=1),SUMIFS('Units sold'!$D:$D,'Units sold'!$A:$A,$E$2,'Units sold'!$B:$B,BP$15,'Units sold'!$C:$C,"Periodic"),"")</f>
        <v>907.37609739999994</v>
      </c>
      <c r="BQ17" s="163">
        <f>IF(OR(BQ$8=1,BQ$9=1),SUMIFS('Units sold'!$D:$D,'Units sold'!$A:$A,$E$2,'Units sold'!$B:$B,BQ$15,'Units sold'!$C:$C,"Periodic"),"")</f>
        <v>972.86586119999993</v>
      </c>
      <c r="BR17" s="163">
        <f>IF(OR(BR$8=1,BR$9=1),SUMIFS('Units sold'!$D:$D,'Units sold'!$A:$A,$E$2,'Units sold'!$B:$B,BR$15,'Units sold'!$C:$C,"Periodic"),"")</f>
        <v>1044.5206582000001</v>
      </c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</row>
    <row r="18" spans="1:83" s="84" customFormat="1" x14ac:dyDescent="0.2">
      <c r="A18" s="1"/>
      <c r="B18" s="1"/>
      <c r="C18" s="1"/>
      <c r="D18" s="1"/>
      <c r="E18" s="167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T18" s="106" t="str">
        <f>E6</f>
        <v>2018 Actual</v>
      </c>
      <c r="U18" s="168">
        <f>SUM(F6:H6)</f>
        <v>106</v>
      </c>
      <c r="V18" s="168">
        <f>SUM(I6:K6)</f>
        <v>130</v>
      </c>
      <c r="W18" s="168">
        <f>SUM(L6:N6)</f>
        <v>146</v>
      </c>
      <c r="X18" s="169">
        <f>SUM(O6:Q6)</f>
        <v>260</v>
      </c>
      <c r="Y18" s="165"/>
      <c r="Z18" s="106" t="str">
        <f>+E13</f>
        <v>2018 Actual</v>
      </c>
      <c r="AA18" s="168">
        <f>SUM(F13:H13)</f>
        <v>165.531663444</v>
      </c>
      <c r="AB18" s="168">
        <f>SUM(I13:K13)</f>
        <v>129.931953228</v>
      </c>
      <c r="AC18" s="168">
        <f>SUM(L13:N13)</f>
        <v>140.948481276</v>
      </c>
      <c r="AD18" s="169">
        <f>SUM(O13:Q13)</f>
        <v>254.58643170900001</v>
      </c>
      <c r="AE18" s="165"/>
      <c r="AF18" s="165"/>
      <c r="AG18" s="170"/>
      <c r="AH18" s="171" t="s">
        <v>26</v>
      </c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3"/>
      <c r="BA18" s="173"/>
      <c r="BB18" s="173"/>
      <c r="BC18" s="173"/>
      <c r="BD18" s="173"/>
      <c r="BE18" s="173"/>
      <c r="BF18" s="173"/>
      <c r="BG18" s="174" t="str">
        <f>IF(BG$9,FORECAST(BG12,$AP16:BF16,$AP12:BF12), "")</f>
        <v/>
      </c>
      <c r="BH18" s="174" t="str">
        <f>IF(BH$9,FORECAST(BH12,$AP16:BG16,$AP12:BG12), "")</f>
        <v/>
      </c>
      <c r="BI18" s="174" t="str">
        <f>IF(BI$9,FORECAST(BI12,$AP16:BH16,$AP12:BH12), "")</f>
        <v/>
      </c>
      <c r="BJ18" s="174" t="str">
        <f>IF(BJ$9,FORECAST(BJ12,$AP16:BI16,$AP12:BI12), "")</f>
        <v/>
      </c>
      <c r="BK18" s="174" t="str">
        <f>IF(BK$9,FORECAST(BK12,$AP16:BJ16,$AP12:BJ12), "")</f>
        <v/>
      </c>
      <c r="BL18" s="174" t="str">
        <f>IF(BL$9,FORECAST(BL12,$AP16:BK16,$AP12:BK12), "")</f>
        <v/>
      </c>
      <c r="BM18" s="174" t="str">
        <f>IF(BM$9,FORECAST(BM12,$AP16:BL16,$AP12:BL12), "")</f>
        <v/>
      </c>
      <c r="BN18" s="174">
        <f>IF(BN$9,FORECAST(BN12,$AP16:BM16,$AP12:BM12), "")</f>
        <v>455.96363636363634</v>
      </c>
      <c r="BO18" s="174">
        <f>IF(BO$9,FORECAST(BO12,$AP16:BN16,$AP12:BN12), "")</f>
        <v>468.65454545454543</v>
      </c>
      <c r="BP18" s="174">
        <f>IF(BP$9,FORECAST(BP12,$AP16:BO16,$AP12:BO12), "")</f>
        <v>481.34545454545457</v>
      </c>
      <c r="BQ18" s="174">
        <f>IF(BQ$9,FORECAST(BQ12,$AP16:BP16,$AP12:BP12), "")</f>
        <v>494.0363636363636</v>
      </c>
      <c r="BR18" s="174">
        <f>IF(BR$9,FORECAST(BR12,$AP16:BQ16,$AP12:BQ12), "")</f>
        <v>506.72727272727275</v>
      </c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</row>
    <row r="19" spans="1:83" s="84" customFormat="1" ht="15.75" x14ac:dyDescent="0.2">
      <c r="A19" s="1"/>
      <c r="B19" s="1"/>
      <c r="C19" s="1"/>
      <c r="D19" s="1"/>
      <c r="E19" s="91" t="s">
        <v>99</v>
      </c>
      <c r="F19" s="90" t="str">
        <f t="shared" ref="F19:Q19" si="11">F$5</f>
        <v>Jan</v>
      </c>
      <c r="G19" s="90" t="str">
        <f t="shared" si="11"/>
        <v>Feb</v>
      </c>
      <c r="H19" s="90" t="str">
        <f t="shared" si="11"/>
        <v>Mar</v>
      </c>
      <c r="I19" s="90" t="str">
        <f t="shared" si="11"/>
        <v>Apr</v>
      </c>
      <c r="J19" s="90" t="str">
        <f t="shared" si="11"/>
        <v>May</v>
      </c>
      <c r="K19" s="90" t="str">
        <f t="shared" si="11"/>
        <v>Jun</v>
      </c>
      <c r="L19" s="90" t="str">
        <f t="shared" si="11"/>
        <v>Jul</v>
      </c>
      <c r="M19" s="90" t="str">
        <f t="shared" si="11"/>
        <v>Aug</v>
      </c>
      <c r="N19" s="90" t="str">
        <f t="shared" si="11"/>
        <v>Sep</v>
      </c>
      <c r="O19" s="90" t="str">
        <f t="shared" si="11"/>
        <v>Oct</v>
      </c>
      <c r="P19" s="90" t="str">
        <f t="shared" si="11"/>
        <v>Nov</v>
      </c>
      <c r="Q19" s="90" t="str">
        <f t="shared" si="11"/>
        <v>Dec</v>
      </c>
      <c r="R19" s="91" t="s">
        <v>14</v>
      </c>
      <c r="T19" s="112" t="str">
        <f>E7</f>
        <v>2019 Actual</v>
      </c>
      <c r="U19" s="150">
        <f>SUM(F7:H7)</f>
        <v>310</v>
      </c>
      <c r="V19" s="150">
        <f>SUM(I7:K7)</f>
        <v>402</v>
      </c>
      <c r="W19" s="150">
        <f>SUM(L7:N7)</f>
        <v>736</v>
      </c>
      <c r="X19" s="143">
        <f>SUM(O7:Q7)</f>
        <v>1124</v>
      </c>
      <c r="Y19" s="165"/>
      <c r="Z19" s="112" t="str">
        <f>+E14</f>
        <v>2019 Actual</v>
      </c>
      <c r="AA19" s="150">
        <f>SUM(F14:H14)</f>
        <v>304.70655433955812</v>
      </c>
      <c r="AB19" s="150">
        <f>SUM(I14:K14)</f>
        <v>308.35580702919992</v>
      </c>
      <c r="AC19" s="150">
        <f>SUM(L14:N14)</f>
        <v>485.3281807320011</v>
      </c>
      <c r="AD19" s="143">
        <f>SUM(O14:Q14)</f>
        <v>693.77308744097786</v>
      </c>
      <c r="AE19" s="165"/>
      <c r="AF19" s="165"/>
      <c r="AG19" s="175"/>
      <c r="AH19" s="171" t="s">
        <v>90</v>
      </c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3"/>
      <c r="AZ19" s="173"/>
      <c r="BA19" s="173"/>
      <c r="BB19" s="173"/>
      <c r="BC19" s="173"/>
      <c r="BD19" s="173"/>
      <c r="BE19" s="173"/>
      <c r="BF19" s="173"/>
      <c r="BG19" s="174" t="str">
        <f>IF(BG$9,FORECAST(BG13,$AP16:BF16,$AP13:BF13), "")</f>
        <v/>
      </c>
      <c r="BH19" s="174" t="str">
        <f>IF(BH$9,FORECAST(BH13,$AP16:BG16,$AP13:BG13), "")</f>
        <v/>
      </c>
      <c r="BI19" s="174" t="str">
        <f>IF(BI$9,FORECAST(BI13,$AP16:BH16,$AP13:BH13), "")</f>
        <v/>
      </c>
      <c r="BJ19" s="174" t="str">
        <f>IF(BJ$9,FORECAST(BJ13,$AP16:BI16,$AP13:BI13), "")</f>
        <v/>
      </c>
      <c r="BK19" s="174" t="str">
        <f>IF(BK$9,FORECAST(BK13,$AP16:BJ16,$AP13:BJ13), "")</f>
        <v/>
      </c>
      <c r="BL19" s="174" t="str">
        <f>IF(BL$9,FORECAST(BL13,$AP16:BK16,$AP13:BK13), "")</f>
        <v/>
      </c>
      <c r="BM19" s="174" t="str">
        <f>IF(BM$9,FORECAST(BM13,$AP16:BL16,$AP13:BL13), "")</f>
        <v/>
      </c>
      <c r="BN19" s="174">
        <f>IF(BN$9,FORECAST(BN13,$AP16:BM16,$AP13:BM13), "")</f>
        <v>504.75</v>
      </c>
      <c r="BO19" s="174">
        <f>IF(BO$9,FORECAST(BO13,$AP16:BN16,$AP13:BN13), "")</f>
        <v>527.14705882352939</v>
      </c>
      <c r="BP19" s="174">
        <f>IF(BP$9,FORECAST(BP13,$AP16:BO16,$AP13:BO13), "")</f>
        <v>549.5441176470589</v>
      </c>
      <c r="BQ19" s="174">
        <f>IF(BQ$9,FORECAST(BQ13,$AP16:BP16,$AP13:BP13), "")</f>
        <v>571.94117647058829</v>
      </c>
      <c r="BR19" s="174">
        <f>IF(BR$9,FORECAST(BR13,$AP16:BQ16,$AP13:BQ13), "")</f>
        <v>594.33823529411768</v>
      </c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</row>
    <row r="20" spans="1:83" s="84" customFormat="1" x14ac:dyDescent="0.2">
      <c r="A20" s="1"/>
      <c r="B20" s="1"/>
      <c r="C20" s="1"/>
      <c r="D20" s="1"/>
      <c r="E20" s="176" t="str">
        <f>+E13</f>
        <v>2018 Actual</v>
      </c>
      <c r="F20" s="177">
        <f t="shared" ref="F20:R20" si="12">IFERROR(F13/F6,"")</f>
        <v>1.3041478794705883</v>
      </c>
      <c r="G20" s="177">
        <f t="shared" si="12"/>
        <v>1.8964424386071428</v>
      </c>
      <c r="H20" s="177">
        <f t="shared" si="12"/>
        <v>1.5475056195681818</v>
      </c>
      <c r="I20" s="177">
        <f t="shared" si="12"/>
        <v>1.1511635043409092</v>
      </c>
      <c r="J20" s="177">
        <f t="shared" si="12"/>
        <v>0.79613377721428569</v>
      </c>
      <c r="K20" s="177">
        <f t="shared" si="12"/>
        <v>1.0418895544090909</v>
      </c>
      <c r="L20" s="177">
        <f t="shared" si="12"/>
        <v>0.89317246695000008</v>
      </c>
      <c r="M20" s="177">
        <f t="shared" si="12"/>
        <v>0.98094758346428568</v>
      </c>
      <c r="N20" s="177">
        <f t="shared" si="12"/>
        <v>1.00577035848</v>
      </c>
      <c r="O20" s="177">
        <f t="shared" si="12"/>
        <v>0.97550402912068968</v>
      </c>
      <c r="P20" s="177">
        <f t="shared" si="12"/>
        <v>-0.24523458098181822</v>
      </c>
      <c r="Q20" s="177">
        <f t="shared" si="12"/>
        <v>2.4454674122608697</v>
      </c>
      <c r="R20" s="178">
        <f t="shared" si="12"/>
        <v>1.0763216972850469</v>
      </c>
      <c r="T20" s="112" t="str">
        <f>E8</f>
        <v>2020 Budget</v>
      </c>
      <c r="U20" s="150">
        <f>SUM(F8:H8)</f>
        <v>1579.0702982</v>
      </c>
      <c r="V20" s="150">
        <f>SUM(I8:K8)</f>
        <v>1842.6107918000002</v>
      </c>
      <c r="W20" s="150">
        <f>SUM(L8:N8)</f>
        <v>2368.6610403999998</v>
      </c>
      <c r="X20" s="143">
        <f>SUM(O8:Q8)</f>
        <v>2924.7626167999997</v>
      </c>
      <c r="Y20" s="165"/>
      <c r="Z20" s="112" t="str">
        <f>+E15</f>
        <v>2020 Budget</v>
      </c>
      <c r="AA20" s="150">
        <f>SUM(F15:H15)</f>
        <v>853.13686659783787</v>
      </c>
      <c r="AB20" s="150">
        <f>SUM(I15:K15)</f>
        <v>1011.6761786795956</v>
      </c>
      <c r="AC20" s="150">
        <f>SUM(L15:N15)</f>
        <v>1349.8340653982514</v>
      </c>
      <c r="AD20" s="143">
        <f>SUM(O15:Q15)</f>
        <v>1706.7094473445634</v>
      </c>
      <c r="AE20" s="165"/>
      <c r="AF20" s="165"/>
      <c r="AG20" s="131"/>
      <c r="AH20" s="166" t="s">
        <v>1</v>
      </c>
      <c r="AI20" s="179"/>
      <c r="AJ20" s="179"/>
      <c r="AK20" s="179"/>
      <c r="AL20" s="1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63">
        <f>SUMIFS('Units sold'!$D:$D,'Units sold'!$A:$A,$E$2,'Units sold'!$B:$B,BG$15,'Units sold'!$C:$C,"Periodic")</f>
        <v>497.22690299999999</v>
      </c>
      <c r="BH20" s="163">
        <f>SUMIFS('Units sold'!$D:$D,'Units sold'!$A:$A,$E$2,'Units sold'!$B:$B,BH$15,'Units sold'!$C:$C,"Periodic")</f>
        <v>524.20670719999998</v>
      </c>
      <c r="BI20" s="163">
        <f>SUMIFS('Units sold'!$D:$D,'Units sold'!$A:$A,$E$2,'Units sold'!$B:$B,BI$15,'Units sold'!$C:$C,"Periodic")</f>
        <v>557.63668800000005</v>
      </c>
      <c r="BJ20" s="163">
        <f>SUMIFS('Units sold'!$D:$D,'Units sold'!$A:$A,$E$2,'Units sold'!$B:$B,BJ$15,'Units sold'!$C:$C,"Periodic")</f>
        <v>574.18219959999999</v>
      </c>
      <c r="BK20" s="163">
        <f>SUMIFS('Units sold'!$D:$D,'Units sold'!$A:$A,$E$2,'Units sold'!$B:$B,BK$15,'Units sold'!$C:$C,"Periodic")</f>
        <v>615.59459060000006</v>
      </c>
      <c r="BL20" s="163">
        <f>SUMIFS('Units sold'!$D:$D,'Units sold'!$A:$A,$E$2,'Units sold'!$B:$B,BL$15,'Units sold'!$C:$C,"Periodic")</f>
        <v>652.83400160000008</v>
      </c>
      <c r="BM20" s="163">
        <f>SUMIFS('Units sold'!$D:$D,'Units sold'!$A:$A,$E$2,'Units sold'!$B:$B,BM$15,'Units sold'!$C:$C,"Periodic")</f>
        <v>739.48349380000002</v>
      </c>
      <c r="BN20" s="163">
        <f>SUMIFS('Units sold'!$D:$D,'Units sold'!$A:$A,$E$2,'Units sold'!$B:$B,BN$15,'Units sold'!$C:$C,"Periodic")</f>
        <v>786.80442240000002</v>
      </c>
      <c r="BO20" s="163">
        <f>SUMIFS('Units sold'!$D:$D,'Units sold'!$A:$A,$E$2,'Units sold'!$B:$B,BO$15,'Units sold'!$C:$C,"Periodic")</f>
        <v>842.37312420000001</v>
      </c>
      <c r="BP20" s="163">
        <f>SUMIFS('Units sold'!$D:$D,'Units sold'!$A:$A,$E$2,'Units sold'!$B:$B,BP$15,'Units sold'!$C:$C,"Periodic")</f>
        <v>907.37609739999994</v>
      </c>
      <c r="BQ20" s="163">
        <f>SUMIFS('Units sold'!$D:$D,'Units sold'!$A:$A,$E$2,'Units sold'!$B:$B,BQ$15,'Units sold'!$C:$C,"Periodic")</f>
        <v>972.86586119999993</v>
      </c>
      <c r="BR20" s="163">
        <f>SUMIFS('Units sold'!$D:$D,'Units sold'!$A:$A,$E$2,'Units sold'!$B:$B,BR$15,'Units sold'!$C:$C,"Periodic")</f>
        <v>1044.5206582000001</v>
      </c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</row>
    <row r="21" spans="1:83" s="84" customFormat="1" x14ac:dyDescent="0.2">
      <c r="A21" s="1"/>
      <c r="B21" s="1"/>
      <c r="C21" s="1"/>
      <c r="D21" s="1"/>
      <c r="E21" s="176" t="str">
        <f>+E14</f>
        <v>2019 Actual</v>
      </c>
      <c r="F21" s="177">
        <f t="shared" ref="F21:R21" si="13">IFERROR(F14/F7,"")</f>
        <v>1.0020604877302703</v>
      </c>
      <c r="G21" s="177">
        <f t="shared" si="13"/>
        <v>0.98953350220875402</v>
      </c>
      <c r="H21" s="177">
        <f t="shared" si="13"/>
        <v>0.95571604395033083</v>
      </c>
      <c r="I21" s="177">
        <f t="shared" si="13"/>
        <v>0.88373483369781758</v>
      </c>
      <c r="J21" s="177">
        <f t="shared" si="13"/>
        <v>0.95559626958205235</v>
      </c>
      <c r="K21" s="177">
        <f t="shared" si="13"/>
        <v>0.61975820530323922</v>
      </c>
      <c r="L21" s="177">
        <f t="shared" si="13"/>
        <v>0.61091757343319475</v>
      </c>
      <c r="M21" s="177">
        <f t="shared" si="13"/>
        <v>0.73488342447404764</v>
      </c>
      <c r="N21" s="177">
        <f t="shared" si="13"/>
        <v>0.63567623099471404</v>
      </c>
      <c r="O21" s="177">
        <f t="shared" si="13"/>
        <v>0.66468963918202262</v>
      </c>
      <c r="P21" s="177">
        <f t="shared" si="13"/>
        <v>0.68399119579295664</v>
      </c>
      <c r="Q21" s="177">
        <f t="shared" si="13"/>
        <v>0.5223561758051477</v>
      </c>
      <c r="R21" s="178">
        <f t="shared" si="13"/>
        <v>0.69679767867097087</v>
      </c>
      <c r="T21" s="112" t="str">
        <f>E9</f>
        <v>2020 Actual</v>
      </c>
      <c r="U21" s="150">
        <f>SUM(F9:H9)</f>
        <v>1190</v>
      </c>
      <c r="V21" s="150">
        <f>SUM(I9:K9)</f>
        <v>1104</v>
      </c>
      <c r="W21" s="150">
        <f>SUM(L9:N9)</f>
        <v>490</v>
      </c>
      <c r="X21" s="143">
        <f>SUM(O9:Q9)</f>
        <v>0</v>
      </c>
      <c r="Y21" s="165"/>
      <c r="Z21" s="112" t="str">
        <f>+E16</f>
        <v>2020 Actual</v>
      </c>
      <c r="AA21" s="150">
        <f>SUM(F16:H16)</f>
        <v>736.51911264900002</v>
      </c>
      <c r="AB21" s="150">
        <f>SUM(I16:K16)</f>
        <v>700.27418398500004</v>
      </c>
      <c r="AC21" s="150">
        <f>SUM(L16:N16)</f>
        <v>294.97234411200003</v>
      </c>
      <c r="AD21" s="143">
        <f>SUM(O16:Q16)</f>
        <v>0</v>
      </c>
      <c r="AE21" s="131"/>
      <c r="AF21" s="131"/>
      <c r="AG21" s="131"/>
      <c r="AH21" s="181" t="s">
        <v>34</v>
      </c>
      <c r="AI21" s="131"/>
      <c r="AJ21" s="131"/>
      <c r="AK21" s="131"/>
      <c r="AL21" s="1"/>
      <c r="BD21" s="182"/>
      <c r="BE21" s="182"/>
      <c r="BF21" s="182"/>
      <c r="BG21" s="163" t="str">
        <f t="shared" ref="BG21:BR21" si="14">IF(OR(BG$8=1,BG$9=1),F10,"")</f>
        <v/>
      </c>
      <c r="BH21" s="163" t="str">
        <f t="shared" si="14"/>
        <v/>
      </c>
      <c r="BI21" s="163" t="str">
        <f t="shared" si="14"/>
        <v/>
      </c>
      <c r="BJ21" s="163" t="str">
        <f t="shared" si="14"/>
        <v/>
      </c>
      <c r="BK21" s="163" t="str">
        <f t="shared" si="14"/>
        <v/>
      </c>
      <c r="BL21" s="163" t="str">
        <f t="shared" si="14"/>
        <v/>
      </c>
      <c r="BM21" s="163">
        <f t="shared" si="14"/>
        <v>490</v>
      </c>
      <c r="BN21" s="163">
        <f t="shared" si="14"/>
        <v>721.23834733884996</v>
      </c>
      <c r="BO21" s="163">
        <f t="shared" si="14"/>
        <v>777.27956029652228</v>
      </c>
      <c r="BP21" s="163">
        <f t="shared" si="14"/>
        <v>842.30277590830678</v>
      </c>
      <c r="BQ21" s="163">
        <f t="shared" si="14"/>
        <v>913.00096384280994</v>
      </c>
      <c r="BR21" s="163">
        <f t="shared" si="14"/>
        <v>988.41572760154975</v>
      </c>
      <c r="BS21" s="180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</row>
    <row r="22" spans="1:83" s="84" customFormat="1" x14ac:dyDescent="0.2">
      <c r="A22" s="1"/>
      <c r="B22" s="1"/>
      <c r="C22" s="1"/>
      <c r="D22" s="1"/>
      <c r="E22" s="183" t="str">
        <f>+E15</f>
        <v>2020 Budget</v>
      </c>
      <c r="F22" s="184">
        <f t="shared" ref="F22:R22" si="15">IFERROR(F15/F8,"")</f>
        <v>0.53713550755457351</v>
      </c>
      <c r="G22" s="184">
        <f t="shared" si="15"/>
        <v>0.54180772082772288</v>
      </c>
      <c r="H22" s="184">
        <f t="shared" si="15"/>
        <v>0.54164190935462042</v>
      </c>
      <c r="I22" s="184">
        <f t="shared" si="15"/>
        <v>0.54334123130935807</v>
      </c>
      <c r="J22" s="184">
        <f t="shared" si="15"/>
        <v>0.54886345321086372</v>
      </c>
      <c r="K22" s="184">
        <f t="shared" si="15"/>
        <v>0.55423268655063895</v>
      </c>
      <c r="L22" s="184">
        <f t="shared" si="15"/>
        <v>0.56484371721041637</v>
      </c>
      <c r="M22" s="184">
        <f t="shared" si="15"/>
        <v>0.57020616042644479</v>
      </c>
      <c r="N22" s="184">
        <f t="shared" si="15"/>
        <v>0.57397454566281725</v>
      </c>
      <c r="O22" s="184">
        <f t="shared" si="15"/>
        <v>0.57743191657251691</v>
      </c>
      <c r="P22" s="184">
        <f t="shared" si="15"/>
        <v>0.5837651437292819</v>
      </c>
      <c r="Q22" s="184">
        <f t="shared" si="15"/>
        <v>0.58863014747606346</v>
      </c>
      <c r="R22" s="185">
        <f t="shared" si="15"/>
        <v>0.56469276053180972</v>
      </c>
      <c r="T22" s="151" t="s">
        <v>34</v>
      </c>
      <c r="U22" s="186">
        <f>SUM(F10:H10)</f>
        <v>1190</v>
      </c>
      <c r="V22" s="186">
        <f>SUM(I10:K10)</f>
        <v>1104</v>
      </c>
      <c r="W22" s="186">
        <f>SUM(L10:N10)</f>
        <v>1988.5179076353722</v>
      </c>
      <c r="X22" s="152">
        <f>SUM(O10:Q10)</f>
        <v>2743.7194673526665</v>
      </c>
      <c r="Y22" s="131"/>
      <c r="Z22" s="151" t="s">
        <v>34</v>
      </c>
      <c r="AA22" s="186">
        <f>SUM(F17:H17)</f>
        <v>736.51911264900002</v>
      </c>
      <c r="AB22" s="186">
        <f>SUM(I17:K17)</f>
        <v>700.27418398500004</v>
      </c>
      <c r="AC22" s="186">
        <f>SUM(L17:N17)</f>
        <v>1227.1138040565136</v>
      </c>
      <c r="AD22" s="152">
        <f>SUM(O17:Q17)</f>
        <v>1706.7094473445634</v>
      </c>
      <c r="AE22" s="131"/>
      <c r="AF22" s="131"/>
      <c r="AG22" s="7" t="s">
        <v>30</v>
      </c>
      <c r="AH22" s="187" t="s">
        <v>26</v>
      </c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3"/>
      <c r="BA22" s="173"/>
      <c r="BB22" s="173"/>
      <c r="BC22" s="173"/>
      <c r="BD22" s="173"/>
      <c r="BE22" s="173"/>
      <c r="BF22" s="173"/>
      <c r="BG22" s="174">
        <f t="shared" ref="BG22:BR22" si="16">IF(BG18="",BG20,BG18)</f>
        <v>497.22690299999999</v>
      </c>
      <c r="BH22" s="174">
        <f t="shared" si="16"/>
        <v>524.20670719999998</v>
      </c>
      <c r="BI22" s="174">
        <f t="shared" si="16"/>
        <v>557.63668800000005</v>
      </c>
      <c r="BJ22" s="174">
        <f t="shared" si="16"/>
        <v>574.18219959999999</v>
      </c>
      <c r="BK22" s="174">
        <f t="shared" si="16"/>
        <v>615.59459060000006</v>
      </c>
      <c r="BL22" s="174">
        <f t="shared" si="16"/>
        <v>652.83400160000008</v>
      </c>
      <c r="BM22" s="174">
        <f t="shared" si="16"/>
        <v>739.48349380000002</v>
      </c>
      <c r="BN22" s="174">
        <f t="shared" si="16"/>
        <v>455.96363636363634</v>
      </c>
      <c r="BO22" s="174">
        <f t="shared" si="16"/>
        <v>468.65454545454543</v>
      </c>
      <c r="BP22" s="174">
        <f t="shared" si="16"/>
        <v>481.34545454545457</v>
      </c>
      <c r="BQ22" s="174">
        <f t="shared" si="16"/>
        <v>494.0363636363636</v>
      </c>
      <c r="BR22" s="174">
        <f t="shared" si="16"/>
        <v>506.72727272727275</v>
      </c>
      <c r="BS22" s="190">
        <f>SUM(BG22:BR22)</f>
        <v>6567.8918565272734</v>
      </c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</row>
    <row r="23" spans="1:83" s="84" customFormat="1" x14ac:dyDescent="0.2">
      <c r="A23" s="1"/>
      <c r="B23" s="1"/>
      <c r="C23" s="1"/>
      <c r="D23" s="1"/>
      <c r="E23" s="176" t="str">
        <f>+E16</f>
        <v>2020 Actual</v>
      </c>
      <c r="F23" s="188">
        <f t="shared" ref="F23:R23" si="17">IFERROR(F16/F9,"")</f>
        <v>0.64171018085714293</v>
      </c>
      <c r="G23" s="188">
        <f t="shared" si="17"/>
        <v>0.60175917472752805</v>
      </c>
      <c r="H23" s="188">
        <f t="shared" si="17"/>
        <v>0.61581973027710846</v>
      </c>
      <c r="I23" s="188">
        <f t="shared" si="17"/>
        <v>0.65202615326582269</v>
      </c>
      <c r="J23" s="188">
        <f t="shared" si="17"/>
        <v>0.63618808213281242</v>
      </c>
      <c r="K23" s="188">
        <f t="shared" si="17"/>
        <v>0.61865766340099004</v>
      </c>
      <c r="L23" s="188">
        <f t="shared" si="17"/>
        <v>0.60198437573877561</v>
      </c>
      <c r="M23" s="188" t="str">
        <f t="shared" si="17"/>
        <v/>
      </c>
      <c r="N23" s="188" t="str">
        <f t="shared" si="17"/>
        <v/>
      </c>
      <c r="O23" s="188" t="str">
        <f t="shared" si="17"/>
        <v/>
      </c>
      <c r="P23" s="188" t="str">
        <f t="shared" si="17"/>
        <v/>
      </c>
      <c r="Q23" s="188" t="str">
        <f t="shared" si="17"/>
        <v/>
      </c>
      <c r="R23" s="189">
        <f t="shared" si="17"/>
        <v>0.62204225601508623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140"/>
      <c r="AF23" s="140"/>
      <c r="AG23" s="179"/>
      <c r="AH23" s="187" t="s">
        <v>90</v>
      </c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3"/>
      <c r="AZ23" s="173"/>
      <c r="BA23" s="173"/>
      <c r="BB23" s="173"/>
      <c r="BC23" s="173"/>
      <c r="BD23" s="173"/>
      <c r="BE23" s="173"/>
      <c r="BF23" s="173"/>
      <c r="BG23" s="174">
        <f t="shared" ref="BG23:BR23" si="18">IF(BG19="",BG20,BG19)</f>
        <v>497.22690299999999</v>
      </c>
      <c r="BH23" s="174">
        <f t="shared" si="18"/>
        <v>524.20670719999998</v>
      </c>
      <c r="BI23" s="174">
        <f t="shared" si="18"/>
        <v>557.63668800000005</v>
      </c>
      <c r="BJ23" s="174">
        <f t="shared" si="18"/>
        <v>574.18219959999999</v>
      </c>
      <c r="BK23" s="174">
        <f t="shared" si="18"/>
        <v>615.59459060000006</v>
      </c>
      <c r="BL23" s="174">
        <f t="shared" si="18"/>
        <v>652.83400160000008</v>
      </c>
      <c r="BM23" s="174">
        <f t="shared" si="18"/>
        <v>739.48349380000002</v>
      </c>
      <c r="BN23" s="174">
        <f t="shared" si="18"/>
        <v>504.75</v>
      </c>
      <c r="BO23" s="174">
        <f t="shared" si="18"/>
        <v>527.14705882352939</v>
      </c>
      <c r="BP23" s="174">
        <f t="shared" si="18"/>
        <v>549.5441176470589</v>
      </c>
      <c r="BQ23" s="174">
        <f t="shared" si="18"/>
        <v>571.94117647058829</v>
      </c>
      <c r="BR23" s="174">
        <f t="shared" si="18"/>
        <v>594.33823529411768</v>
      </c>
      <c r="BS23" s="190">
        <f>SUM(BG23:BR23)</f>
        <v>6908.885172035295</v>
      </c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</row>
    <row r="24" spans="1:83" s="84" customFormat="1" x14ac:dyDescent="0.2">
      <c r="A24" s="1"/>
      <c r="B24" s="1"/>
      <c r="C24" s="1"/>
      <c r="D24" s="1"/>
      <c r="E24" s="176" t="str">
        <f>+E17</f>
        <v>Forecast</v>
      </c>
      <c r="F24" s="188">
        <f>IF(F23="",IFERROR(SUM(E17:$F17)/SUM(E10:$F10),""),F17/F10)</f>
        <v>0.64171018085714293</v>
      </c>
      <c r="G24" s="191">
        <f>IF(G23="",IFERROR(SUM(F17:$F17)/SUM(F10:$F10),""),G17/G10)</f>
        <v>0.60175917472752805</v>
      </c>
      <c r="H24" s="191">
        <f>IF(H23="",IFERROR(SUM($F17:G17)/SUM($F10:G10),""),H17/H10)</f>
        <v>0.61581973027710846</v>
      </c>
      <c r="I24" s="191">
        <f>IF(I23="",IFERROR(SUM($F17:H17)/SUM($F10:H10),""),I17/I10)</f>
        <v>0.65202615326582269</v>
      </c>
      <c r="J24" s="191">
        <f>IF(J23="",IFERROR(SUM($F17:I17)/SUM($F10:I10),""),J17/J10)</f>
        <v>0.63618808213281242</v>
      </c>
      <c r="K24" s="191">
        <f>IF(K23="",IFERROR(SUM($F17:J17)/SUM($F10:J10),""),K17/K10)</f>
        <v>0.61865766340099004</v>
      </c>
      <c r="L24" s="191">
        <f>IF(L23="",IFERROR(SUM($F17:K17)/SUM($F10:K10),""),L17/L10)</f>
        <v>0.60198437573877561</v>
      </c>
      <c r="M24" s="191">
        <f>IF(M23="",IFERROR(SUM($F17:L17)/SUM($F10:L10),""),M17/M10)</f>
        <v>0.62204225601508623</v>
      </c>
      <c r="N24" s="191">
        <f>IF(N23="",IFERROR(SUM($F17:M17)/SUM($F10:M10),""),N17/N10)</f>
        <v>0.62204225601508623</v>
      </c>
      <c r="O24" s="191">
        <f>IF(O23="",IFERROR(SUM($F17:N17)/SUM($F10:N10),""),O17/O10)</f>
        <v>0.62204225601508623</v>
      </c>
      <c r="P24" s="191">
        <f>IF(P23="",IFERROR(SUM($F17:O17)/SUM($F10:O10),""),P17/P10)</f>
        <v>0.62204225601508611</v>
      </c>
      <c r="Q24" s="191">
        <f>IF(Q23="",IFERROR(SUM($F17:P17)/SUM($F10:P10),""),Q17/Q10)</f>
        <v>0.62204225601508623</v>
      </c>
      <c r="R24" s="189">
        <f>IFERROR(R17/R10,"")</f>
        <v>0.62204225601508623</v>
      </c>
      <c r="T24" s="135" t="s">
        <v>97</v>
      </c>
      <c r="U24" s="164" t="str">
        <f>AA24</f>
        <v>Q1</v>
      </c>
      <c r="V24" s="164" t="str">
        <f t="shared" ref="V24:X24" si="19">AB24</f>
        <v>Q2</v>
      </c>
      <c r="W24" s="164" t="str">
        <f t="shared" si="19"/>
        <v>Q3</v>
      </c>
      <c r="X24" s="164" t="str">
        <f t="shared" si="19"/>
        <v>Q4</v>
      </c>
      <c r="Y24" s="140"/>
      <c r="Z24" s="135" t="s">
        <v>97</v>
      </c>
      <c r="AA24" s="164" t="s">
        <v>21</v>
      </c>
      <c r="AB24" s="164" t="s">
        <v>22</v>
      </c>
      <c r="AC24" s="164" t="s">
        <v>23</v>
      </c>
      <c r="AD24" s="136" t="s">
        <v>24</v>
      </c>
      <c r="AE24" s="150"/>
      <c r="AF24" s="150"/>
      <c r="AG24" s="7" t="s">
        <v>89</v>
      </c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 spans="1:83" s="84" customFormat="1" x14ac:dyDescent="0.2">
      <c r="A25" s="1"/>
      <c r="B25" s="1"/>
      <c r="C25" s="1"/>
      <c r="D25" s="1"/>
      <c r="T25" s="112" t="str">
        <f>"vs "&amp;$A$6</f>
        <v>vs 2018</v>
      </c>
      <c r="U25" s="192">
        <f t="shared" ref="U25:X26" si="20">IFERROR(U$21/U18-1,"")</f>
        <v>10.226415094339623</v>
      </c>
      <c r="V25" s="192">
        <f t="shared" si="20"/>
        <v>7.4923076923076923</v>
      </c>
      <c r="W25" s="192">
        <f t="shared" si="20"/>
        <v>2.3561643835616439</v>
      </c>
      <c r="X25" s="149">
        <f t="shared" si="20"/>
        <v>-1</v>
      </c>
      <c r="Y25" s="150"/>
      <c r="Z25" s="112" t="str">
        <f>"vs "&amp;$A$6</f>
        <v>vs 2018</v>
      </c>
      <c r="AA25" s="192">
        <f t="shared" ref="AA25:AD26" si="21">IFERROR(AA$21/AA18-1,"")</f>
        <v>3.4494152799845885</v>
      </c>
      <c r="AB25" s="192">
        <f t="shared" si="21"/>
        <v>4.3895455781857109</v>
      </c>
      <c r="AC25" s="192">
        <f t="shared" si="21"/>
        <v>1.0927670978901598</v>
      </c>
      <c r="AD25" s="149">
        <f t="shared" si="21"/>
        <v>-1</v>
      </c>
      <c r="AE25" s="150"/>
      <c r="AF25" s="150"/>
      <c r="AH25" s="167" t="str">
        <f>AH16</f>
        <v>Actual</v>
      </c>
      <c r="AU25" s="163">
        <f t="shared" ref="AU25:BR25" si="22">IF(AU16="",NA(),AU16)</f>
        <v>128</v>
      </c>
      <c r="AV25" s="163">
        <f t="shared" si="22"/>
        <v>74</v>
      </c>
      <c r="AW25" s="163">
        <f t="shared" si="22"/>
        <v>108</v>
      </c>
      <c r="AX25" s="163">
        <f t="shared" si="22"/>
        <v>92</v>
      </c>
      <c r="AY25" s="163">
        <f t="shared" si="22"/>
        <v>104</v>
      </c>
      <c r="AZ25" s="163">
        <f t="shared" si="22"/>
        <v>206</v>
      </c>
      <c r="BA25" s="163">
        <f t="shared" si="22"/>
        <v>232</v>
      </c>
      <c r="BB25" s="163">
        <f t="shared" si="22"/>
        <v>234</v>
      </c>
      <c r="BC25" s="163">
        <f t="shared" si="22"/>
        <v>270</v>
      </c>
      <c r="BD25" s="163">
        <f t="shared" si="22"/>
        <v>320</v>
      </c>
      <c r="BE25" s="163">
        <f t="shared" si="22"/>
        <v>378</v>
      </c>
      <c r="BF25" s="163">
        <f t="shared" si="22"/>
        <v>426</v>
      </c>
      <c r="BG25" s="163">
        <f t="shared" si="22"/>
        <v>336</v>
      </c>
      <c r="BH25" s="163">
        <f t="shared" si="22"/>
        <v>356</v>
      </c>
      <c r="BI25" s="163">
        <f t="shared" si="22"/>
        <v>498</v>
      </c>
      <c r="BJ25" s="163">
        <f t="shared" si="22"/>
        <v>316</v>
      </c>
      <c r="BK25" s="163">
        <f t="shared" si="22"/>
        <v>384</v>
      </c>
      <c r="BL25" s="163">
        <f t="shared" si="22"/>
        <v>404</v>
      </c>
      <c r="BM25" s="163">
        <f t="shared" si="22"/>
        <v>490</v>
      </c>
      <c r="BN25" s="163" t="e">
        <f t="shared" si="22"/>
        <v>#N/A</v>
      </c>
      <c r="BO25" s="163" t="e">
        <f t="shared" si="22"/>
        <v>#N/A</v>
      </c>
      <c r="BP25" s="163" t="e">
        <f t="shared" si="22"/>
        <v>#N/A</v>
      </c>
      <c r="BQ25" s="163" t="e">
        <f t="shared" si="22"/>
        <v>#N/A</v>
      </c>
      <c r="BR25" s="163" t="e">
        <f t="shared" si="22"/>
        <v>#N/A</v>
      </c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 spans="1:83" s="84" customForma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112" t="str">
        <f>"vs "&amp;$A$7</f>
        <v>vs 2019</v>
      </c>
      <c r="U26" s="192">
        <f t="shared" si="20"/>
        <v>2.838709677419355</v>
      </c>
      <c r="V26" s="192">
        <f t="shared" si="20"/>
        <v>1.7462686567164178</v>
      </c>
      <c r="W26" s="192">
        <f t="shared" si="20"/>
        <v>-0.33423913043478259</v>
      </c>
      <c r="X26" s="149">
        <f t="shared" si="20"/>
        <v>-1</v>
      </c>
      <c r="Y26" s="150"/>
      <c r="Z26" s="112" t="str">
        <f>"vs "&amp;$A$7</f>
        <v>vs 2019</v>
      </c>
      <c r="AA26" s="192">
        <f t="shared" si="21"/>
        <v>1.4171423363221773</v>
      </c>
      <c r="AB26" s="192">
        <f t="shared" si="21"/>
        <v>1.2709939881841992</v>
      </c>
      <c r="AC26" s="192">
        <f t="shared" si="21"/>
        <v>-0.3922208603936721</v>
      </c>
      <c r="AD26" s="149">
        <f t="shared" si="21"/>
        <v>-1</v>
      </c>
      <c r="AE26" s="150"/>
      <c r="AF26" s="150"/>
      <c r="AH26" s="167" t="str">
        <f>AH20</f>
        <v>Budget</v>
      </c>
      <c r="AU26" s="163" t="e">
        <f t="shared" ref="AU26:BR26" si="23">IF(AU17="",NA(),AU17)</f>
        <v>#N/A</v>
      </c>
      <c r="AV26" s="163" t="e">
        <f t="shared" si="23"/>
        <v>#N/A</v>
      </c>
      <c r="AW26" s="163" t="e">
        <f t="shared" si="23"/>
        <v>#N/A</v>
      </c>
      <c r="AX26" s="163" t="e">
        <f t="shared" si="23"/>
        <v>#N/A</v>
      </c>
      <c r="AY26" s="163" t="e">
        <f t="shared" si="23"/>
        <v>#N/A</v>
      </c>
      <c r="AZ26" s="163" t="e">
        <f t="shared" si="23"/>
        <v>#N/A</v>
      </c>
      <c r="BA26" s="163" t="e">
        <f t="shared" si="23"/>
        <v>#N/A</v>
      </c>
      <c r="BB26" s="163" t="e">
        <f t="shared" si="23"/>
        <v>#N/A</v>
      </c>
      <c r="BC26" s="163" t="e">
        <f t="shared" si="23"/>
        <v>#N/A</v>
      </c>
      <c r="BD26" s="163" t="e">
        <f t="shared" si="23"/>
        <v>#N/A</v>
      </c>
      <c r="BE26" s="163" t="e">
        <f t="shared" si="23"/>
        <v>#N/A</v>
      </c>
      <c r="BF26" s="163" t="e">
        <f t="shared" si="23"/>
        <v>#N/A</v>
      </c>
      <c r="BG26" s="163" t="e">
        <f t="shared" si="23"/>
        <v>#N/A</v>
      </c>
      <c r="BH26" s="163" t="e">
        <f t="shared" si="23"/>
        <v>#N/A</v>
      </c>
      <c r="BI26" s="163" t="e">
        <f t="shared" si="23"/>
        <v>#N/A</v>
      </c>
      <c r="BJ26" s="163" t="e">
        <f t="shared" si="23"/>
        <v>#N/A</v>
      </c>
      <c r="BK26" s="163" t="e">
        <f t="shared" si="23"/>
        <v>#N/A</v>
      </c>
      <c r="BL26" s="163" t="e">
        <f t="shared" si="23"/>
        <v>#N/A</v>
      </c>
      <c r="BM26" s="163">
        <f t="shared" si="23"/>
        <v>739.48349380000002</v>
      </c>
      <c r="BN26" s="163">
        <f t="shared" si="23"/>
        <v>786.80442240000002</v>
      </c>
      <c r="BO26" s="163">
        <f t="shared" si="23"/>
        <v>842.37312420000001</v>
      </c>
      <c r="BP26" s="163">
        <f t="shared" si="23"/>
        <v>907.37609739999994</v>
      </c>
      <c r="BQ26" s="163">
        <f t="shared" si="23"/>
        <v>972.86586119999993</v>
      </c>
      <c r="BR26" s="163">
        <f t="shared" si="23"/>
        <v>1044.5206582000001</v>
      </c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 spans="1:83" s="84" customForma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151" t="str">
        <f>"Forecast "&amp;"vs. "&amp;$A$7</f>
        <v>Forecast vs. 2019</v>
      </c>
      <c r="U27" s="193">
        <f>IFERROR(U22/U19-1,"")</f>
        <v>2.838709677419355</v>
      </c>
      <c r="V27" s="193">
        <f>IFERROR(V22/V19-1,"")</f>
        <v>1.7462686567164178</v>
      </c>
      <c r="W27" s="193">
        <f>IFERROR(W22/W19-1,"")</f>
        <v>1.701790635374147</v>
      </c>
      <c r="X27" s="194">
        <f>IFERROR(X22/X19-1,"")</f>
        <v>1.4410315545842227</v>
      </c>
      <c r="Y27" s="56"/>
      <c r="Z27" s="151" t="str">
        <f>"Forecast "&amp;"vs. "&amp;$A$7</f>
        <v>Forecast vs. 2019</v>
      </c>
      <c r="AA27" s="193">
        <f>IFERROR(AA22/AA19-1,"")</f>
        <v>1.4171423363221773</v>
      </c>
      <c r="AB27" s="193">
        <f>IFERROR(AB22/AB19-1,"")</f>
        <v>1.2709939881841992</v>
      </c>
      <c r="AC27" s="193">
        <f>IFERROR(AC22/AC19-1,"")</f>
        <v>1.52842067033014</v>
      </c>
      <c r="AD27" s="194">
        <f>IFERROR(AD22/AD19-1,"")</f>
        <v>1.4600398577579017</v>
      </c>
      <c r="AE27" s="150"/>
      <c r="AF27" s="150"/>
      <c r="AH27" s="167" t="str">
        <f>AH18</f>
        <v>Trend 6m</v>
      </c>
      <c r="AU27" s="163" t="e">
        <f t="shared" ref="AU27:BR27" si="24">IF(AU18="",NA(),AU18)</f>
        <v>#N/A</v>
      </c>
      <c r="AV27" s="163" t="e">
        <f t="shared" si="24"/>
        <v>#N/A</v>
      </c>
      <c r="AW27" s="163" t="e">
        <f t="shared" si="24"/>
        <v>#N/A</v>
      </c>
      <c r="AX27" s="163" t="e">
        <f t="shared" si="24"/>
        <v>#N/A</v>
      </c>
      <c r="AY27" s="163" t="e">
        <f t="shared" si="24"/>
        <v>#N/A</v>
      </c>
      <c r="AZ27" s="163" t="e">
        <f t="shared" si="24"/>
        <v>#N/A</v>
      </c>
      <c r="BA27" s="163" t="e">
        <f t="shared" si="24"/>
        <v>#N/A</v>
      </c>
      <c r="BB27" s="163" t="e">
        <f t="shared" si="24"/>
        <v>#N/A</v>
      </c>
      <c r="BC27" s="163" t="e">
        <f t="shared" si="24"/>
        <v>#N/A</v>
      </c>
      <c r="BD27" s="163" t="e">
        <f t="shared" si="24"/>
        <v>#N/A</v>
      </c>
      <c r="BE27" s="163" t="e">
        <f t="shared" si="24"/>
        <v>#N/A</v>
      </c>
      <c r="BF27" s="163" t="e">
        <f t="shared" si="24"/>
        <v>#N/A</v>
      </c>
      <c r="BG27" s="163" t="e">
        <f t="shared" si="24"/>
        <v>#N/A</v>
      </c>
      <c r="BH27" s="163" t="e">
        <f t="shared" si="24"/>
        <v>#N/A</v>
      </c>
      <c r="BI27" s="163" t="e">
        <f t="shared" si="24"/>
        <v>#N/A</v>
      </c>
      <c r="BJ27" s="163" t="e">
        <f t="shared" si="24"/>
        <v>#N/A</v>
      </c>
      <c r="BK27" s="163" t="e">
        <f t="shared" si="24"/>
        <v>#N/A</v>
      </c>
      <c r="BL27" s="163" t="e">
        <f t="shared" si="24"/>
        <v>#N/A</v>
      </c>
      <c r="BM27" s="163" t="e">
        <f t="shared" si="24"/>
        <v>#N/A</v>
      </c>
      <c r="BN27" s="163">
        <f t="shared" si="24"/>
        <v>455.96363636363634</v>
      </c>
      <c r="BO27" s="163">
        <f t="shared" si="24"/>
        <v>468.65454545454543</v>
      </c>
      <c r="BP27" s="163">
        <f t="shared" si="24"/>
        <v>481.34545454545457</v>
      </c>
      <c r="BQ27" s="163">
        <f t="shared" si="24"/>
        <v>494.0363636363636</v>
      </c>
      <c r="BR27" s="163">
        <f t="shared" si="24"/>
        <v>506.72727272727275</v>
      </c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 spans="1:83" s="84" customForma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150"/>
      <c r="AF28" s="150"/>
      <c r="AG28" s="1"/>
      <c r="AH28" s="167" t="str">
        <f>AH19</f>
        <v>Trend 12m</v>
      </c>
      <c r="AI28" s="1"/>
      <c r="AJ28" s="1"/>
      <c r="AK28" s="1"/>
      <c r="AL28" s="1"/>
      <c r="AU28" s="163" t="e">
        <f t="shared" ref="AU28:BR28" si="25">IF(AU19="",NA(),AU19)</f>
        <v>#N/A</v>
      </c>
      <c r="AV28" s="163" t="e">
        <f t="shared" si="25"/>
        <v>#N/A</v>
      </c>
      <c r="AW28" s="163" t="e">
        <f t="shared" si="25"/>
        <v>#N/A</v>
      </c>
      <c r="AX28" s="163" t="e">
        <f t="shared" si="25"/>
        <v>#N/A</v>
      </c>
      <c r="AY28" s="163" t="e">
        <f t="shared" si="25"/>
        <v>#N/A</v>
      </c>
      <c r="AZ28" s="163" t="e">
        <f t="shared" si="25"/>
        <v>#N/A</v>
      </c>
      <c r="BA28" s="163" t="e">
        <f t="shared" si="25"/>
        <v>#N/A</v>
      </c>
      <c r="BB28" s="163" t="e">
        <f t="shared" si="25"/>
        <v>#N/A</v>
      </c>
      <c r="BC28" s="163" t="e">
        <f t="shared" si="25"/>
        <v>#N/A</v>
      </c>
      <c r="BD28" s="163" t="e">
        <f t="shared" si="25"/>
        <v>#N/A</v>
      </c>
      <c r="BE28" s="163" t="e">
        <f t="shared" si="25"/>
        <v>#N/A</v>
      </c>
      <c r="BF28" s="163" t="e">
        <f t="shared" si="25"/>
        <v>#N/A</v>
      </c>
      <c r="BG28" s="163" t="e">
        <f t="shared" si="25"/>
        <v>#N/A</v>
      </c>
      <c r="BH28" s="163" t="e">
        <f t="shared" si="25"/>
        <v>#N/A</v>
      </c>
      <c r="BI28" s="163" t="e">
        <f t="shared" si="25"/>
        <v>#N/A</v>
      </c>
      <c r="BJ28" s="163" t="e">
        <f t="shared" si="25"/>
        <v>#N/A</v>
      </c>
      <c r="BK28" s="163" t="e">
        <f t="shared" si="25"/>
        <v>#N/A</v>
      </c>
      <c r="BL28" s="163" t="e">
        <f t="shared" si="25"/>
        <v>#N/A</v>
      </c>
      <c r="BM28" s="163" t="e">
        <f t="shared" si="25"/>
        <v>#N/A</v>
      </c>
      <c r="BN28" s="163">
        <f t="shared" si="25"/>
        <v>504.75</v>
      </c>
      <c r="BO28" s="163">
        <f t="shared" si="25"/>
        <v>527.14705882352939</v>
      </c>
      <c r="BP28" s="163">
        <f t="shared" si="25"/>
        <v>549.5441176470589</v>
      </c>
      <c r="BQ28" s="163">
        <f t="shared" si="25"/>
        <v>571.94117647058829</v>
      </c>
      <c r="BR28" s="163">
        <f t="shared" si="25"/>
        <v>594.33823529411768</v>
      </c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 spans="1:83" s="84" customForma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135" t="s">
        <v>97</v>
      </c>
      <c r="U29" s="164" t="str">
        <f>AA29</f>
        <v>Q1</v>
      </c>
      <c r="V29" s="164" t="str">
        <f t="shared" ref="V29:X29" si="26">AB29</f>
        <v>Q2</v>
      </c>
      <c r="W29" s="164" t="str">
        <f t="shared" si="26"/>
        <v>Q3</v>
      </c>
      <c r="X29" s="136" t="str">
        <f t="shared" si="26"/>
        <v>Q4</v>
      </c>
      <c r="Y29" s="56"/>
      <c r="Z29" s="135" t="s">
        <v>97</v>
      </c>
      <c r="AA29" s="164" t="s">
        <v>21</v>
      </c>
      <c r="AB29" s="164" t="s">
        <v>22</v>
      </c>
      <c r="AC29" s="164" t="s">
        <v>23</v>
      </c>
      <c r="AD29" s="136" t="s">
        <v>24</v>
      </c>
      <c r="AE29" s="170"/>
      <c r="AF29" s="170"/>
      <c r="AH29" s="167" t="s">
        <v>34</v>
      </c>
      <c r="AU29" s="163" t="e">
        <f t="shared" ref="AU29:BR29" si="27">IF(AU21="",NA(),AU21)</f>
        <v>#N/A</v>
      </c>
      <c r="AV29" s="163" t="e">
        <f t="shared" si="27"/>
        <v>#N/A</v>
      </c>
      <c r="AW29" s="163" t="e">
        <f t="shared" si="27"/>
        <v>#N/A</v>
      </c>
      <c r="AX29" s="163" t="e">
        <f t="shared" si="27"/>
        <v>#N/A</v>
      </c>
      <c r="AY29" s="163" t="e">
        <f t="shared" si="27"/>
        <v>#N/A</v>
      </c>
      <c r="AZ29" s="163" t="e">
        <f t="shared" si="27"/>
        <v>#N/A</v>
      </c>
      <c r="BA29" s="163" t="e">
        <f t="shared" si="27"/>
        <v>#N/A</v>
      </c>
      <c r="BB29" s="163" t="e">
        <f t="shared" si="27"/>
        <v>#N/A</v>
      </c>
      <c r="BC29" s="163" t="e">
        <f t="shared" si="27"/>
        <v>#N/A</v>
      </c>
      <c r="BD29" s="163" t="e">
        <f t="shared" si="27"/>
        <v>#N/A</v>
      </c>
      <c r="BE29" s="163" t="e">
        <f t="shared" si="27"/>
        <v>#N/A</v>
      </c>
      <c r="BF29" s="163" t="e">
        <f t="shared" si="27"/>
        <v>#N/A</v>
      </c>
      <c r="BG29" s="163" t="e">
        <f t="shared" si="27"/>
        <v>#N/A</v>
      </c>
      <c r="BH29" s="163" t="e">
        <f t="shared" si="27"/>
        <v>#N/A</v>
      </c>
      <c r="BI29" s="163" t="e">
        <f t="shared" si="27"/>
        <v>#N/A</v>
      </c>
      <c r="BJ29" s="163" t="e">
        <f t="shared" si="27"/>
        <v>#N/A</v>
      </c>
      <c r="BK29" s="163" t="e">
        <f t="shared" si="27"/>
        <v>#N/A</v>
      </c>
      <c r="BL29" s="163" t="e">
        <f t="shared" si="27"/>
        <v>#N/A</v>
      </c>
      <c r="BM29" s="163">
        <f t="shared" si="27"/>
        <v>490</v>
      </c>
      <c r="BN29" s="163">
        <f t="shared" si="27"/>
        <v>721.23834733884996</v>
      </c>
      <c r="BO29" s="163">
        <f t="shared" si="27"/>
        <v>777.27956029652228</v>
      </c>
      <c r="BP29" s="163">
        <f t="shared" si="27"/>
        <v>842.30277590830678</v>
      </c>
      <c r="BQ29" s="163">
        <f t="shared" si="27"/>
        <v>913.00096384280994</v>
      </c>
      <c r="BR29" s="163">
        <f t="shared" si="27"/>
        <v>988.41572760154975</v>
      </c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 spans="1:83" s="84" customForma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195" t="str">
        <f>T25</f>
        <v>vs 2018</v>
      </c>
      <c r="U30" s="196">
        <f t="shared" ref="U30:X31" si="28">U$21-U18</f>
        <v>1084</v>
      </c>
      <c r="V30" s="196">
        <f t="shared" si="28"/>
        <v>974</v>
      </c>
      <c r="W30" s="196">
        <f t="shared" si="28"/>
        <v>344</v>
      </c>
      <c r="X30" s="110">
        <f t="shared" si="28"/>
        <v>-260</v>
      </c>
      <c r="Z30" s="195" t="str">
        <f>Z25</f>
        <v>vs 2018</v>
      </c>
      <c r="AA30" s="196">
        <f t="shared" ref="AA30:AD31" si="29">AA$21-AA18</f>
        <v>570.98744920500008</v>
      </c>
      <c r="AB30" s="196">
        <f t="shared" si="29"/>
        <v>570.34223075700004</v>
      </c>
      <c r="AC30" s="196">
        <f t="shared" si="29"/>
        <v>154.02386283600003</v>
      </c>
      <c r="AD30" s="110">
        <f t="shared" si="29"/>
        <v>-254.58643170900001</v>
      </c>
      <c r="AE30" s="175"/>
      <c r="AF30" s="175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 spans="1:83" s="84" customForma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195" t="str">
        <f>T26</f>
        <v>vs 2019</v>
      </c>
      <c r="U31" s="196">
        <f t="shared" si="28"/>
        <v>880</v>
      </c>
      <c r="V31" s="196">
        <f t="shared" si="28"/>
        <v>702</v>
      </c>
      <c r="W31" s="196">
        <f t="shared" si="28"/>
        <v>-246</v>
      </c>
      <c r="X31" s="110">
        <f t="shared" si="28"/>
        <v>-1124</v>
      </c>
      <c r="Z31" s="195" t="str">
        <f>Z26</f>
        <v>vs 2019</v>
      </c>
      <c r="AA31" s="196">
        <f t="shared" si="29"/>
        <v>431.8125583094419</v>
      </c>
      <c r="AB31" s="196">
        <f t="shared" si="29"/>
        <v>391.91837695580011</v>
      </c>
      <c r="AC31" s="196">
        <f t="shared" si="29"/>
        <v>-190.35583662000107</v>
      </c>
      <c r="AD31" s="110">
        <f t="shared" si="29"/>
        <v>-693.77308744097786</v>
      </c>
      <c r="AE31" s="179"/>
      <c r="AF31" s="179"/>
      <c r="AH31" s="1"/>
      <c r="AI31" s="1"/>
      <c r="AJ31" s="1"/>
      <c r="AK31" s="1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 spans="1:83" s="84" customFormat="1" ht="16.149999999999999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7"/>
      <c r="T32" s="151" t="str">
        <f>"Forecast "&amp;"vs. "&amp;$A$7</f>
        <v>Forecast vs. 2019</v>
      </c>
      <c r="U32" s="197">
        <f>U22-U19</f>
        <v>880</v>
      </c>
      <c r="V32" s="197">
        <f t="shared" ref="V32:X32" si="30">V22-V19</f>
        <v>702</v>
      </c>
      <c r="W32" s="197">
        <f t="shared" si="30"/>
        <v>1252.5179076353722</v>
      </c>
      <c r="X32" s="127">
        <f t="shared" si="30"/>
        <v>1619.7194673526665</v>
      </c>
      <c r="Y32" s="175"/>
      <c r="Z32" s="151" t="str">
        <f>"Forecast "&amp;"vs. "&amp;$A$7</f>
        <v>Forecast vs. 2019</v>
      </c>
      <c r="AA32" s="197">
        <f>AA22-AA19</f>
        <v>431.8125583094419</v>
      </c>
      <c r="AB32" s="197">
        <f t="shared" ref="AB32:AD32" si="31">AB22-AB19</f>
        <v>391.91837695580011</v>
      </c>
      <c r="AC32" s="197">
        <f t="shared" si="31"/>
        <v>741.78562332451247</v>
      </c>
      <c r="AD32" s="127">
        <f t="shared" si="31"/>
        <v>1012.9363599035855</v>
      </c>
      <c r="AE32" s="131"/>
      <c r="AF32" s="131"/>
      <c r="AG32" s="1"/>
      <c r="BM32" s="198"/>
      <c r="BN32" s="198"/>
      <c r="BO32" s="198"/>
      <c r="BP32" s="198"/>
      <c r="BQ32" s="198"/>
      <c r="BR32" s="198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 spans="1:83" s="84" customFormat="1" ht="15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131"/>
      <c r="AF33" s="131"/>
      <c r="AG33" s="158" t="s">
        <v>82</v>
      </c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 spans="1:83" s="84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35" t="s">
        <v>88</v>
      </c>
      <c r="U34" s="164" t="str">
        <f>AA34</f>
        <v>Q1</v>
      </c>
      <c r="V34" s="164" t="str">
        <f t="shared" ref="V34:X34" si="32">AB34</f>
        <v>Q2</v>
      </c>
      <c r="W34" s="164" t="str">
        <f t="shared" si="32"/>
        <v>Q3</v>
      </c>
      <c r="X34" s="164" t="str">
        <f t="shared" si="32"/>
        <v>Q4</v>
      </c>
      <c r="Y34" s="131"/>
      <c r="Z34" s="135" t="s">
        <v>88</v>
      </c>
      <c r="AA34" s="164" t="s">
        <v>21</v>
      </c>
      <c r="AB34" s="164" t="s">
        <v>22</v>
      </c>
      <c r="AC34" s="164" t="s">
        <v>23</v>
      </c>
      <c r="AD34" s="136" t="s">
        <v>24</v>
      </c>
      <c r="AE34" s="170"/>
      <c r="AF34" s="170"/>
      <c r="AG34" s="160" t="s">
        <v>29</v>
      </c>
      <c r="AH34" s="162" t="s">
        <v>0</v>
      </c>
      <c r="AI34" s="163">
        <f>SUMIFS('Sales Data'!$E:$E,'Sales Data'!$A:$A,$E$2,'Sales Data'!$B:$B,AI$15,'Sales Data'!$C:$C,"Periodic")/1000</f>
        <v>44.341027902</v>
      </c>
      <c r="AJ34" s="163">
        <f>SUMIFS('Sales Data'!$E:$E,'Sales Data'!$A:$A,$E$2,'Sales Data'!$B:$B,AJ$15,'Sales Data'!$C:$C,"Periodic")/1000</f>
        <v>53.100388281000001</v>
      </c>
      <c r="AK34" s="163">
        <f>SUMIFS('Sales Data'!$E:$E,'Sales Data'!$A:$A,$E$2,'Sales Data'!$B:$B,AK$15,'Sales Data'!$C:$C,"Periodic")/1000</f>
        <v>68.090247261000002</v>
      </c>
      <c r="AL34" s="163">
        <f>SUMIFS('Sales Data'!$E:$E,'Sales Data'!$A:$A,$E$2,'Sales Data'!$B:$B,AL$15,'Sales Data'!$C:$C,"Periodic")/1000</f>
        <v>50.651194191000002</v>
      </c>
      <c r="AM34" s="163">
        <f>SUMIFS('Sales Data'!$E:$E,'Sales Data'!$A:$A,$E$2,'Sales Data'!$B:$B,AM$15,'Sales Data'!$C:$C,"Periodic")/1000</f>
        <v>33.437618643</v>
      </c>
      <c r="AN34" s="163">
        <f>SUMIFS('Sales Data'!$E:$E,'Sales Data'!$A:$A,$E$2,'Sales Data'!$B:$B,AN$15,'Sales Data'!$C:$C,"Periodic")/1000</f>
        <v>45.843140394000002</v>
      </c>
      <c r="AO34" s="163">
        <f>SUMIFS('Sales Data'!$E:$E,'Sales Data'!$A:$A,$E$2,'Sales Data'!$B:$B,AO$15,'Sales Data'!$C:$C,"Periodic")/1000</f>
        <v>35.726898678000005</v>
      </c>
      <c r="AP34" s="163">
        <f>SUMIFS('Sales Data'!$E:$E,'Sales Data'!$A:$A,$E$2,'Sales Data'!$B:$B,AP$15,'Sales Data'!$C:$C,"Periodic")/1000</f>
        <v>54.933064674000001</v>
      </c>
      <c r="AQ34" s="163">
        <f>SUMIFS('Sales Data'!$E:$E,'Sales Data'!$A:$A,$E$2,'Sales Data'!$B:$B,AQ$15,'Sales Data'!$C:$C,"Periodic")/1000</f>
        <v>50.288517923999997</v>
      </c>
      <c r="AR34" s="163">
        <f>SUMIFS('Sales Data'!$E:$E,'Sales Data'!$A:$A,$E$2,'Sales Data'!$B:$B,AR$15,'Sales Data'!$C:$C,"Periodic")/1000</f>
        <v>56.579233688999999</v>
      </c>
      <c r="AS34" s="163">
        <f>SUMIFS('Sales Data'!$E:$E,'Sales Data'!$A:$A,$E$2,'Sales Data'!$B:$B,AS$15,'Sales Data'!$C:$C,"Periodic")/1000</f>
        <v>-26.975803908000003</v>
      </c>
      <c r="AT34" s="163">
        <f>SUMIFS('Sales Data'!$E:$E,'Sales Data'!$A:$A,$E$2,'Sales Data'!$B:$B,AT$15,'Sales Data'!$C:$C,"Periodic")/1000</f>
        <v>224.98300192800002</v>
      </c>
      <c r="AU34" s="163">
        <f>SUMIFS('Sales Data'!$E:$E,'Sales Data'!$A:$A,$E$2,'Sales Data'!$B:$B,AU$15,'Sales Data'!$C:$C,"Periodic")/1000</f>
        <v>128.2637424294746</v>
      </c>
      <c r="AV34" s="163">
        <f>SUMIFS('Sales Data'!$E:$E,'Sales Data'!$A:$A,$E$2,'Sales Data'!$B:$B,AV$15,'Sales Data'!$C:$C,"Periodic")/1000</f>
        <v>73.225479163447801</v>
      </c>
      <c r="AW34" s="163">
        <f>SUMIFS('Sales Data'!$E:$E,'Sales Data'!$A:$A,$E$2,'Sales Data'!$B:$B,AW$15,'Sales Data'!$C:$C,"Periodic")/1000</f>
        <v>103.21733274663573</v>
      </c>
      <c r="AX34" s="163">
        <f>SUMIFS('Sales Data'!$E:$E,'Sales Data'!$A:$A,$E$2,'Sales Data'!$B:$B,AX$15,'Sales Data'!$C:$C,"Periodic")/1000</f>
        <v>81.303604700199216</v>
      </c>
      <c r="AY34" s="163">
        <f>SUMIFS('Sales Data'!$E:$E,'Sales Data'!$A:$A,$E$2,'Sales Data'!$B:$B,AY$15,'Sales Data'!$C:$C,"Periodic")/1000</f>
        <v>99.382012036533439</v>
      </c>
      <c r="AZ34" s="163">
        <f>SUMIFS('Sales Data'!$E:$E,'Sales Data'!$A:$A,$E$2,'Sales Data'!$B:$B,AZ$15,'Sales Data'!$C:$C,"Periodic")/1000</f>
        <v>127.67019029246728</v>
      </c>
      <c r="BA34" s="163">
        <f>SUMIFS('Sales Data'!$E:$E,'Sales Data'!$A:$A,$E$2,'Sales Data'!$B:$B,BA$15,'Sales Data'!$C:$C,"Periodic")/1000</f>
        <v>141.73287703650118</v>
      </c>
      <c r="BB34" s="163">
        <f>SUMIFS('Sales Data'!$E:$E,'Sales Data'!$A:$A,$E$2,'Sales Data'!$B:$B,BB$15,'Sales Data'!$C:$C,"Periodic")/1000</f>
        <v>171.96272132692715</v>
      </c>
      <c r="BC34" s="163">
        <f>SUMIFS('Sales Data'!$E:$E,'Sales Data'!$A:$A,$E$2,'Sales Data'!$B:$B,BC$15,'Sales Data'!$C:$C,"Periodic")/1000</f>
        <v>171.6325823685728</v>
      </c>
      <c r="BD34" s="163">
        <f>SUMIFS('Sales Data'!$E:$E,'Sales Data'!$A:$A,$E$2,'Sales Data'!$B:$B,BD$15,'Sales Data'!$C:$C,"Periodic")/1000</f>
        <v>212.70068453824723</v>
      </c>
      <c r="BE34" s="163">
        <f>SUMIFS('Sales Data'!$E:$E,'Sales Data'!$A:$A,$E$2,'Sales Data'!$B:$B,BE$15,'Sales Data'!$C:$C,"Periodic")/1000</f>
        <v>258.54867200973763</v>
      </c>
      <c r="BF34" s="163">
        <f>SUMIFS('Sales Data'!$E:$E,'Sales Data'!$A:$A,$E$2,'Sales Data'!$B:$B,BF$15,'Sales Data'!$C:$C,"Periodic")/1000</f>
        <v>222.52373089299294</v>
      </c>
      <c r="BG34" s="163">
        <f>IF(OR(BG$8=1,BG$9=0),SUMIFS('Sales Data'!$E:$E,'Sales Data'!$A:$A,$E$2,'Sales Data'!$B:$B,BG$15,'Sales Data'!$C:$C,"Periodic")/1000,"")</f>
        <v>215.61462076800001</v>
      </c>
      <c r="BH34" s="163">
        <f>IF(OR(BH$8=1,BH$9=0),SUMIFS('Sales Data'!$E:$E,'Sales Data'!$A:$A,$E$2,'Sales Data'!$B:$B,BH$15,'Sales Data'!$C:$C,"Periodic")/1000,"")</f>
        <v>214.22626620299999</v>
      </c>
      <c r="BI34" s="163">
        <f>IF(OR(BI$8=1,BI$9=0),SUMIFS('Sales Data'!$E:$E,'Sales Data'!$A:$A,$E$2,'Sales Data'!$B:$B,BI$15,'Sales Data'!$C:$C,"Periodic")/1000,"")</f>
        <v>306.67822567799999</v>
      </c>
      <c r="BJ34" s="163">
        <f>IF(OR(BJ$8=1,BJ$9=0),SUMIFS('Sales Data'!$E:$E,'Sales Data'!$A:$A,$E$2,'Sales Data'!$B:$B,BJ$15,'Sales Data'!$C:$C,"Periodic")/1000,"")</f>
        <v>206.04026443199999</v>
      </c>
      <c r="BK34" s="163">
        <f>IF(OR(BK$8=1,BK$9=0),SUMIFS('Sales Data'!$E:$E,'Sales Data'!$A:$A,$E$2,'Sales Data'!$B:$B,BK$15,'Sales Data'!$C:$C,"Periodic")/1000,"")</f>
        <v>244.29622353899998</v>
      </c>
      <c r="BL34" s="163">
        <f>IF(OR(BL$8=1,BL$9=0),SUMIFS('Sales Data'!$E:$E,'Sales Data'!$A:$A,$E$2,'Sales Data'!$B:$B,BL$15,'Sales Data'!$C:$C,"Periodic")/1000,"")</f>
        <v>249.93769601399998</v>
      </c>
      <c r="BM34" s="163">
        <f>IF(OR(BM$8=1,BM$9=0),SUMIFS('Sales Data'!$E:$E,'Sales Data'!$A:$A,$E$2,'Sales Data'!$B:$B,BM$15,'Sales Data'!$C:$C,"Periodic")/1000,"")</f>
        <v>294.97234411200003</v>
      </c>
      <c r="BN34" s="163" t="str">
        <f>IF(OR(BN$8=1,BN$9=0),SUMIFS('Sales Data'!$E:$E,'Sales Data'!$A:$A,$E$2,'Sales Data'!$B:$B,BN$15,'Sales Data'!$C:$C,"Periodic")/1000,"")</f>
        <v/>
      </c>
      <c r="BO34" s="163" t="str">
        <f>IF(OR(BO$8=1,BO$9=0),SUMIFS('Sales Data'!$E:$E,'Sales Data'!$A:$A,$E$2,'Sales Data'!$B:$B,BO$15,'Sales Data'!$C:$C,"Periodic")/1000,"")</f>
        <v/>
      </c>
      <c r="BP34" s="163" t="str">
        <f>IF(OR(BP$8=1,BP$9=0),SUMIFS('Sales Data'!$E:$E,'Sales Data'!$A:$A,$E$2,'Sales Data'!$B:$B,BP$15,'Sales Data'!$C:$C,"Periodic")/1000,"")</f>
        <v/>
      </c>
      <c r="BQ34" s="163" t="str">
        <f>IF(OR(BQ$8=1,BQ$9=0),SUMIFS('Sales Data'!$E:$E,'Sales Data'!$A:$A,$E$2,'Sales Data'!$B:$B,BQ$15,'Sales Data'!$C:$C,"Periodic")/1000,"")</f>
        <v/>
      </c>
      <c r="BR34" s="163" t="str">
        <f>IF(OR(BR$8=1,BR$9=0),SUMIFS('Sales Data'!$E:$E,'Sales Data'!$A:$A,$E$2,'Sales Data'!$B:$B,BR$15,'Sales Data'!$C:$C,"Periodic")/1000,"")</f>
        <v/>
      </c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 spans="1:83" s="84" customFormat="1" ht="12.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T35" s="112" t="str">
        <f>+T19</f>
        <v>2019 Actual</v>
      </c>
      <c r="U35" s="192">
        <f>IFERROR(U19/X18-1,"")</f>
        <v>0.19230769230769229</v>
      </c>
      <c r="V35" s="192">
        <f t="shared" ref="V35:X36" si="33">IFERROR(V19/U19-1,"")</f>
        <v>0.29677419354838719</v>
      </c>
      <c r="W35" s="192">
        <f t="shared" si="33"/>
        <v>0.83084577114427871</v>
      </c>
      <c r="X35" s="149">
        <f t="shared" si="33"/>
        <v>0.52717391304347827</v>
      </c>
      <c r="Y35" s="131"/>
      <c r="Z35" s="112" t="str">
        <f>+Z19</f>
        <v>2019 Actual</v>
      </c>
      <c r="AA35" s="192">
        <f>IFERROR(AA19/AD18-1,"")</f>
        <v>0.1968687894877561</v>
      </c>
      <c r="AB35" s="192">
        <f t="shared" ref="AB35:AD36" si="34">IFERROR(AB19/AA19-1,"")</f>
        <v>1.1976285503774164E-2</v>
      </c>
      <c r="AC35" s="192">
        <f t="shared" si="34"/>
        <v>0.57392262337398647</v>
      </c>
      <c r="AD35" s="149">
        <f t="shared" si="34"/>
        <v>0.42949269171756654</v>
      </c>
      <c r="AE35" s="199"/>
      <c r="AF35" s="179"/>
      <c r="AG35" s="131"/>
      <c r="AH35" s="166" t="s">
        <v>1</v>
      </c>
      <c r="AI35" s="1"/>
      <c r="AJ35" s="1"/>
      <c r="AK35" s="1"/>
      <c r="AL35" s="1"/>
      <c r="BG35" s="163" t="str">
        <f>IF(OR(BG$8=1,BG$9=1),SUMIFS('Sales Data'!$D:$D,'Sales Data'!$A:$A,$E$2,'Sales Data'!$B:$B,BG$15,'Sales Data'!$C:$C,"Periodic")/1000,"")</f>
        <v/>
      </c>
      <c r="BH35" s="163" t="str">
        <f>IF(OR(BH$8=1,BH$9=1),SUMIFS('Sales Data'!$D:$D,'Sales Data'!$A:$A,$E$2,'Sales Data'!$B:$B,BH$15,'Sales Data'!$C:$C,"Periodic")/1000,"")</f>
        <v/>
      </c>
      <c r="BI35" s="163" t="str">
        <f>IF(OR(BI$8=1,BI$9=1),SUMIFS('Sales Data'!$D:$D,'Sales Data'!$A:$A,$E$2,'Sales Data'!$B:$B,BI$15,'Sales Data'!$C:$C,"Periodic")/1000,"")</f>
        <v/>
      </c>
      <c r="BJ35" s="163" t="str">
        <f>IF(OR(BJ$8=1,BJ$9=1),SUMIFS('Sales Data'!$D:$D,'Sales Data'!$A:$A,$E$2,'Sales Data'!$B:$B,BJ$15,'Sales Data'!$C:$C,"Periodic")/1000,"")</f>
        <v/>
      </c>
      <c r="BK35" s="163" t="str">
        <f>IF(OR(BK$8=1,BK$9=1),SUMIFS('Sales Data'!$D:$D,'Sales Data'!$A:$A,$E$2,'Sales Data'!$B:$B,BK$15,'Sales Data'!$C:$C,"Periodic")/1000,"")</f>
        <v/>
      </c>
      <c r="BL35" s="163" t="str">
        <f>IF(OR(BL$8=1,BL$9=1),SUMIFS('Sales Data'!$D:$D,'Sales Data'!$A:$A,$E$2,'Sales Data'!$B:$B,BL$15,'Sales Data'!$C:$C,"Periodic")/1000,"")</f>
        <v/>
      </c>
      <c r="BM35" s="163">
        <f>IF(OR(BM$8=1,BM$9=1),SUMIFS('Sales Data'!$D:$D,'Sales Data'!$A:$A,$E$2,'Sales Data'!$B:$B,BM$15,'Sales Data'!$C:$C,"Periodic")/1000,"")</f>
        <v>417.69260545373788</v>
      </c>
      <c r="BN35" s="163">
        <f>IF(OR(BN$8=1,BN$9=1),SUMIFS('Sales Data'!$D:$D,'Sales Data'!$A:$A,$E$2,'Sales Data'!$B:$B,BN$15,'Sales Data'!$C:$C,"Periodic")/1000,"")</f>
        <v>448.6407287032506</v>
      </c>
      <c r="BO35" s="163">
        <f>IF(OR(BO$8=1,BO$9=1),SUMIFS('Sales Data'!$D:$D,'Sales Data'!$A:$A,$E$2,'Sales Data'!$B:$B,BO$15,'Sales Data'!$C:$C,"Periodic")/1000,"")</f>
        <v>483.50073124126294</v>
      </c>
      <c r="BP35" s="163">
        <f>IF(OR(BP$8=1,BP$9=1),SUMIFS('Sales Data'!$D:$D,'Sales Data'!$A:$A,$E$2,'Sales Data'!$B:$B,BP$15,'Sales Data'!$C:$C,"Periodic")/1000,"")</f>
        <v>523.94791897377274</v>
      </c>
      <c r="BQ35" s="163">
        <f>IF(OR(BQ$8=1,BQ$9=1),SUMIFS('Sales Data'!$D:$D,'Sales Data'!$A:$A,$E$2,'Sales Data'!$B:$B,BQ$15,'Sales Data'!$C:$C,"Periodic")/1000,"")</f>
        <v>567.92517929272958</v>
      </c>
      <c r="BR35" s="163">
        <f>IF(OR(BR$8=1,BR$9=1),SUMIFS('Sales Data'!$D:$D,'Sales Data'!$A:$A,$E$2,'Sales Data'!$B:$B,BR$15,'Sales Data'!$C:$C,"Periodic")/1000,"")</f>
        <v>614.83634907806095</v>
      </c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 spans="1:83" s="84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2" t="str">
        <f>+T20</f>
        <v>2020 Budget</v>
      </c>
      <c r="U36" s="192">
        <f>IFERROR(U20/X19-1,"")</f>
        <v>0.40486681334519581</v>
      </c>
      <c r="V36" s="192">
        <f t="shared" si="33"/>
        <v>0.16689598550515017</v>
      </c>
      <c r="W36" s="192">
        <f t="shared" si="33"/>
        <v>0.28549178749035464</v>
      </c>
      <c r="X36" s="149">
        <f t="shared" si="33"/>
        <v>0.23477465408308906</v>
      </c>
      <c r="Y36" s="170"/>
      <c r="Z36" s="112" t="str">
        <f>+Z20</f>
        <v>2020 Budget</v>
      </c>
      <c r="AA36" s="192">
        <f>IFERROR(AA20/AD19-1,"")</f>
        <v>0.22970591111379446</v>
      </c>
      <c r="AB36" s="192">
        <f t="shared" si="34"/>
        <v>0.18583104105439152</v>
      </c>
      <c r="AC36" s="192">
        <f t="shared" si="34"/>
        <v>0.33425506485682766</v>
      </c>
      <c r="AD36" s="149">
        <f t="shared" si="34"/>
        <v>0.26438463148507108</v>
      </c>
      <c r="AE36" s="179"/>
      <c r="AF36" s="179"/>
      <c r="AG36" s="131"/>
      <c r="AH36" s="171" t="s">
        <v>26</v>
      </c>
      <c r="BG36" s="174" t="str">
        <f>IF(BG$9,FORECAST(BG$12,$AP34:BF34,$AP12:BF12), "")</f>
        <v/>
      </c>
      <c r="BH36" s="174" t="str">
        <f>IF(BH$9,FORECAST(BH$12,$AP34:BG34,$AP12:BG12), "")</f>
        <v/>
      </c>
      <c r="BI36" s="174" t="str">
        <f>IF(BI$9,FORECAST(BI$12,$AP34:BH34,$AP12:BH12), "")</f>
        <v/>
      </c>
      <c r="BJ36" s="174" t="str">
        <f>IF(BJ$9,FORECAST(BJ$12,$AP34:BI34,$AP12:BI12), "")</f>
        <v/>
      </c>
      <c r="BK36" s="174" t="str">
        <f>IF(BK$9,FORECAST(BK$12,$AP34:BJ34,$AP12:BJ12), "")</f>
        <v/>
      </c>
      <c r="BL36" s="174" t="str">
        <f>IF(BL$9,FORECAST(BL$12,$AP34:BK34,$AP12:BK12), "")</f>
        <v/>
      </c>
      <c r="BM36" s="174" t="str">
        <f>IF(BM$9,FORECAST(BM$12,$AP34:BL34,$AP12:BL12), "")</f>
        <v/>
      </c>
      <c r="BN36" s="174">
        <f>IF(BN$9,FORECAST(BN$12,$AP34:BM34,$AP12:BM12), "")</f>
        <v>278.705729024829</v>
      </c>
      <c r="BO36" s="174">
        <f>IF(BO$9,FORECAST(BO$12,$AP34:BN34,$AP12:BN12), "")</f>
        <v>285.80560339933766</v>
      </c>
      <c r="BP36" s="174">
        <f>IF(BP$9,FORECAST(BP$12,$AP34:BO34,$AP12:BO12), "")</f>
        <v>292.90547777384626</v>
      </c>
      <c r="BQ36" s="174">
        <f>IF(BQ$9,FORECAST(BQ$12,$AP34:BP34,$AP12:BP12), "")</f>
        <v>300.00535214835486</v>
      </c>
      <c r="BR36" s="174">
        <f>IF(BR$9,FORECAST(BR$12,$AP34:BQ34,$AP12:BQ12), "")</f>
        <v>307.10522652286352</v>
      </c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 spans="1:83" s="84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2" t="str">
        <f>+T21</f>
        <v>2020 Actual</v>
      </c>
      <c r="U37" s="192">
        <f>IF(U21&lt;&gt;0,IFERROR(U21/X19-1,""),"")</f>
        <v>5.8718861209964501E-2</v>
      </c>
      <c r="V37" s="192">
        <f>IF(V21&lt;&gt;0,IFERROR(V21/U21-1,""),"")</f>
        <v>-7.2268907563025175E-2</v>
      </c>
      <c r="W37" s="192">
        <f>IF(W21&lt;&gt;0,IFERROR(W21/V21-1,""),"")</f>
        <v>-0.5561594202898551</v>
      </c>
      <c r="X37" s="149" t="str">
        <f>IF(X21&lt;&gt;0,IFERROR(X21/W21-1,""),"")</f>
        <v/>
      </c>
      <c r="Y37" s="179"/>
      <c r="Z37" s="112" t="str">
        <f>+Z21</f>
        <v>2020 Actual</v>
      </c>
      <c r="AA37" s="192">
        <f>IF(AA21&lt;&gt;0,IFERROR(AA21/AD19-1,""),"")</f>
        <v>6.1613841732738983E-2</v>
      </c>
      <c r="AB37" s="192">
        <f>IF(AB21&lt;&gt;0,IFERROR(AB21/AA21-1,""),"")</f>
        <v>-4.9211117595631348E-2</v>
      </c>
      <c r="AC37" s="192">
        <f>IF(AC21&lt;&gt;0,IFERROR(AC21/AB21-1,""),"")</f>
        <v>-0.57877592683279844</v>
      </c>
      <c r="AD37" s="149" t="str">
        <f>IF(AD21&lt;&gt;0,IFERROR(AD21/AC21-1,""),"")</f>
        <v/>
      </c>
      <c r="AE37" s="179"/>
      <c r="AF37" s="179"/>
      <c r="AG37" s="170"/>
      <c r="AH37" s="171" t="s">
        <v>90</v>
      </c>
      <c r="BG37" s="174" t="str">
        <f>IF(BG$9,FORECAST(BG$13,$AP34:BF34,$AP13:BF13), "")</f>
        <v/>
      </c>
      <c r="BH37" s="174" t="str">
        <f>IF(BH$9,FORECAST(BH$13,$AP34:BG34,$AP13:BG13), "")</f>
        <v/>
      </c>
      <c r="BI37" s="174" t="str">
        <f>IF(BI$9,FORECAST(BI$13,$AP34:BH34,$AP13:BH13), "")</f>
        <v/>
      </c>
      <c r="BJ37" s="174" t="str">
        <f>IF(BJ$9,FORECAST(BJ$13,$AP34:BI34,$AP13:BI13), "")</f>
        <v/>
      </c>
      <c r="BK37" s="174" t="str">
        <f>IF(BK$9,FORECAST(BK$13,$AP34:BJ34,$AP13:BJ13), "")</f>
        <v/>
      </c>
      <c r="BL37" s="174" t="str">
        <f>IF(BL$9,FORECAST(BL$13,$AP34:BK34,$AP13:BK13), "")</f>
        <v/>
      </c>
      <c r="BM37" s="174" t="str">
        <f>IF(BM$9,FORECAST(BM$13,$AP34:BL34,$AP13:BL13), "")</f>
        <v/>
      </c>
      <c r="BN37" s="174">
        <f>IF(BN$9,FORECAST(BN$13,$AP34:BM34,$AP13:BM13), "")</f>
        <v>302.64735997130816</v>
      </c>
      <c r="BO37" s="174">
        <f>IF(BO$9,FORECAST(BO$13,$AP34:BN34,$AP13:BN13), "")</f>
        <v>314.55954997665083</v>
      </c>
      <c r="BP37" s="174">
        <f>IF(BP$9,FORECAST(BP$13,$AP34:BO34,$AP13:BO13), "")</f>
        <v>326.47173998199344</v>
      </c>
      <c r="BQ37" s="174">
        <f>IF(BQ$9,FORECAST(BQ$13,$AP34:BP34,$AP13:BP13), "")</f>
        <v>338.3839299873361</v>
      </c>
      <c r="BR37" s="174">
        <f>IF(BR$9,FORECAST(BR$13,$AP34:BQ34,$AP13:BQ13), "")</f>
        <v>350.29611999267871</v>
      </c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 spans="1:83" s="84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51" t="s">
        <v>34</v>
      </c>
      <c r="U38" s="193">
        <f>IFERROR(U22/X19-1,"")</f>
        <v>5.8718861209964501E-2</v>
      </c>
      <c r="V38" s="193">
        <f>IFERROR(V22/U22-1,"")</f>
        <v>-7.2268907563025175E-2</v>
      </c>
      <c r="W38" s="193">
        <f>IFERROR(W22/V22-1,"")</f>
        <v>0.80119375691609807</v>
      </c>
      <c r="X38" s="194">
        <f>IFERROR(X22/W22-1,"")</f>
        <v>0.37978112081240201</v>
      </c>
      <c r="Y38" s="179"/>
      <c r="Z38" s="151" t="s">
        <v>34</v>
      </c>
      <c r="AA38" s="193">
        <f>IFERROR(AA22/AD19-1,"")</f>
        <v>6.1613841732738983E-2</v>
      </c>
      <c r="AB38" s="193">
        <f>IFERROR(AB22/AA22-1,"")</f>
        <v>-4.9211117595631348E-2</v>
      </c>
      <c r="AC38" s="193">
        <f>IFERROR(AC22/AB22-1,"")</f>
        <v>0.7523333461665902</v>
      </c>
      <c r="AD38" s="194">
        <f>IFERROR(AD22/AC22-1,"")</f>
        <v>0.39083224530816407</v>
      </c>
      <c r="AE38" s="1"/>
      <c r="AF38" s="1"/>
      <c r="AG38" s="179"/>
      <c r="AH38" s="166" t="s">
        <v>1</v>
      </c>
      <c r="AI38" s="1"/>
      <c r="AJ38" s="1"/>
      <c r="AK38" s="1"/>
      <c r="BG38" s="163">
        <f>SUMIFS('Sales Data'!$D:$D,'Sales Data'!$A:$A,$E$2,'Sales Data'!$B:$B,BG$15,'Sales Data'!$C:$C,"Periodic")/1000</f>
        <v>267.07822491269371</v>
      </c>
      <c r="BH38" s="163">
        <f>SUMIFS('Sales Data'!$D:$D,'Sales Data'!$A:$A,$E$2,'Sales Data'!$B:$B,BH$15,'Sales Data'!$C:$C,"Periodic")/1000</f>
        <v>284.01924127063745</v>
      </c>
      <c r="BI38" s="163">
        <f>SUMIFS('Sales Data'!$D:$D,'Sales Data'!$A:$A,$E$2,'Sales Data'!$B:$B,BI$15,'Sales Data'!$C:$C,"Periodic")/1000</f>
        <v>302.03940041450676</v>
      </c>
      <c r="BJ38" s="163">
        <f>SUMIFS('Sales Data'!$D:$D,'Sales Data'!$A:$A,$E$2,'Sales Data'!$B:$B,BJ$15,'Sales Data'!$C:$C,"Periodic")/1000</f>
        <v>311.97686332657958</v>
      </c>
      <c r="BK38" s="163">
        <f>SUMIFS('Sales Data'!$D:$D,'Sales Data'!$A:$A,$E$2,'Sales Data'!$B:$B,BK$15,'Sales Data'!$C:$C,"Periodic")/1000</f>
        <v>337.87737277464396</v>
      </c>
      <c r="BL38" s="163">
        <f>SUMIFS('Sales Data'!$D:$D,'Sales Data'!$A:$A,$E$2,'Sales Data'!$B:$B,BL$15,'Sales Data'!$C:$C,"Periodic")/1000</f>
        <v>361.82194257837216</v>
      </c>
      <c r="BM38" s="163">
        <f>SUMIFS('Sales Data'!$D:$D,'Sales Data'!$A:$A,$E$2,'Sales Data'!$B:$B,BM$15,'Sales Data'!$C:$C,"Periodic")/1000</f>
        <v>417.69260545373788</v>
      </c>
      <c r="BN38" s="163">
        <f>SUMIFS('Sales Data'!$D:$D,'Sales Data'!$A:$A,$E$2,'Sales Data'!$B:$B,BN$15,'Sales Data'!$C:$C,"Periodic")/1000</f>
        <v>448.6407287032506</v>
      </c>
      <c r="BO38" s="163">
        <f>SUMIFS('Sales Data'!$D:$D,'Sales Data'!$A:$A,$E$2,'Sales Data'!$B:$B,BO$15,'Sales Data'!$C:$C,"Periodic")/1000</f>
        <v>483.50073124126294</v>
      </c>
      <c r="BP38" s="163">
        <f>SUMIFS('Sales Data'!$D:$D,'Sales Data'!$A:$A,$E$2,'Sales Data'!$B:$B,BP$15,'Sales Data'!$C:$C,"Periodic")/1000</f>
        <v>523.94791897377274</v>
      </c>
      <c r="BQ38" s="163">
        <f>SUMIFS('Sales Data'!$D:$D,'Sales Data'!$A:$A,$E$2,'Sales Data'!$B:$B,BQ$15,'Sales Data'!$C:$C,"Periodic")/1000</f>
        <v>567.92517929272958</v>
      </c>
      <c r="BR38" s="163">
        <f>SUMIFS('Sales Data'!$D:$D,'Sales Data'!$A:$A,$E$2,'Sales Data'!$B:$B,BR$15,'Sales Data'!$C:$C,"Periodic")/1000</f>
        <v>614.83634907806095</v>
      </c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 spans="1:83" s="84" customFormat="1" x14ac:dyDescent="0.2">
      <c r="A39" s="1"/>
      <c r="B39" s="1"/>
      <c r="C39" s="1"/>
      <c r="D39" s="1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1"/>
      <c r="Y39" s="1"/>
      <c r="Z39" s="1"/>
      <c r="AA39" s="1"/>
      <c r="AB39" s="1"/>
      <c r="AC39" s="1"/>
      <c r="AD39" s="1"/>
      <c r="AE39" s="1"/>
      <c r="AF39" s="1"/>
      <c r="AG39" s="131"/>
      <c r="AH39" s="181" t="s">
        <v>34</v>
      </c>
      <c r="AI39" s="1"/>
      <c r="AJ39" s="1"/>
      <c r="AK39" s="1"/>
      <c r="BG39" s="163" t="str">
        <f t="shared" ref="BG39:BR39" si="35">IF(OR(BG$8=1,BG$9=1),F17,"")</f>
        <v/>
      </c>
      <c r="BH39" s="163" t="str">
        <f t="shared" si="35"/>
        <v/>
      </c>
      <c r="BI39" s="163" t="str">
        <f t="shared" si="35"/>
        <v/>
      </c>
      <c r="BJ39" s="163" t="str">
        <f t="shared" si="35"/>
        <v/>
      </c>
      <c r="BK39" s="163" t="str">
        <f t="shared" si="35"/>
        <v/>
      </c>
      <c r="BL39" s="163" t="str">
        <f t="shared" si="35"/>
        <v/>
      </c>
      <c r="BM39" s="163">
        <f t="shared" si="35"/>
        <v>294.97234411200003</v>
      </c>
      <c r="BN39" s="163">
        <f t="shared" si="35"/>
        <v>448.6407287032506</v>
      </c>
      <c r="BO39" s="163">
        <f t="shared" si="35"/>
        <v>483.50073124126294</v>
      </c>
      <c r="BP39" s="163">
        <f t="shared" si="35"/>
        <v>523.94791897377274</v>
      </c>
      <c r="BQ39" s="163">
        <f t="shared" si="35"/>
        <v>567.92517929272958</v>
      </c>
      <c r="BR39" s="163">
        <f t="shared" si="35"/>
        <v>614.83634907806095</v>
      </c>
      <c r="BS39" s="89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 spans="1:83" s="84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1"/>
      <c r="AF40" s="1"/>
      <c r="AG40" s="131"/>
      <c r="AH40" s="187" t="s">
        <v>26</v>
      </c>
      <c r="AI40" s="1"/>
      <c r="AJ40" s="1"/>
      <c r="AK40" s="1"/>
      <c r="BG40" s="174">
        <f t="shared" ref="BG40:BR40" si="36">IF(BG36="",BG38,BG36)</f>
        <v>267.07822491269371</v>
      </c>
      <c r="BH40" s="174">
        <f t="shared" si="36"/>
        <v>284.01924127063745</v>
      </c>
      <c r="BI40" s="174">
        <f t="shared" si="36"/>
        <v>302.03940041450676</v>
      </c>
      <c r="BJ40" s="174">
        <f t="shared" si="36"/>
        <v>311.97686332657958</v>
      </c>
      <c r="BK40" s="174">
        <f t="shared" si="36"/>
        <v>337.87737277464396</v>
      </c>
      <c r="BL40" s="174">
        <f t="shared" si="36"/>
        <v>361.82194257837216</v>
      </c>
      <c r="BM40" s="174">
        <f t="shared" si="36"/>
        <v>417.69260545373788</v>
      </c>
      <c r="BN40" s="174">
        <f t="shared" si="36"/>
        <v>278.705729024829</v>
      </c>
      <c r="BO40" s="174">
        <f t="shared" si="36"/>
        <v>285.80560339933766</v>
      </c>
      <c r="BP40" s="174">
        <f t="shared" si="36"/>
        <v>292.90547777384626</v>
      </c>
      <c r="BQ40" s="174">
        <f t="shared" si="36"/>
        <v>300.00535214835486</v>
      </c>
      <c r="BR40" s="174">
        <f t="shared" si="36"/>
        <v>307.10522652286352</v>
      </c>
      <c r="BS40" s="190">
        <f>SUM(BG40:BR40)</f>
        <v>3747.0330396004028</v>
      </c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 spans="1:83" s="84" customFormat="1" x14ac:dyDescent="0.2">
      <c r="A41" s="200"/>
      <c r="B41" s="2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00"/>
      <c r="Y41" s="1"/>
      <c r="Z41" s="1"/>
      <c r="AA41" s="1"/>
      <c r="AB41" s="1"/>
      <c r="AC41" s="1"/>
      <c r="AD41" s="1"/>
      <c r="AE41" s="1"/>
      <c r="AF41" s="1"/>
      <c r="AG41" s="7" t="s">
        <v>30</v>
      </c>
      <c r="AH41" s="187" t="s">
        <v>90</v>
      </c>
      <c r="AI41" s="1"/>
      <c r="AJ41" s="1"/>
      <c r="AK41" s="1"/>
      <c r="BG41" s="174">
        <f t="shared" ref="BG41:BR41" si="37">IF(BG37="",BG38,BG37)</f>
        <v>267.07822491269371</v>
      </c>
      <c r="BH41" s="174">
        <f t="shared" si="37"/>
        <v>284.01924127063745</v>
      </c>
      <c r="BI41" s="174">
        <f t="shared" si="37"/>
        <v>302.03940041450676</v>
      </c>
      <c r="BJ41" s="174">
        <f t="shared" si="37"/>
        <v>311.97686332657958</v>
      </c>
      <c r="BK41" s="174">
        <f t="shared" si="37"/>
        <v>337.87737277464396</v>
      </c>
      <c r="BL41" s="174">
        <f t="shared" si="37"/>
        <v>361.82194257837216</v>
      </c>
      <c r="BM41" s="174">
        <f t="shared" si="37"/>
        <v>417.69260545373788</v>
      </c>
      <c r="BN41" s="174">
        <f t="shared" si="37"/>
        <v>302.64735997130816</v>
      </c>
      <c r="BO41" s="174">
        <f t="shared" si="37"/>
        <v>314.55954997665083</v>
      </c>
      <c r="BP41" s="174">
        <f t="shared" si="37"/>
        <v>326.47173998199344</v>
      </c>
      <c r="BQ41" s="174">
        <f t="shared" si="37"/>
        <v>338.3839299873361</v>
      </c>
      <c r="BR41" s="174">
        <f t="shared" si="37"/>
        <v>350.29611999267871</v>
      </c>
      <c r="BS41" s="190">
        <f>SUM(BG41:BR41)</f>
        <v>3914.8643506411386</v>
      </c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 spans="1:83" s="84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00"/>
      <c r="Y42" s="1"/>
      <c r="Z42" s="1"/>
      <c r="AA42" s="1"/>
      <c r="AB42" s="1"/>
      <c r="AC42" s="1"/>
      <c r="AD42" s="1"/>
      <c r="AE42" s="1"/>
      <c r="AF42" s="1"/>
      <c r="AG42" s="179"/>
      <c r="AI42" s="1"/>
      <c r="AJ42" s="1"/>
      <c r="AK42" s="1"/>
      <c r="AL42" s="1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89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 spans="1:83" s="84" customFormat="1" x14ac:dyDescent="0.2">
      <c r="A43" s="1"/>
      <c r="B43" s="1"/>
      <c r="C43" s="200"/>
      <c r="D43" s="20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00"/>
      <c r="Y43" s="1"/>
      <c r="Z43" s="1"/>
      <c r="AA43" s="1"/>
      <c r="AB43" s="1"/>
      <c r="AC43" s="1"/>
      <c r="AD43" s="1"/>
      <c r="AE43" s="1"/>
      <c r="AF43" s="1"/>
      <c r="AG43" s="7" t="s">
        <v>89</v>
      </c>
      <c r="AH43" s="167" t="str">
        <f>AH34</f>
        <v>Actual</v>
      </c>
      <c r="AI43" s="1"/>
      <c r="AJ43" s="1"/>
      <c r="AK43" s="1"/>
      <c r="AL43" s="1"/>
      <c r="AM43" s="78"/>
      <c r="AN43" s="78"/>
      <c r="AO43" s="78"/>
      <c r="AP43" s="78"/>
      <c r="AQ43" s="78"/>
      <c r="AR43" s="78"/>
      <c r="AS43" s="78"/>
      <c r="AT43" s="78"/>
      <c r="AU43" s="163">
        <f t="shared" ref="AU43:BR43" si="38">IF(AU34="",NA(),AU34)</f>
        <v>128.2637424294746</v>
      </c>
      <c r="AV43" s="163">
        <f t="shared" si="38"/>
        <v>73.225479163447801</v>
      </c>
      <c r="AW43" s="163">
        <f t="shared" si="38"/>
        <v>103.21733274663573</v>
      </c>
      <c r="AX43" s="163">
        <f t="shared" si="38"/>
        <v>81.303604700199216</v>
      </c>
      <c r="AY43" s="163">
        <f t="shared" si="38"/>
        <v>99.382012036533439</v>
      </c>
      <c r="AZ43" s="163">
        <f t="shared" si="38"/>
        <v>127.67019029246728</v>
      </c>
      <c r="BA43" s="163">
        <f t="shared" si="38"/>
        <v>141.73287703650118</v>
      </c>
      <c r="BB43" s="163">
        <f t="shared" si="38"/>
        <v>171.96272132692715</v>
      </c>
      <c r="BC43" s="163">
        <f t="shared" si="38"/>
        <v>171.6325823685728</v>
      </c>
      <c r="BD43" s="163">
        <f t="shared" si="38"/>
        <v>212.70068453824723</v>
      </c>
      <c r="BE43" s="163">
        <f t="shared" si="38"/>
        <v>258.54867200973763</v>
      </c>
      <c r="BF43" s="163">
        <f t="shared" si="38"/>
        <v>222.52373089299294</v>
      </c>
      <c r="BG43" s="163">
        <f t="shared" si="38"/>
        <v>215.61462076800001</v>
      </c>
      <c r="BH43" s="163">
        <f t="shared" si="38"/>
        <v>214.22626620299999</v>
      </c>
      <c r="BI43" s="163">
        <f t="shared" si="38"/>
        <v>306.67822567799999</v>
      </c>
      <c r="BJ43" s="163">
        <f t="shared" si="38"/>
        <v>206.04026443199999</v>
      </c>
      <c r="BK43" s="163">
        <f t="shared" si="38"/>
        <v>244.29622353899998</v>
      </c>
      <c r="BL43" s="163">
        <f t="shared" si="38"/>
        <v>249.93769601399998</v>
      </c>
      <c r="BM43" s="163">
        <f t="shared" si="38"/>
        <v>294.97234411200003</v>
      </c>
      <c r="BN43" s="163" t="e">
        <f t="shared" si="38"/>
        <v>#N/A</v>
      </c>
      <c r="BO43" s="163" t="e">
        <f t="shared" si="38"/>
        <v>#N/A</v>
      </c>
      <c r="BP43" s="163" t="e">
        <f t="shared" si="38"/>
        <v>#N/A</v>
      </c>
      <c r="BQ43" s="163" t="e">
        <f t="shared" si="38"/>
        <v>#N/A</v>
      </c>
      <c r="BR43" s="163" t="e">
        <f t="shared" si="38"/>
        <v>#N/A</v>
      </c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 spans="1:83" s="200" customFormat="1" ht="13.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U44" s="84"/>
      <c r="V44" s="84"/>
      <c r="W44" s="84"/>
      <c r="X44" s="84"/>
      <c r="Y44" s="1"/>
      <c r="Z44" s="1"/>
      <c r="AA44" s="1"/>
      <c r="AB44" s="1"/>
      <c r="AC44" s="1"/>
      <c r="AD44" s="1"/>
      <c r="AG44" s="84"/>
      <c r="AH44" s="167" t="str">
        <f>AH38</f>
        <v>Budget</v>
      </c>
      <c r="AI44" s="1"/>
      <c r="AJ44" s="1"/>
      <c r="AK44" s="1"/>
      <c r="AL44" s="1"/>
      <c r="AM44" s="78"/>
      <c r="AN44" s="78"/>
      <c r="AO44" s="78"/>
      <c r="AP44" s="78"/>
      <c r="AQ44" s="78"/>
      <c r="AR44" s="78"/>
      <c r="AS44" s="78"/>
      <c r="AT44" s="78"/>
      <c r="AU44" s="163" t="e">
        <f t="shared" ref="AU44:BR44" si="39">IF(AU35="",NA(),AU35)</f>
        <v>#N/A</v>
      </c>
      <c r="AV44" s="163" t="e">
        <f t="shared" si="39"/>
        <v>#N/A</v>
      </c>
      <c r="AW44" s="163" t="e">
        <f t="shared" si="39"/>
        <v>#N/A</v>
      </c>
      <c r="AX44" s="163" t="e">
        <f t="shared" si="39"/>
        <v>#N/A</v>
      </c>
      <c r="AY44" s="163" t="e">
        <f t="shared" si="39"/>
        <v>#N/A</v>
      </c>
      <c r="AZ44" s="163" t="e">
        <f t="shared" si="39"/>
        <v>#N/A</v>
      </c>
      <c r="BA44" s="163" t="e">
        <f t="shared" si="39"/>
        <v>#N/A</v>
      </c>
      <c r="BB44" s="163" t="e">
        <f t="shared" si="39"/>
        <v>#N/A</v>
      </c>
      <c r="BC44" s="163" t="e">
        <f t="shared" si="39"/>
        <v>#N/A</v>
      </c>
      <c r="BD44" s="163" t="e">
        <f t="shared" si="39"/>
        <v>#N/A</v>
      </c>
      <c r="BE44" s="163" t="e">
        <f t="shared" si="39"/>
        <v>#N/A</v>
      </c>
      <c r="BF44" s="163" t="e">
        <f t="shared" si="39"/>
        <v>#N/A</v>
      </c>
      <c r="BG44" s="163" t="e">
        <f t="shared" si="39"/>
        <v>#N/A</v>
      </c>
      <c r="BH44" s="163" t="e">
        <f t="shared" si="39"/>
        <v>#N/A</v>
      </c>
      <c r="BI44" s="163" t="e">
        <f t="shared" si="39"/>
        <v>#N/A</v>
      </c>
      <c r="BJ44" s="163" t="e">
        <f t="shared" si="39"/>
        <v>#N/A</v>
      </c>
      <c r="BK44" s="163" t="e">
        <f t="shared" si="39"/>
        <v>#N/A</v>
      </c>
      <c r="BL44" s="163" t="e">
        <f t="shared" si="39"/>
        <v>#N/A</v>
      </c>
      <c r="BM44" s="163">
        <f t="shared" si="39"/>
        <v>417.69260545373788</v>
      </c>
      <c r="BN44" s="163">
        <f t="shared" si="39"/>
        <v>448.6407287032506</v>
      </c>
      <c r="BO44" s="163">
        <f t="shared" si="39"/>
        <v>483.50073124126294</v>
      </c>
      <c r="BP44" s="163">
        <f t="shared" si="39"/>
        <v>523.94791897377274</v>
      </c>
      <c r="BQ44" s="163">
        <f t="shared" si="39"/>
        <v>567.92517929272958</v>
      </c>
      <c r="BR44" s="163">
        <f t="shared" si="39"/>
        <v>614.83634907806095</v>
      </c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 spans="1:83" s="84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Y45" s="1"/>
      <c r="Z45" s="1"/>
      <c r="AA45" s="1"/>
      <c r="AB45" s="1"/>
      <c r="AC45" s="1"/>
      <c r="AD45" s="1"/>
      <c r="AE45" s="1"/>
      <c r="AF45" s="1"/>
      <c r="AH45" s="167" t="str">
        <f>AH36</f>
        <v>Trend 6m</v>
      </c>
      <c r="AI45" s="1"/>
      <c r="AJ45" s="1"/>
      <c r="AK45" s="1"/>
      <c r="AL45" s="1"/>
      <c r="AM45" s="78"/>
      <c r="AN45" s="78"/>
      <c r="AO45" s="78"/>
      <c r="AP45" s="78"/>
      <c r="AQ45" s="78"/>
      <c r="AR45" s="78"/>
      <c r="AS45" s="78"/>
      <c r="AT45" s="78"/>
      <c r="AU45" s="163" t="e">
        <f t="shared" ref="AU45:BR45" si="40">IF(AU36="",NA(),AU36)</f>
        <v>#N/A</v>
      </c>
      <c r="AV45" s="163" t="e">
        <f t="shared" si="40"/>
        <v>#N/A</v>
      </c>
      <c r="AW45" s="163" t="e">
        <f t="shared" si="40"/>
        <v>#N/A</v>
      </c>
      <c r="AX45" s="163" t="e">
        <f t="shared" si="40"/>
        <v>#N/A</v>
      </c>
      <c r="AY45" s="163" t="e">
        <f t="shared" si="40"/>
        <v>#N/A</v>
      </c>
      <c r="AZ45" s="163" t="e">
        <f t="shared" si="40"/>
        <v>#N/A</v>
      </c>
      <c r="BA45" s="163" t="e">
        <f t="shared" si="40"/>
        <v>#N/A</v>
      </c>
      <c r="BB45" s="163" t="e">
        <f t="shared" si="40"/>
        <v>#N/A</v>
      </c>
      <c r="BC45" s="163" t="e">
        <f t="shared" si="40"/>
        <v>#N/A</v>
      </c>
      <c r="BD45" s="163" t="e">
        <f t="shared" si="40"/>
        <v>#N/A</v>
      </c>
      <c r="BE45" s="163" t="e">
        <f t="shared" si="40"/>
        <v>#N/A</v>
      </c>
      <c r="BF45" s="163" t="e">
        <f t="shared" si="40"/>
        <v>#N/A</v>
      </c>
      <c r="BG45" s="163" t="e">
        <f t="shared" si="40"/>
        <v>#N/A</v>
      </c>
      <c r="BH45" s="163" t="e">
        <f t="shared" si="40"/>
        <v>#N/A</v>
      </c>
      <c r="BI45" s="163" t="e">
        <f t="shared" si="40"/>
        <v>#N/A</v>
      </c>
      <c r="BJ45" s="163" t="e">
        <f t="shared" si="40"/>
        <v>#N/A</v>
      </c>
      <c r="BK45" s="163" t="e">
        <f t="shared" si="40"/>
        <v>#N/A</v>
      </c>
      <c r="BL45" s="163" t="e">
        <f t="shared" si="40"/>
        <v>#N/A</v>
      </c>
      <c r="BM45" s="163" t="e">
        <f t="shared" si="40"/>
        <v>#N/A</v>
      </c>
      <c r="BN45" s="163">
        <f t="shared" si="40"/>
        <v>278.705729024829</v>
      </c>
      <c r="BO45" s="163">
        <f t="shared" si="40"/>
        <v>285.80560339933766</v>
      </c>
      <c r="BP45" s="163">
        <f t="shared" si="40"/>
        <v>292.90547777384626</v>
      </c>
      <c r="BQ45" s="163">
        <f t="shared" si="40"/>
        <v>300.00535214835486</v>
      </c>
      <c r="BR45" s="163">
        <f t="shared" si="40"/>
        <v>307.10522652286352</v>
      </c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 spans="1:83" s="84" customForma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Y46" s="1"/>
      <c r="Z46" s="1"/>
      <c r="AA46" s="1"/>
      <c r="AB46" s="1"/>
      <c r="AC46" s="1"/>
      <c r="AD46" s="1"/>
      <c r="AE46" s="1"/>
      <c r="AF46" s="1"/>
      <c r="AH46" s="167" t="str">
        <f>AH37</f>
        <v>Trend 12m</v>
      </c>
      <c r="AI46" s="1"/>
      <c r="AJ46" s="1"/>
      <c r="AK46" s="1"/>
      <c r="AL46" s="1"/>
      <c r="AM46" s="78"/>
      <c r="AN46" s="78"/>
      <c r="AO46" s="78"/>
      <c r="AP46" s="78"/>
      <c r="AQ46" s="78"/>
      <c r="AR46" s="78"/>
      <c r="AS46" s="78"/>
      <c r="AT46" s="78"/>
      <c r="AU46" s="163" t="e">
        <f t="shared" ref="AU46:BR46" si="41">IF(AU37="",NA(),AU37)</f>
        <v>#N/A</v>
      </c>
      <c r="AV46" s="163" t="e">
        <f t="shared" si="41"/>
        <v>#N/A</v>
      </c>
      <c r="AW46" s="163" t="e">
        <f t="shared" si="41"/>
        <v>#N/A</v>
      </c>
      <c r="AX46" s="163" t="e">
        <f t="shared" si="41"/>
        <v>#N/A</v>
      </c>
      <c r="AY46" s="163" t="e">
        <f t="shared" si="41"/>
        <v>#N/A</v>
      </c>
      <c r="AZ46" s="163" t="e">
        <f t="shared" si="41"/>
        <v>#N/A</v>
      </c>
      <c r="BA46" s="163" t="e">
        <f t="shared" si="41"/>
        <v>#N/A</v>
      </c>
      <c r="BB46" s="163" t="e">
        <f t="shared" si="41"/>
        <v>#N/A</v>
      </c>
      <c r="BC46" s="163" t="e">
        <f t="shared" si="41"/>
        <v>#N/A</v>
      </c>
      <c r="BD46" s="163" t="e">
        <f t="shared" si="41"/>
        <v>#N/A</v>
      </c>
      <c r="BE46" s="163" t="e">
        <f t="shared" si="41"/>
        <v>#N/A</v>
      </c>
      <c r="BF46" s="163" t="e">
        <f t="shared" si="41"/>
        <v>#N/A</v>
      </c>
      <c r="BG46" s="163" t="e">
        <f t="shared" si="41"/>
        <v>#N/A</v>
      </c>
      <c r="BH46" s="163" t="e">
        <f t="shared" si="41"/>
        <v>#N/A</v>
      </c>
      <c r="BI46" s="163" t="e">
        <f t="shared" si="41"/>
        <v>#N/A</v>
      </c>
      <c r="BJ46" s="163" t="e">
        <f t="shared" si="41"/>
        <v>#N/A</v>
      </c>
      <c r="BK46" s="163" t="e">
        <f t="shared" si="41"/>
        <v>#N/A</v>
      </c>
      <c r="BL46" s="163" t="e">
        <f t="shared" si="41"/>
        <v>#N/A</v>
      </c>
      <c r="BM46" s="163" t="e">
        <f t="shared" si="41"/>
        <v>#N/A</v>
      </c>
      <c r="BN46" s="163">
        <f t="shared" si="41"/>
        <v>302.64735997130816</v>
      </c>
      <c r="BO46" s="163">
        <f t="shared" si="41"/>
        <v>314.55954997665083</v>
      </c>
      <c r="BP46" s="163">
        <f t="shared" si="41"/>
        <v>326.47173998199344</v>
      </c>
      <c r="BQ46" s="163">
        <f t="shared" si="41"/>
        <v>338.3839299873361</v>
      </c>
      <c r="BR46" s="163">
        <f t="shared" si="41"/>
        <v>350.29611999267871</v>
      </c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 spans="1:83" s="84" customForma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Y47" s="1"/>
      <c r="Z47" s="1"/>
      <c r="AA47" s="1"/>
      <c r="AB47" s="1"/>
      <c r="AC47" s="1"/>
      <c r="AD47" s="1"/>
      <c r="AE47" s="1"/>
      <c r="AF47" s="1"/>
      <c r="AG47" s="1"/>
      <c r="AH47" s="167" t="s">
        <v>34</v>
      </c>
      <c r="AI47" s="1"/>
      <c r="AJ47" s="1"/>
      <c r="AK47" s="1"/>
      <c r="AL47" s="201"/>
      <c r="AM47" s="113"/>
      <c r="AN47" s="113"/>
      <c r="AO47" s="113"/>
      <c r="AP47" s="113"/>
      <c r="AQ47" s="113"/>
      <c r="AR47" s="113"/>
      <c r="AS47" s="113"/>
      <c r="AT47" s="113"/>
      <c r="AU47" s="163" t="e">
        <f>IF(AU39="",NA(),AU39)</f>
        <v>#N/A</v>
      </c>
      <c r="AV47" s="163" t="e">
        <f t="shared" ref="AV47:BR47" si="42">IF(AV39="",NA(),AV39)</f>
        <v>#N/A</v>
      </c>
      <c r="AW47" s="163" t="e">
        <f t="shared" si="42"/>
        <v>#N/A</v>
      </c>
      <c r="AX47" s="163" t="e">
        <f t="shared" si="42"/>
        <v>#N/A</v>
      </c>
      <c r="AY47" s="163" t="e">
        <f t="shared" si="42"/>
        <v>#N/A</v>
      </c>
      <c r="AZ47" s="163" t="e">
        <f t="shared" si="42"/>
        <v>#N/A</v>
      </c>
      <c r="BA47" s="163" t="e">
        <f t="shared" si="42"/>
        <v>#N/A</v>
      </c>
      <c r="BB47" s="163" t="e">
        <f t="shared" si="42"/>
        <v>#N/A</v>
      </c>
      <c r="BC47" s="163" t="e">
        <f t="shared" si="42"/>
        <v>#N/A</v>
      </c>
      <c r="BD47" s="163" t="e">
        <f t="shared" si="42"/>
        <v>#N/A</v>
      </c>
      <c r="BE47" s="163" t="e">
        <f t="shared" si="42"/>
        <v>#N/A</v>
      </c>
      <c r="BF47" s="163" t="e">
        <f t="shared" si="42"/>
        <v>#N/A</v>
      </c>
      <c r="BG47" s="163" t="e">
        <f t="shared" si="42"/>
        <v>#N/A</v>
      </c>
      <c r="BH47" s="163" t="e">
        <f t="shared" si="42"/>
        <v>#N/A</v>
      </c>
      <c r="BI47" s="163" t="e">
        <f t="shared" si="42"/>
        <v>#N/A</v>
      </c>
      <c r="BJ47" s="163" t="e">
        <f t="shared" si="42"/>
        <v>#N/A</v>
      </c>
      <c r="BK47" s="163" t="e">
        <f t="shared" si="42"/>
        <v>#N/A</v>
      </c>
      <c r="BL47" s="163" t="e">
        <f t="shared" si="42"/>
        <v>#N/A</v>
      </c>
      <c r="BM47" s="163">
        <f t="shared" si="42"/>
        <v>294.97234411200003</v>
      </c>
      <c r="BN47" s="163">
        <f t="shared" si="42"/>
        <v>448.6407287032506</v>
      </c>
      <c r="BO47" s="163">
        <f t="shared" si="42"/>
        <v>483.50073124126294</v>
      </c>
      <c r="BP47" s="163">
        <f t="shared" si="42"/>
        <v>523.94791897377274</v>
      </c>
      <c r="BQ47" s="163">
        <f t="shared" si="42"/>
        <v>567.92517929272958</v>
      </c>
      <c r="BR47" s="163">
        <f t="shared" si="42"/>
        <v>614.83634907806095</v>
      </c>
      <c r="BS47" s="78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 spans="1:83" s="84" customForma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Y48" s="1"/>
      <c r="Z48" s="1"/>
      <c r="AA48" s="1"/>
      <c r="AB48" s="1"/>
      <c r="AC48" s="1"/>
      <c r="AD48" s="1"/>
      <c r="AE48" s="1"/>
      <c r="AF48" s="1"/>
      <c r="AH48" s="1"/>
      <c r="AI48" s="1"/>
      <c r="BS48" s="78"/>
      <c r="BW48" s="1"/>
      <c r="BX48" s="1"/>
      <c r="BY48" s="1"/>
      <c r="BZ48" s="1"/>
      <c r="CA48" s="1"/>
    </row>
    <row r="49" spans="1:79" s="84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Y49" s="1"/>
      <c r="Z49" s="1"/>
      <c r="AA49" s="1"/>
      <c r="AB49" s="1"/>
      <c r="AC49" s="1"/>
      <c r="AD49" s="1"/>
      <c r="AE49" s="1"/>
      <c r="AF49" s="1"/>
      <c r="AH49" s="1"/>
      <c r="AI49" s="1"/>
      <c r="BS49" s="78"/>
      <c r="BW49" s="1"/>
      <c r="BX49" s="1"/>
      <c r="BY49" s="1"/>
      <c r="BZ49" s="1"/>
      <c r="CA49" s="1"/>
    </row>
    <row r="50" spans="1:79" s="84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BS50" s="78"/>
      <c r="BW50" s="1"/>
      <c r="BX50" s="1"/>
      <c r="BY50" s="1"/>
      <c r="BZ50" s="1"/>
      <c r="CA50" s="1"/>
    </row>
    <row r="51" spans="1:79" s="84" customForma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BS51" s="78"/>
      <c r="BW51" s="1"/>
      <c r="BX51" s="1"/>
      <c r="BY51" s="1"/>
      <c r="BZ51" s="1"/>
      <c r="CA51" s="1"/>
    </row>
    <row r="52" spans="1:79" s="84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BW52" s="1"/>
      <c r="BX52" s="1"/>
      <c r="BY52" s="1"/>
      <c r="BZ52" s="1"/>
      <c r="CA52" s="1"/>
    </row>
    <row r="53" spans="1:79" s="84" customForma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BW53" s="1"/>
      <c r="BX53" s="1"/>
      <c r="BY53" s="1"/>
      <c r="BZ53" s="1"/>
      <c r="CA53" s="1"/>
    </row>
    <row r="54" spans="1:79" s="84" customForma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BW54" s="1"/>
      <c r="BX54" s="1"/>
      <c r="BY54" s="1"/>
      <c r="BZ54" s="1"/>
      <c r="CA54" s="1"/>
    </row>
    <row r="55" spans="1:79" s="84" customForma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BW55" s="1"/>
      <c r="BX55" s="1"/>
      <c r="BY55" s="1"/>
      <c r="BZ55" s="1"/>
      <c r="CA55" s="1"/>
    </row>
    <row r="56" spans="1:79" s="84" customForma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BW56" s="1"/>
      <c r="BX56" s="1"/>
      <c r="BY56" s="1"/>
      <c r="BZ56" s="1"/>
      <c r="CA56" s="1"/>
    </row>
    <row r="57" spans="1:79" s="84" customForma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BW57" s="1"/>
      <c r="BX57" s="1"/>
      <c r="BY57" s="1"/>
      <c r="BZ57" s="1"/>
      <c r="CA57" s="1"/>
    </row>
    <row r="58" spans="1:79" s="84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BW58" s="1"/>
      <c r="BX58" s="1"/>
      <c r="BY58" s="1"/>
      <c r="BZ58" s="1"/>
      <c r="CA58" s="1"/>
    </row>
    <row r="59" spans="1:79" x14ac:dyDescent="0.2">
      <c r="T59" s="84"/>
      <c r="U59" s="84"/>
      <c r="V59" s="84"/>
      <c r="W59" s="84"/>
      <c r="X59" s="84"/>
      <c r="AJ59" s="84"/>
    </row>
    <row r="60" spans="1:79" s="84" customForma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BW60" s="1"/>
      <c r="BX60" s="1"/>
      <c r="BY60" s="1"/>
      <c r="BZ60" s="1"/>
      <c r="CA60" s="1"/>
    </row>
    <row r="61" spans="1:79" s="84" customForma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BW61" s="1"/>
      <c r="BX61" s="1"/>
      <c r="BY61" s="1"/>
      <c r="BZ61" s="1"/>
      <c r="CA61" s="1"/>
    </row>
    <row r="62" spans="1:79" s="84" customForma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BW62" s="1"/>
      <c r="BX62" s="1"/>
      <c r="BY62" s="1"/>
      <c r="BZ62" s="1"/>
      <c r="CA62" s="1"/>
    </row>
    <row r="63" spans="1:79" s="84" customForma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BW63" s="1"/>
      <c r="BX63" s="1"/>
      <c r="BY63" s="1"/>
      <c r="BZ63" s="1"/>
      <c r="CA63" s="1"/>
    </row>
    <row r="64" spans="1:79" s="84" customForma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BW64" s="1"/>
      <c r="BX64" s="1"/>
      <c r="BY64" s="1"/>
      <c r="BZ64" s="1"/>
      <c r="CA64" s="1"/>
    </row>
    <row r="65" spans="1:79" s="84" customForma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BW65" s="1"/>
      <c r="BX65" s="1"/>
      <c r="BY65" s="1"/>
      <c r="BZ65" s="1"/>
      <c r="CA65" s="1"/>
    </row>
    <row r="66" spans="1:79" s="84" customForma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BW66" s="1"/>
      <c r="BX66" s="1"/>
      <c r="BY66" s="1"/>
      <c r="BZ66" s="1"/>
      <c r="CA66" s="1"/>
    </row>
    <row r="67" spans="1:79" s="84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BW67" s="1"/>
      <c r="BX67" s="1"/>
      <c r="BY67" s="1"/>
      <c r="BZ67" s="1"/>
      <c r="CA67" s="1"/>
    </row>
    <row r="68" spans="1:79" s="84" customForma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BW68" s="1"/>
      <c r="BX68" s="1"/>
      <c r="BY68" s="1"/>
      <c r="BZ68" s="1"/>
      <c r="CA68" s="1"/>
    </row>
    <row r="69" spans="1:79" s="84" customForma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BW69" s="1"/>
      <c r="BX69" s="1"/>
      <c r="BY69" s="1"/>
      <c r="BZ69" s="1"/>
      <c r="CA69" s="1"/>
    </row>
    <row r="70" spans="1:79" s="84" customForma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BW70" s="1"/>
      <c r="BX70" s="1"/>
      <c r="BY70" s="1"/>
      <c r="BZ70" s="1"/>
      <c r="CA70" s="1"/>
    </row>
    <row r="71" spans="1:79" s="84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BW71" s="1"/>
      <c r="BX71" s="1"/>
      <c r="BY71" s="1"/>
      <c r="BZ71" s="1"/>
      <c r="CA71" s="1"/>
    </row>
    <row r="72" spans="1:79" s="84" customForma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BW72" s="1"/>
      <c r="BX72" s="1"/>
      <c r="BY72" s="1"/>
      <c r="BZ72" s="1"/>
      <c r="CA72" s="1"/>
    </row>
    <row r="73" spans="1:79" s="8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BW73" s="1"/>
      <c r="BX73" s="1"/>
      <c r="BY73" s="1"/>
      <c r="BZ73" s="1"/>
      <c r="CA73" s="1"/>
    </row>
    <row r="74" spans="1:79" s="84" customForma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BW74" s="1"/>
      <c r="BX74" s="1"/>
      <c r="BY74" s="1"/>
      <c r="BZ74" s="1"/>
      <c r="CA74" s="1"/>
    </row>
    <row r="75" spans="1:79" s="84" customForma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BW75" s="1"/>
      <c r="BX75" s="1"/>
      <c r="BY75" s="1"/>
      <c r="BZ75" s="1"/>
      <c r="CA75" s="1"/>
    </row>
    <row r="76" spans="1:79" s="84" customForma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BW76" s="1"/>
      <c r="BX76" s="1"/>
      <c r="BY76" s="1"/>
      <c r="BZ76" s="1"/>
      <c r="CA76" s="1"/>
    </row>
    <row r="77" spans="1:79" s="84" customForma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BW77" s="1"/>
      <c r="BX77" s="1"/>
      <c r="BY77" s="1"/>
      <c r="BZ77" s="1"/>
      <c r="CA77" s="1"/>
    </row>
    <row r="78" spans="1:79" s="84" customForma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BW78" s="1"/>
      <c r="BX78" s="1"/>
      <c r="BY78" s="1"/>
      <c r="BZ78" s="1"/>
      <c r="CA78" s="1"/>
    </row>
    <row r="79" spans="1:79" s="84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BW79" s="1"/>
      <c r="BX79" s="1"/>
      <c r="BY79" s="1"/>
      <c r="BZ79" s="1"/>
      <c r="CA79" s="1"/>
    </row>
    <row r="80" spans="1:79" s="84" customForma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BW80" s="1"/>
      <c r="BX80" s="1"/>
      <c r="BY80" s="1"/>
      <c r="BZ80" s="1"/>
      <c r="CA80" s="1"/>
    </row>
    <row r="81" spans="1:79" s="84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BW81" s="1"/>
      <c r="BX81" s="1"/>
      <c r="BY81" s="1"/>
      <c r="BZ81" s="1"/>
      <c r="CA81" s="1"/>
    </row>
    <row r="82" spans="1:79" s="84" customForma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BW82" s="1"/>
      <c r="BX82" s="1"/>
      <c r="BY82" s="1"/>
      <c r="BZ82" s="1"/>
      <c r="CA82" s="1"/>
    </row>
    <row r="83" spans="1:79" s="84" customForma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BW83" s="1"/>
      <c r="BX83" s="1"/>
      <c r="BY83" s="1"/>
      <c r="BZ83" s="1"/>
      <c r="CA83" s="1"/>
    </row>
    <row r="84" spans="1:79" s="84" customForma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BW84" s="1"/>
      <c r="BX84" s="1"/>
      <c r="BY84" s="1"/>
      <c r="BZ84" s="1"/>
      <c r="CA84" s="1"/>
    </row>
    <row r="85" spans="1:79" s="84" customForma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BW85" s="1"/>
      <c r="BX85" s="1"/>
      <c r="BY85" s="1"/>
      <c r="BZ85" s="1"/>
      <c r="CA85" s="1"/>
    </row>
    <row r="86" spans="1:79" s="84" customForma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BW86" s="1"/>
      <c r="BX86" s="1"/>
      <c r="BY86" s="1"/>
      <c r="BZ86" s="1"/>
      <c r="CA86" s="1"/>
    </row>
    <row r="87" spans="1:79" s="84" customForma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BW87" s="1"/>
      <c r="BX87" s="1"/>
      <c r="BY87" s="1"/>
      <c r="BZ87" s="1"/>
      <c r="CA87" s="1"/>
    </row>
    <row r="88" spans="1:79" x14ac:dyDescent="0.2">
      <c r="AJ88" s="84"/>
    </row>
    <row r="89" spans="1:79" s="84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BW89" s="1"/>
      <c r="BX89" s="1"/>
      <c r="BY89" s="1"/>
      <c r="BZ89" s="1"/>
      <c r="CA89" s="1"/>
    </row>
    <row r="90" spans="1:79" s="84" customForma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BW90" s="1"/>
      <c r="BX90" s="1"/>
      <c r="BY90" s="1"/>
      <c r="BZ90" s="1"/>
      <c r="CA90" s="1"/>
    </row>
    <row r="91" spans="1:79" s="84" customForma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BW91" s="1"/>
      <c r="BX91" s="1"/>
      <c r="BY91" s="1"/>
      <c r="BZ91" s="1"/>
      <c r="CA91" s="1"/>
    </row>
    <row r="92" spans="1:79" s="84" customForma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BW92" s="1"/>
      <c r="BX92" s="1"/>
      <c r="BY92" s="1"/>
      <c r="BZ92" s="1"/>
      <c r="CA92" s="1"/>
    </row>
    <row r="93" spans="1:79" s="84" customForma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BW93" s="1"/>
      <c r="BX93" s="1"/>
      <c r="BY93" s="1"/>
      <c r="BZ93" s="1"/>
      <c r="CA93" s="1"/>
    </row>
    <row r="94" spans="1:79" s="84" customForma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BW94" s="1"/>
      <c r="BX94" s="1"/>
      <c r="BY94" s="1"/>
      <c r="BZ94" s="1"/>
      <c r="CA94" s="1"/>
    </row>
    <row r="95" spans="1:79" s="84" customForma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BW95" s="1"/>
      <c r="BX95" s="1"/>
      <c r="BY95" s="1"/>
      <c r="BZ95" s="1"/>
      <c r="CA95" s="1"/>
    </row>
    <row r="96" spans="1:79" s="84" customForma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BW96" s="1"/>
      <c r="BX96" s="1"/>
      <c r="BY96" s="1"/>
      <c r="BZ96" s="1"/>
      <c r="CA96" s="1"/>
    </row>
    <row r="97" spans="1:79" s="84" customForma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BW97" s="1"/>
      <c r="BX97" s="1"/>
      <c r="BY97" s="1"/>
      <c r="BZ97" s="1"/>
      <c r="CA97" s="1"/>
    </row>
    <row r="98" spans="1:79" s="84" customForma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BW98" s="1"/>
      <c r="BX98" s="1"/>
      <c r="BY98" s="1"/>
      <c r="BZ98" s="1"/>
      <c r="CA98" s="1"/>
    </row>
    <row r="99" spans="1:79" s="84" customForma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BW99" s="1"/>
      <c r="BX99" s="1"/>
      <c r="BY99" s="1"/>
      <c r="BZ99" s="1"/>
      <c r="CA99" s="1"/>
    </row>
    <row r="100" spans="1:79" s="84" customForma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BW100" s="1"/>
      <c r="BX100" s="1"/>
      <c r="BY100" s="1"/>
      <c r="BZ100" s="1"/>
      <c r="CA100" s="1"/>
    </row>
    <row r="101" spans="1:79" s="84" customForma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BW101" s="1"/>
      <c r="BX101" s="1"/>
      <c r="BY101" s="1"/>
      <c r="BZ101" s="1"/>
      <c r="CA101" s="1"/>
    </row>
    <row r="102" spans="1:79" s="84" customForma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BW102" s="1"/>
      <c r="BX102" s="1"/>
      <c r="BY102" s="1"/>
      <c r="BZ102" s="1"/>
      <c r="CA102" s="1"/>
    </row>
    <row r="103" spans="1:79" s="84" customForma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BW103" s="1"/>
      <c r="BX103" s="1"/>
      <c r="BY103" s="1"/>
      <c r="BZ103" s="1"/>
      <c r="CA103" s="1"/>
    </row>
    <row r="104" spans="1:79" s="84" customForma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BW104" s="1"/>
      <c r="BX104" s="1"/>
      <c r="BY104" s="1"/>
      <c r="BZ104" s="1"/>
      <c r="CA104" s="1"/>
    </row>
    <row r="105" spans="1:79" s="84" customForma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BW105" s="1"/>
      <c r="BX105" s="1"/>
      <c r="BY105" s="1"/>
      <c r="BZ105" s="1"/>
      <c r="CA105" s="1"/>
    </row>
    <row r="106" spans="1:79" s="84" customForma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BW106" s="1"/>
      <c r="BX106" s="1"/>
      <c r="BY106" s="1"/>
      <c r="BZ106" s="1"/>
      <c r="CA106" s="1"/>
    </row>
    <row r="107" spans="1:79" s="84" customForma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BW107" s="1"/>
      <c r="BX107" s="1"/>
      <c r="BY107" s="1"/>
      <c r="BZ107" s="1"/>
      <c r="CA107" s="1"/>
    </row>
    <row r="108" spans="1:79" s="84" customForma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02"/>
      <c r="AK108" s="203"/>
      <c r="AL108" s="167"/>
      <c r="AM108" s="204"/>
      <c r="AN108" s="205"/>
      <c r="AP108" s="206"/>
      <c r="AR108" s="206"/>
      <c r="AT108" s="206"/>
      <c r="AV108" s="206"/>
      <c r="AX108" s="206"/>
      <c r="AZ108" s="206"/>
      <c r="BB108" s="206"/>
      <c r="BD108" s="206"/>
      <c r="BF108" s="206"/>
      <c r="BH108" s="206"/>
      <c r="BJ108" s="206"/>
      <c r="BW108" s="1"/>
      <c r="BX108" s="1"/>
      <c r="BY108" s="1"/>
      <c r="BZ108" s="1"/>
      <c r="CA108" s="1"/>
    </row>
    <row r="109" spans="1:79" s="84" customForma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BW109" s="1"/>
      <c r="BX109" s="1"/>
      <c r="BY109" s="1"/>
      <c r="BZ109" s="1"/>
      <c r="CA109" s="1"/>
    </row>
    <row r="110" spans="1:79" s="84" customForma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BW110" s="1"/>
      <c r="BX110" s="1"/>
      <c r="BY110" s="1"/>
      <c r="BZ110" s="1"/>
      <c r="CA110" s="1"/>
    </row>
    <row r="111" spans="1:79" s="84" customForma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BW111" s="1"/>
      <c r="BX111" s="1"/>
      <c r="BY111" s="1"/>
      <c r="BZ111" s="1"/>
      <c r="CA111" s="1"/>
    </row>
    <row r="112" spans="1:79" s="84" customForma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BW112" s="1"/>
      <c r="BX112" s="1"/>
      <c r="BY112" s="1"/>
      <c r="BZ112" s="1"/>
      <c r="CA112" s="1"/>
    </row>
    <row r="113" spans="1:79" s="84" customForma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BW113" s="1"/>
      <c r="BX113" s="1"/>
      <c r="BY113" s="1"/>
      <c r="BZ113" s="1"/>
      <c r="CA113" s="1"/>
    </row>
    <row r="114" spans="1:79" s="84" customForma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BW114" s="1"/>
      <c r="BX114" s="1"/>
      <c r="BY114" s="1"/>
      <c r="BZ114" s="1"/>
      <c r="CA114" s="1"/>
    </row>
    <row r="115" spans="1:79" s="84" customForma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BW115" s="1"/>
      <c r="BX115" s="1"/>
      <c r="BY115" s="1"/>
      <c r="BZ115" s="1"/>
      <c r="CA115" s="1"/>
    </row>
    <row r="116" spans="1:79" s="84" customForma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BW116" s="1"/>
      <c r="BX116" s="1"/>
      <c r="BY116" s="1"/>
      <c r="BZ116" s="1"/>
      <c r="CA116" s="1"/>
    </row>
  </sheetData>
  <conditionalFormatting sqref="AD6:AD9 S11 Z10:AA10 U31:X31 AA31:AD31">
    <cfRule type="cellIs" dxfId="149" priority="73" operator="lessThan">
      <formula>0</formula>
    </cfRule>
    <cfRule type="cellIs" dxfId="148" priority="74" operator="greaterThan">
      <formula>0</formula>
    </cfRule>
  </conditionalFormatting>
  <conditionalFormatting sqref="S9 S6:S7">
    <cfRule type="cellIs" dxfId="147" priority="71" operator="lessThan">
      <formula>0</formula>
    </cfRule>
    <cfRule type="cellIs" dxfId="146" priority="72" operator="greaterThan">
      <formula>0</formula>
    </cfRule>
  </conditionalFormatting>
  <conditionalFormatting sqref="AA35:AC35">
    <cfRule type="cellIs" dxfId="145" priority="65" operator="lessThan">
      <formula>0</formula>
    </cfRule>
    <cfRule type="cellIs" dxfId="144" priority="66" operator="greaterThan">
      <formula>0</formula>
    </cfRule>
  </conditionalFormatting>
  <conditionalFormatting sqref="AA36:AD38">
    <cfRule type="cellIs" dxfId="143" priority="67" operator="lessThan">
      <formula>0</formula>
    </cfRule>
    <cfRule type="cellIs" dxfId="142" priority="68" operator="greaterThan">
      <formula>0</formula>
    </cfRule>
  </conditionalFormatting>
  <conditionalFormatting sqref="S8">
    <cfRule type="cellIs" dxfId="141" priority="69" operator="lessThan">
      <formula>0</formula>
    </cfRule>
    <cfRule type="cellIs" dxfId="140" priority="70" operator="greaterThan">
      <formula>0</formula>
    </cfRule>
  </conditionalFormatting>
  <conditionalFormatting sqref="AB13:AC13">
    <cfRule type="cellIs" dxfId="139" priority="59" operator="lessThan">
      <formula>0</formula>
    </cfRule>
    <cfRule type="cellIs" dxfId="138" priority="60" operator="greaterThan">
      <formula>0</formula>
    </cfRule>
  </conditionalFormatting>
  <conditionalFormatting sqref="AD35">
    <cfRule type="cellIs" dxfId="137" priority="63" operator="lessThan">
      <formula>0</formula>
    </cfRule>
    <cfRule type="cellIs" dxfId="136" priority="64" operator="greaterThan">
      <formula>0</formula>
    </cfRule>
  </conditionalFormatting>
  <conditionalFormatting sqref="S10">
    <cfRule type="cellIs" dxfId="135" priority="61" operator="lessThan">
      <formula>0</formula>
    </cfRule>
    <cfRule type="cellIs" dxfId="134" priority="62" operator="greaterThan">
      <formula>0</formula>
    </cfRule>
  </conditionalFormatting>
  <conditionalFormatting sqref="AD13">
    <cfRule type="cellIs" dxfId="133" priority="57" operator="lessThan">
      <formula>0</formula>
    </cfRule>
    <cfRule type="cellIs" dxfId="132" priority="58" operator="greaterThan">
      <formula>0</formula>
    </cfRule>
  </conditionalFormatting>
  <conditionalFormatting sqref="AD14">
    <cfRule type="cellIs" dxfId="131" priority="55" operator="lessThan">
      <formula>0</formula>
    </cfRule>
    <cfRule type="cellIs" dxfId="130" priority="56" operator="greaterThan">
      <formula>0</formula>
    </cfRule>
  </conditionalFormatting>
  <conditionalFormatting sqref="AB27:AD27">
    <cfRule type="cellIs" dxfId="129" priority="53" operator="lessThan">
      <formula>0</formula>
    </cfRule>
    <cfRule type="cellIs" dxfId="128" priority="54" operator="greaterThan">
      <formula>0</formula>
    </cfRule>
  </conditionalFormatting>
  <conditionalFormatting sqref="AA27">
    <cfRule type="cellIs" dxfId="127" priority="51" operator="lessThan">
      <formula>0</formula>
    </cfRule>
    <cfRule type="cellIs" dxfId="126" priority="52" operator="greaterThan">
      <formula>0</formula>
    </cfRule>
  </conditionalFormatting>
  <conditionalFormatting sqref="T10:U10 X6:X9">
    <cfRule type="cellIs" dxfId="125" priority="49" operator="lessThan">
      <formula>0</formula>
    </cfRule>
    <cfRule type="cellIs" dxfId="124" priority="50" operator="greaterThan">
      <formula>0</formula>
    </cfRule>
  </conditionalFormatting>
  <conditionalFormatting sqref="X25:X26">
    <cfRule type="cellIs" dxfId="123" priority="43" operator="lessThan">
      <formula>0</formula>
    </cfRule>
    <cfRule type="cellIs" dxfId="122" priority="44" operator="greaterThan">
      <formula>0</formula>
    </cfRule>
  </conditionalFormatting>
  <conditionalFormatting sqref="U36:X38">
    <cfRule type="cellIs" dxfId="121" priority="41" operator="lessThan">
      <formula>0</formula>
    </cfRule>
    <cfRule type="cellIs" dxfId="120" priority="42" operator="greaterThan">
      <formula>0</formula>
    </cfRule>
  </conditionalFormatting>
  <conditionalFormatting sqref="U35:W35">
    <cfRule type="cellIs" dxfId="119" priority="39" operator="lessThan">
      <formula>0</formula>
    </cfRule>
    <cfRule type="cellIs" dxfId="118" priority="40" operator="greaterThan">
      <formula>0</formula>
    </cfRule>
  </conditionalFormatting>
  <conditionalFormatting sqref="U25:U26">
    <cfRule type="cellIs" dxfId="117" priority="47" operator="lessThan">
      <formula>0</formula>
    </cfRule>
    <cfRule type="cellIs" dxfId="116" priority="48" operator="greaterThan">
      <formula>0</formula>
    </cfRule>
  </conditionalFormatting>
  <conditionalFormatting sqref="V25:W26">
    <cfRule type="cellIs" dxfId="115" priority="45" operator="lessThan">
      <formula>0</formula>
    </cfRule>
    <cfRule type="cellIs" dxfId="114" priority="46" operator="greaterThan">
      <formula>0</formula>
    </cfRule>
  </conditionalFormatting>
  <conditionalFormatting sqref="X35">
    <cfRule type="cellIs" dxfId="113" priority="37" operator="lessThan">
      <formula>0</formula>
    </cfRule>
    <cfRule type="cellIs" dxfId="112" priority="38" operator="greaterThan">
      <formula>0</formula>
    </cfRule>
  </conditionalFormatting>
  <conditionalFormatting sqref="V13:W13">
    <cfRule type="cellIs" dxfId="111" priority="35" operator="lessThan">
      <formula>0</formula>
    </cfRule>
    <cfRule type="cellIs" dxfId="110" priority="36" operator="greaterThan">
      <formula>0</formula>
    </cfRule>
  </conditionalFormatting>
  <conditionalFormatting sqref="X13">
    <cfRule type="cellIs" dxfId="109" priority="33" operator="lessThan">
      <formula>0</formula>
    </cfRule>
    <cfRule type="cellIs" dxfId="108" priority="34" operator="greaterThan">
      <formula>0</formula>
    </cfRule>
  </conditionalFormatting>
  <conditionalFormatting sqref="X14">
    <cfRule type="cellIs" dxfId="107" priority="31" operator="lessThan">
      <formula>0</formula>
    </cfRule>
    <cfRule type="cellIs" dxfId="106" priority="32" operator="greaterThan">
      <formula>0</formula>
    </cfRule>
  </conditionalFormatting>
  <conditionalFormatting sqref="V27:X27">
    <cfRule type="cellIs" dxfId="105" priority="29" operator="lessThan">
      <formula>0</formula>
    </cfRule>
    <cfRule type="cellIs" dxfId="104" priority="30" operator="greaterThan">
      <formula>0</formula>
    </cfRule>
  </conditionalFormatting>
  <conditionalFormatting sqref="U32:X32">
    <cfRule type="cellIs" dxfId="103" priority="27" operator="lessThan">
      <formula>0</formula>
    </cfRule>
    <cfRule type="cellIs" dxfId="102" priority="28" operator="greaterThan">
      <formula>0</formula>
    </cfRule>
  </conditionalFormatting>
  <conditionalFormatting sqref="U27">
    <cfRule type="cellIs" dxfId="101" priority="25" operator="lessThan">
      <formula>0</formula>
    </cfRule>
    <cfRule type="cellIs" dxfId="100" priority="26" operator="greaterThan">
      <formula>0</formula>
    </cfRule>
  </conditionalFormatting>
  <conditionalFormatting sqref="AC14 W14">
    <cfRule type="expression" dxfId="99" priority="75">
      <formula>#REF!&gt;#REF!</formula>
    </cfRule>
  </conditionalFormatting>
  <conditionalFormatting sqref="U30">
    <cfRule type="cellIs" dxfId="98" priority="23" operator="lessThan">
      <formula>0</formula>
    </cfRule>
    <cfRule type="cellIs" dxfId="97" priority="24" operator="greaterThan">
      <formula>0</formula>
    </cfRule>
  </conditionalFormatting>
  <conditionalFormatting sqref="V30">
    <cfRule type="cellIs" dxfId="96" priority="21" operator="lessThan">
      <formula>0</formula>
    </cfRule>
    <cfRule type="cellIs" dxfId="95" priority="22" operator="greaterThan">
      <formula>0</formula>
    </cfRule>
  </conditionalFormatting>
  <conditionalFormatting sqref="W30">
    <cfRule type="cellIs" dxfId="94" priority="19" operator="lessThan">
      <formula>0</formula>
    </cfRule>
    <cfRule type="cellIs" dxfId="93" priority="20" operator="greaterThan">
      <formula>0</formula>
    </cfRule>
  </conditionalFormatting>
  <conditionalFormatting sqref="X30">
    <cfRule type="cellIs" dxfId="92" priority="17" operator="lessThan">
      <formula>0</formula>
    </cfRule>
    <cfRule type="cellIs" dxfId="91" priority="18" operator="greaterThan">
      <formula>0</formula>
    </cfRule>
  </conditionalFormatting>
  <conditionalFormatting sqref="AA32:AD32">
    <cfRule type="cellIs" dxfId="90" priority="15" operator="lessThan">
      <formula>0</formula>
    </cfRule>
    <cfRule type="cellIs" dxfId="89" priority="16" operator="greaterThan">
      <formula>0</formula>
    </cfRule>
  </conditionalFormatting>
  <conditionalFormatting sqref="AA30">
    <cfRule type="cellIs" dxfId="88" priority="13" operator="lessThan">
      <formula>0</formula>
    </cfRule>
    <cfRule type="cellIs" dxfId="87" priority="14" operator="greaterThan">
      <formula>0</formula>
    </cfRule>
  </conditionalFormatting>
  <conditionalFormatting sqref="AB30">
    <cfRule type="cellIs" dxfId="86" priority="11" operator="lessThan">
      <formula>0</formula>
    </cfRule>
    <cfRule type="cellIs" dxfId="85" priority="12" operator="greaterThan">
      <formula>0</formula>
    </cfRule>
  </conditionalFormatting>
  <conditionalFormatting sqref="AC30">
    <cfRule type="cellIs" dxfId="84" priority="9" operator="lessThan">
      <formula>0</formula>
    </cfRule>
    <cfRule type="cellIs" dxfId="83" priority="10" operator="greaterThan">
      <formula>0</formula>
    </cfRule>
  </conditionalFormatting>
  <conditionalFormatting sqref="AD30">
    <cfRule type="cellIs" dxfId="82" priority="7" operator="lessThan">
      <formula>0</formula>
    </cfRule>
    <cfRule type="cellIs" dxfId="81" priority="8" operator="greaterThan">
      <formula>0</formula>
    </cfRule>
  </conditionalFormatting>
  <conditionalFormatting sqref="AD25:AD26">
    <cfRule type="cellIs" dxfId="80" priority="1" operator="lessThan">
      <formula>0</formula>
    </cfRule>
    <cfRule type="cellIs" dxfId="79" priority="2" operator="greaterThan">
      <formula>0</formula>
    </cfRule>
  </conditionalFormatting>
  <conditionalFormatting sqref="AA25:AA26">
    <cfRule type="cellIs" dxfId="78" priority="5" operator="lessThan">
      <formula>0</formula>
    </cfRule>
    <cfRule type="cellIs" dxfId="77" priority="6" operator="greaterThan">
      <formula>0</formula>
    </cfRule>
  </conditionalFormatting>
  <conditionalFormatting sqref="AB25:AC26">
    <cfRule type="cellIs" dxfId="76" priority="3" operator="lessThan">
      <formula>0</formula>
    </cfRule>
    <cfRule type="cellIs" dxfId="75" priority="4" operator="greaterThan">
      <formula>0</formula>
    </cfRule>
  </conditionalFormatting>
  <pageMargins left="0.7" right="0.7" top="0.75" bottom="0.75" header="0.3" footer="0.3"/>
  <pageSetup orientation="portrait" verticalDpi="300" r:id="rId1"/>
  <ignoredErrors>
    <ignoredError sqref="F8:R8 F15:R15" formula="1"/>
  </ignoredErrors>
  <drawing r:id="rId2"/>
  <legacyDrawing r:id="rId3"/>
  <controls>
    <mc:AlternateContent xmlns:mc="http://schemas.openxmlformats.org/markup-compatibility/2006">
      <mc:Choice Requires="x14">
        <control shapeId="576513" r:id="rId4" name="FPMExcelClientSheetOptionstb1">
          <controlPr defaultSize="0" autoLine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76513" r:id="rId4" name="FPMExcelClientSheetOptionstb1"/>
      </mc:Fallback>
    </mc:AlternateContent>
    <mc:AlternateContent xmlns:mc="http://schemas.openxmlformats.org/markup-compatibility/2006">
      <mc:Choice Requires="x14">
        <control shapeId="576514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6514" r:id="rId6" name="ConnectionDescriptorsInfotb1"/>
      </mc:Fallback>
    </mc:AlternateContent>
    <mc:AlternateContent xmlns:mc="http://schemas.openxmlformats.org/markup-compatibility/2006">
      <mc:Choice Requires="x14">
        <control shapeId="576515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6515" r:id="rId8" name="MultipleReportManagerInfotb1"/>
      </mc:Fallback>
    </mc:AlternateContent>
    <mc:AlternateContent xmlns:mc="http://schemas.openxmlformats.org/markup-compatibility/2006">
      <mc:Choice Requires="x14">
        <control shapeId="576516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314325</xdr:colOff>
                <xdr:row>0</xdr:row>
                <xdr:rowOff>0</xdr:rowOff>
              </to>
            </anchor>
          </controlPr>
        </control>
      </mc:Choice>
      <mc:Fallback>
        <control shapeId="576516" r:id="rId10" name="AnalyzerDynReport000tb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EF52D2-6001-465A-A8A4-4B53661B34F6}">
          <x14:formula1>
            <xm:f>Mapping!$A$2:$A$19</xm:f>
          </x14:formula1>
          <xm:sqref>E2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04BB-A3D7-496B-B6D5-720DB67DD505}">
  <sheetPr codeName="Sheet97">
    <tabColor rgb="FF50B47F"/>
  </sheetPr>
  <dimension ref="A1:CE116"/>
  <sheetViews>
    <sheetView showGridLines="0" topLeftCell="D1" zoomScale="70" zoomScaleNormal="70" workbookViewId="0">
      <selection activeCell="V37" sqref="V37"/>
    </sheetView>
  </sheetViews>
  <sheetFormatPr defaultColWidth="8.7109375" defaultRowHeight="12.75" outlineLevelCol="1" x14ac:dyDescent="0.2"/>
  <cols>
    <col min="1" max="1" width="26.42578125" style="1" hidden="1" customWidth="1" outlineLevel="1"/>
    <col min="2" max="2" width="19.140625" style="1" hidden="1" customWidth="1" outlineLevel="1"/>
    <col min="3" max="3" width="8.7109375" style="1" hidden="1" customWidth="1" outlineLevel="1"/>
    <col min="4" max="4" width="2.7109375" style="1" customWidth="1" collapsed="1"/>
    <col min="5" max="5" width="28.85546875" style="1" customWidth="1"/>
    <col min="6" max="17" width="11.7109375" style="1" customWidth="1"/>
    <col min="18" max="18" width="10.28515625" style="1" customWidth="1"/>
    <col min="19" max="19" width="2.28515625" style="1" customWidth="1"/>
    <col min="20" max="20" width="19" style="1" customWidth="1"/>
    <col min="21" max="24" width="8.7109375" style="1" customWidth="1"/>
    <col min="25" max="25" width="3" style="1" customWidth="1"/>
    <col min="26" max="26" width="19" style="1" customWidth="1"/>
    <col min="27" max="27" width="11" style="1" customWidth="1"/>
    <col min="28" max="30" width="8.7109375" style="1" customWidth="1"/>
    <col min="31" max="32" width="12.7109375" style="1" customWidth="1"/>
    <col min="33" max="33" width="28.42578125" style="1" hidden="1" customWidth="1" outlineLevel="1"/>
    <col min="34" max="34" width="15.5703125" style="1" hidden="1" customWidth="1" outlineLevel="1"/>
    <col min="35" max="35" width="9.85546875" style="1" hidden="1" customWidth="1" outlineLevel="1"/>
    <col min="36" max="36" width="9.42578125" style="1" hidden="1" customWidth="1" outlineLevel="1"/>
    <col min="37" max="37" width="10.140625" style="84" hidden="1" customWidth="1" outlineLevel="1"/>
    <col min="38" max="38" width="9.85546875" style="84" hidden="1" customWidth="1" outlineLevel="1"/>
    <col min="39" max="39" width="10.140625" style="84" hidden="1" customWidth="1" outlineLevel="1"/>
    <col min="40" max="41" width="9.42578125" style="84" hidden="1" customWidth="1" outlineLevel="1"/>
    <col min="42" max="42" width="10.140625" style="84" hidden="1" customWidth="1" outlineLevel="1"/>
    <col min="43" max="43" width="9.85546875" style="84" hidden="1" customWidth="1" outlineLevel="1"/>
    <col min="44" max="44" width="10.140625" style="84" hidden="1" customWidth="1" outlineLevel="1"/>
    <col min="45" max="46" width="9.85546875" style="84" hidden="1" customWidth="1" outlineLevel="1"/>
    <col min="47" max="47" width="11.28515625" style="84" hidden="1" customWidth="1" outlineLevel="1"/>
    <col min="48" max="48" width="9.42578125" style="84" hidden="1" customWidth="1" outlineLevel="1"/>
    <col min="49" max="49" width="10.140625" style="84" hidden="1" customWidth="1" outlineLevel="1"/>
    <col min="50" max="50" width="9.85546875" style="84" hidden="1" customWidth="1" outlineLevel="1"/>
    <col min="51" max="51" width="10.140625" style="84" hidden="1" customWidth="1" outlineLevel="1"/>
    <col min="52" max="52" width="9.42578125" style="84" hidden="1" customWidth="1" outlineLevel="1"/>
    <col min="53" max="53" width="9.140625" style="84" hidden="1" customWidth="1" outlineLevel="1"/>
    <col min="54" max="54" width="9.85546875" style="84" hidden="1" customWidth="1" outlineLevel="1"/>
    <col min="55" max="56" width="9.42578125" style="84" hidden="1" customWidth="1" outlineLevel="1"/>
    <col min="57" max="57" width="9.85546875" style="84" hidden="1" customWidth="1" outlineLevel="1"/>
    <col min="58" max="58" width="18.140625" style="84" hidden="1" customWidth="1" outlineLevel="1"/>
    <col min="59" max="59" width="17.7109375" style="84" hidden="1" customWidth="1" outlineLevel="1"/>
    <col min="60" max="71" width="10.7109375" style="84" hidden="1" customWidth="1" outlineLevel="1"/>
    <col min="72" max="72" width="17.42578125" style="84" customWidth="1" collapsed="1"/>
    <col min="73" max="73" width="12.7109375" style="84" customWidth="1"/>
    <col min="74" max="74" width="15.42578125" style="84" customWidth="1"/>
    <col min="75" max="208" width="9.7109375" style="1" customWidth="1"/>
    <col min="209" max="16384" width="8.7109375" style="1"/>
  </cols>
  <sheetData>
    <row r="1" spans="1:83" x14ac:dyDescent="0.2">
      <c r="J1" s="75"/>
      <c r="U1" s="56"/>
      <c r="AG1" s="76"/>
      <c r="AH1" s="76"/>
      <c r="AI1" s="76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8"/>
      <c r="BS1" s="78"/>
      <c r="BT1" s="78"/>
      <c r="BU1" s="78"/>
      <c r="BV1" s="78"/>
      <c r="BW1" s="78"/>
      <c r="BX1" s="79"/>
      <c r="BY1" s="79"/>
      <c r="BZ1" s="79"/>
      <c r="CA1" s="79"/>
    </row>
    <row r="2" spans="1:83" ht="16.899999999999999" customHeight="1" x14ac:dyDescent="0.2">
      <c r="E2" s="80" t="s">
        <v>95</v>
      </c>
      <c r="I2" s="75"/>
      <c r="J2" s="75"/>
      <c r="K2" s="75"/>
      <c r="L2" s="75"/>
      <c r="M2" s="75"/>
      <c r="N2" s="81"/>
      <c r="O2" s="81"/>
      <c r="P2" s="75"/>
      <c r="Q2" s="75"/>
      <c r="R2" s="82"/>
      <c r="S2" s="83"/>
      <c r="AG2" s="76"/>
      <c r="AH2" s="76"/>
      <c r="AI2" s="76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</row>
    <row r="3" spans="1:83" ht="10.15" customHeight="1" x14ac:dyDescent="0.35">
      <c r="E3" s="85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6"/>
      <c r="S3" s="83"/>
      <c r="AG3" s="76"/>
      <c r="AH3" s="76"/>
      <c r="AI3" s="76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</row>
    <row r="4" spans="1:83" s="15" customFormat="1" ht="17.25" customHeight="1" x14ac:dyDescent="0.25">
      <c r="E4" s="87"/>
      <c r="S4" s="17"/>
      <c r="T4" s="88" t="s">
        <v>54</v>
      </c>
      <c r="Z4" s="88" t="s">
        <v>98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7"/>
      <c r="AY4" s="77"/>
      <c r="AZ4" s="77"/>
      <c r="BA4" s="77"/>
      <c r="BB4" s="77"/>
      <c r="BC4" s="77"/>
      <c r="BD4" s="77"/>
      <c r="BE4" s="77"/>
      <c r="BF4" s="6" t="s">
        <v>85</v>
      </c>
      <c r="BG4" s="6" t="s">
        <v>84</v>
      </c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89"/>
      <c r="BV4" s="89"/>
    </row>
    <row r="5" spans="1:83" ht="15.75" x14ac:dyDescent="0.25">
      <c r="E5" s="80" t="s">
        <v>54</v>
      </c>
      <c r="F5" s="90" t="str">
        <f>Mapping!$D$2</f>
        <v>Jan</v>
      </c>
      <c r="G5" s="90" t="str">
        <f>Mapping!$D$3</f>
        <v>Feb</v>
      </c>
      <c r="H5" s="90" t="str">
        <f>Mapping!$D$4</f>
        <v>Mar</v>
      </c>
      <c r="I5" s="90" t="str">
        <f>Mapping!$D$5</f>
        <v>Apr</v>
      </c>
      <c r="J5" s="90" t="str">
        <f>Mapping!$D$6</f>
        <v>May</v>
      </c>
      <c r="K5" s="90" t="str">
        <f>Mapping!$D$7</f>
        <v>Jun</v>
      </c>
      <c r="L5" s="90" t="str">
        <f>Mapping!$D$8</f>
        <v>Jul</v>
      </c>
      <c r="M5" s="90" t="str">
        <f>Mapping!$D$9</f>
        <v>Aug</v>
      </c>
      <c r="N5" s="90" t="str">
        <f>Mapping!$D$10</f>
        <v>Sep</v>
      </c>
      <c r="O5" s="90" t="str">
        <f>Mapping!$D$11</f>
        <v>Oct</v>
      </c>
      <c r="P5" s="90" t="str">
        <f>Mapping!$D$12</f>
        <v>Nov</v>
      </c>
      <c r="Q5" s="90" t="str">
        <f>Mapping!$D$13</f>
        <v>Dec</v>
      </c>
      <c r="R5" s="91" t="s">
        <v>14</v>
      </c>
      <c r="S5" s="92"/>
      <c r="T5" s="93" t="str">
        <f>Z5</f>
        <v>Forecast based on:</v>
      </c>
      <c r="U5" s="94"/>
      <c r="V5" s="95"/>
      <c r="W5" s="96" t="str">
        <f>AC5</f>
        <v>FY</v>
      </c>
      <c r="X5" s="96" t="str">
        <f>AD5</f>
        <v>vs. LO</v>
      </c>
      <c r="Y5" s="76"/>
      <c r="Z5" s="93" t="s">
        <v>19</v>
      </c>
      <c r="AA5" s="94"/>
      <c r="AB5" s="95"/>
      <c r="AC5" s="96" t="s">
        <v>14</v>
      </c>
      <c r="AD5" s="97" t="s">
        <v>20</v>
      </c>
      <c r="AE5" s="76"/>
      <c r="AF5" s="76"/>
      <c r="AG5" s="98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7"/>
      <c r="AX5" s="77"/>
      <c r="AY5" s="77"/>
      <c r="AZ5" s="77"/>
      <c r="BA5" s="77"/>
      <c r="BB5" s="77"/>
      <c r="BC5" s="77"/>
      <c r="BD5" s="77"/>
      <c r="BE5" s="77"/>
      <c r="BF5" s="99">
        <f>Summary!$D$3</f>
        <v>7</v>
      </c>
      <c r="BG5" s="99">
        <f>BF5-1</f>
        <v>6</v>
      </c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</row>
    <row r="6" spans="1:83" ht="15" x14ac:dyDescent="0.25">
      <c r="A6" s="100">
        <f>Summary!$C$2-2</f>
        <v>2018</v>
      </c>
      <c r="B6" s="101" t="str">
        <f>Mapping!$B$2</f>
        <v>Actual</v>
      </c>
      <c r="E6" s="102" t="str">
        <f>A6&amp;" "&amp;B6</f>
        <v>2018 Actual</v>
      </c>
      <c r="F6" s="103">
        <f>SUMIFS('Units sold'!$E:$E,'Units sold'!$A:$A,$E$2,'Units sold'!$B:$B,F$5&amp;" "&amp;$A6,'Units sold'!$C:$C,"Periodic")</f>
        <v>992</v>
      </c>
      <c r="G6" s="103">
        <f>SUMIFS('Units sold'!$E:$E,'Units sold'!$A:$A,$E$2,'Units sold'!$B:$B,G$5&amp;" "&amp;$A6,'Units sold'!$C:$C,"Periodic")</f>
        <v>1040</v>
      </c>
      <c r="H6" s="103">
        <f>SUMIFS('Units sold'!$E:$E,'Units sold'!$A:$A,$E$2,'Units sold'!$B:$B,H$5&amp;" "&amp;$A6,'Units sold'!$C:$C,"Periodic")</f>
        <v>1152</v>
      </c>
      <c r="I6" s="103">
        <f>SUMIFS('Units sold'!$E:$E,'Units sold'!$A:$A,$E$2,'Units sold'!$B:$B,I$5&amp;" "&amp;$A6,'Units sold'!$C:$C,"Periodic")</f>
        <v>1104</v>
      </c>
      <c r="J6" s="103">
        <f>SUMIFS('Units sold'!$E:$E,'Units sold'!$A:$A,$E$2,'Units sold'!$B:$B,J$5&amp;" "&amp;$A6,'Units sold'!$C:$C,"Periodic")</f>
        <v>1330</v>
      </c>
      <c r="K6" s="103">
        <f>SUMIFS('Units sold'!$E:$E,'Units sold'!$A:$A,$E$2,'Units sold'!$B:$B,K$5&amp;" "&amp;$A6,'Units sold'!$C:$C,"Periodic")</f>
        <v>1158</v>
      </c>
      <c r="L6" s="103">
        <f>SUMIFS('Units sold'!$E:$E,'Units sold'!$A:$A,$E$2,'Units sold'!$B:$B,L$5&amp;" "&amp;$A6,'Units sold'!$C:$C,"Periodic")</f>
        <v>1196</v>
      </c>
      <c r="M6" s="103">
        <f>SUMIFS('Units sold'!$E:$E,'Units sold'!$A:$A,$E$2,'Units sold'!$B:$B,M$5&amp;" "&amp;$A6,'Units sold'!$C:$C,"Periodic")</f>
        <v>1310</v>
      </c>
      <c r="N6" s="103">
        <f>SUMIFS('Units sold'!$E:$E,'Units sold'!$A:$A,$E$2,'Units sold'!$B:$B,N$5&amp;" "&amp;$A6,'Units sold'!$C:$C,"Periodic")</f>
        <v>1196</v>
      </c>
      <c r="O6" s="103">
        <f>SUMIFS('Units sold'!$E:$E,'Units sold'!$A:$A,$E$2,'Units sold'!$B:$B,O$5&amp;" "&amp;$A6,'Units sold'!$C:$C,"Periodic")</f>
        <v>1192</v>
      </c>
      <c r="P6" s="103">
        <f>SUMIFS('Units sold'!$E:$E,'Units sold'!$A:$A,$E$2,'Units sold'!$B:$B,P$5&amp;" "&amp;$A6,'Units sold'!$C:$C,"Periodic")</f>
        <v>1366</v>
      </c>
      <c r="Q6" s="103">
        <f>SUMIFS('Units sold'!$E:$E,'Units sold'!$A:$A,$E$2,'Units sold'!$B:$B,Q$5&amp;" "&amp;$A6,'Units sold'!$C:$C,"Periodic")</f>
        <v>1310</v>
      </c>
      <c r="R6" s="104">
        <f t="shared" ref="R6:R10" si="0">SUM(F6:Q6)</f>
        <v>14346</v>
      </c>
      <c r="S6" s="105"/>
      <c r="T6" s="106" t="str">
        <f t="shared" ref="T6:T9" si="1">Z6</f>
        <v>3-month Rolling Rate</v>
      </c>
      <c r="U6" s="107"/>
      <c r="V6" s="108"/>
      <c r="W6" s="109">
        <f>(SUM(AR8:AT8)/3*Summary!$E$3)+R9</f>
        <v>11550</v>
      </c>
      <c r="X6" s="110">
        <f>$W$6-$R$8</f>
        <v>-8591.3593376000026</v>
      </c>
      <c r="Y6" s="76"/>
      <c r="Z6" s="106" t="s">
        <v>129</v>
      </c>
      <c r="AA6" s="107"/>
      <c r="AB6" s="108"/>
      <c r="AC6" s="109">
        <f>(SUM(AR9:AT9)/3*Summary!$E$3)+R16</f>
        <v>15745.227913298999</v>
      </c>
      <c r="AD6" s="110">
        <f>$AC$6-$R$15</f>
        <v>-9314.8820157745449</v>
      </c>
      <c r="AE6" s="33"/>
      <c r="AF6" s="76"/>
      <c r="AG6" s="98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7"/>
      <c r="AX6" s="77"/>
      <c r="AY6" s="77"/>
      <c r="AZ6" s="77"/>
      <c r="BA6" s="77"/>
      <c r="BB6" s="77"/>
      <c r="BC6" s="77"/>
      <c r="BD6" s="77"/>
      <c r="BE6" s="77"/>
      <c r="BF6" s="6" t="s">
        <v>27</v>
      </c>
      <c r="BG6" s="111">
        <v>1</v>
      </c>
      <c r="BH6" s="111">
        <v>2</v>
      </c>
      <c r="BI6" s="111">
        <v>3</v>
      </c>
      <c r="BJ6" s="111">
        <v>4</v>
      </c>
      <c r="BK6" s="111">
        <v>5</v>
      </c>
      <c r="BL6" s="111">
        <v>6</v>
      </c>
      <c r="BM6" s="111">
        <v>7</v>
      </c>
      <c r="BN6" s="111">
        <v>8</v>
      </c>
      <c r="BO6" s="111">
        <v>9</v>
      </c>
      <c r="BP6" s="111">
        <v>10</v>
      </c>
      <c r="BQ6" s="111">
        <v>11</v>
      </c>
      <c r="BR6" s="111">
        <v>12</v>
      </c>
      <c r="BS6" s="77"/>
      <c r="BT6" s="77"/>
    </row>
    <row r="7" spans="1:83" ht="15" x14ac:dyDescent="0.25">
      <c r="A7" s="100">
        <f>Summary!$C$2-1</f>
        <v>2019</v>
      </c>
      <c r="B7" s="101" t="str">
        <f>Mapping!$B$2</f>
        <v>Actual</v>
      </c>
      <c r="E7" s="102" t="str">
        <f>A7&amp;" "&amp;B7</f>
        <v>2019 Actual</v>
      </c>
      <c r="F7" s="103">
        <f>SUMIFS('Units sold'!$E:$E,'Units sold'!$A:$A,$E$2,'Units sold'!$B:$B,F$5&amp;" "&amp;$A7,'Units sold'!$C:$C,"Periodic")</f>
        <v>1252</v>
      </c>
      <c r="G7" s="103">
        <f>SUMIFS('Units sold'!$E:$E,'Units sold'!$A:$A,$E$2,'Units sold'!$B:$B,G$5&amp;" "&amp;$A7,'Units sold'!$C:$C,"Periodic")</f>
        <v>1444</v>
      </c>
      <c r="H7" s="103">
        <f>SUMIFS('Units sold'!$E:$E,'Units sold'!$A:$A,$E$2,'Units sold'!$B:$B,H$5&amp;" "&amp;$A7,'Units sold'!$C:$C,"Periodic")</f>
        <v>1136</v>
      </c>
      <c r="I7" s="103">
        <f>SUMIFS('Units sold'!$E:$E,'Units sold'!$A:$A,$E$2,'Units sold'!$B:$B,I$5&amp;" "&amp;$A7,'Units sold'!$C:$C,"Periodic")</f>
        <v>1582</v>
      </c>
      <c r="J7" s="103">
        <f>SUMIFS('Units sold'!$E:$E,'Units sold'!$A:$A,$E$2,'Units sold'!$B:$B,J$5&amp;" "&amp;$A7,'Units sold'!$C:$C,"Periodic")</f>
        <v>1440</v>
      </c>
      <c r="K7" s="103">
        <f>SUMIFS('Units sold'!$E:$E,'Units sold'!$A:$A,$E$2,'Units sold'!$B:$B,K$5&amp;" "&amp;$A7,'Units sold'!$C:$C,"Periodic")</f>
        <v>1258</v>
      </c>
      <c r="L7" s="103">
        <f>SUMIFS('Units sold'!$E:$E,'Units sold'!$A:$A,$E$2,'Units sold'!$B:$B,L$5&amp;" "&amp;$A7,'Units sold'!$C:$C,"Periodic")</f>
        <v>1734</v>
      </c>
      <c r="M7" s="103">
        <f>SUMIFS('Units sold'!$E:$E,'Units sold'!$A:$A,$E$2,'Units sold'!$B:$B,M$5&amp;" "&amp;$A7,'Units sold'!$C:$C,"Periodic")</f>
        <v>1292</v>
      </c>
      <c r="N7" s="103">
        <f>SUMIFS('Units sold'!$E:$E,'Units sold'!$A:$A,$E$2,'Units sold'!$B:$B,N$5&amp;" "&amp;$A7,'Units sold'!$C:$C,"Periodic")</f>
        <v>1418</v>
      </c>
      <c r="O7" s="103">
        <f>SUMIFS('Units sold'!$E:$E,'Units sold'!$A:$A,$E$2,'Units sold'!$B:$B,O$5&amp;" "&amp;$A7,'Units sold'!$C:$C,"Periodic")</f>
        <v>1532</v>
      </c>
      <c r="P7" s="103">
        <f>SUMIFS('Units sold'!$E:$E,'Units sold'!$A:$A,$E$2,'Units sold'!$B:$B,P$5&amp;" "&amp;$A7,'Units sold'!$C:$C,"Periodic")</f>
        <v>1394</v>
      </c>
      <c r="Q7" s="103">
        <f>SUMIFS('Units sold'!$E:$E,'Units sold'!$A:$A,$E$2,'Units sold'!$B:$B,Q$5&amp;" "&amp;$A7,'Units sold'!$C:$C,"Periodic")</f>
        <v>1544</v>
      </c>
      <c r="R7" s="104">
        <f t="shared" si="0"/>
        <v>17026</v>
      </c>
      <c r="S7" s="105"/>
      <c r="T7" s="112" t="str">
        <f t="shared" si="1"/>
        <v>2020 Trend 6 months</v>
      </c>
      <c r="U7" s="113"/>
      <c r="V7" s="114"/>
      <c r="W7" s="115">
        <f>BS22</f>
        <v>20651.894223563635</v>
      </c>
      <c r="X7" s="110">
        <f>$W$7-$R$8</f>
        <v>510.53488596363241</v>
      </c>
      <c r="Y7" s="76"/>
      <c r="Z7" s="112" t="str">
        <f>A9&amp;" Trend 6 months"</f>
        <v>2020 Trend 6 months</v>
      </c>
      <c r="AA7" s="113"/>
      <c r="AB7" s="114"/>
      <c r="AC7" s="115">
        <f>BS40</f>
        <v>26588.495934461938</v>
      </c>
      <c r="AD7" s="110">
        <f>$AC$7-$R$15</f>
        <v>1528.3860053883946</v>
      </c>
      <c r="AE7" s="76"/>
      <c r="AF7" s="76"/>
      <c r="AG7" s="33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7"/>
      <c r="AX7" s="77"/>
      <c r="AY7" s="77"/>
      <c r="AZ7" s="78"/>
      <c r="BA7" s="78"/>
      <c r="BB7" s="78"/>
      <c r="BC7" s="78"/>
      <c r="BD7" s="78"/>
      <c r="BE7" s="77"/>
      <c r="BG7" s="116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78"/>
      <c r="BT7" s="77"/>
    </row>
    <row r="8" spans="1:83" ht="15" x14ac:dyDescent="0.25">
      <c r="A8" s="100">
        <f>Summary!$C$2</f>
        <v>2020</v>
      </c>
      <c r="B8" s="101" t="str">
        <f>Mapping!$B$3</f>
        <v>Budget</v>
      </c>
      <c r="E8" s="118" t="str">
        <f>A8&amp;" "&amp;B8</f>
        <v>2020 Budget</v>
      </c>
      <c r="F8" s="119">
        <f>SUMIFS('Units sold'!$D:$D,'Units sold'!$A:$A,$E$2,'Units sold'!$B:$B,F$5&amp;" "&amp;$A8,'Units sold'!$C:$C,"Periodic")</f>
        <v>1517.0348428</v>
      </c>
      <c r="G8" s="119">
        <f>SUMIFS('Units sold'!$D:$D,'Units sold'!$A:$A,$E$2,'Units sold'!$B:$B,G$5&amp;" "&amp;$A8,'Units sold'!$C:$C,"Periodic")</f>
        <v>1738.5623352</v>
      </c>
      <c r="H8" s="119">
        <f>SUMIFS('Units sold'!$D:$D,'Units sold'!$A:$A,$E$2,'Units sold'!$B:$B,H$5&amp;" "&amp;$A8,'Units sold'!$C:$C,"Periodic")</f>
        <v>1500.2340976</v>
      </c>
      <c r="I8" s="119">
        <f>SUMIFS('Units sold'!$D:$D,'Units sold'!$A:$A,$E$2,'Units sold'!$B:$B,I$5&amp;" "&amp;$A8,'Units sold'!$C:$C,"Periodic")</f>
        <v>1771.7410027999999</v>
      </c>
      <c r="J8" s="119">
        <f>SUMIFS('Units sold'!$D:$D,'Units sold'!$A:$A,$E$2,'Units sold'!$B:$B,J$5&amp;" "&amp;$A8,'Units sold'!$C:$C,"Periodic")</f>
        <v>1745.200938</v>
      </c>
      <c r="K8" s="119">
        <f>SUMIFS('Units sold'!$D:$D,'Units sold'!$A:$A,$E$2,'Units sold'!$B:$B,K$5&amp;" "&amp;$A8,'Units sold'!$C:$C,"Periodic")</f>
        <v>1514.6241364</v>
      </c>
      <c r="L8" s="119">
        <f>SUMIFS('Units sold'!$D:$D,'Units sold'!$A:$A,$E$2,'Units sold'!$B:$B,L$5&amp;" "&amp;$A8,'Units sold'!$C:$C,"Periodic")</f>
        <v>1826.1332344</v>
      </c>
      <c r="M8" s="119">
        <f>SUMIFS('Units sold'!$D:$D,'Units sold'!$A:$A,$E$2,'Units sold'!$B:$B,M$5&amp;" "&amp;$A8,'Units sold'!$C:$C,"Periodic")</f>
        <v>1531.091353</v>
      </c>
      <c r="N8" s="119">
        <f>SUMIFS('Units sold'!$D:$D,'Units sold'!$A:$A,$E$2,'Units sold'!$B:$B,N$5&amp;" "&amp;$A8,'Units sold'!$C:$C,"Periodic")</f>
        <v>1688.4721591999999</v>
      </c>
      <c r="O8" s="119">
        <f>SUMIFS('Units sold'!$D:$D,'Units sold'!$A:$A,$E$2,'Units sold'!$B:$B,O$5&amp;" "&amp;$A8,'Units sold'!$C:$C,"Periodic")</f>
        <v>1783.2480271999998</v>
      </c>
      <c r="P8" s="119">
        <f>SUMIFS('Units sold'!$D:$D,'Units sold'!$A:$A,$E$2,'Units sold'!$B:$B,P$5&amp;" "&amp;$A8,'Units sold'!$C:$C,"Periodic")</f>
        <v>1709.0544464</v>
      </c>
      <c r="Q8" s="119">
        <f>SUMIFS('Units sold'!$D:$D,'Units sold'!$A:$A,$E$2,'Units sold'!$B:$B,Q$5&amp;" "&amp;$A8,'Units sold'!$C:$C,"Periodic")</f>
        <v>1815.9627645999999</v>
      </c>
      <c r="R8" s="120">
        <f t="shared" si="0"/>
        <v>20141.359337600003</v>
      </c>
      <c r="S8" s="105"/>
      <c r="T8" s="112" t="str">
        <f t="shared" si="1"/>
        <v>2020 Trend 12 months</v>
      </c>
      <c r="U8" s="113"/>
      <c r="V8" s="114"/>
      <c r="W8" s="115">
        <f>BS23</f>
        <v>20501.618822494118</v>
      </c>
      <c r="X8" s="110">
        <f>$W$8-$R$8</f>
        <v>360.2594848941153</v>
      </c>
      <c r="Y8" s="76"/>
      <c r="Z8" s="112" t="str">
        <f>A9&amp;" Trend 12 months"</f>
        <v>2020 Trend 12 months</v>
      </c>
      <c r="AA8" s="113"/>
      <c r="AB8" s="114"/>
      <c r="AC8" s="115">
        <f>BS41</f>
        <v>26606.1632587491</v>
      </c>
      <c r="AD8" s="110">
        <f>$AC$8-$R$15</f>
        <v>1546.0533296755566</v>
      </c>
      <c r="AE8" s="76"/>
      <c r="AF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8"/>
      <c r="AX8" s="78"/>
      <c r="AY8" s="78"/>
      <c r="AZ8" s="78"/>
      <c r="BA8" s="78"/>
      <c r="BB8" s="78"/>
      <c r="BC8" s="78"/>
      <c r="BD8" s="78"/>
      <c r="BE8" s="77"/>
      <c r="BF8" s="6" t="s">
        <v>28</v>
      </c>
      <c r="BG8" s="16">
        <f t="shared" ref="BG8:BL8" si="2">IF($BF$5=BG6,1,0)</f>
        <v>0</v>
      </c>
      <c r="BH8" s="16">
        <f t="shared" si="2"/>
        <v>0</v>
      </c>
      <c r="BI8" s="16">
        <f t="shared" si="2"/>
        <v>0</v>
      </c>
      <c r="BJ8" s="16">
        <f t="shared" si="2"/>
        <v>0</v>
      </c>
      <c r="BK8" s="16">
        <f t="shared" si="2"/>
        <v>0</v>
      </c>
      <c r="BL8" s="16">
        <f t="shared" si="2"/>
        <v>0</v>
      </c>
      <c r="BM8" s="16">
        <f>IF($BF$5=BM6,1,0)</f>
        <v>1</v>
      </c>
      <c r="BN8" s="16">
        <f t="shared" ref="BN8:BR8" si="3">IF($BF$5=BN6,1,0)</f>
        <v>0</v>
      </c>
      <c r="BO8" s="16">
        <f t="shared" si="3"/>
        <v>0</v>
      </c>
      <c r="BP8" s="16">
        <f t="shared" si="3"/>
        <v>0</v>
      </c>
      <c r="BQ8" s="16">
        <f t="shared" si="3"/>
        <v>0</v>
      </c>
      <c r="BR8" s="16">
        <f t="shared" si="3"/>
        <v>0</v>
      </c>
      <c r="BS8" s="78"/>
      <c r="BT8" s="77"/>
    </row>
    <row r="9" spans="1:83" ht="15" x14ac:dyDescent="0.25">
      <c r="A9" s="100">
        <f>Summary!$C$2</f>
        <v>2020</v>
      </c>
      <c r="B9" s="101" t="str">
        <f>Mapping!$B$2</f>
        <v>Actual</v>
      </c>
      <c r="E9" s="102" t="str">
        <f>A9&amp;" "&amp;B9</f>
        <v>2020 Actual</v>
      </c>
      <c r="F9" s="121">
        <f>SUMIFS('Units sold'!$E:$E,'Units sold'!$A:$A,$E$2,'Units sold'!$B:$B,F$5&amp;" "&amp;$A9,'Units sold'!$C:$C,"Periodic")</f>
        <v>1714</v>
      </c>
      <c r="G9" s="121">
        <f>SUMIFS('Units sold'!$E:$E,'Units sold'!$A:$A,$E$2,'Units sold'!$B:$B,G$5&amp;" "&amp;$A9,'Units sold'!$C:$C,"Periodic")</f>
        <v>1358</v>
      </c>
      <c r="H9" s="121">
        <f>SUMIFS('Units sold'!$E:$E,'Units sold'!$A:$A,$E$2,'Units sold'!$B:$B,H$5&amp;" "&amp;$A9,'Units sold'!$C:$C,"Periodic")</f>
        <v>2066</v>
      </c>
      <c r="I9" s="121">
        <f>SUMIFS('Units sold'!$E:$E,'Units sold'!$A:$A,$E$2,'Units sold'!$B:$B,I$5&amp;" "&amp;$A9,'Units sold'!$C:$C,"Periodic")</f>
        <v>1398</v>
      </c>
      <c r="J9" s="121">
        <f>SUMIFS('Units sold'!$E:$E,'Units sold'!$A:$A,$E$2,'Units sold'!$B:$B,J$5&amp;" "&amp;$A9,'Units sold'!$C:$C,"Periodic")</f>
        <v>1510</v>
      </c>
      <c r="K9" s="121">
        <f>SUMIFS('Units sold'!$E:$E,'Units sold'!$A:$A,$E$2,'Units sold'!$B:$B,K$5&amp;" "&amp;$A9,'Units sold'!$C:$C,"Periodic")</f>
        <v>1652</v>
      </c>
      <c r="L9" s="121">
        <f>SUMIFS('Units sold'!$E:$E,'Units sold'!$A:$A,$E$2,'Units sold'!$B:$B,L$5&amp;" "&amp;$A9,'Units sold'!$C:$C,"Periodic")</f>
        <v>1852</v>
      </c>
      <c r="M9" s="121">
        <f>SUMIFS('Units sold'!$E:$E,'Units sold'!$A:$A,$E$2,'Units sold'!$B:$B,M$5&amp;" "&amp;$A9,'Units sold'!$C:$C,"Periodic")</f>
        <v>0</v>
      </c>
      <c r="N9" s="121">
        <f>SUMIFS('Units sold'!$E:$E,'Units sold'!$A:$A,$E$2,'Units sold'!$B:$B,N$5&amp;" "&amp;$A9,'Units sold'!$C:$C,"Periodic")</f>
        <v>0</v>
      </c>
      <c r="O9" s="121">
        <f>SUMIFS('Units sold'!$E:$E,'Units sold'!$A:$A,$E$2,'Units sold'!$B:$B,O$5&amp;" "&amp;$A9,'Units sold'!$C:$C,"Periodic")</f>
        <v>0</v>
      </c>
      <c r="P9" s="121">
        <f>SUMIFS('Units sold'!$E:$E,'Units sold'!$A:$A,$E$2,'Units sold'!$B:$B,P$5&amp;" "&amp;$A9,'Units sold'!$C:$C,"Periodic")</f>
        <v>0</v>
      </c>
      <c r="Q9" s="121">
        <f>SUMIFS('Units sold'!$E:$E,'Units sold'!$A:$A,$E$2,'Units sold'!$B:$B,Q$5&amp;" "&amp;$A9,'Units sold'!$C:$C,"Periodic")</f>
        <v>0</v>
      </c>
      <c r="R9" s="122">
        <f t="shared" si="0"/>
        <v>11550</v>
      </c>
      <c r="S9" s="105"/>
      <c r="T9" s="123" t="str">
        <f t="shared" si="1"/>
        <v>Prior Year exit rate (Q4 x 4)</v>
      </c>
      <c r="U9" s="124"/>
      <c r="V9" s="125"/>
      <c r="W9" s="126">
        <f>SUM($O$7:$Q$7)*4</f>
        <v>17880</v>
      </c>
      <c r="X9" s="127">
        <f>$W$9-$R$8</f>
        <v>-2261.3593376000026</v>
      </c>
      <c r="Y9" s="76"/>
      <c r="Z9" s="123" t="s">
        <v>130</v>
      </c>
      <c r="AA9" s="124"/>
      <c r="AB9" s="125"/>
      <c r="AC9" s="126">
        <f>SUM($O$14:$Q$14)*4</f>
        <v>24859.331766052459</v>
      </c>
      <c r="AD9" s="127">
        <f>$AC$9-$R$15</f>
        <v>-200.77816302108477</v>
      </c>
      <c r="AE9" s="98"/>
      <c r="AF9" s="98"/>
      <c r="AG9" s="128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BE9" s="77"/>
      <c r="BF9" s="6" t="s">
        <v>28</v>
      </c>
      <c r="BG9" s="111">
        <f>SUM($BG8:BG8)</f>
        <v>0</v>
      </c>
      <c r="BH9" s="16">
        <f>SUM($BG8:BG8)</f>
        <v>0</v>
      </c>
      <c r="BI9" s="16">
        <f>SUM($BG8:BH8)</f>
        <v>0</v>
      </c>
      <c r="BJ9" s="16">
        <f>SUM($BG8:BI8)</f>
        <v>0</v>
      </c>
      <c r="BK9" s="16">
        <f>SUM($BG8:BJ8)</f>
        <v>0</v>
      </c>
      <c r="BL9" s="16">
        <f>SUM($BG8:BK8)</f>
        <v>0</v>
      </c>
      <c r="BM9" s="16">
        <f>SUM($BG8:BL8)</f>
        <v>0</v>
      </c>
      <c r="BN9" s="16">
        <f>SUM($BG8:BM8)</f>
        <v>1</v>
      </c>
      <c r="BO9" s="16">
        <f>SUM($BG8:BN8)</f>
        <v>1</v>
      </c>
      <c r="BP9" s="16">
        <f>SUM($BG8:BO8)</f>
        <v>1</v>
      </c>
      <c r="BQ9" s="16">
        <f>SUM($BG8:BP8)</f>
        <v>1</v>
      </c>
      <c r="BR9" s="16">
        <f>SUM($BG8:BQ8)</f>
        <v>1</v>
      </c>
      <c r="BT9" s="77"/>
    </row>
    <row r="10" spans="1:83" x14ac:dyDescent="0.2">
      <c r="E10" s="102" t="s">
        <v>34</v>
      </c>
      <c r="F10" s="129">
        <f t="shared" ref="F10:Q10" si="4">IF(F9=0,F17/F24,F9)</f>
        <v>1714</v>
      </c>
      <c r="G10" s="129">
        <f t="shared" si="4"/>
        <v>1358</v>
      </c>
      <c r="H10" s="129">
        <f t="shared" si="4"/>
        <v>2066</v>
      </c>
      <c r="I10" s="129">
        <f t="shared" si="4"/>
        <v>1398</v>
      </c>
      <c r="J10" s="129">
        <f t="shared" si="4"/>
        <v>1510</v>
      </c>
      <c r="K10" s="129">
        <f t="shared" si="4"/>
        <v>1652</v>
      </c>
      <c r="L10" s="129">
        <f t="shared" si="4"/>
        <v>1852</v>
      </c>
      <c r="M10" s="129">
        <f t="shared" si="4"/>
        <v>1440.9444834415629</v>
      </c>
      <c r="N10" s="129">
        <f t="shared" si="4"/>
        <v>1546.5135772108297</v>
      </c>
      <c r="O10" s="129">
        <f t="shared" si="4"/>
        <v>1688.155482175099</v>
      </c>
      <c r="P10" s="129">
        <f t="shared" si="4"/>
        <v>1438.9634473016176</v>
      </c>
      <c r="Q10" s="129">
        <f t="shared" si="4"/>
        <v>1507.3739307124163</v>
      </c>
      <c r="R10" s="122">
        <f t="shared" si="0"/>
        <v>19171.950920841526</v>
      </c>
      <c r="S10" s="105"/>
      <c r="T10" s="105"/>
      <c r="U10" s="105"/>
      <c r="V10" s="130"/>
      <c r="W10" s="76"/>
      <c r="X10" s="76"/>
      <c r="Y10" s="76"/>
      <c r="Z10" s="105"/>
      <c r="AA10" s="105"/>
      <c r="AB10" s="130"/>
      <c r="AC10" s="76"/>
      <c r="AD10" s="76"/>
      <c r="AE10" s="98"/>
      <c r="AF10" s="98"/>
      <c r="AG10" s="131"/>
      <c r="AH10" s="131"/>
      <c r="AI10" s="131"/>
      <c r="AJ10" s="131"/>
      <c r="AK10" s="131"/>
      <c r="AL10" s="1"/>
      <c r="BG10" s="132">
        <v>1</v>
      </c>
      <c r="BH10" s="132">
        <v>2</v>
      </c>
      <c r="BI10" s="132">
        <v>3</v>
      </c>
      <c r="BJ10" s="132">
        <v>4</v>
      </c>
      <c r="BK10" s="132">
        <v>5</v>
      </c>
      <c r="BL10" s="132">
        <v>6</v>
      </c>
      <c r="BM10" s="132">
        <v>7</v>
      </c>
      <c r="BN10" s="132">
        <v>8</v>
      </c>
      <c r="BO10" s="132">
        <v>9</v>
      </c>
      <c r="BP10" s="132">
        <v>10</v>
      </c>
      <c r="BQ10" s="132">
        <v>11</v>
      </c>
      <c r="BR10" s="132">
        <v>12</v>
      </c>
      <c r="BT10" s="77"/>
    </row>
    <row r="11" spans="1:83" ht="15.75" x14ac:dyDescent="0.25">
      <c r="D11" s="98"/>
      <c r="E11" s="67"/>
      <c r="F11" s="15"/>
      <c r="G11" s="13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0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98"/>
      <c r="AF11" s="98"/>
      <c r="AG11" s="131"/>
      <c r="AH11" s="131"/>
      <c r="AI11" s="131"/>
      <c r="AJ11" s="131"/>
      <c r="AK11" s="131"/>
      <c r="AL11" s="1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</row>
    <row r="12" spans="1:83" ht="15.75" x14ac:dyDescent="0.25">
      <c r="E12" s="134" t="s">
        <v>98</v>
      </c>
      <c r="F12" s="90" t="str">
        <f>F$5</f>
        <v>Jan</v>
      </c>
      <c r="G12" s="90" t="str">
        <f t="shared" ref="G12:Q12" si="5">G$5</f>
        <v>Feb</v>
      </c>
      <c r="H12" s="90" t="str">
        <f t="shared" si="5"/>
        <v>Mar</v>
      </c>
      <c r="I12" s="90" t="str">
        <f t="shared" si="5"/>
        <v>Apr</v>
      </c>
      <c r="J12" s="90" t="str">
        <f t="shared" si="5"/>
        <v>May</v>
      </c>
      <c r="K12" s="90" t="str">
        <f t="shared" si="5"/>
        <v>Jun</v>
      </c>
      <c r="L12" s="90" t="str">
        <f t="shared" si="5"/>
        <v>Jul</v>
      </c>
      <c r="M12" s="90" t="str">
        <f t="shared" si="5"/>
        <v>Aug</v>
      </c>
      <c r="N12" s="90" t="str">
        <f t="shared" si="5"/>
        <v>Sep</v>
      </c>
      <c r="O12" s="90" t="str">
        <f t="shared" si="5"/>
        <v>Oct</v>
      </c>
      <c r="P12" s="90" t="str">
        <f t="shared" si="5"/>
        <v>Nov</v>
      </c>
      <c r="Q12" s="90" t="str">
        <f t="shared" si="5"/>
        <v>Dec</v>
      </c>
      <c r="R12" s="91" t="s">
        <v>14</v>
      </c>
      <c r="T12" s="135" t="s">
        <v>86</v>
      </c>
      <c r="U12" s="136"/>
      <c r="V12" s="137" t="str">
        <f>AB12</f>
        <v>YTD</v>
      </c>
      <c r="W12" s="136" t="str">
        <f>AC12</f>
        <v>YTG</v>
      </c>
      <c r="X12" s="136" t="str">
        <f>AD12</f>
        <v>Delta</v>
      </c>
      <c r="Y12" s="138"/>
      <c r="Z12" s="135" t="s">
        <v>86</v>
      </c>
      <c r="AA12" s="136"/>
      <c r="AB12" s="137" t="s">
        <v>15</v>
      </c>
      <c r="AC12" s="136" t="s">
        <v>16</v>
      </c>
      <c r="AD12" s="136" t="s">
        <v>33</v>
      </c>
      <c r="AE12" s="98"/>
      <c r="AF12" s="139"/>
      <c r="AG12" s="140"/>
      <c r="AH12" s="141" t="s">
        <v>25</v>
      </c>
      <c r="AI12" s="84"/>
      <c r="AJ12" s="84"/>
      <c r="BC12" s="16">
        <f t="shared" ref="BC12:BR12" si="6">BB12+1</f>
        <v>1</v>
      </c>
      <c r="BD12" s="16">
        <f t="shared" si="6"/>
        <v>2</v>
      </c>
      <c r="BE12" s="16">
        <f t="shared" si="6"/>
        <v>3</v>
      </c>
      <c r="BF12" s="16">
        <f t="shared" si="6"/>
        <v>4</v>
      </c>
      <c r="BG12" s="16">
        <f t="shared" si="6"/>
        <v>5</v>
      </c>
      <c r="BH12" s="16">
        <f t="shared" si="6"/>
        <v>6</v>
      </c>
      <c r="BI12" s="16">
        <f t="shared" si="6"/>
        <v>7</v>
      </c>
      <c r="BJ12" s="16">
        <f t="shared" si="6"/>
        <v>8</v>
      </c>
      <c r="BK12" s="16">
        <f t="shared" si="6"/>
        <v>9</v>
      </c>
      <c r="BL12" s="16">
        <f t="shared" si="6"/>
        <v>10</v>
      </c>
      <c r="BM12" s="16">
        <f t="shared" si="6"/>
        <v>11</v>
      </c>
      <c r="BN12" s="16">
        <f t="shared" si="6"/>
        <v>12</v>
      </c>
      <c r="BO12" s="16">
        <f t="shared" si="6"/>
        <v>13</v>
      </c>
      <c r="BP12" s="16">
        <f t="shared" si="6"/>
        <v>14</v>
      </c>
      <c r="BQ12" s="16">
        <f t="shared" si="6"/>
        <v>15</v>
      </c>
      <c r="BR12" s="16">
        <f t="shared" si="6"/>
        <v>16</v>
      </c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</row>
    <row r="13" spans="1:83" ht="13.5" customHeight="1" x14ac:dyDescent="0.25">
      <c r="A13" s="100">
        <f>Summary!$C$2-2</f>
        <v>2018</v>
      </c>
      <c r="B13" s="101" t="str">
        <f>Mapping!$B$2</f>
        <v>Actual</v>
      </c>
      <c r="E13" s="102" t="str">
        <f>A13&amp;" "&amp;B13</f>
        <v>2018 Actual</v>
      </c>
      <c r="F13" s="142">
        <f>SUMIFS('Sales Data'!$E:$E,'Sales Data'!$A:$A,$E$2,'Sales Data'!$B:$B,F$12&amp;" "&amp;$A13,'Sales Data'!$C:$C,"Periodic")/1000</f>
        <v>1391.144696028</v>
      </c>
      <c r="G13" s="142">
        <f>SUMIFS('Sales Data'!$E:$E,'Sales Data'!$A:$A,$E$2,'Sales Data'!$B:$B,G$12&amp;" "&amp;$A13,'Sales Data'!$C:$C,"Periodic")/1000</f>
        <v>1457.0786385059998</v>
      </c>
      <c r="H13" s="142">
        <f>SUMIFS('Sales Data'!$E:$E,'Sales Data'!$A:$A,$E$2,'Sales Data'!$B:$B,H$12&amp;" "&amp;$A13,'Sales Data'!$C:$C,"Periodic")/1000</f>
        <v>1641.1002447210001</v>
      </c>
      <c r="I13" s="142">
        <f>SUMIFS('Sales Data'!$E:$E,'Sales Data'!$A:$A,$E$2,'Sales Data'!$B:$B,I$12&amp;" "&amp;$A13,'Sales Data'!$C:$C,"Periodic")/1000</f>
        <v>1527.7163257320001</v>
      </c>
      <c r="J13" s="142">
        <f>SUMIFS('Sales Data'!$E:$E,'Sales Data'!$A:$A,$E$2,'Sales Data'!$B:$B,J$12&amp;" "&amp;$A13,'Sales Data'!$C:$C,"Periodic")/1000</f>
        <v>1852.828353681</v>
      </c>
      <c r="K13" s="142">
        <f>SUMIFS('Sales Data'!$E:$E,'Sales Data'!$A:$A,$E$2,'Sales Data'!$B:$B,K$12&amp;" "&amp;$A13,'Sales Data'!$C:$C,"Periodic")/1000</f>
        <v>1555.037151879</v>
      </c>
      <c r="L13" s="142">
        <f>SUMIFS('Sales Data'!$E:$E,'Sales Data'!$A:$A,$E$2,'Sales Data'!$B:$B,L$12&amp;" "&amp;$A13,'Sales Data'!$C:$C,"Periodic")/1000</f>
        <v>1666.624531683</v>
      </c>
      <c r="M13" s="142">
        <f>SUMIFS('Sales Data'!$E:$E,'Sales Data'!$A:$A,$E$2,'Sales Data'!$B:$B,M$12&amp;" "&amp;$A13,'Sales Data'!$C:$C,"Periodic")/1000</f>
        <v>1830.4396000140002</v>
      </c>
      <c r="N13" s="142">
        <f>SUMIFS('Sales Data'!$E:$E,'Sales Data'!$A:$A,$E$2,'Sales Data'!$B:$B,N$12&amp;" "&amp;$A13,'Sales Data'!$C:$C,"Periodic")/1000</f>
        <v>1674.938810178</v>
      </c>
      <c r="O13" s="142">
        <f>SUMIFS('Sales Data'!$E:$E,'Sales Data'!$A:$A,$E$2,'Sales Data'!$B:$B,O$12&amp;" "&amp;$A13,'Sales Data'!$C:$C,"Periodic")/1000</f>
        <v>1631.5077334110001</v>
      </c>
      <c r="P13" s="142">
        <f>SUMIFS('Sales Data'!$E:$E,'Sales Data'!$A:$A,$E$2,'Sales Data'!$B:$B,P$12&amp;" "&amp;$A13,'Sales Data'!$C:$C,"Periodic")/1000</f>
        <v>1864.4213582940001</v>
      </c>
      <c r="Q13" s="142">
        <f>SUMIFS('Sales Data'!$E:$E,'Sales Data'!$A:$A,$E$2,'Sales Data'!$B:$B,Q$12&amp;" "&amp;$A13,'Sales Data'!$C:$C,"Periodic")/1000</f>
        <v>1816.439048925</v>
      </c>
      <c r="R13" s="104">
        <f t="shared" ref="R13:R17" si="7">SUM(F13:Q13)</f>
        <v>19909.276493052002</v>
      </c>
      <c r="T13" s="112" t="str">
        <f>Z13</f>
        <v>GR%</v>
      </c>
      <c r="U13" s="143"/>
      <c r="V13" s="144">
        <f ca="1">IFERROR(($R$9/SUM(OFFSET(E7,,1,1,Summary!$D$3))-1),"")</f>
        <v>0.17306520414381477</v>
      </c>
      <c r="W13" s="145">
        <f ca="1">((R8-R9)/(R7-SUM(OFFSET(E7,0,1,1,Summary!$D$3))))-1</f>
        <v>0.19656815286908125</v>
      </c>
      <c r="X13" s="146">
        <f ca="1">IFERROR(W13-V13,"")</f>
        <v>2.3502948725266481E-2</v>
      </c>
      <c r="Y13" s="138"/>
      <c r="Z13" s="147" t="s">
        <v>17</v>
      </c>
      <c r="AA13" s="148"/>
      <c r="AB13" s="144">
        <f ca="1">IFERROR(R16/SUM(OFFSET(E14,0,1,1,Summary!$D$3))-1,"")</f>
        <v>0.15125332837389127</v>
      </c>
      <c r="AC13" s="146">
        <f ca="1">IFERROR((R15-R16)/(R14-SUM(OFFSET(E14,0,1,1,Summary!$D$3)))-1,"")</f>
        <v>-6.5175072240566956E-2</v>
      </c>
      <c r="AD13" s="149">
        <f ca="1">IFERROR(AC13-AB13,"")</f>
        <v>-0.21642840061445823</v>
      </c>
      <c r="AE13" s="98"/>
      <c r="AF13" s="98"/>
      <c r="AG13" s="150"/>
      <c r="AH13" s="141" t="s">
        <v>91</v>
      </c>
      <c r="AI13" s="84"/>
      <c r="AJ13" s="84"/>
      <c r="AW13" s="16">
        <f t="shared" ref="AW13:BR13" si="8">AV13+1</f>
        <v>1</v>
      </c>
      <c r="AX13" s="16">
        <f t="shared" si="8"/>
        <v>2</v>
      </c>
      <c r="AY13" s="16">
        <f t="shared" si="8"/>
        <v>3</v>
      </c>
      <c r="AZ13" s="16">
        <f t="shared" si="8"/>
        <v>4</v>
      </c>
      <c r="BA13" s="16">
        <f t="shared" si="8"/>
        <v>5</v>
      </c>
      <c r="BB13" s="16">
        <f t="shared" si="8"/>
        <v>6</v>
      </c>
      <c r="BC13" s="16">
        <f t="shared" si="8"/>
        <v>7</v>
      </c>
      <c r="BD13" s="16">
        <f t="shared" si="8"/>
        <v>8</v>
      </c>
      <c r="BE13" s="16">
        <f t="shared" si="8"/>
        <v>9</v>
      </c>
      <c r="BF13" s="16">
        <f t="shared" si="8"/>
        <v>10</v>
      </c>
      <c r="BG13" s="16">
        <f t="shared" si="8"/>
        <v>11</v>
      </c>
      <c r="BH13" s="16">
        <f t="shared" si="8"/>
        <v>12</v>
      </c>
      <c r="BI13" s="16">
        <f t="shared" si="8"/>
        <v>13</v>
      </c>
      <c r="BJ13" s="16">
        <f t="shared" si="8"/>
        <v>14</v>
      </c>
      <c r="BK13" s="16">
        <f t="shared" si="8"/>
        <v>15</v>
      </c>
      <c r="BL13" s="16">
        <f t="shared" si="8"/>
        <v>16</v>
      </c>
      <c r="BM13" s="16">
        <f t="shared" si="8"/>
        <v>17</v>
      </c>
      <c r="BN13" s="16">
        <f t="shared" si="8"/>
        <v>18</v>
      </c>
      <c r="BO13" s="16">
        <f t="shared" si="8"/>
        <v>19</v>
      </c>
      <c r="BP13" s="16">
        <f t="shared" si="8"/>
        <v>20</v>
      </c>
      <c r="BQ13" s="16">
        <f t="shared" si="8"/>
        <v>21</v>
      </c>
      <c r="BR13" s="16">
        <f t="shared" si="8"/>
        <v>22</v>
      </c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</row>
    <row r="14" spans="1:83" ht="13.5" customHeight="1" x14ac:dyDescent="0.2">
      <c r="A14" s="100">
        <f>Summary!$C$2-1</f>
        <v>2019</v>
      </c>
      <c r="B14" s="101" t="str">
        <f>Mapping!$B$2</f>
        <v>Actual</v>
      </c>
      <c r="E14" s="102" t="str">
        <f>A14&amp;" "&amp;B14</f>
        <v>2019 Actual</v>
      </c>
      <c r="F14" s="142">
        <f>SUMIFS('Sales Data'!$E:$E,'Sales Data'!$A:$A,$E$2,'Sales Data'!$B:$B,F$12&amp;" "&amp;$A14,'Sales Data'!$C:$C,"Periodic")/1000</f>
        <v>1690.3867757865562</v>
      </c>
      <c r="G14" s="142">
        <f>SUMIFS('Sales Data'!$E:$E,'Sales Data'!$A:$A,$E$2,'Sales Data'!$B:$B,G$12&amp;" "&amp;$A14,'Sales Data'!$C:$C,"Periodic")/1000</f>
        <v>2011.3839385243195</v>
      </c>
      <c r="H14" s="142">
        <f>SUMIFS('Sales Data'!$E:$E,'Sales Data'!$A:$A,$E$2,'Sales Data'!$B:$B,H$12&amp;" "&amp;$A14,'Sales Data'!$C:$C,"Periodic")/1000</f>
        <v>1545.1562668286288</v>
      </c>
      <c r="I14" s="142">
        <f>SUMIFS('Sales Data'!$E:$E,'Sales Data'!$A:$A,$E$2,'Sales Data'!$B:$B,I$12&amp;" "&amp;$A14,'Sales Data'!$C:$C,"Periodic")/1000</f>
        <v>2250.1060861155411</v>
      </c>
      <c r="J14" s="142">
        <f>SUMIFS('Sales Data'!$E:$E,'Sales Data'!$A:$A,$E$2,'Sales Data'!$B:$B,J$12&amp;" "&amp;$A14,'Sales Data'!$C:$C,"Periodic")/1000</f>
        <v>1970.3038874724662</v>
      </c>
      <c r="K14" s="142">
        <f>SUMIFS('Sales Data'!$E:$E,'Sales Data'!$A:$A,$E$2,'Sales Data'!$B:$B,K$12&amp;" "&amp;$A14,'Sales Data'!$C:$C,"Periodic")/1000</f>
        <v>1761.9690553753344</v>
      </c>
      <c r="L14" s="142">
        <f>SUMIFS('Sales Data'!$E:$E,'Sales Data'!$A:$A,$E$2,'Sales Data'!$B:$B,L$12&amp;" "&amp;$A14,'Sales Data'!$C:$C,"Periodic")/1000</f>
        <v>2447.2910734761708</v>
      </c>
      <c r="M14" s="142">
        <f>SUMIFS('Sales Data'!$E:$E,'Sales Data'!$A:$A,$E$2,'Sales Data'!$B:$B,M$12&amp;" "&amp;$A14,'Sales Data'!$C:$C,"Periodic")/1000</f>
        <v>1799.0383362456187</v>
      </c>
      <c r="N14" s="142">
        <f>SUMIFS('Sales Data'!$E:$E,'Sales Data'!$A:$A,$E$2,'Sales Data'!$B:$B,N$12&amp;" "&amp;$A14,'Sales Data'!$C:$C,"Periodic")/1000</f>
        <v>1950.4351278270096</v>
      </c>
      <c r="O14" s="142">
        <f>SUMIFS('Sales Data'!$E:$E,'Sales Data'!$A:$A,$E$2,'Sales Data'!$B:$B,O$12&amp;" "&amp;$A14,'Sales Data'!$C:$C,"Periodic")/1000</f>
        <v>2097.4438525737464</v>
      </c>
      <c r="P14" s="142">
        <f>SUMIFS('Sales Data'!$E:$E,'Sales Data'!$A:$A,$E$2,'Sales Data'!$B:$B,P$12&amp;" "&amp;$A14,'Sales Data'!$C:$C,"Periodic")/1000</f>
        <v>1940.7240471902387</v>
      </c>
      <c r="Q14" s="142">
        <f>SUMIFS('Sales Data'!$E:$E,'Sales Data'!$A:$A,$E$2,'Sales Data'!$B:$B,Q$12&amp;" "&amp;$A14,'Sales Data'!$C:$C,"Periodic")/1000</f>
        <v>2176.6650417491296</v>
      </c>
      <c r="R14" s="104">
        <f t="shared" si="7"/>
        <v>23640.903489164757</v>
      </c>
      <c r="T14" s="151" t="s">
        <v>87</v>
      </c>
      <c r="U14" s="152"/>
      <c r="V14" s="153">
        <f>IFERROR(R9/Summary!$D$3,"")</f>
        <v>1650</v>
      </c>
      <c r="W14" s="154">
        <f>IFERROR((R8-R9)/Summary!$E$3,"")</f>
        <v>1718.2718675200006</v>
      </c>
      <c r="X14" s="155">
        <f>IFERROR(W14-V14,"")</f>
        <v>68.271867520000569</v>
      </c>
      <c r="Y14" s="76"/>
      <c r="Z14" s="156" t="s">
        <v>18</v>
      </c>
      <c r="AA14" s="154"/>
      <c r="AB14" s="153">
        <f>R16/Summary!$D$3</f>
        <v>2249.3182733284284</v>
      </c>
      <c r="AC14" s="154">
        <f>IFERROR((R15-R16)/Summary!$E$3,"")</f>
        <v>1862.9764031549089</v>
      </c>
      <c r="AD14" s="157">
        <f>IFERROR(AC14-AB14,"")</f>
        <v>-386.34187017351951</v>
      </c>
      <c r="AE14" s="33"/>
      <c r="AF14" s="33"/>
      <c r="AG14" s="158" t="s">
        <v>54</v>
      </c>
      <c r="AH14" s="159"/>
      <c r="AI14" s="84"/>
      <c r="AJ14" s="84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</row>
    <row r="15" spans="1:83" ht="13.5" customHeight="1" x14ac:dyDescent="0.2">
      <c r="A15" s="100">
        <f>Summary!$C$2</f>
        <v>2020</v>
      </c>
      <c r="B15" s="101" t="str">
        <f>Mapping!$B$3</f>
        <v>Budget</v>
      </c>
      <c r="E15" s="118" t="str">
        <f>A15&amp;" "&amp;B15</f>
        <v>2020 Budget</v>
      </c>
      <c r="F15" s="119">
        <f>SUMIFS('Sales Data'!$D:$D,'Sales Data'!$A:$A,$E$2,'Sales Data'!$B:$B,F$12&amp;" "&amp;$A15,'Sales Data'!$C:$C,"Periodic")/1000</f>
        <v>1879.7722767438308</v>
      </c>
      <c r="G15" s="119">
        <f>SUMIFS('Sales Data'!$D:$D,'Sales Data'!$A:$A,$E$2,'Sales Data'!$B:$B,G$12&amp;" "&amp;$A15,'Sales Data'!$C:$C,"Periodic")/1000</f>
        <v>2223.6608376606791</v>
      </c>
      <c r="H15" s="119">
        <f>SUMIFS('Sales Data'!$D:$D,'Sales Data'!$A:$A,$E$2,'Sales Data'!$B:$B,H$12&amp;" "&amp;$A15,'Sales Data'!$C:$C,"Periodic")/1000</f>
        <v>1909.8568531001472</v>
      </c>
      <c r="I15" s="119">
        <f>SUMIFS('Sales Data'!$D:$D,'Sales Data'!$A:$A,$E$2,'Sales Data'!$B:$B,I$12&amp;" "&amp;$A15,'Sales Data'!$C:$C,"Periodic")/1000</f>
        <v>2263.1684271844379</v>
      </c>
      <c r="J15" s="119">
        <f>SUMIFS('Sales Data'!$D:$D,'Sales Data'!$A:$A,$E$2,'Sales Data'!$B:$B,J$12&amp;" "&amp;$A15,'Sales Data'!$C:$C,"Periodic")/1000</f>
        <v>2166.1436211155592</v>
      </c>
      <c r="K15" s="119">
        <f>SUMIFS('Sales Data'!$D:$D,'Sales Data'!$A:$A,$E$2,'Sales Data'!$B:$B,K$12&amp;" "&amp;$A15,'Sales Data'!$C:$C,"Periodic")/1000</f>
        <v>1931.9294057951809</v>
      </c>
      <c r="L15" s="119">
        <f>SUMIFS('Sales Data'!$D:$D,'Sales Data'!$A:$A,$E$2,'Sales Data'!$B:$B,L$12&amp;" "&amp;$A15,'Sales Data'!$C:$C,"Periodic")/1000</f>
        <v>2295.1582137395931</v>
      </c>
      <c r="M15" s="119">
        <f>SUMIFS('Sales Data'!$D:$D,'Sales Data'!$A:$A,$E$2,'Sales Data'!$B:$B,M$12&amp;" "&amp;$A15,'Sales Data'!$C:$C,"Periodic")/1000</f>
        <v>1964.3289439132727</v>
      </c>
      <c r="N15" s="119">
        <f>SUMIFS('Sales Data'!$D:$D,'Sales Data'!$A:$A,$E$2,'Sales Data'!$B:$B,N$12&amp;" "&amp;$A15,'Sales Data'!$C:$C,"Periodic")/1000</f>
        <v>2108.2431813156572</v>
      </c>
      <c r="O15" s="119">
        <f>SUMIFS('Sales Data'!$D:$D,'Sales Data'!$A:$A,$E$2,'Sales Data'!$B:$B,O$12&amp;" "&amp;$A15,'Sales Data'!$C:$C,"Periodic")/1000</f>
        <v>2301.332711682433</v>
      </c>
      <c r="P15" s="119">
        <f>SUMIFS('Sales Data'!$D:$D,'Sales Data'!$A:$A,$E$2,'Sales Data'!$B:$B,P$12&amp;" "&amp;$A15,'Sales Data'!$C:$C,"Periodic")/1000</f>
        <v>1961.6283494952713</v>
      </c>
      <c r="Q15" s="119">
        <f>SUMIFS('Sales Data'!$D:$D,'Sales Data'!$A:$A,$E$2,'Sales Data'!$B:$B,Q$12&amp;" "&amp;$A15,'Sales Data'!$C:$C,"Periodic")/1000</f>
        <v>2054.8871073274777</v>
      </c>
      <c r="R15" s="120">
        <f t="shared" si="7"/>
        <v>25060.109929073544</v>
      </c>
      <c r="S15" s="84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G15" s="160" t="s">
        <v>29</v>
      </c>
      <c r="AI15" s="141" t="str">
        <f>'Bridges for Trends'!Y4</f>
        <v>Jan 2018</v>
      </c>
      <c r="AJ15" s="141" t="str">
        <f>'Bridges for Trends'!X4</f>
        <v>Feb 2018</v>
      </c>
      <c r="AK15" s="141" t="str">
        <f>'Bridges for Trends'!W4</f>
        <v>Mar 2018</v>
      </c>
      <c r="AL15" s="141" t="str">
        <f>'Bridges for Trends'!V4</f>
        <v>Apr 2018</v>
      </c>
      <c r="AM15" s="141" t="str">
        <f>'Bridges for Trends'!U4</f>
        <v>May 2018</v>
      </c>
      <c r="AN15" s="141" t="str">
        <f>'Bridges for Trends'!T4</f>
        <v>Jun 2018</v>
      </c>
      <c r="AO15" s="141" t="str">
        <f>'Bridges for Trends'!S4</f>
        <v>Jul 2018</v>
      </c>
      <c r="AP15" s="141" t="str">
        <f>'Bridges for Trends'!R4</f>
        <v>Aug 2018</v>
      </c>
      <c r="AQ15" s="141" t="str">
        <f>'Bridges for Trends'!Q4</f>
        <v>Sep 2018</v>
      </c>
      <c r="AR15" s="141" t="str">
        <f>'Bridges for Trends'!P4</f>
        <v>Oct 2018</v>
      </c>
      <c r="AS15" s="141" t="str">
        <f>'Bridges for Trends'!O4</f>
        <v>Nov 2018</v>
      </c>
      <c r="AT15" s="141" t="str">
        <f>'Bridges for Trends'!N4</f>
        <v>Dec 2018</v>
      </c>
      <c r="AU15" s="141" t="str">
        <f>'Bridges for Trends'!M4</f>
        <v>Jan 2019</v>
      </c>
      <c r="AV15" s="141" t="str">
        <f>'Bridges for Trends'!L4</f>
        <v>Feb 2019</v>
      </c>
      <c r="AW15" s="141" t="str">
        <f>'Bridges for Trends'!K4</f>
        <v>Mar 2019</v>
      </c>
      <c r="AX15" s="141" t="str">
        <f>'Bridges for Trends'!J4</f>
        <v>Apr 2019</v>
      </c>
      <c r="AY15" s="141" t="str">
        <f>'Bridges for Trends'!I4</f>
        <v>May 2019</v>
      </c>
      <c r="AZ15" s="141" t="str">
        <f>'Bridges for Trends'!H4</f>
        <v>Jun 2019</v>
      </c>
      <c r="BA15" s="141" t="str">
        <f>'Bridges for Trends'!G4</f>
        <v>Jul 2019</v>
      </c>
      <c r="BB15" s="141" t="str">
        <f>'Bridges for Trends'!F4</f>
        <v>Aug 2019</v>
      </c>
      <c r="BC15" s="141" t="str">
        <f>'Bridges for Trends'!E4</f>
        <v>Sep 2019</v>
      </c>
      <c r="BD15" s="141" t="str">
        <f>'Bridges for Trends'!D4</f>
        <v>Oct 2019</v>
      </c>
      <c r="BE15" s="141" t="str">
        <f>'Bridges for Trends'!C4</f>
        <v>Nov 2019</v>
      </c>
      <c r="BF15" s="141" t="str">
        <f>'Bridges for Trends'!B4</f>
        <v>Dec 2019</v>
      </c>
      <c r="BG15" s="141" t="str">
        <f>'Bridges for Trends'!A4</f>
        <v>Jan 2020</v>
      </c>
      <c r="BH15" s="141" t="str">
        <f>'Bridges for Trends'!A5</f>
        <v>Feb 2020</v>
      </c>
      <c r="BI15" s="141" t="str">
        <f>'Bridges for Trends'!A6</f>
        <v>Mar 2020</v>
      </c>
      <c r="BJ15" s="141" t="str">
        <f>'Bridges for Trends'!A7</f>
        <v>Apr 2020</v>
      </c>
      <c r="BK15" s="141" t="str">
        <f>'Bridges for Trends'!A8</f>
        <v>May 2020</v>
      </c>
      <c r="BL15" s="141" t="str">
        <f>'Bridges for Trends'!A9</f>
        <v>Jun 2020</v>
      </c>
      <c r="BM15" s="141" t="str">
        <f>'Bridges for Trends'!A10</f>
        <v>Jul 2020</v>
      </c>
      <c r="BN15" s="141" t="str">
        <f>'Bridges for Trends'!A11</f>
        <v>Aug 2020</v>
      </c>
      <c r="BO15" s="141" t="str">
        <f>'Bridges for Trends'!A12</f>
        <v>Sep 2020</v>
      </c>
      <c r="BP15" s="141" t="str">
        <f>'Bridges for Trends'!A13</f>
        <v>Oct 2020</v>
      </c>
      <c r="BQ15" s="141" t="str">
        <f>'Bridges for Trends'!A14</f>
        <v>Nov 2020</v>
      </c>
      <c r="BR15" s="141" t="str">
        <f>'Bridges for Trends'!A15</f>
        <v>Dec 2020</v>
      </c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</row>
    <row r="16" spans="1:83" ht="13.5" customHeight="1" x14ac:dyDescent="0.2">
      <c r="A16" s="100">
        <f>Summary!$C$2</f>
        <v>2020</v>
      </c>
      <c r="B16" s="101" t="str">
        <f>Mapping!$B$2</f>
        <v>Actual</v>
      </c>
      <c r="E16" s="102" t="str">
        <f>A16&amp;" "&amp;B16</f>
        <v>2020 Actual</v>
      </c>
      <c r="F16" s="161">
        <f>SUMIFS('Sales Data'!$E:$E,'Sales Data'!$A:$A,$E$2,'Sales Data'!$B:$B,F$12&amp;" "&amp;$A16,'Sales Data'!$C:$C,"Periodic")/1000</f>
        <v>2374.8096808109999</v>
      </c>
      <c r="G16" s="161">
        <f>SUMIFS('Sales Data'!$E:$E,'Sales Data'!$A:$A,$E$2,'Sales Data'!$B:$B,G$12&amp;" "&amp;$A16,'Sales Data'!$C:$C,"Periodic")/1000</f>
        <v>1899.9102903480002</v>
      </c>
      <c r="H16" s="161">
        <f>SUMIFS('Sales Data'!$E:$E,'Sales Data'!$A:$A,$E$2,'Sales Data'!$B:$B,H$12&amp;" "&amp;$A16,'Sales Data'!$C:$C,"Periodic")/1000</f>
        <v>2876.2979462190001</v>
      </c>
      <c r="I16" s="161">
        <f>SUMIFS('Sales Data'!$E:$E,'Sales Data'!$A:$A,$E$2,'Sales Data'!$B:$B,I$12&amp;" "&amp;$A16,'Sales Data'!$C:$C,"Periodic")/1000</f>
        <v>1927.7196770369999</v>
      </c>
      <c r="J16" s="161">
        <f>SUMIFS('Sales Data'!$E:$E,'Sales Data'!$A:$A,$E$2,'Sales Data'!$B:$B,J$12&amp;" "&amp;$A16,'Sales Data'!$C:$C,"Periodic")/1000</f>
        <v>2047.5976440450002</v>
      </c>
      <c r="K16" s="161">
        <f>SUMIFS('Sales Data'!$E:$E,'Sales Data'!$A:$A,$E$2,'Sales Data'!$B:$B,K$12&amp;" "&amp;$A16,'Sales Data'!$C:$C,"Periodic")/1000</f>
        <v>2388.1333070249998</v>
      </c>
      <c r="L16" s="161">
        <f>SUMIFS('Sales Data'!$E:$E,'Sales Data'!$A:$A,$E$2,'Sales Data'!$B:$B,L$12&amp;" "&amp;$A16,'Sales Data'!$C:$C,"Periodic")/1000</f>
        <v>2230.7593678140001</v>
      </c>
      <c r="M16" s="161">
        <f>SUMIFS('Sales Data'!$E:$E,'Sales Data'!$A:$A,$E$2,'Sales Data'!$B:$B,M$12&amp;" "&amp;$A16,'Sales Data'!$C:$C,"Periodic")/1000</f>
        <v>0</v>
      </c>
      <c r="N16" s="161">
        <f>SUMIFS('Sales Data'!$E:$E,'Sales Data'!$A:$A,$E$2,'Sales Data'!$B:$B,N$12&amp;" "&amp;$A16,'Sales Data'!$C:$C,"Periodic")/1000</f>
        <v>0</v>
      </c>
      <c r="O16" s="161">
        <f>SUMIFS('Sales Data'!$E:$E,'Sales Data'!$A:$A,$E$2,'Sales Data'!$B:$B,O$12&amp;" "&amp;$A16,'Sales Data'!$C:$C,"Periodic")/1000</f>
        <v>0</v>
      </c>
      <c r="P16" s="161">
        <f>SUMIFS('Sales Data'!$E:$E,'Sales Data'!$A:$A,$E$2,'Sales Data'!$B:$B,P$12&amp;" "&amp;$A16,'Sales Data'!$C:$C,"Periodic")/1000</f>
        <v>0</v>
      </c>
      <c r="Q16" s="161">
        <f>SUMIFS('Sales Data'!$E:$E,'Sales Data'!$A:$A,$E$2,'Sales Data'!$B:$B,Q$12&amp;" "&amp;$A16,'Sales Data'!$C:$C,"Periodic")/1000</f>
        <v>0</v>
      </c>
      <c r="R16" s="122">
        <f t="shared" si="7"/>
        <v>15745.227913298999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128"/>
      <c r="AF16" s="128"/>
      <c r="AG16" s="131"/>
      <c r="AH16" s="162" t="s">
        <v>0</v>
      </c>
      <c r="AI16" s="163">
        <f>SUMIFS('Units sold'!$E:$E,'Units sold'!$A:$A,$E$2,'Units sold'!$B:$B,AI$15,'Units sold'!$C:$C,"Periodic")</f>
        <v>992</v>
      </c>
      <c r="AJ16" s="163">
        <f>SUMIFS('Units sold'!$E:$E,'Units sold'!$A:$A,$E$2,'Units sold'!$B:$B,AJ$15,'Units sold'!$C:$C,"Periodic")</f>
        <v>1040</v>
      </c>
      <c r="AK16" s="163">
        <f>SUMIFS('Units sold'!$E:$E,'Units sold'!$A:$A,$E$2,'Units sold'!$B:$B,AK$15,'Units sold'!$C:$C,"Periodic")</f>
        <v>1152</v>
      </c>
      <c r="AL16" s="163">
        <f>SUMIFS('Units sold'!$E:$E,'Units sold'!$A:$A,$E$2,'Units sold'!$B:$B,AL$15,'Units sold'!$C:$C,"Periodic")</f>
        <v>1104</v>
      </c>
      <c r="AM16" s="163">
        <f>SUMIFS('Units sold'!$E:$E,'Units sold'!$A:$A,$E$2,'Units sold'!$B:$B,AM$15,'Units sold'!$C:$C,"Periodic")</f>
        <v>1330</v>
      </c>
      <c r="AN16" s="163">
        <f>SUMIFS('Units sold'!$E:$E,'Units sold'!$A:$A,$E$2,'Units sold'!$B:$B,AN$15,'Units sold'!$C:$C,"Periodic")</f>
        <v>1158</v>
      </c>
      <c r="AO16" s="163">
        <f>SUMIFS('Units sold'!$E:$E,'Units sold'!$A:$A,$E$2,'Units sold'!$B:$B,AO$15,'Units sold'!$C:$C,"Periodic")</f>
        <v>1196</v>
      </c>
      <c r="AP16" s="163">
        <f>SUMIFS('Units sold'!$E:$E,'Units sold'!$A:$A,$E$2,'Units sold'!$B:$B,AP$15,'Units sold'!$C:$C,"Periodic")</f>
        <v>1310</v>
      </c>
      <c r="AQ16" s="163">
        <f>SUMIFS('Units sold'!$E:$E,'Units sold'!$A:$A,$E$2,'Units sold'!$B:$B,AQ$15,'Units sold'!$C:$C,"Periodic")</f>
        <v>1196</v>
      </c>
      <c r="AR16" s="163">
        <f>SUMIFS('Units sold'!$E:$E,'Units sold'!$A:$A,$E$2,'Units sold'!$B:$B,AR$15,'Units sold'!$C:$C,"Periodic")</f>
        <v>1192</v>
      </c>
      <c r="AS16" s="163">
        <f>SUMIFS('Units sold'!$E:$E,'Units sold'!$A:$A,$E$2,'Units sold'!$B:$B,AS$15,'Units sold'!$C:$C,"Periodic")</f>
        <v>1366</v>
      </c>
      <c r="AT16" s="163">
        <f>SUMIFS('Units sold'!$E:$E,'Units sold'!$A:$A,$E$2,'Units sold'!$B:$B,AT$15,'Units sold'!$C:$C,"Periodic")</f>
        <v>1310</v>
      </c>
      <c r="AU16" s="163">
        <f>SUMIFS('Units sold'!$E:$E,'Units sold'!$A:$A,$E$2,'Units sold'!$B:$B,AU$15,'Units sold'!$C:$C,"Periodic")</f>
        <v>1252</v>
      </c>
      <c r="AV16" s="163">
        <f>SUMIFS('Units sold'!$E:$E,'Units sold'!$A:$A,$E$2,'Units sold'!$B:$B,AV$15,'Units sold'!$C:$C,"Periodic")</f>
        <v>1444</v>
      </c>
      <c r="AW16" s="163">
        <f>SUMIFS('Units sold'!$E:$E,'Units sold'!$A:$A,$E$2,'Units sold'!$B:$B,AW$15,'Units sold'!$C:$C,"Periodic")</f>
        <v>1136</v>
      </c>
      <c r="AX16" s="163">
        <f>SUMIFS('Units sold'!$E:$E,'Units sold'!$A:$A,$E$2,'Units sold'!$B:$B,AX$15,'Units sold'!$C:$C,"Periodic")</f>
        <v>1582</v>
      </c>
      <c r="AY16" s="163">
        <f>SUMIFS('Units sold'!$E:$E,'Units sold'!$A:$A,$E$2,'Units sold'!$B:$B,AY$15,'Units sold'!$C:$C,"Periodic")</f>
        <v>1440</v>
      </c>
      <c r="AZ16" s="163">
        <f>SUMIFS('Units sold'!$E:$E,'Units sold'!$A:$A,$E$2,'Units sold'!$B:$B,AZ$15,'Units sold'!$C:$C,"Periodic")</f>
        <v>1258</v>
      </c>
      <c r="BA16" s="163">
        <f>SUMIFS('Units sold'!$E:$E,'Units sold'!$A:$A,$E$2,'Units sold'!$B:$B,BA$15,'Units sold'!$C:$C,"Periodic")</f>
        <v>1734</v>
      </c>
      <c r="BB16" s="163">
        <f>SUMIFS('Units sold'!$E:$E,'Units sold'!$A:$A,$E$2,'Units sold'!$B:$B,BB$15,'Units sold'!$C:$C,"Periodic")</f>
        <v>1292</v>
      </c>
      <c r="BC16" s="163">
        <f>SUMIFS('Units sold'!$E:$E,'Units sold'!$A:$A,$E$2,'Units sold'!$B:$B,BC$15,'Units sold'!$C:$C,"Periodic")</f>
        <v>1418</v>
      </c>
      <c r="BD16" s="163">
        <f>SUMIFS('Units sold'!$E:$E,'Units sold'!$A:$A,$E$2,'Units sold'!$B:$B,BD$15,'Units sold'!$C:$C,"Periodic")</f>
        <v>1532</v>
      </c>
      <c r="BE16" s="163">
        <f>SUMIFS('Units sold'!$E:$E,'Units sold'!$A:$A,$E$2,'Units sold'!$B:$B,BE$15,'Units sold'!$C:$C,"Periodic")</f>
        <v>1394</v>
      </c>
      <c r="BF16" s="163">
        <f>SUMIFS('Units sold'!$E:$E,'Units sold'!$A:$A,$E$2,'Units sold'!$B:$B,BF$15,'Units sold'!$C:$C,"Periodic")</f>
        <v>1544</v>
      </c>
      <c r="BG16" s="163">
        <f>IF(OR(BG$8=1,BG$9=0),SUMIFS('Units sold'!$E:$E,'Units sold'!$A:$A,$E$2,'Units sold'!$B:$B,BG$15,'Units sold'!$C:$C,"Periodic"),"")</f>
        <v>1714</v>
      </c>
      <c r="BH16" s="163">
        <f>IF(OR(BH$8=1,BH$9=0),SUMIFS('Units sold'!$E:$E,'Units sold'!$A:$A,$E$2,'Units sold'!$B:$B,BH$15,'Units sold'!$C:$C,"Periodic"),"")</f>
        <v>1358</v>
      </c>
      <c r="BI16" s="163">
        <f>IF(OR(BI$8=1,BI$9=0),SUMIFS('Units sold'!$E:$E,'Units sold'!$A:$A,$E$2,'Units sold'!$B:$B,BI$15,'Units sold'!$C:$C,"Periodic"),"")</f>
        <v>2066</v>
      </c>
      <c r="BJ16" s="163">
        <f>IF(OR(BJ$8=1,BJ$9=0),SUMIFS('Units sold'!$E:$E,'Units sold'!$A:$A,$E$2,'Units sold'!$B:$B,BJ$15,'Units sold'!$C:$C,"Periodic"),"")</f>
        <v>1398</v>
      </c>
      <c r="BK16" s="163">
        <f>IF(OR(BK$8=1,BK$9=0),SUMIFS('Units sold'!$E:$E,'Units sold'!$A:$A,$E$2,'Units sold'!$B:$B,BK$15,'Units sold'!$C:$C,"Periodic"),"")</f>
        <v>1510</v>
      </c>
      <c r="BL16" s="163">
        <f>IF(OR(BL$8=1,BL$9=0),SUMIFS('Units sold'!$E:$E,'Units sold'!$A:$A,$E$2,'Units sold'!$B:$B,BL$15,'Units sold'!$C:$C,"Periodic"),"")</f>
        <v>1652</v>
      </c>
      <c r="BM16" s="163">
        <f>IF(OR(BM$8=1,BM$9=0),SUMIFS('Units sold'!$E:$E,'Units sold'!$A:$A,$E$2,'Units sold'!$B:$B,BM$15,'Units sold'!$C:$C,"Periodic"),"")</f>
        <v>1852</v>
      </c>
      <c r="BN16" s="163" t="str">
        <f>IF(OR(BN$8=1,BN$9=0),SUMIFS('Units sold'!$E:$E,'Units sold'!$A:$A,$E$2,'Units sold'!$B:$B,BN$15,'Units sold'!$C:$C,"Periodic"),"")</f>
        <v/>
      </c>
      <c r="BO16" s="163" t="str">
        <f>IF(OR(BO$8=1,BO$9=0),SUMIFS('Units sold'!$E:$E,'Units sold'!$A:$A,$E$2,'Units sold'!$B:$B,BO$15,'Units sold'!$C:$C,"Periodic"),"")</f>
        <v/>
      </c>
      <c r="BP16" s="163" t="str">
        <f>IF(OR(BP$8=1,BP$9=0),SUMIFS('Units sold'!$E:$E,'Units sold'!$A:$A,$E$2,'Units sold'!$B:$B,BP$15,'Units sold'!$C:$C,"Periodic"),"")</f>
        <v/>
      </c>
      <c r="BQ16" s="163" t="str">
        <f>IF(OR(BQ$8=1,BQ$9=0),SUMIFS('Units sold'!$E:$E,'Units sold'!$A:$A,$E$2,'Units sold'!$B:$B,BQ$15,'Units sold'!$C:$C,"Periodic"),"")</f>
        <v/>
      </c>
      <c r="BR16" s="163" t="str">
        <f>IF(OR(BR$8=1,BR$9=0),SUMIFS('Units sold'!$E:$E,'Units sold'!$A:$A,$E$2,'Units sold'!$B:$B,BR$15,'Units sold'!$C:$C,"Periodic"),"")</f>
        <v/>
      </c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</row>
    <row r="17" spans="1:83" s="84" customFormat="1" x14ac:dyDescent="0.2">
      <c r="A17" s="1"/>
      <c r="B17" s="1"/>
      <c r="C17" s="1"/>
      <c r="D17" s="1"/>
      <c r="E17" s="102" t="s">
        <v>34</v>
      </c>
      <c r="F17" s="161">
        <f t="shared" ref="F17:Q17" si="9">IF(F16&lt;&gt;0,F16,F15)</f>
        <v>2374.8096808109999</v>
      </c>
      <c r="G17" s="161">
        <f t="shared" si="9"/>
        <v>1899.9102903480002</v>
      </c>
      <c r="H17" s="161">
        <f t="shared" si="9"/>
        <v>2876.2979462190001</v>
      </c>
      <c r="I17" s="161">
        <f t="shared" si="9"/>
        <v>1927.7196770369999</v>
      </c>
      <c r="J17" s="161">
        <f t="shared" si="9"/>
        <v>2047.5976440450002</v>
      </c>
      <c r="K17" s="161">
        <f t="shared" si="9"/>
        <v>2388.1333070249998</v>
      </c>
      <c r="L17" s="161">
        <f t="shared" si="9"/>
        <v>2230.7593678140001</v>
      </c>
      <c r="M17" s="161">
        <f t="shared" si="9"/>
        <v>1964.3289439132727</v>
      </c>
      <c r="N17" s="161">
        <f t="shared" si="9"/>
        <v>2108.2431813156572</v>
      </c>
      <c r="O17" s="161">
        <f t="shared" si="9"/>
        <v>2301.332711682433</v>
      </c>
      <c r="P17" s="161">
        <f t="shared" si="9"/>
        <v>1961.6283494952713</v>
      </c>
      <c r="Q17" s="161">
        <f t="shared" si="9"/>
        <v>2054.8871073274777</v>
      </c>
      <c r="R17" s="122">
        <f t="shared" si="7"/>
        <v>26135.648207033111</v>
      </c>
      <c r="T17" s="135" t="s">
        <v>54</v>
      </c>
      <c r="U17" s="164" t="str">
        <f>AA17</f>
        <v>Q1</v>
      </c>
      <c r="V17" s="164" t="str">
        <f t="shared" ref="V17:X17" si="10">AB17</f>
        <v>Q2</v>
      </c>
      <c r="W17" s="164" t="str">
        <f t="shared" si="10"/>
        <v>Q3</v>
      </c>
      <c r="X17" s="136" t="str">
        <f t="shared" si="10"/>
        <v>Q4</v>
      </c>
      <c r="Y17" s="76"/>
      <c r="Z17" s="135" t="s">
        <v>82</v>
      </c>
      <c r="AA17" s="164" t="s">
        <v>21</v>
      </c>
      <c r="AB17" s="164" t="s">
        <v>22</v>
      </c>
      <c r="AC17" s="164" t="s">
        <v>23</v>
      </c>
      <c r="AD17" s="136" t="s">
        <v>24</v>
      </c>
      <c r="AE17" s="165"/>
      <c r="AF17" s="165"/>
      <c r="AG17" s="131"/>
      <c r="AH17" s="166" t="s">
        <v>1</v>
      </c>
      <c r="BG17" s="163" t="str">
        <f>IF(OR(BG$8=1,BG$9=1),SUMIFS('Units sold'!$D:$D,'Units sold'!$A:$A,$E$2,'Units sold'!$B:$B,BG$15,'Units sold'!$C:$C,"Periodic"),"")</f>
        <v/>
      </c>
      <c r="BH17" s="163" t="str">
        <f>IF(OR(BH$8=1,BH$9=1),SUMIFS('Units sold'!$D:$D,'Units sold'!$A:$A,$E$2,'Units sold'!$B:$B,BH$15,'Units sold'!$C:$C,"Periodic"),"")</f>
        <v/>
      </c>
      <c r="BI17" s="163" t="str">
        <f>IF(OR(BI$8=1,BI$9=1),SUMIFS('Units sold'!$D:$D,'Units sold'!$A:$A,$E$2,'Units sold'!$B:$B,BI$15,'Units sold'!$C:$C,"Periodic"),"")</f>
        <v/>
      </c>
      <c r="BJ17" s="163" t="str">
        <f>IF(OR(BJ$8=1,BJ$9=1),SUMIFS('Units sold'!$D:$D,'Units sold'!$A:$A,$E$2,'Units sold'!$B:$B,BJ$15,'Units sold'!$C:$C,"Periodic"),"")</f>
        <v/>
      </c>
      <c r="BK17" s="163" t="str">
        <f>IF(OR(BK$8=1,BK$9=1),SUMIFS('Units sold'!$D:$D,'Units sold'!$A:$A,$E$2,'Units sold'!$B:$B,BK$15,'Units sold'!$C:$C,"Periodic"),"")</f>
        <v/>
      </c>
      <c r="BL17" s="163" t="str">
        <f>IF(OR(BL$8=1,BL$9=1),SUMIFS('Units sold'!$D:$D,'Units sold'!$A:$A,$E$2,'Units sold'!$B:$B,BL$15,'Units sold'!$C:$C,"Periodic"),"")</f>
        <v/>
      </c>
      <c r="BM17" s="163">
        <f>IF(OR(BM$8=1,BM$9=1),SUMIFS('Units sold'!$D:$D,'Units sold'!$A:$A,$E$2,'Units sold'!$B:$B,BM$15,'Units sold'!$C:$C,"Periodic"),"")</f>
        <v>1826.1332344</v>
      </c>
      <c r="BN17" s="163">
        <f>IF(OR(BN$8=1,BN$9=1),SUMIFS('Units sold'!$D:$D,'Units sold'!$A:$A,$E$2,'Units sold'!$B:$B,BN$15,'Units sold'!$C:$C,"Periodic"),"")</f>
        <v>1531.091353</v>
      </c>
      <c r="BO17" s="163">
        <f>IF(OR(BO$8=1,BO$9=1),SUMIFS('Units sold'!$D:$D,'Units sold'!$A:$A,$E$2,'Units sold'!$B:$B,BO$15,'Units sold'!$C:$C,"Periodic"),"")</f>
        <v>1688.4721591999999</v>
      </c>
      <c r="BP17" s="163">
        <f>IF(OR(BP$8=1,BP$9=1),SUMIFS('Units sold'!$D:$D,'Units sold'!$A:$A,$E$2,'Units sold'!$B:$B,BP$15,'Units sold'!$C:$C,"Periodic"),"")</f>
        <v>1783.2480271999998</v>
      </c>
      <c r="BQ17" s="163">
        <f>IF(OR(BQ$8=1,BQ$9=1),SUMIFS('Units sold'!$D:$D,'Units sold'!$A:$A,$E$2,'Units sold'!$B:$B,BQ$15,'Units sold'!$C:$C,"Periodic"),"")</f>
        <v>1709.0544464</v>
      </c>
      <c r="BR17" s="163">
        <f>IF(OR(BR$8=1,BR$9=1),SUMIFS('Units sold'!$D:$D,'Units sold'!$A:$A,$E$2,'Units sold'!$B:$B,BR$15,'Units sold'!$C:$C,"Periodic"),"")</f>
        <v>1815.9627645999999</v>
      </c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</row>
    <row r="18" spans="1:83" s="84" customFormat="1" x14ac:dyDescent="0.2">
      <c r="A18" s="1"/>
      <c r="B18" s="1"/>
      <c r="C18" s="1"/>
      <c r="D18" s="1"/>
      <c r="E18" s="167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T18" s="106" t="str">
        <f>E6</f>
        <v>2018 Actual</v>
      </c>
      <c r="U18" s="168">
        <f>SUM(F6:H6)</f>
        <v>3184</v>
      </c>
      <c r="V18" s="168">
        <f>SUM(I6:K6)</f>
        <v>3592</v>
      </c>
      <c r="W18" s="168">
        <f>SUM(L6:N6)</f>
        <v>3702</v>
      </c>
      <c r="X18" s="169">
        <f>SUM(O6:Q6)</f>
        <v>3868</v>
      </c>
      <c r="Y18" s="165"/>
      <c r="Z18" s="106" t="str">
        <f>+E13</f>
        <v>2018 Actual</v>
      </c>
      <c r="AA18" s="168">
        <f>SUM(F13:H13)</f>
        <v>4489.3235792550004</v>
      </c>
      <c r="AB18" s="168">
        <f>SUM(I13:K13)</f>
        <v>4935.5818312920001</v>
      </c>
      <c r="AC18" s="168">
        <f>SUM(L13:N13)</f>
        <v>5172.002941875</v>
      </c>
      <c r="AD18" s="169">
        <f>SUM(O13:Q13)</f>
        <v>5312.3681406300002</v>
      </c>
      <c r="AE18" s="165"/>
      <c r="AF18" s="165"/>
      <c r="AG18" s="170"/>
      <c r="AH18" s="171" t="s">
        <v>26</v>
      </c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3"/>
      <c r="BA18" s="173"/>
      <c r="BB18" s="173"/>
      <c r="BC18" s="173"/>
      <c r="BD18" s="173"/>
      <c r="BE18" s="173"/>
      <c r="BF18" s="173"/>
      <c r="BG18" s="174" t="str">
        <f>IF(BG$9,FORECAST(BG12,$AP16:BF16,$AP12:BF12), "")</f>
        <v/>
      </c>
      <c r="BH18" s="174" t="str">
        <f>IF(BH$9,FORECAST(BH12,$AP16:BG16,$AP12:BG12), "")</f>
        <v/>
      </c>
      <c r="BI18" s="174" t="str">
        <f>IF(BI$9,FORECAST(BI12,$AP16:BH16,$AP12:BH12), "")</f>
        <v/>
      </c>
      <c r="BJ18" s="174" t="str">
        <f>IF(BJ$9,FORECAST(BJ12,$AP16:BI16,$AP12:BI12), "")</f>
        <v/>
      </c>
      <c r="BK18" s="174" t="str">
        <f>IF(BK$9,FORECAST(BK12,$AP16:BJ16,$AP12:BJ12), "")</f>
        <v/>
      </c>
      <c r="BL18" s="174" t="str">
        <f>IF(BL$9,FORECAST(BL12,$AP16:BK16,$AP12:BK12), "")</f>
        <v/>
      </c>
      <c r="BM18" s="174" t="str">
        <f>IF(BM$9,FORECAST(BM12,$AP16:BL16,$AP12:BL12), "")</f>
        <v/>
      </c>
      <c r="BN18" s="174">
        <f>IF(BN$9,FORECAST(BN12,$AP16:BM16,$AP12:BM12), "")</f>
        <v>1752.0727272727272</v>
      </c>
      <c r="BO18" s="174">
        <f>IF(BO$9,FORECAST(BO12,$AP16:BN16,$AP12:BN12), "")</f>
        <v>1779.8727272727274</v>
      </c>
      <c r="BP18" s="174">
        <f>IF(BP$9,FORECAST(BP12,$AP16:BO16,$AP12:BO12), "")</f>
        <v>1807.6727272727273</v>
      </c>
      <c r="BQ18" s="174">
        <f>IF(BQ$9,FORECAST(BQ12,$AP16:BP16,$AP12:BP12), "")</f>
        <v>1835.4727272727273</v>
      </c>
      <c r="BR18" s="174">
        <f>IF(BR$9,FORECAST(BR12,$AP16:BQ16,$AP12:BQ12), "")</f>
        <v>1863.2727272727273</v>
      </c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</row>
    <row r="19" spans="1:83" s="84" customFormat="1" ht="15.75" x14ac:dyDescent="0.2">
      <c r="A19" s="1"/>
      <c r="B19" s="1"/>
      <c r="C19" s="1"/>
      <c r="D19" s="1"/>
      <c r="E19" s="91" t="s">
        <v>99</v>
      </c>
      <c r="F19" s="90" t="str">
        <f t="shared" ref="F19:Q19" si="11">F$5</f>
        <v>Jan</v>
      </c>
      <c r="G19" s="90" t="str">
        <f t="shared" si="11"/>
        <v>Feb</v>
      </c>
      <c r="H19" s="90" t="str">
        <f t="shared" si="11"/>
        <v>Mar</v>
      </c>
      <c r="I19" s="90" t="str">
        <f t="shared" si="11"/>
        <v>Apr</v>
      </c>
      <c r="J19" s="90" t="str">
        <f t="shared" si="11"/>
        <v>May</v>
      </c>
      <c r="K19" s="90" t="str">
        <f t="shared" si="11"/>
        <v>Jun</v>
      </c>
      <c r="L19" s="90" t="str">
        <f t="shared" si="11"/>
        <v>Jul</v>
      </c>
      <c r="M19" s="90" t="str">
        <f t="shared" si="11"/>
        <v>Aug</v>
      </c>
      <c r="N19" s="90" t="str">
        <f t="shared" si="11"/>
        <v>Sep</v>
      </c>
      <c r="O19" s="90" t="str">
        <f t="shared" si="11"/>
        <v>Oct</v>
      </c>
      <c r="P19" s="90" t="str">
        <f t="shared" si="11"/>
        <v>Nov</v>
      </c>
      <c r="Q19" s="90" t="str">
        <f t="shared" si="11"/>
        <v>Dec</v>
      </c>
      <c r="R19" s="91" t="s">
        <v>14</v>
      </c>
      <c r="T19" s="112" t="str">
        <f>E7</f>
        <v>2019 Actual</v>
      </c>
      <c r="U19" s="150">
        <f>SUM(F7:H7)</f>
        <v>3832</v>
      </c>
      <c r="V19" s="150">
        <f>SUM(I7:K7)</f>
        <v>4280</v>
      </c>
      <c r="W19" s="150">
        <f>SUM(L7:N7)</f>
        <v>4444</v>
      </c>
      <c r="X19" s="143">
        <f>SUM(O7:Q7)</f>
        <v>4470</v>
      </c>
      <c r="Y19" s="165"/>
      <c r="Z19" s="112" t="str">
        <f>+E14</f>
        <v>2019 Actual</v>
      </c>
      <c r="AA19" s="150">
        <f>SUM(F14:H14)</f>
        <v>5246.9269811395043</v>
      </c>
      <c r="AB19" s="150">
        <f>SUM(I14:K14)</f>
        <v>5982.3790289633416</v>
      </c>
      <c r="AC19" s="150">
        <f>SUM(L14:N14)</f>
        <v>6196.7645375487991</v>
      </c>
      <c r="AD19" s="143">
        <f>SUM(O14:Q14)</f>
        <v>6214.8329415131147</v>
      </c>
      <c r="AE19" s="165"/>
      <c r="AF19" s="165"/>
      <c r="AG19" s="175"/>
      <c r="AH19" s="171" t="s">
        <v>90</v>
      </c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3"/>
      <c r="AZ19" s="173"/>
      <c r="BA19" s="173"/>
      <c r="BB19" s="173"/>
      <c r="BC19" s="173"/>
      <c r="BD19" s="173"/>
      <c r="BE19" s="173"/>
      <c r="BF19" s="173"/>
      <c r="BG19" s="174" t="str">
        <f>IF(BG$9,FORECAST(BG13,$AP16:BF16,$AP13:BF13), "")</f>
        <v/>
      </c>
      <c r="BH19" s="174" t="str">
        <f>IF(BH$9,FORECAST(BH13,$AP16:BG16,$AP13:BG13), "")</f>
        <v/>
      </c>
      <c r="BI19" s="174" t="str">
        <f>IF(BI$9,FORECAST(BI13,$AP16:BH16,$AP13:BH13), "")</f>
        <v/>
      </c>
      <c r="BJ19" s="174" t="str">
        <f>IF(BJ$9,FORECAST(BJ13,$AP16:BI16,$AP13:BI13), "")</f>
        <v/>
      </c>
      <c r="BK19" s="174" t="str">
        <f>IF(BK$9,FORECAST(BK13,$AP16:BJ16,$AP13:BJ13), "")</f>
        <v/>
      </c>
      <c r="BL19" s="174" t="str">
        <f>IF(BL$9,FORECAST(BL13,$AP16:BK16,$AP13:BK13), "")</f>
        <v/>
      </c>
      <c r="BM19" s="174" t="str">
        <f>IF(BM$9,FORECAST(BM13,$AP16:BL16,$AP13:BL13), "")</f>
        <v/>
      </c>
      <c r="BN19" s="174">
        <f>IF(BN$9,FORECAST(BN13,$AP16:BM16,$AP13:BM13), "")</f>
        <v>1731.205882352941</v>
      </c>
      <c r="BO19" s="174">
        <f>IF(BO$9,FORECAST(BO13,$AP16:BN16,$AP13:BN13), "")</f>
        <v>1754.4117647058822</v>
      </c>
      <c r="BP19" s="174">
        <f>IF(BP$9,FORECAST(BP13,$AP16:BO16,$AP13:BO13), "")</f>
        <v>1777.6176470588234</v>
      </c>
      <c r="BQ19" s="174">
        <f>IF(BQ$9,FORECAST(BQ13,$AP16:BP16,$AP13:BP13), "")</f>
        <v>1800.8235294117646</v>
      </c>
      <c r="BR19" s="174">
        <f>IF(BR$9,FORECAST(BR13,$AP16:BQ16,$AP13:BQ13), "")</f>
        <v>1824.0294117647059</v>
      </c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</row>
    <row r="20" spans="1:83" s="84" customFormat="1" x14ac:dyDescent="0.2">
      <c r="A20" s="1"/>
      <c r="B20" s="1"/>
      <c r="C20" s="1"/>
      <c r="D20" s="1"/>
      <c r="E20" s="176" t="str">
        <f>+E13</f>
        <v>2018 Actual</v>
      </c>
      <c r="F20" s="177">
        <f t="shared" ref="F20:R20" si="12">IFERROR(F13/F6,"")</f>
        <v>1.4023636048669355</v>
      </c>
      <c r="G20" s="177">
        <f t="shared" si="12"/>
        <v>1.4010371524096152</v>
      </c>
      <c r="H20" s="177">
        <f t="shared" si="12"/>
        <v>1.4245661846536459</v>
      </c>
      <c r="I20" s="177">
        <f t="shared" si="12"/>
        <v>1.3838010196847828</v>
      </c>
      <c r="J20" s="177">
        <f t="shared" si="12"/>
        <v>1.3931040253240601</v>
      </c>
      <c r="K20" s="177">
        <f t="shared" si="12"/>
        <v>1.3428645525725389</v>
      </c>
      <c r="L20" s="177">
        <f t="shared" si="12"/>
        <v>1.3934987723102006</v>
      </c>
      <c r="M20" s="177">
        <f t="shared" si="12"/>
        <v>1.3972821374152673</v>
      </c>
      <c r="N20" s="177">
        <f t="shared" si="12"/>
        <v>1.4004505101822742</v>
      </c>
      <c r="O20" s="177">
        <f t="shared" si="12"/>
        <v>1.3687145414521813</v>
      </c>
      <c r="P20" s="177">
        <f t="shared" si="12"/>
        <v>1.364876543407028</v>
      </c>
      <c r="Q20" s="177">
        <f t="shared" si="12"/>
        <v>1.3865946938358777</v>
      </c>
      <c r="R20" s="178">
        <f t="shared" si="12"/>
        <v>1.387792868608114</v>
      </c>
      <c r="T20" s="112" t="str">
        <f>E8</f>
        <v>2020 Budget</v>
      </c>
      <c r="U20" s="150">
        <f>SUM(F8:H8)</f>
        <v>4755.8312755999996</v>
      </c>
      <c r="V20" s="150">
        <f>SUM(I8:K8)</f>
        <v>5031.5660772000001</v>
      </c>
      <c r="W20" s="150">
        <f>SUM(L8:N8)</f>
        <v>5045.6967465999996</v>
      </c>
      <c r="X20" s="143">
        <f>SUM(O8:Q8)</f>
        <v>5308.2652381999997</v>
      </c>
      <c r="Y20" s="165"/>
      <c r="Z20" s="112" t="str">
        <f>+E15</f>
        <v>2020 Budget</v>
      </c>
      <c r="AA20" s="150">
        <f>SUM(F15:H15)</f>
        <v>6013.2899675046574</v>
      </c>
      <c r="AB20" s="150">
        <f>SUM(I15:K15)</f>
        <v>6361.2414540951777</v>
      </c>
      <c r="AC20" s="150">
        <f>SUM(L15:N15)</f>
        <v>6367.730338968523</v>
      </c>
      <c r="AD20" s="143">
        <f>SUM(O15:Q15)</f>
        <v>6317.848168505182</v>
      </c>
      <c r="AE20" s="165"/>
      <c r="AF20" s="165"/>
      <c r="AG20" s="131"/>
      <c r="AH20" s="166" t="s">
        <v>1</v>
      </c>
      <c r="AI20" s="179"/>
      <c r="AJ20" s="179"/>
      <c r="AK20" s="179"/>
      <c r="AL20" s="1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63">
        <f>SUMIFS('Units sold'!$D:$D,'Units sold'!$A:$A,$E$2,'Units sold'!$B:$B,BG$15,'Units sold'!$C:$C,"Periodic")</f>
        <v>1517.0348428</v>
      </c>
      <c r="BH20" s="163">
        <f>SUMIFS('Units sold'!$D:$D,'Units sold'!$A:$A,$E$2,'Units sold'!$B:$B,BH$15,'Units sold'!$C:$C,"Periodic")</f>
        <v>1738.5623352</v>
      </c>
      <c r="BI20" s="163">
        <f>SUMIFS('Units sold'!$D:$D,'Units sold'!$A:$A,$E$2,'Units sold'!$B:$B,BI$15,'Units sold'!$C:$C,"Periodic")</f>
        <v>1500.2340976</v>
      </c>
      <c r="BJ20" s="163">
        <f>SUMIFS('Units sold'!$D:$D,'Units sold'!$A:$A,$E$2,'Units sold'!$B:$B,BJ$15,'Units sold'!$C:$C,"Periodic")</f>
        <v>1771.7410027999999</v>
      </c>
      <c r="BK20" s="163">
        <f>SUMIFS('Units sold'!$D:$D,'Units sold'!$A:$A,$E$2,'Units sold'!$B:$B,BK$15,'Units sold'!$C:$C,"Periodic")</f>
        <v>1745.200938</v>
      </c>
      <c r="BL20" s="163">
        <f>SUMIFS('Units sold'!$D:$D,'Units sold'!$A:$A,$E$2,'Units sold'!$B:$B,BL$15,'Units sold'!$C:$C,"Periodic")</f>
        <v>1514.6241364</v>
      </c>
      <c r="BM20" s="163">
        <f>SUMIFS('Units sold'!$D:$D,'Units sold'!$A:$A,$E$2,'Units sold'!$B:$B,BM$15,'Units sold'!$C:$C,"Periodic")</f>
        <v>1826.1332344</v>
      </c>
      <c r="BN20" s="163">
        <f>SUMIFS('Units sold'!$D:$D,'Units sold'!$A:$A,$E$2,'Units sold'!$B:$B,BN$15,'Units sold'!$C:$C,"Periodic")</f>
        <v>1531.091353</v>
      </c>
      <c r="BO20" s="163">
        <f>SUMIFS('Units sold'!$D:$D,'Units sold'!$A:$A,$E$2,'Units sold'!$B:$B,BO$15,'Units sold'!$C:$C,"Periodic")</f>
        <v>1688.4721591999999</v>
      </c>
      <c r="BP20" s="163">
        <f>SUMIFS('Units sold'!$D:$D,'Units sold'!$A:$A,$E$2,'Units sold'!$B:$B,BP$15,'Units sold'!$C:$C,"Periodic")</f>
        <v>1783.2480271999998</v>
      </c>
      <c r="BQ20" s="163">
        <f>SUMIFS('Units sold'!$D:$D,'Units sold'!$A:$A,$E$2,'Units sold'!$B:$B,BQ$15,'Units sold'!$C:$C,"Periodic")</f>
        <v>1709.0544464</v>
      </c>
      <c r="BR20" s="163">
        <f>SUMIFS('Units sold'!$D:$D,'Units sold'!$A:$A,$E$2,'Units sold'!$B:$B,BR$15,'Units sold'!$C:$C,"Periodic")</f>
        <v>1815.9627645999999</v>
      </c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</row>
    <row r="21" spans="1:83" s="84" customFormat="1" x14ac:dyDescent="0.2">
      <c r="A21" s="1"/>
      <c r="B21" s="1"/>
      <c r="C21" s="1"/>
      <c r="D21" s="1"/>
      <c r="E21" s="176" t="str">
        <f>+E14</f>
        <v>2019 Actual</v>
      </c>
      <c r="F21" s="177">
        <f t="shared" ref="F21:R21" si="13">IFERROR(F14/F7,"")</f>
        <v>1.3501491819381439</v>
      </c>
      <c r="G21" s="177">
        <f t="shared" si="13"/>
        <v>1.3929251651830468</v>
      </c>
      <c r="H21" s="177">
        <f t="shared" si="13"/>
        <v>1.3601727700956239</v>
      </c>
      <c r="I21" s="177">
        <f t="shared" si="13"/>
        <v>1.4223173742828958</v>
      </c>
      <c r="J21" s="177">
        <f t="shared" si="13"/>
        <v>1.368266588522546</v>
      </c>
      <c r="K21" s="177">
        <f t="shared" si="13"/>
        <v>1.4006113317768953</v>
      </c>
      <c r="L21" s="177">
        <f t="shared" si="13"/>
        <v>1.4113558670566153</v>
      </c>
      <c r="M21" s="177">
        <f t="shared" si="13"/>
        <v>1.3924445326978472</v>
      </c>
      <c r="N21" s="177">
        <f t="shared" si="13"/>
        <v>1.3754831648991606</v>
      </c>
      <c r="O21" s="177">
        <f t="shared" si="13"/>
        <v>1.369088676614717</v>
      </c>
      <c r="P21" s="177">
        <f t="shared" si="13"/>
        <v>1.3921980252440738</v>
      </c>
      <c r="Q21" s="177">
        <f t="shared" si="13"/>
        <v>1.4097571513919234</v>
      </c>
      <c r="R21" s="178">
        <f t="shared" si="13"/>
        <v>1.3885177663082788</v>
      </c>
      <c r="T21" s="112" t="str">
        <f>E9</f>
        <v>2020 Actual</v>
      </c>
      <c r="U21" s="150">
        <f>SUM(F9:H9)</f>
        <v>5138</v>
      </c>
      <c r="V21" s="150">
        <f>SUM(I9:K9)</f>
        <v>4560</v>
      </c>
      <c r="W21" s="150">
        <f>SUM(L9:N9)</f>
        <v>1852</v>
      </c>
      <c r="X21" s="143">
        <f>SUM(O9:Q9)</f>
        <v>0</v>
      </c>
      <c r="Y21" s="165"/>
      <c r="Z21" s="112" t="str">
        <f>+E16</f>
        <v>2020 Actual</v>
      </c>
      <c r="AA21" s="150">
        <f>SUM(F16:H16)</f>
        <v>7151.0179173779998</v>
      </c>
      <c r="AB21" s="150">
        <f>SUM(I16:K16)</f>
        <v>6363.4506281069998</v>
      </c>
      <c r="AC21" s="150">
        <f>SUM(L16:N16)</f>
        <v>2230.7593678140001</v>
      </c>
      <c r="AD21" s="143">
        <f>SUM(O16:Q16)</f>
        <v>0</v>
      </c>
      <c r="AE21" s="131"/>
      <c r="AF21" s="131"/>
      <c r="AG21" s="131"/>
      <c r="AH21" s="181" t="s">
        <v>34</v>
      </c>
      <c r="AI21" s="131"/>
      <c r="AJ21" s="131"/>
      <c r="AK21" s="131"/>
      <c r="AL21" s="1"/>
      <c r="BD21" s="182"/>
      <c r="BE21" s="182"/>
      <c r="BF21" s="182"/>
      <c r="BG21" s="163" t="str">
        <f t="shared" ref="BG21:BR21" si="14">IF(OR(BG$8=1,BG$9=1),F10,"")</f>
        <v/>
      </c>
      <c r="BH21" s="163" t="str">
        <f t="shared" si="14"/>
        <v/>
      </c>
      <c r="BI21" s="163" t="str">
        <f t="shared" si="14"/>
        <v/>
      </c>
      <c r="BJ21" s="163" t="str">
        <f t="shared" si="14"/>
        <v/>
      </c>
      <c r="BK21" s="163" t="str">
        <f t="shared" si="14"/>
        <v/>
      </c>
      <c r="BL21" s="163" t="str">
        <f t="shared" si="14"/>
        <v/>
      </c>
      <c r="BM21" s="163">
        <f t="shared" si="14"/>
        <v>1852</v>
      </c>
      <c r="BN21" s="163">
        <f t="shared" si="14"/>
        <v>1440.9444834415629</v>
      </c>
      <c r="BO21" s="163">
        <f t="shared" si="14"/>
        <v>1546.5135772108297</v>
      </c>
      <c r="BP21" s="163">
        <f t="shared" si="14"/>
        <v>1688.155482175099</v>
      </c>
      <c r="BQ21" s="163">
        <f t="shared" si="14"/>
        <v>1438.9634473016176</v>
      </c>
      <c r="BR21" s="163">
        <f t="shared" si="14"/>
        <v>1507.3739307124163</v>
      </c>
      <c r="BS21" s="180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</row>
    <row r="22" spans="1:83" s="84" customFormat="1" x14ac:dyDescent="0.2">
      <c r="A22" s="1"/>
      <c r="B22" s="1"/>
      <c r="C22" s="1"/>
      <c r="D22" s="1"/>
      <c r="E22" s="183" t="str">
        <f>+E15</f>
        <v>2020 Budget</v>
      </c>
      <c r="F22" s="184">
        <f t="shared" ref="F22:R22" si="15">IFERROR(F15/F8,"")</f>
        <v>1.2391094941987781</v>
      </c>
      <c r="G22" s="184">
        <f t="shared" si="15"/>
        <v>1.2790227837329022</v>
      </c>
      <c r="H22" s="184">
        <f t="shared" si="15"/>
        <v>1.2730392251152278</v>
      </c>
      <c r="I22" s="184">
        <f t="shared" si="15"/>
        <v>1.2773697868976348</v>
      </c>
      <c r="J22" s="184">
        <f t="shared" si="15"/>
        <v>1.2412001242664696</v>
      </c>
      <c r="K22" s="184">
        <f t="shared" si="15"/>
        <v>1.2755173771276638</v>
      </c>
      <c r="L22" s="184">
        <f t="shared" si="15"/>
        <v>1.2568405034771175</v>
      </c>
      <c r="M22" s="184">
        <f t="shared" si="15"/>
        <v>1.2829599880270977</v>
      </c>
      <c r="N22" s="184">
        <f t="shared" si="15"/>
        <v>1.248609975490828</v>
      </c>
      <c r="O22" s="184">
        <f t="shared" si="15"/>
        <v>1.2905286738468533</v>
      </c>
      <c r="P22" s="184">
        <f t="shared" si="15"/>
        <v>1.1477857558179612</v>
      </c>
      <c r="Q22" s="184">
        <f t="shared" si="15"/>
        <v>1.1315689657216652</v>
      </c>
      <c r="R22" s="185">
        <f t="shared" si="15"/>
        <v>1.2442114511254059</v>
      </c>
      <c r="T22" s="151" t="s">
        <v>34</v>
      </c>
      <c r="U22" s="186">
        <f>SUM(F10:H10)</f>
        <v>5138</v>
      </c>
      <c r="V22" s="186">
        <f>SUM(I10:K10)</f>
        <v>4560</v>
      </c>
      <c r="W22" s="186">
        <f>SUM(L10:N10)</f>
        <v>4839.4580606523923</v>
      </c>
      <c r="X22" s="152">
        <f>SUM(O10:Q10)</f>
        <v>4634.4928601891324</v>
      </c>
      <c r="Y22" s="131"/>
      <c r="Z22" s="151" t="s">
        <v>34</v>
      </c>
      <c r="AA22" s="186">
        <f>SUM(F17:H17)</f>
        <v>7151.0179173779998</v>
      </c>
      <c r="AB22" s="186">
        <f>SUM(I17:K17)</f>
        <v>6363.4506281069998</v>
      </c>
      <c r="AC22" s="186">
        <f>SUM(L17:N17)</f>
        <v>6303.3314930429306</v>
      </c>
      <c r="AD22" s="152">
        <f>SUM(O17:Q17)</f>
        <v>6317.848168505182</v>
      </c>
      <c r="AE22" s="131"/>
      <c r="AF22" s="131"/>
      <c r="AG22" s="7" t="s">
        <v>30</v>
      </c>
      <c r="AH22" s="187" t="s">
        <v>26</v>
      </c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3"/>
      <c r="BA22" s="173"/>
      <c r="BB22" s="173"/>
      <c r="BC22" s="173"/>
      <c r="BD22" s="173"/>
      <c r="BE22" s="173"/>
      <c r="BF22" s="173"/>
      <c r="BG22" s="174">
        <f t="shared" ref="BG22:BR22" si="16">IF(BG18="",BG20,BG18)</f>
        <v>1517.0348428</v>
      </c>
      <c r="BH22" s="174">
        <f t="shared" si="16"/>
        <v>1738.5623352</v>
      </c>
      <c r="BI22" s="174">
        <f t="shared" si="16"/>
        <v>1500.2340976</v>
      </c>
      <c r="BJ22" s="174">
        <f t="shared" si="16"/>
        <v>1771.7410027999999</v>
      </c>
      <c r="BK22" s="174">
        <f t="shared" si="16"/>
        <v>1745.200938</v>
      </c>
      <c r="BL22" s="174">
        <f t="shared" si="16"/>
        <v>1514.6241364</v>
      </c>
      <c r="BM22" s="174">
        <f t="shared" si="16"/>
        <v>1826.1332344</v>
      </c>
      <c r="BN22" s="174">
        <f t="shared" si="16"/>
        <v>1752.0727272727272</v>
      </c>
      <c r="BO22" s="174">
        <f t="shared" si="16"/>
        <v>1779.8727272727274</v>
      </c>
      <c r="BP22" s="174">
        <f t="shared" si="16"/>
        <v>1807.6727272727273</v>
      </c>
      <c r="BQ22" s="174">
        <f t="shared" si="16"/>
        <v>1835.4727272727273</v>
      </c>
      <c r="BR22" s="174">
        <f t="shared" si="16"/>
        <v>1863.2727272727273</v>
      </c>
      <c r="BS22" s="190">
        <f>SUM(BG22:BR22)</f>
        <v>20651.894223563635</v>
      </c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</row>
    <row r="23" spans="1:83" s="84" customFormat="1" x14ac:dyDescent="0.2">
      <c r="A23" s="1"/>
      <c r="B23" s="1"/>
      <c r="C23" s="1"/>
      <c r="D23" s="1"/>
      <c r="E23" s="176" t="str">
        <f>+E16</f>
        <v>2020 Actual</v>
      </c>
      <c r="F23" s="188">
        <f t="shared" ref="F23:R23" si="17">IFERROR(F16/F9,"")</f>
        <v>1.3855365699014002</v>
      </c>
      <c r="G23" s="188">
        <f t="shared" si="17"/>
        <v>1.3990502874432991</v>
      </c>
      <c r="H23" s="188">
        <f t="shared" si="17"/>
        <v>1.3922061695154888</v>
      </c>
      <c r="I23" s="188">
        <f t="shared" si="17"/>
        <v>1.3789125014570816</v>
      </c>
      <c r="J23" s="188">
        <f t="shared" si="17"/>
        <v>1.356024929831126</v>
      </c>
      <c r="K23" s="188">
        <f t="shared" si="17"/>
        <v>1.4456012754388619</v>
      </c>
      <c r="L23" s="188">
        <f t="shared" si="17"/>
        <v>1.2045136975237583</v>
      </c>
      <c r="M23" s="188" t="str">
        <f t="shared" si="17"/>
        <v/>
      </c>
      <c r="N23" s="188" t="str">
        <f t="shared" si="17"/>
        <v/>
      </c>
      <c r="O23" s="188" t="str">
        <f t="shared" si="17"/>
        <v/>
      </c>
      <c r="P23" s="188" t="str">
        <f t="shared" si="17"/>
        <v/>
      </c>
      <c r="Q23" s="188" t="str">
        <f t="shared" si="17"/>
        <v/>
      </c>
      <c r="R23" s="189">
        <f t="shared" si="17"/>
        <v>1.3632231959566232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140"/>
      <c r="AF23" s="140"/>
      <c r="AG23" s="179"/>
      <c r="AH23" s="187" t="s">
        <v>90</v>
      </c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3"/>
      <c r="AZ23" s="173"/>
      <c r="BA23" s="173"/>
      <c r="BB23" s="173"/>
      <c r="BC23" s="173"/>
      <c r="BD23" s="173"/>
      <c r="BE23" s="173"/>
      <c r="BF23" s="173"/>
      <c r="BG23" s="174">
        <f t="shared" ref="BG23:BR23" si="18">IF(BG19="",BG20,BG19)</f>
        <v>1517.0348428</v>
      </c>
      <c r="BH23" s="174">
        <f t="shared" si="18"/>
        <v>1738.5623352</v>
      </c>
      <c r="BI23" s="174">
        <f t="shared" si="18"/>
        <v>1500.2340976</v>
      </c>
      <c r="BJ23" s="174">
        <f t="shared" si="18"/>
        <v>1771.7410027999999</v>
      </c>
      <c r="BK23" s="174">
        <f t="shared" si="18"/>
        <v>1745.200938</v>
      </c>
      <c r="BL23" s="174">
        <f t="shared" si="18"/>
        <v>1514.6241364</v>
      </c>
      <c r="BM23" s="174">
        <f t="shared" si="18"/>
        <v>1826.1332344</v>
      </c>
      <c r="BN23" s="174">
        <f t="shared" si="18"/>
        <v>1731.205882352941</v>
      </c>
      <c r="BO23" s="174">
        <f t="shared" si="18"/>
        <v>1754.4117647058822</v>
      </c>
      <c r="BP23" s="174">
        <f t="shared" si="18"/>
        <v>1777.6176470588234</v>
      </c>
      <c r="BQ23" s="174">
        <f t="shared" si="18"/>
        <v>1800.8235294117646</v>
      </c>
      <c r="BR23" s="174">
        <f t="shared" si="18"/>
        <v>1824.0294117647059</v>
      </c>
      <c r="BS23" s="190">
        <f>SUM(BG23:BR23)</f>
        <v>20501.618822494118</v>
      </c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</row>
    <row r="24" spans="1:83" s="84" customFormat="1" x14ac:dyDescent="0.2">
      <c r="A24" s="1"/>
      <c r="B24" s="1"/>
      <c r="C24" s="1"/>
      <c r="D24" s="1"/>
      <c r="E24" s="176" t="str">
        <f>+E17</f>
        <v>Forecast</v>
      </c>
      <c r="F24" s="188">
        <f>IF(F23="",IFERROR(SUM(E17:$F17)/SUM(E10:$F10),""),F17/F10)</f>
        <v>1.3855365699014002</v>
      </c>
      <c r="G24" s="191">
        <f>IF(G23="",IFERROR(SUM(F17:$F17)/SUM(F10:$F10),""),G17/G10)</f>
        <v>1.3990502874432991</v>
      </c>
      <c r="H24" s="191">
        <f>IF(H23="",IFERROR(SUM($F17:G17)/SUM($F10:G10),""),H17/H10)</f>
        <v>1.3922061695154888</v>
      </c>
      <c r="I24" s="191">
        <f>IF(I23="",IFERROR(SUM($F17:H17)/SUM($F10:H10),""),I17/I10)</f>
        <v>1.3789125014570816</v>
      </c>
      <c r="J24" s="191">
        <f>IF(J23="",IFERROR(SUM($F17:I17)/SUM($F10:I10),""),J17/J10)</f>
        <v>1.356024929831126</v>
      </c>
      <c r="K24" s="191">
        <f>IF(K23="",IFERROR(SUM($F17:J17)/SUM($F10:J10),""),K17/K10)</f>
        <v>1.4456012754388619</v>
      </c>
      <c r="L24" s="191">
        <f>IF(L23="",IFERROR(SUM($F17:K17)/SUM($F10:K10),""),L17/L10)</f>
        <v>1.2045136975237583</v>
      </c>
      <c r="M24" s="191">
        <f>IF(M23="",IFERROR(SUM($F17:L17)/SUM($F10:L10),""),M17/M10)</f>
        <v>1.3632231959566232</v>
      </c>
      <c r="N24" s="191">
        <f>IF(N23="",IFERROR(SUM($F17:M17)/SUM($F10:M10),""),N17/N10)</f>
        <v>1.3632231959566232</v>
      </c>
      <c r="O24" s="191">
        <f>IF(O23="",IFERROR(SUM($F17:N17)/SUM($F10:N10),""),O17/O10)</f>
        <v>1.3632231959566234</v>
      </c>
      <c r="P24" s="191">
        <f>IF(P23="",IFERROR(SUM($F17:O17)/SUM($F10:O10),""),P17/P10)</f>
        <v>1.3632231959566232</v>
      </c>
      <c r="Q24" s="191">
        <f>IF(Q23="",IFERROR(SUM($F17:P17)/SUM($F10:P10),""),Q17/Q10)</f>
        <v>1.3632231959566232</v>
      </c>
      <c r="R24" s="189">
        <f>IFERROR(R17/R10,"")</f>
        <v>1.3632231959566232</v>
      </c>
      <c r="T24" s="135" t="s">
        <v>97</v>
      </c>
      <c r="U24" s="164" t="str">
        <f>AA24</f>
        <v>Q1</v>
      </c>
      <c r="V24" s="164" t="str">
        <f t="shared" ref="V24:X24" si="19">AB24</f>
        <v>Q2</v>
      </c>
      <c r="W24" s="164" t="str">
        <f t="shared" si="19"/>
        <v>Q3</v>
      </c>
      <c r="X24" s="164" t="str">
        <f t="shared" si="19"/>
        <v>Q4</v>
      </c>
      <c r="Y24" s="140"/>
      <c r="Z24" s="135" t="s">
        <v>97</v>
      </c>
      <c r="AA24" s="164" t="s">
        <v>21</v>
      </c>
      <c r="AB24" s="164" t="s">
        <v>22</v>
      </c>
      <c r="AC24" s="164" t="s">
        <v>23</v>
      </c>
      <c r="AD24" s="136" t="s">
        <v>24</v>
      </c>
      <c r="AE24" s="150"/>
      <c r="AF24" s="150"/>
      <c r="AG24" s="7" t="s">
        <v>89</v>
      </c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 spans="1:83" s="84" customFormat="1" x14ac:dyDescent="0.2">
      <c r="A25" s="1"/>
      <c r="B25" s="1"/>
      <c r="C25" s="1"/>
      <c r="D25" s="1"/>
      <c r="T25" s="112" t="str">
        <f>"vs "&amp;$A$6</f>
        <v>vs 2018</v>
      </c>
      <c r="U25" s="192">
        <f t="shared" ref="U25:X26" si="20">IFERROR(U$21/U18-1,"")</f>
        <v>0.6136934673366834</v>
      </c>
      <c r="V25" s="192">
        <f t="shared" si="20"/>
        <v>0.26948775055679297</v>
      </c>
      <c r="W25" s="192">
        <f t="shared" si="20"/>
        <v>-0.49972987574284167</v>
      </c>
      <c r="X25" s="149">
        <f t="shared" si="20"/>
        <v>-1</v>
      </c>
      <c r="Y25" s="150"/>
      <c r="Z25" s="112" t="str">
        <f>"vs "&amp;$A$6</f>
        <v>vs 2018</v>
      </c>
      <c r="AA25" s="192">
        <f t="shared" ref="AA25:AD26" si="21">IFERROR(AA$21/AA18-1,"")</f>
        <v>0.59289429490504797</v>
      </c>
      <c r="AB25" s="192">
        <f t="shared" si="21"/>
        <v>0.28930100758581134</v>
      </c>
      <c r="AC25" s="192">
        <f t="shared" si="21"/>
        <v>-0.5686855957190764</v>
      </c>
      <c r="AD25" s="149">
        <f t="shared" si="21"/>
        <v>-1</v>
      </c>
      <c r="AE25" s="150"/>
      <c r="AF25" s="150"/>
      <c r="AH25" s="167" t="str">
        <f>AH16</f>
        <v>Actual</v>
      </c>
      <c r="AU25" s="163">
        <f t="shared" ref="AU25:BR25" si="22">IF(AU16="",NA(),AU16)</f>
        <v>1252</v>
      </c>
      <c r="AV25" s="163">
        <f t="shared" si="22"/>
        <v>1444</v>
      </c>
      <c r="AW25" s="163">
        <f t="shared" si="22"/>
        <v>1136</v>
      </c>
      <c r="AX25" s="163">
        <f t="shared" si="22"/>
        <v>1582</v>
      </c>
      <c r="AY25" s="163">
        <f t="shared" si="22"/>
        <v>1440</v>
      </c>
      <c r="AZ25" s="163">
        <f t="shared" si="22"/>
        <v>1258</v>
      </c>
      <c r="BA25" s="163">
        <f t="shared" si="22"/>
        <v>1734</v>
      </c>
      <c r="BB25" s="163">
        <f t="shared" si="22"/>
        <v>1292</v>
      </c>
      <c r="BC25" s="163">
        <f t="shared" si="22"/>
        <v>1418</v>
      </c>
      <c r="BD25" s="163">
        <f t="shared" si="22"/>
        <v>1532</v>
      </c>
      <c r="BE25" s="163">
        <f t="shared" si="22"/>
        <v>1394</v>
      </c>
      <c r="BF25" s="163">
        <f t="shared" si="22"/>
        <v>1544</v>
      </c>
      <c r="BG25" s="163">
        <f t="shared" si="22"/>
        <v>1714</v>
      </c>
      <c r="BH25" s="163">
        <f t="shared" si="22"/>
        <v>1358</v>
      </c>
      <c r="BI25" s="163">
        <f t="shared" si="22"/>
        <v>2066</v>
      </c>
      <c r="BJ25" s="163">
        <f t="shared" si="22"/>
        <v>1398</v>
      </c>
      <c r="BK25" s="163">
        <f t="shared" si="22"/>
        <v>1510</v>
      </c>
      <c r="BL25" s="163">
        <f t="shared" si="22"/>
        <v>1652</v>
      </c>
      <c r="BM25" s="163">
        <f t="shared" si="22"/>
        <v>1852</v>
      </c>
      <c r="BN25" s="163" t="e">
        <f t="shared" si="22"/>
        <v>#N/A</v>
      </c>
      <c r="BO25" s="163" t="e">
        <f t="shared" si="22"/>
        <v>#N/A</v>
      </c>
      <c r="BP25" s="163" t="e">
        <f t="shared" si="22"/>
        <v>#N/A</v>
      </c>
      <c r="BQ25" s="163" t="e">
        <f t="shared" si="22"/>
        <v>#N/A</v>
      </c>
      <c r="BR25" s="163" t="e">
        <f t="shared" si="22"/>
        <v>#N/A</v>
      </c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 spans="1:83" s="84" customForma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112" t="str">
        <f>"vs "&amp;$A$7</f>
        <v>vs 2019</v>
      </c>
      <c r="U26" s="192">
        <f t="shared" si="20"/>
        <v>0.34081419624217113</v>
      </c>
      <c r="V26" s="192">
        <f t="shared" si="20"/>
        <v>6.5420560747663448E-2</v>
      </c>
      <c r="W26" s="192">
        <f t="shared" si="20"/>
        <v>-0.58325832583258319</v>
      </c>
      <c r="X26" s="149">
        <f t="shared" si="20"/>
        <v>-1</v>
      </c>
      <c r="Y26" s="150"/>
      <c r="Z26" s="112" t="str">
        <f>"vs "&amp;$A$7</f>
        <v>vs 2019</v>
      </c>
      <c r="AA26" s="192">
        <f t="shared" si="21"/>
        <v>0.36289640452076077</v>
      </c>
      <c r="AB26" s="192">
        <f t="shared" si="21"/>
        <v>6.3699006247969647E-2</v>
      </c>
      <c r="AC26" s="192">
        <f t="shared" si="21"/>
        <v>-0.64001224279268765</v>
      </c>
      <c r="AD26" s="149">
        <f t="shared" si="21"/>
        <v>-1</v>
      </c>
      <c r="AE26" s="150"/>
      <c r="AF26" s="150"/>
      <c r="AH26" s="167" t="str">
        <f>AH20</f>
        <v>Budget</v>
      </c>
      <c r="AU26" s="163" t="e">
        <f t="shared" ref="AU26:BR26" si="23">IF(AU17="",NA(),AU17)</f>
        <v>#N/A</v>
      </c>
      <c r="AV26" s="163" t="e">
        <f t="shared" si="23"/>
        <v>#N/A</v>
      </c>
      <c r="AW26" s="163" t="e">
        <f t="shared" si="23"/>
        <v>#N/A</v>
      </c>
      <c r="AX26" s="163" t="e">
        <f t="shared" si="23"/>
        <v>#N/A</v>
      </c>
      <c r="AY26" s="163" t="e">
        <f t="shared" si="23"/>
        <v>#N/A</v>
      </c>
      <c r="AZ26" s="163" t="e">
        <f t="shared" si="23"/>
        <v>#N/A</v>
      </c>
      <c r="BA26" s="163" t="e">
        <f t="shared" si="23"/>
        <v>#N/A</v>
      </c>
      <c r="BB26" s="163" t="e">
        <f t="shared" si="23"/>
        <v>#N/A</v>
      </c>
      <c r="BC26" s="163" t="e">
        <f t="shared" si="23"/>
        <v>#N/A</v>
      </c>
      <c r="BD26" s="163" t="e">
        <f t="shared" si="23"/>
        <v>#N/A</v>
      </c>
      <c r="BE26" s="163" t="e">
        <f t="shared" si="23"/>
        <v>#N/A</v>
      </c>
      <c r="BF26" s="163" t="e">
        <f t="shared" si="23"/>
        <v>#N/A</v>
      </c>
      <c r="BG26" s="163" t="e">
        <f t="shared" si="23"/>
        <v>#N/A</v>
      </c>
      <c r="BH26" s="163" t="e">
        <f t="shared" si="23"/>
        <v>#N/A</v>
      </c>
      <c r="BI26" s="163" t="e">
        <f t="shared" si="23"/>
        <v>#N/A</v>
      </c>
      <c r="BJ26" s="163" t="e">
        <f t="shared" si="23"/>
        <v>#N/A</v>
      </c>
      <c r="BK26" s="163" t="e">
        <f t="shared" si="23"/>
        <v>#N/A</v>
      </c>
      <c r="BL26" s="163" t="e">
        <f t="shared" si="23"/>
        <v>#N/A</v>
      </c>
      <c r="BM26" s="163">
        <f t="shared" si="23"/>
        <v>1826.1332344</v>
      </c>
      <c r="BN26" s="163">
        <f t="shared" si="23"/>
        <v>1531.091353</v>
      </c>
      <c r="BO26" s="163">
        <f t="shared" si="23"/>
        <v>1688.4721591999999</v>
      </c>
      <c r="BP26" s="163">
        <f t="shared" si="23"/>
        <v>1783.2480271999998</v>
      </c>
      <c r="BQ26" s="163">
        <f t="shared" si="23"/>
        <v>1709.0544464</v>
      </c>
      <c r="BR26" s="163">
        <f t="shared" si="23"/>
        <v>1815.9627645999999</v>
      </c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 spans="1:83" s="84" customForma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151" t="str">
        <f>"Forecast "&amp;"vs. "&amp;$A$7</f>
        <v>Forecast vs. 2019</v>
      </c>
      <c r="U27" s="193">
        <f>IFERROR(U22/U19-1,"")</f>
        <v>0.34081419624217113</v>
      </c>
      <c r="V27" s="193">
        <f>IFERROR(V22/V19-1,"")</f>
        <v>6.5420560747663448E-2</v>
      </c>
      <c r="W27" s="193">
        <f>IFERROR(W22/W19-1,"")</f>
        <v>8.8986962343022613E-2</v>
      </c>
      <c r="X27" s="194">
        <f>IFERROR(X22/X19-1,"")</f>
        <v>3.6799297581461499E-2</v>
      </c>
      <c r="Y27" s="56"/>
      <c r="Z27" s="151" t="str">
        <f>"Forecast "&amp;"vs. "&amp;$A$7</f>
        <v>Forecast vs. 2019</v>
      </c>
      <c r="AA27" s="193">
        <f>IFERROR(AA22/AA19-1,"")</f>
        <v>0.36289640452076077</v>
      </c>
      <c r="AB27" s="193">
        <f>IFERROR(AB22/AB19-1,"")</f>
        <v>6.3699006247969647E-2</v>
      </c>
      <c r="AC27" s="193">
        <f>IFERROR(AC22/AC19-1,"")</f>
        <v>1.7197192962294716E-2</v>
      </c>
      <c r="AD27" s="194">
        <f>IFERROR(AD22/AD19-1,"")</f>
        <v>1.6575703315202306E-2</v>
      </c>
      <c r="AE27" s="150"/>
      <c r="AF27" s="150"/>
      <c r="AH27" s="167" t="str">
        <f>AH18</f>
        <v>Trend 6m</v>
      </c>
      <c r="AU27" s="163" t="e">
        <f t="shared" ref="AU27:BR27" si="24">IF(AU18="",NA(),AU18)</f>
        <v>#N/A</v>
      </c>
      <c r="AV27" s="163" t="e">
        <f t="shared" si="24"/>
        <v>#N/A</v>
      </c>
      <c r="AW27" s="163" t="e">
        <f t="shared" si="24"/>
        <v>#N/A</v>
      </c>
      <c r="AX27" s="163" t="e">
        <f t="shared" si="24"/>
        <v>#N/A</v>
      </c>
      <c r="AY27" s="163" t="e">
        <f t="shared" si="24"/>
        <v>#N/A</v>
      </c>
      <c r="AZ27" s="163" t="e">
        <f t="shared" si="24"/>
        <v>#N/A</v>
      </c>
      <c r="BA27" s="163" t="e">
        <f t="shared" si="24"/>
        <v>#N/A</v>
      </c>
      <c r="BB27" s="163" t="e">
        <f t="shared" si="24"/>
        <v>#N/A</v>
      </c>
      <c r="BC27" s="163" t="e">
        <f t="shared" si="24"/>
        <v>#N/A</v>
      </c>
      <c r="BD27" s="163" t="e">
        <f t="shared" si="24"/>
        <v>#N/A</v>
      </c>
      <c r="BE27" s="163" t="e">
        <f t="shared" si="24"/>
        <v>#N/A</v>
      </c>
      <c r="BF27" s="163" t="e">
        <f t="shared" si="24"/>
        <v>#N/A</v>
      </c>
      <c r="BG27" s="163" t="e">
        <f t="shared" si="24"/>
        <v>#N/A</v>
      </c>
      <c r="BH27" s="163" t="e">
        <f t="shared" si="24"/>
        <v>#N/A</v>
      </c>
      <c r="BI27" s="163" t="e">
        <f t="shared" si="24"/>
        <v>#N/A</v>
      </c>
      <c r="BJ27" s="163" t="e">
        <f t="shared" si="24"/>
        <v>#N/A</v>
      </c>
      <c r="BK27" s="163" t="e">
        <f t="shared" si="24"/>
        <v>#N/A</v>
      </c>
      <c r="BL27" s="163" t="e">
        <f t="shared" si="24"/>
        <v>#N/A</v>
      </c>
      <c r="BM27" s="163" t="e">
        <f t="shared" si="24"/>
        <v>#N/A</v>
      </c>
      <c r="BN27" s="163">
        <f t="shared" si="24"/>
        <v>1752.0727272727272</v>
      </c>
      <c r="BO27" s="163">
        <f t="shared" si="24"/>
        <v>1779.8727272727274</v>
      </c>
      <c r="BP27" s="163">
        <f t="shared" si="24"/>
        <v>1807.6727272727273</v>
      </c>
      <c r="BQ27" s="163">
        <f t="shared" si="24"/>
        <v>1835.4727272727273</v>
      </c>
      <c r="BR27" s="163">
        <f t="shared" si="24"/>
        <v>1863.2727272727273</v>
      </c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 spans="1:83" s="84" customForma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150"/>
      <c r="AF28" s="150"/>
      <c r="AG28" s="1"/>
      <c r="AH28" s="167" t="str">
        <f>AH19</f>
        <v>Trend 12m</v>
      </c>
      <c r="AI28" s="1"/>
      <c r="AJ28" s="1"/>
      <c r="AK28" s="1"/>
      <c r="AL28" s="1"/>
      <c r="AU28" s="163" t="e">
        <f t="shared" ref="AU28:BR28" si="25">IF(AU19="",NA(),AU19)</f>
        <v>#N/A</v>
      </c>
      <c r="AV28" s="163" t="e">
        <f t="shared" si="25"/>
        <v>#N/A</v>
      </c>
      <c r="AW28" s="163" t="e">
        <f t="shared" si="25"/>
        <v>#N/A</v>
      </c>
      <c r="AX28" s="163" t="e">
        <f t="shared" si="25"/>
        <v>#N/A</v>
      </c>
      <c r="AY28" s="163" t="e">
        <f t="shared" si="25"/>
        <v>#N/A</v>
      </c>
      <c r="AZ28" s="163" t="e">
        <f t="shared" si="25"/>
        <v>#N/A</v>
      </c>
      <c r="BA28" s="163" t="e">
        <f t="shared" si="25"/>
        <v>#N/A</v>
      </c>
      <c r="BB28" s="163" t="e">
        <f t="shared" si="25"/>
        <v>#N/A</v>
      </c>
      <c r="BC28" s="163" t="e">
        <f t="shared" si="25"/>
        <v>#N/A</v>
      </c>
      <c r="BD28" s="163" t="e">
        <f t="shared" si="25"/>
        <v>#N/A</v>
      </c>
      <c r="BE28" s="163" t="e">
        <f t="shared" si="25"/>
        <v>#N/A</v>
      </c>
      <c r="BF28" s="163" t="e">
        <f t="shared" si="25"/>
        <v>#N/A</v>
      </c>
      <c r="BG28" s="163" t="e">
        <f t="shared" si="25"/>
        <v>#N/A</v>
      </c>
      <c r="BH28" s="163" t="e">
        <f t="shared" si="25"/>
        <v>#N/A</v>
      </c>
      <c r="BI28" s="163" t="e">
        <f t="shared" si="25"/>
        <v>#N/A</v>
      </c>
      <c r="BJ28" s="163" t="e">
        <f t="shared" si="25"/>
        <v>#N/A</v>
      </c>
      <c r="BK28" s="163" t="e">
        <f t="shared" si="25"/>
        <v>#N/A</v>
      </c>
      <c r="BL28" s="163" t="e">
        <f t="shared" si="25"/>
        <v>#N/A</v>
      </c>
      <c r="BM28" s="163" t="e">
        <f t="shared" si="25"/>
        <v>#N/A</v>
      </c>
      <c r="BN28" s="163">
        <f t="shared" si="25"/>
        <v>1731.205882352941</v>
      </c>
      <c r="BO28" s="163">
        <f t="shared" si="25"/>
        <v>1754.4117647058822</v>
      </c>
      <c r="BP28" s="163">
        <f t="shared" si="25"/>
        <v>1777.6176470588234</v>
      </c>
      <c r="BQ28" s="163">
        <f t="shared" si="25"/>
        <v>1800.8235294117646</v>
      </c>
      <c r="BR28" s="163">
        <f t="shared" si="25"/>
        <v>1824.0294117647059</v>
      </c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 spans="1:83" s="84" customForma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135" t="s">
        <v>97</v>
      </c>
      <c r="U29" s="164" t="str">
        <f>AA29</f>
        <v>Q1</v>
      </c>
      <c r="V29" s="164" t="str">
        <f t="shared" ref="V29:X29" si="26">AB29</f>
        <v>Q2</v>
      </c>
      <c r="W29" s="164" t="str">
        <f t="shared" si="26"/>
        <v>Q3</v>
      </c>
      <c r="X29" s="136" t="str">
        <f t="shared" si="26"/>
        <v>Q4</v>
      </c>
      <c r="Y29" s="56"/>
      <c r="Z29" s="135" t="s">
        <v>97</v>
      </c>
      <c r="AA29" s="164" t="s">
        <v>21</v>
      </c>
      <c r="AB29" s="164" t="s">
        <v>22</v>
      </c>
      <c r="AC29" s="164" t="s">
        <v>23</v>
      </c>
      <c r="AD29" s="136" t="s">
        <v>24</v>
      </c>
      <c r="AE29" s="170"/>
      <c r="AF29" s="170"/>
      <c r="AH29" s="167" t="s">
        <v>34</v>
      </c>
      <c r="AU29" s="163" t="e">
        <f t="shared" ref="AU29:BR29" si="27">IF(AU21="",NA(),AU21)</f>
        <v>#N/A</v>
      </c>
      <c r="AV29" s="163" t="e">
        <f t="shared" si="27"/>
        <v>#N/A</v>
      </c>
      <c r="AW29" s="163" t="e">
        <f t="shared" si="27"/>
        <v>#N/A</v>
      </c>
      <c r="AX29" s="163" t="e">
        <f t="shared" si="27"/>
        <v>#N/A</v>
      </c>
      <c r="AY29" s="163" t="e">
        <f t="shared" si="27"/>
        <v>#N/A</v>
      </c>
      <c r="AZ29" s="163" t="e">
        <f t="shared" si="27"/>
        <v>#N/A</v>
      </c>
      <c r="BA29" s="163" t="e">
        <f t="shared" si="27"/>
        <v>#N/A</v>
      </c>
      <c r="BB29" s="163" t="e">
        <f t="shared" si="27"/>
        <v>#N/A</v>
      </c>
      <c r="BC29" s="163" t="e">
        <f t="shared" si="27"/>
        <v>#N/A</v>
      </c>
      <c r="BD29" s="163" t="e">
        <f t="shared" si="27"/>
        <v>#N/A</v>
      </c>
      <c r="BE29" s="163" t="e">
        <f t="shared" si="27"/>
        <v>#N/A</v>
      </c>
      <c r="BF29" s="163" t="e">
        <f t="shared" si="27"/>
        <v>#N/A</v>
      </c>
      <c r="BG29" s="163" t="e">
        <f t="shared" si="27"/>
        <v>#N/A</v>
      </c>
      <c r="BH29" s="163" t="e">
        <f t="shared" si="27"/>
        <v>#N/A</v>
      </c>
      <c r="BI29" s="163" t="e">
        <f t="shared" si="27"/>
        <v>#N/A</v>
      </c>
      <c r="BJ29" s="163" t="e">
        <f t="shared" si="27"/>
        <v>#N/A</v>
      </c>
      <c r="BK29" s="163" t="e">
        <f t="shared" si="27"/>
        <v>#N/A</v>
      </c>
      <c r="BL29" s="163" t="e">
        <f t="shared" si="27"/>
        <v>#N/A</v>
      </c>
      <c r="BM29" s="163">
        <f t="shared" si="27"/>
        <v>1852</v>
      </c>
      <c r="BN29" s="163">
        <f t="shared" si="27"/>
        <v>1440.9444834415629</v>
      </c>
      <c r="BO29" s="163">
        <f t="shared" si="27"/>
        <v>1546.5135772108297</v>
      </c>
      <c r="BP29" s="163">
        <f t="shared" si="27"/>
        <v>1688.155482175099</v>
      </c>
      <c r="BQ29" s="163">
        <f t="shared" si="27"/>
        <v>1438.9634473016176</v>
      </c>
      <c r="BR29" s="163">
        <f t="shared" si="27"/>
        <v>1507.3739307124163</v>
      </c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 spans="1:83" s="84" customForma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195" t="str">
        <f>T25</f>
        <v>vs 2018</v>
      </c>
      <c r="U30" s="196">
        <f t="shared" ref="U30:X31" si="28">U$21-U18</f>
        <v>1954</v>
      </c>
      <c r="V30" s="196">
        <f t="shared" si="28"/>
        <v>968</v>
      </c>
      <c r="W30" s="196">
        <f t="shared" si="28"/>
        <v>-1850</v>
      </c>
      <c r="X30" s="110">
        <f t="shared" si="28"/>
        <v>-3868</v>
      </c>
      <c r="Z30" s="195" t="str">
        <f>Z25</f>
        <v>vs 2018</v>
      </c>
      <c r="AA30" s="196">
        <f t="shared" ref="AA30:AD31" si="29">AA$21-AA18</f>
        <v>2661.6943381229994</v>
      </c>
      <c r="AB30" s="196">
        <f t="shared" si="29"/>
        <v>1427.8687968149998</v>
      </c>
      <c r="AC30" s="196">
        <f t="shared" si="29"/>
        <v>-2941.2435740609999</v>
      </c>
      <c r="AD30" s="110">
        <f t="shared" si="29"/>
        <v>-5312.3681406300002</v>
      </c>
      <c r="AE30" s="175"/>
      <c r="AF30" s="175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 spans="1:83" s="84" customForma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195" t="str">
        <f>T26</f>
        <v>vs 2019</v>
      </c>
      <c r="U31" s="196">
        <f t="shared" si="28"/>
        <v>1306</v>
      </c>
      <c r="V31" s="196">
        <f t="shared" si="28"/>
        <v>280</v>
      </c>
      <c r="W31" s="196">
        <f t="shared" si="28"/>
        <v>-2592</v>
      </c>
      <c r="X31" s="110">
        <f t="shared" si="28"/>
        <v>-4470</v>
      </c>
      <c r="Z31" s="195" t="str">
        <f>Z26</f>
        <v>vs 2019</v>
      </c>
      <c r="AA31" s="196">
        <f t="shared" si="29"/>
        <v>1904.0909362384955</v>
      </c>
      <c r="AB31" s="196">
        <f t="shared" si="29"/>
        <v>381.0715991436582</v>
      </c>
      <c r="AC31" s="196">
        <f t="shared" si="29"/>
        <v>-3966.005169734799</v>
      </c>
      <c r="AD31" s="110">
        <f t="shared" si="29"/>
        <v>-6214.8329415131147</v>
      </c>
      <c r="AE31" s="179"/>
      <c r="AF31" s="179"/>
      <c r="AH31" s="1"/>
      <c r="AI31" s="1"/>
      <c r="AJ31" s="1"/>
      <c r="AK31" s="1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 spans="1:83" s="84" customFormat="1" ht="16.149999999999999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67"/>
      <c r="T32" s="151" t="str">
        <f>"Forecast "&amp;"vs. "&amp;$A$7</f>
        <v>Forecast vs. 2019</v>
      </c>
      <c r="U32" s="197">
        <f>U22-U19</f>
        <v>1306</v>
      </c>
      <c r="V32" s="197">
        <f t="shared" ref="V32:X32" si="30">V22-V19</f>
        <v>280</v>
      </c>
      <c r="W32" s="197">
        <f t="shared" si="30"/>
        <v>395.45806065239231</v>
      </c>
      <c r="X32" s="127">
        <f t="shared" si="30"/>
        <v>164.49286018913244</v>
      </c>
      <c r="Y32" s="175"/>
      <c r="Z32" s="151" t="str">
        <f>"Forecast "&amp;"vs. "&amp;$A$7</f>
        <v>Forecast vs. 2019</v>
      </c>
      <c r="AA32" s="197">
        <f>AA22-AA19</f>
        <v>1904.0909362384955</v>
      </c>
      <c r="AB32" s="197">
        <f t="shared" ref="AB32:AD32" si="31">AB22-AB19</f>
        <v>381.0715991436582</v>
      </c>
      <c r="AC32" s="197">
        <f t="shared" si="31"/>
        <v>106.56695549413143</v>
      </c>
      <c r="AD32" s="127">
        <f t="shared" si="31"/>
        <v>103.01522699206726</v>
      </c>
      <c r="AE32" s="131"/>
      <c r="AF32" s="131"/>
      <c r="AG32" s="1"/>
      <c r="BM32" s="198"/>
      <c r="BN32" s="198"/>
      <c r="BO32" s="198"/>
      <c r="BP32" s="198"/>
      <c r="BQ32" s="198"/>
      <c r="BR32" s="198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 spans="1:83" s="84" customFormat="1" ht="15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131"/>
      <c r="AF33" s="131"/>
      <c r="AG33" s="158" t="s">
        <v>82</v>
      </c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 spans="1:83" s="84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35" t="s">
        <v>88</v>
      </c>
      <c r="U34" s="164" t="str">
        <f>AA34</f>
        <v>Q1</v>
      </c>
      <c r="V34" s="164" t="str">
        <f t="shared" ref="V34:X34" si="32">AB34</f>
        <v>Q2</v>
      </c>
      <c r="W34" s="164" t="str">
        <f t="shared" si="32"/>
        <v>Q3</v>
      </c>
      <c r="X34" s="164" t="str">
        <f t="shared" si="32"/>
        <v>Q4</v>
      </c>
      <c r="Y34" s="131"/>
      <c r="Z34" s="135" t="s">
        <v>88</v>
      </c>
      <c r="AA34" s="164" t="s">
        <v>21</v>
      </c>
      <c r="AB34" s="164" t="s">
        <v>22</v>
      </c>
      <c r="AC34" s="164" t="s">
        <v>23</v>
      </c>
      <c r="AD34" s="136" t="s">
        <v>24</v>
      </c>
      <c r="AE34" s="170"/>
      <c r="AF34" s="170"/>
      <c r="AG34" s="160" t="s">
        <v>29</v>
      </c>
      <c r="AH34" s="162" t="s">
        <v>0</v>
      </c>
      <c r="AI34" s="163">
        <f>SUMIFS('Sales Data'!$E:$E,'Sales Data'!$A:$A,$E$2,'Sales Data'!$B:$B,AI$15,'Sales Data'!$C:$C,"Periodic")/1000</f>
        <v>1391.144696028</v>
      </c>
      <c r="AJ34" s="163">
        <f>SUMIFS('Sales Data'!$E:$E,'Sales Data'!$A:$A,$E$2,'Sales Data'!$B:$B,AJ$15,'Sales Data'!$C:$C,"Periodic")/1000</f>
        <v>1457.0786385059998</v>
      </c>
      <c r="AK34" s="163">
        <f>SUMIFS('Sales Data'!$E:$E,'Sales Data'!$A:$A,$E$2,'Sales Data'!$B:$B,AK$15,'Sales Data'!$C:$C,"Periodic")/1000</f>
        <v>1641.1002447210001</v>
      </c>
      <c r="AL34" s="163">
        <f>SUMIFS('Sales Data'!$E:$E,'Sales Data'!$A:$A,$E$2,'Sales Data'!$B:$B,AL$15,'Sales Data'!$C:$C,"Periodic")/1000</f>
        <v>1527.7163257320001</v>
      </c>
      <c r="AM34" s="163">
        <f>SUMIFS('Sales Data'!$E:$E,'Sales Data'!$A:$A,$E$2,'Sales Data'!$B:$B,AM$15,'Sales Data'!$C:$C,"Periodic")/1000</f>
        <v>1852.828353681</v>
      </c>
      <c r="AN34" s="163">
        <f>SUMIFS('Sales Data'!$E:$E,'Sales Data'!$A:$A,$E$2,'Sales Data'!$B:$B,AN$15,'Sales Data'!$C:$C,"Periodic")/1000</f>
        <v>1555.037151879</v>
      </c>
      <c r="AO34" s="163">
        <f>SUMIFS('Sales Data'!$E:$E,'Sales Data'!$A:$A,$E$2,'Sales Data'!$B:$B,AO$15,'Sales Data'!$C:$C,"Periodic")/1000</f>
        <v>1666.624531683</v>
      </c>
      <c r="AP34" s="163">
        <f>SUMIFS('Sales Data'!$E:$E,'Sales Data'!$A:$A,$E$2,'Sales Data'!$B:$B,AP$15,'Sales Data'!$C:$C,"Periodic")/1000</f>
        <v>1830.4396000140002</v>
      </c>
      <c r="AQ34" s="163">
        <f>SUMIFS('Sales Data'!$E:$E,'Sales Data'!$A:$A,$E$2,'Sales Data'!$B:$B,AQ$15,'Sales Data'!$C:$C,"Periodic")/1000</f>
        <v>1674.938810178</v>
      </c>
      <c r="AR34" s="163">
        <f>SUMIFS('Sales Data'!$E:$E,'Sales Data'!$A:$A,$E$2,'Sales Data'!$B:$B,AR$15,'Sales Data'!$C:$C,"Periodic")/1000</f>
        <v>1631.5077334110001</v>
      </c>
      <c r="AS34" s="163">
        <f>SUMIFS('Sales Data'!$E:$E,'Sales Data'!$A:$A,$E$2,'Sales Data'!$B:$B,AS$15,'Sales Data'!$C:$C,"Periodic")/1000</f>
        <v>1864.4213582940001</v>
      </c>
      <c r="AT34" s="163">
        <f>SUMIFS('Sales Data'!$E:$E,'Sales Data'!$A:$A,$E$2,'Sales Data'!$B:$B,AT$15,'Sales Data'!$C:$C,"Periodic")/1000</f>
        <v>1816.439048925</v>
      </c>
      <c r="AU34" s="163">
        <f>SUMIFS('Sales Data'!$E:$E,'Sales Data'!$A:$A,$E$2,'Sales Data'!$B:$B,AU$15,'Sales Data'!$C:$C,"Periodic")/1000</f>
        <v>1690.3867757865562</v>
      </c>
      <c r="AV34" s="163">
        <f>SUMIFS('Sales Data'!$E:$E,'Sales Data'!$A:$A,$E$2,'Sales Data'!$B:$B,AV$15,'Sales Data'!$C:$C,"Periodic")/1000</f>
        <v>2011.3839385243195</v>
      </c>
      <c r="AW34" s="163">
        <f>SUMIFS('Sales Data'!$E:$E,'Sales Data'!$A:$A,$E$2,'Sales Data'!$B:$B,AW$15,'Sales Data'!$C:$C,"Periodic")/1000</f>
        <v>1545.1562668286288</v>
      </c>
      <c r="AX34" s="163">
        <f>SUMIFS('Sales Data'!$E:$E,'Sales Data'!$A:$A,$E$2,'Sales Data'!$B:$B,AX$15,'Sales Data'!$C:$C,"Periodic")/1000</f>
        <v>2250.1060861155411</v>
      </c>
      <c r="AY34" s="163">
        <f>SUMIFS('Sales Data'!$E:$E,'Sales Data'!$A:$A,$E$2,'Sales Data'!$B:$B,AY$15,'Sales Data'!$C:$C,"Periodic")/1000</f>
        <v>1970.3038874724662</v>
      </c>
      <c r="AZ34" s="163">
        <f>SUMIFS('Sales Data'!$E:$E,'Sales Data'!$A:$A,$E$2,'Sales Data'!$B:$B,AZ$15,'Sales Data'!$C:$C,"Periodic")/1000</f>
        <v>1761.9690553753344</v>
      </c>
      <c r="BA34" s="163">
        <f>SUMIFS('Sales Data'!$E:$E,'Sales Data'!$A:$A,$E$2,'Sales Data'!$B:$B,BA$15,'Sales Data'!$C:$C,"Periodic")/1000</f>
        <v>2447.2910734761708</v>
      </c>
      <c r="BB34" s="163">
        <f>SUMIFS('Sales Data'!$E:$E,'Sales Data'!$A:$A,$E$2,'Sales Data'!$B:$B,BB$15,'Sales Data'!$C:$C,"Periodic")/1000</f>
        <v>1799.0383362456187</v>
      </c>
      <c r="BC34" s="163">
        <f>SUMIFS('Sales Data'!$E:$E,'Sales Data'!$A:$A,$E$2,'Sales Data'!$B:$B,BC$15,'Sales Data'!$C:$C,"Periodic")/1000</f>
        <v>1950.4351278270096</v>
      </c>
      <c r="BD34" s="163">
        <f>SUMIFS('Sales Data'!$E:$E,'Sales Data'!$A:$A,$E$2,'Sales Data'!$B:$B,BD$15,'Sales Data'!$C:$C,"Periodic")/1000</f>
        <v>2097.4438525737464</v>
      </c>
      <c r="BE34" s="163">
        <f>SUMIFS('Sales Data'!$E:$E,'Sales Data'!$A:$A,$E$2,'Sales Data'!$B:$B,BE$15,'Sales Data'!$C:$C,"Periodic")/1000</f>
        <v>1940.7240471902387</v>
      </c>
      <c r="BF34" s="163">
        <f>SUMIFS('Sales Data'!$E:$E,'Sales Data'!$A:$A,$E$2,'Sales Data'!$B:$B,BF$15,'Sales Data'!$C:$C,"Periodic")/1000</f>
        <v>2176.6650417491296</v>
      </c>
      <c r="BG34" s="163">
        <f>IF(OR(BG$8=1,BG$9=0),SUMIFS('Sales Data'!$E:$E,'Sales Data'!$A:$A,$E$2,'Sales Data'!$B:$B,BG$15,'Sales Data'!$C:$C,"Periodic")/1000,"")</f>
        <v>2374.8096808109999</v>
      </c>
      <c r="BH34" s="163">
        <f>IF(OR(BH$8=1,BH$9=0),SUMIFS('Sales Data'!$E:$E,'Sales Data'!$A:$A,$E$2,'Sales Data'!$B:$B,BH$15,'Sales Data'!$C:$C,"Periodic")/1000,"")</f>
        <v>1899.9102903480002</v>
      </c>
      <c r="BI34" s="163">
        <f>IF(OR(BI$8=1,BI$9=0),SUMIFS('Sales Data'!$E:$E,'Sales Data'!$A:$A,$E$2,'Sales Data'!$B:$B,BI$15,'Sales Data'!$C:$C,"Periodic")/1000,"")</f>
        <v>2876.2979462190001</v>
      </c>
      <c r="BJ34" s="163">
        <f>IF(OR(BJ$8=1,BJ$9=0),SUMIFS('Sales Data'!$E:$E,'Sales Data'!$A:$A,$E$2,'Sales Data'!$B:$B,BJ$15,'Sales Data'!$C:$C,"Periodic")/1000,"")</f>
        <v>1927.7196770369999</v>
      </c>
      <c r="BK34" s="163">
        <f>IF(OR(BK$8=1,BK$9=0),SUMIFS('Sales Data'!$E:$E,'Sales Data'!$A:$A,$E$2,'Sales Data'!$B:$B,BK$15,'Sales Data'!$C:$C,"Periodic")/1000,"")</f>
        <v>2047.5976440450002</v>
      </c>
      <c r="BL34" s="163">
        <f>IF(OR(BL$8=1,BL$9=0),SUMIFS('Sales Data'!$E:$E,'Sales Data'!$A:$A,$E$2,'Sales Data'!$B:$B,BL$15,'Sales Data'!$C:$C,"Periodic")/1000,"")</f>
        <v>2388.1333070249998</v>
      </c>
      <c r="BM34" s="163">
        <f>IF(OR(BM$8=1,BM$9=0),SUMIFS('Sales Data'!$E:$E,'Sales Data'!$A:$A,$E$2,'Sales Data'!$B:$B,BM$15,'Sales Data'!$C:$C,"Periodic")/1000,"")</f>
        <v>2230.7593678140001</v>
      </c>
      <c r="BN34" s="163" t="str">
        <f>IF(OR(BN$8=1,BN$9=0),SUMIFS('Sales Data'!$E:$E,'Sales Data'!$A:$A,$E$2,'Sales Data'!$B:$B,BN$15,'Sales Data'!$C:$C,"Periodic")/1000,"")</f>
        <v/>
      </c>
      <c r="BO34" s="163" t="str">
        <f>IF(OR(BO$8=1,BO$9=0),SUMIFS('Sales Data'!$E:$E,'Sales Data'!$A:$A,$E$2,'Sales Data'!$B:$B,BO$15,'Sales Data'!$C:$C,"Periodic")/1000,"")</f>
        <v/>
      </c>
      <c r="BP34" s="163" t="str">
        <f>IF(OR(BP$8=1,BP$9=0),SUMIFS('Sales Data'!$E:$E,'Sales Data'!$A:$A,$E$2,'Sales Data'!$B:$B,BP$15,'Sales Data'!$C:$C,"Periodic")/1000,"")</f>
        <v/>
      </c>
      <c r="BQ34" s="163" t="str">
        <f>IF(OR(BQ$8=1,BQ$9=0),SUMIFS('Sales Data'!$E:$E,'Sales Data'!$A:$A,$E$2,'Sales Data'!$B:$B,BQ$15,'Sales Data'!$C:$C,"Periodic")/1000,"")</f>
        <v/>
      </c>
      <c r="BR34" s="163" t="str">
        <f>IF(OR(BR$8=1,BR$9=0),SUMIFS('Sales Data'!$E:$E,'Sales Data'!$A:$A,$E$2,'Sales Data'!$B:$B,BR$15,'Sales Data'!$C:$C,"Periodic")/1000,"")</f>
        <v/>
      </c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 spans="1:83" s="84" customFormat="1" ht="12.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T35" s="112" t="str">
        <f>+T19</f>
        <v>2019 Actual</v>
      </c>
      <c r="U35" s="192">
        <f>IFERROR(U19/X18-1,"")</f>
        <v>-9.3071354705274167E-3</v>
      </c>
      <c r="V35" s="192">
        <f t="shared" ref="V35:X36" si="33">IFERROR(V19/U19-1,"")</f>
        <v>0.1169102296450939</v>
      </c>
      <c r="W35" s="192">
        <f t="shared" si="33"/>
        <v>3.831775700934581E-2</v>
      </c>
      <c r="X35" s="149">
        <f t="shared" si="33"/>
        <v>5.850585058505775E-3</v>
      </c>
      <c r="Y35" s="131"/>
      <c r="Z35" s="112" t="str">
        <f>+Z19</f>
        <v>2019 Actual</v>
      </c>
      <c r="AA35" s="192">
        <f>IFERROR(AA19/AD18-1,"")</f>
        <v>-1.2318641660014062E-2</v>
      </c>
      <c r="AB35" s="192">
        <f t="shared" ref="AB35:AD36" si="34">IFERROR(AB19/AA19-1,"")</f>
        <v>0.14016814994138049</v>
      </c>
      <c r="AC35" s="192">
        <f t="shared" si="34"/>
        <v>3.5836162761925028E-2</v>
      </c>
      <c r="AD35" s="149">
        <f t="shared" si="34"/>
        <v>2.9157803003214688E-3</v>
      </c>
      <c r="AE35" s="199"/>
      <c r="AF35" s="179"/>
      <c r="AG35" s="131"/>
      <c r="AH35" s="166" t="s">
        <v>1</v>
      </c>
      <c r="AI35" s="1"/>
      <c r="AJ35" s="1"/>
      <c r="AK35" s="1"/>
      <c r="AL35" s="1"/>
      <c r="BG35" s="163" t="str">
        <f>IF(OR(BG$8=1,BG$9=1),SUMIFS('Sales Data'!$D:$D,'Sales Data'!$A:$A,$E$2,'Sales Data'!$B:$B,BG$15,'Sales Data'!$C:$C,"Periodic")/1000,"")</f>
        <v/>
      </c>
      <c r="BH35" s="163" t="str">
        <f>IF(OR(BH$8=1,BH$9=1),SUMIFS('Sales Data'!$D:$D,'Sales Data'!$A:$A,$E$2,'Sales Data'!$B:$B,BH$15,'Sales Data'!$C:$C,"Periodic")/1000,"")</f>
        <v/>
      </c>
      <c r="BI35" s="163" t="str">
        <f>IF(OR(BI$8=1,BI$9=1),SUMIFS('Sales Data'!$D:$D,'Sales Data'!$A:$A,$E$2,'Sales Data'!$B:$B,BI$15,'Sales Data'!$C:$C,"Periodic")/1000,"")</f>
        <v/>
      </c>
      <c r="BJ35" s="163" t="str">
        <f>IF(OR(BJ$8=1,BJ$9=1),SUMIFS('Sales Data'!$D:$D,'Sales Data'!$A:$A,$E$2,'Sales Data'!$B:$B,BJ$15,'Sales Data'!$C:$C,"Periodic")/1000,"")</f>
        <v/>
      </c>
      <c r="BK35" s="163" t="str">
        <f>IF(OR(BK$8=1,BK$9=1),SUMIFS('Sales Data'!$D:$D,'Sales Data'!$A:$A,$E$2,'Sales Data'!$B:$B,BK$15,'Sales Data'!$C:$C,"Periodic")/1000,"")</f>
        <v/>
      </c>
      <c r="BL35" s="163" t="str">
        <f>IF(OR(BL$8=1,BL$9=1),SUMIFS('Sales Data'!$D:$D,'Sales Data'!$A:$A,$E$2,'Sales Data'!$B:$B,BL$15,'Sales Data'!$C:$C,"Periodic")/1000,"")</f>
        <v/>
      </c>
      <c r="BM35" s="163">
        <f>IF(OR(BM$8=1,BM$9=1),SUMIFS('Sales Data'!$D:$D,'Sales Data'!$A:$A,$E$2,'Sales Data'!$B:$B,BM$15,'Sales Data'!$C:$C,"Periodic")/1000,"")</f>
        <v>2295.1582137395931</v>
      </c>
      <c r="BN35" s="163">
        <f>IF(OR(BN$8=1,BN$9=1),SUMIFS('Sales Data'!$D:$D,'Sales Data'!$A:$A,$E$2,'Sales Data'!$B:$B,BN$15,'Sales Data'!$C:$C,"Periodic")/1000,"")</f>
        <v>1964.3289439132727</v>
      </c>
      <c r="BO35" s="163">
        <f>IF(OR(BO$8=1,BO$9=1),SUMIFS('Sales Data'!$D:$D,'Sales Data'!$A:$A,$E$2,'Sales Data'!$B:$B,BO$15,'Sales Data'!$C:$C,"Periodic")/1000,"")</f>
        <v>2108.2431813156572</v>
      </c>
      <c r="BP35" s="163">
        <f>IF(OR(BP$8=1,BP$9=1),SUMIFS('Sales Data'!$D:$D,'Sales Data'!$A:$A,$E$2,'Sales Data'!$B:$B,BP$15,'Sales Data'!$C:$C,"Periodic")/1000,"")</f>
        <v>2301.332711682433</v>
      </c>
      <c r="BQ35" s="163">
        <f>IF(OR(BQ$8=1,BQ$9=1),SUMIFS('Sales Data'!$D:$D,'Sales Data'!$A:$A,$E$2,'Sales Data'!$B:$B,BQ$15,'Sales Data'!$C:$C,"Periodic")/1000,"")</f>
        <v>1961.6283494952713</v>
      </c>
      <c r="BR35" s="163">
        <f>IF(OR(BR$8=1,BR$9=1),SUMIFS('Sales Data'!$D:$D,'Sales Data'!$A:$A,$E$2,'Sales Data'!$B:$B,BR$15,'Sales Data'!$C:$C,"Periodic")/1000,"")</f>
        <v>2054.8871073274777</v>
      </c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 spans="1:83" s="84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2" t="str">
        <f>+T20</f>
        <v>2020 Budget</v>
      </c>
      <c r="U36" s="192">
        <f>IFERROR(U20/X19-1,"")</f>
        <v>6.3944356957494231E-2</v>
      </c>
      <c r="V36" s="192">
        <f t="shared" si="33"/>
        <v>5.7978255665769751E-2</v>
      </c>
      <c r="W36" s="192">
        <f t="shared" si="33"/>
        <v>2.8084038216313889E-3</v>
      </c>
      <c r="X36" s="149">
        <f t="shared" si="33"/>
        <v>5.2038103910412303E-2</v>
      </c>
      <c r="Y36" s="170"/>
      <c r="Z36" s="112" t="str">
        <f>+Z20</f>
        <v>2020 Budget</v>
      </c>
      <c r="AA36" s="192">
        <f>IFERROR(AA20/AD19-1,"")</f>
        <v>-3.2429347000176634E-2</v>
      </c>
      <c r="AB36" s="192">
        <f t="shared" si="34"/>
        <v>5.7863746546536587E-2</v>
      </c>
      <c r="AC36" s="192">
        <f t="shared" si="34"/>
        <v>1.0200658032195609E-3</v>
      </c>
      <c r="AD36" s="149">
        <f t="shared" si="34"/>
        <v>-7.8335871351331576E-3</v>
      </c>
      <c r="AE36" s="179"/>
      <c r="AF36" s="179"/>
      <c r="AG36" s="131"/>
      <c r="AH36" s="171" t="s">
        <v>26</v>
      </c>
      <c r="BG36" s="174" t="str">
        <f>IF(BG$9,FORECAST(BG$12,$AP34:BF34,$AP12:BF12), "")</f>
        <v/>
      </c>
      <c r="BH36" s="174" t="str">
        <f>IF(BH$9,FORECAST(BH$12,$AP34:BG34,$AP12:BG12), "")</f>
        <v/>
      </c>
      <c r="BI36" s="174" t="str">
        <f>IF(BI$9,FORECAST(BI$12,$AP34:BH34,$AP12:BH12), "")</f>
        <v/>
      </c>
      <c r="BJ36" s="174" t="str">
        <f>IF(BJ$9,FORECAST(BJ$12,$AP34:BI34,$AP12:BI12), "")</f>
        <v/>
      </c>
      <c r="BK36" s="174" t="str">
        <f>IF(BK$9,FORECAST(BK$12,$AP34:BJ34,$AP12:BJ12), "")</f>
        <v/>
      </c>
      <c r="BL36" s="174" t="str">
        <f>IF(BL$9,FORECAST(BL$12,$AP34:BK34,$AP12:BK12), "")</f>
        <v/>
      </c>
      <c r="BM36" s="174" t="str">
        <f>IF(BM$9,FORECAST(BM$12,$AP34:BL34,$AP12:BL12), "")</f>
        <v/>
      </c>
      <c r="BN36" s="174">
        <f>IF(BN$9,FORECAST(BN$12,$AP34:BM34,$AP12:BM12), "")</f>
        <v>2331.2413081101745</v>
      </c>
      <c r="BO36" s="174">
        <f>IF(BO$9,FORECAST(BO$12,$AP34:BN34,$AP12:BN12), "")</f>
        <v>2357.5012839673382</v>
      </c>
      <c r="BP36" s="174">
        <f>IF(BP$9,FORECAST(BP$12,$AP34:BO34,$AP12:BO12), "")</f>
        <v>2383.7612598245014</v>
      </c>
      <c r="BQ36" s="174">
        <f>IF(BQ$9,FORECAST(BQ$12,$AP34:BP34,$AP12:BP12), "")</f>
        <v>2410.0212356816651</v>
      </c>
      <c r="BR36" s="174">
        <f>IF(BR$9,FORECAST(BR$12,$AP34:BQ34,$AP12:BQ12), "")</f>
        <v>2436.2812115388288</v>
      </c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 spans="1:83" s="84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2" t="str">
        <f>+T21</f>
        <v>2020 Actual</v>
      </c>
      <c r="U37" s="192">
        <f>IF(U21&lt;&gt;0,IFERROR(U21/X19-1,""),"")</f>
        <v>0.14944071588366881</v>
      </c>
      <c r="V37" s="192">
        <f>IF(V21&lt;&gt;0,IFERROR(V21/U21-1,""),"")</f>
        <v>-0.11249513429349944</v>
      </c>
      <c r="W37" s="192">
        <f>IF(W21&lt;&gt;0,IFERROR(W21/V21-1,""),"")</f>
        <v>-0.59385964912280698</v>
      </c>
      <c r="X37" s="149" t="str">
        <f>IF(X21&lt;&gt;0,IFERROR(X21/W21-1,""),"")</f>
        <v/>
      </c>
      <c r="Y37" s="179"/>
      <c r="Z37" s="112" t="str">
        <f>+Z21</f>
        <v>2020 Actual</v>
      </c>
      <c r="AA37" s="192">
        <f>IF(AA21&lt;&gt;0,IFERROR(AA21/AD19-1,""),"")</f>
        <v>0.15063719084248683</v>
      </c>
      <c r="AB37" s="192">
        <f>IF(AB21&lt;&gt;0,IFERROR(AB21/AA21-1,""),"")</f>
        <v>-0.11013359194040029</v>
      </c>
      <c r="AC37" s="192">
        <f>IF(AC21&lt;&gt;0,IFERROR(AC21/AB21-1,""),"")</f>
        <v>-0.64944186759918232</v>
      </c>
      <c r="AD37" s="149" t="str">
        <f>IF(AD21&lt;&gt;0,IFERROR(AD21/AC21-1,""),"")</f>
        <v/>
      </c>
      <c r="AE37" s="179"/>
      <c r="AF37" s="179"/>
      <c r="AG37" s="170"/>
      <c r="AH37" s="171" t="s">
        <v>90</v>
      </c>
      <c r="BG37" s="174" t="str">
        <f>IF(BG$9,FORECAST(BG$13,$AP34:BF34,$AP13:BF13), "")</f>
        <v/>
      </c>
      <c r="BH37" s="174" t="str">
        <f>IF(BH$9,FORECAST(BH$13,$AP34:BG34,$AP13:BG13), "")</f>
        <v/>
      </c>
      <c r="BI37" s="174" t="str">
        <f>IF(BI$9,FORECAST(BI$13,$AP34:BH34,$AP13:BH13), "")</f>
        <v/>
      </c>
      <c r="BJ37" s="174" t="str">
        <f>IF(BJ$9,FORECAST(BJ$13,$AP34:BI34,$AP13:BI13), "")</f>
        <v/>
      </c>
      <c r="BK37" s="174" t="str">
        <f>IF(BK$9,FORECAST(BK$13,$AP34:BJ34,$AP13:BJ13), "")</f>
        <v/>
      </c>
      <c r="BL37" s="174" t="str">
        <f>IF(BL$9,FORECAST(BL$13,$AP34:BK34,$AP13:BK13), "")</f>
        <v/>
      </c>
      <c r="BM37" s="174" t="str">
        <f>IF(BM$9,FORECAST(BM$13,$AP34:BL34,$AP13:BL13), "")</f>
        <v/>
      </c>
      <c r="BN37" s="174">
        <f>IF(BN$9,FORECAST(BN$13,$AP34:BM34,$AP13:BM13), "")</f>
        <v>2334.8920548269607</v>
      </c>
      <c r="BO37" s="174">
        <f>IF(BO$9,FORECAST(BO$13,$AP34:BN34,$AP13:BN13), "")</f>
        <v>2361.0933897544473</v>
      </c>
      <c r="BP37" s="174">
        <f>IF(BP$9,FORECAST(BP$13,$AP34:BO34,$AP13:BO13), "")</f>
        <v>2387.294724681934</v>
      </c>
      <c r="BQ37" s="174">
        <f>IF(BQ$9,FORECAST(BQ$13,$AP34:BP34,$AP13:BP13), "")</f>
        <v>2413.4960596094206</v>
      </c>
      <c r="BR37" s="174">
        <f>IF(BR$9,FORECAST(BR$13,$AP34:BQ34,$AP13:BQ13), "")</f>
        <v>2439.6973945369073</v>
      </c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 spans="1:83" s="84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51" t="s">
        <v>34</v>
      </c>
      <c r="U38" s="193">
        <f>IFERROR(U22/X19-1,"")</f>
        <v>0.14944071588366881</v>
      </c>
      <c r="V38" s="193">
        <f>IFERROR(V22/U22-1,"")</f>
        <v>-0.11249513429349944</v>
      </c>
      <c r="W38" s="193">
        <f>IFERROR(W22/V22-1,"")</f>
        <v>6.1284662423770175E-2</v>
      </c>
      <c r="X38" s="194">
        <f>IFERROR(X22/W22-1,"")</f>
        <v>-4.2352924210614873E-2</v>
      </c>
      <c r="Y38" s="179"/>
      <c r="Z38" s="151" t="s">
        <v>34</v>
      </c>
      <c r="AA38" s="193">
        <f>IFERROR(AA22/AD19-1,"")</f>
        <v>0.15063719084248683</v>
      </c>
      <c r="AB38" s="193">
        <f>IFERROR(AB22/AA22-1,"")</f>
        <v>-0.11013359194040029</v>
      </c>
      <c r="AC38" s="193">
        <f>IFERROR(AC22/AB22-1,"")</f>
        <v>-9.4475683992151227E-3</v>
      </c>
      <c r="AD38" s="194">
        <f>IFERROR(AD22/AC22-1,"")</f>
        <v>2.3030163459234476E-3</v>
      </c>
      <c r="AE38" s="1"/>
      <c r="AF38" s="1"/>
      <c r="AG38" s="179"/>
      <c r="AH38" s="166" t="s">
        <v>1</v>
      </c>
      <c r="AI38" s="1"/>
      <c r="AJ38" s="1"/>
      <c r="AK38" s="1"/>
      <c r="BG38" s="163">
        <f>SUMIFS('Sales Data'!$D:$D,'Sales Data'!$A:$A,$E$2,'Sales Data'!$B:$B,BG$15,'Sales Data'!$C:$C,"Periodic")/1000</f>
        <v>1879.7722767438308</v>
      </c>
      <c r="BH38" s="163">
        <f>SUMIFS('Sales Data'!$D:$D,'Sales Data'!$A:$A,$E$2,'Sales Data'!$B:$B,BH$15,'Sales Data'!$C:$C,"Periodic")/1000</f>
        <v>2223.6608376606791</v>
      </c>
      <c r="BI38" s="163">
        <f>SUMIFS('Sales Data'!$D:$D,'Sales Data'!$A:$A,$E$2,'Sales Data'!$B:$B,BI$15,'Sales Data'!$C:$C,"Periodic")/1000</f>
        <v>1909.8568531001472</v>
      </c>
      <c r="BJ38" s="163">
        <f>SUMIFS('Sales Data'!$D:$D,'Sales Data'!$A:$A,$E$2,'Sales Data'!$B:$B,BJ$15,'Sales Data'!$C:$C,"Periodic")/1000</f>
        <v>2263.1684271844379</v>
      </c>
      <c r="BK38" s="163">
        <f>SUMIFS('Sales Data'!$D:$D,'Sales Data'!$A:$A,$E$2,'Sales Data'!$B:$B,BK$15,'Sales Data'!$C:$C,"Periodic")/1000</f>
        <v>2166.1436211155592</v>
      </c>
      <c r="BL38" s="163">
        <f>SUMIFS('Sales Data'!$D:$D,'Sales Data'!$A:$A,$E$2,'Sales Data'!$B:$B,BL$15,'Sales Data'!$C:$C,"Periodic")/1000</f>
        <v>1931.9294057951809</v>
      </c>
      <c r="BM38" s="163">
        <f>SUMIFS('Sales Data'!$D:$D,'Sales Data'!$A:$A,$E$2,'Sales Data'!$B:$B,BM$15,'Sales Data'!$C:$C,"Periodic")/1000</f>
        <v>2295.1582137395931</v>
      </c>
      <c r="BN38" s="163">
        <f>SUMIFS('Sales Data'!$D:$D,'Sales Data'!$A:$A,$E$2,'Sales Data'!$B:$B,BN$15,'Sales Data'!$C:$C,"Periodic")/1000</f>
        <v>1964.3289439132727</v>
      </c>
      <c r="BO38" s="163">
        <f>SUMIFS('Sales Data'!$D:$D,'Sales Data'!$A:$A,$E$2,'Sales Data'!$B:$B,BO$15,'Sales Data'!$C:$C,"Periodic")/1000</f>
        <v>2108.2431813156572</v>
      </c>
      <c r="BP38" s="163">
        <f>SUMIFS('Sales Data'!$D:$D,'Sales Data'!$A:$A,$E$2,'Sales Data'!$B:$B,BP$15,'Sales Data'!$C:$C,"Periodic")/1000</f>
        <v>2301.332711682433</v>
      </c>
      <c r="BQ38" s="163">
        <f>SUMIFS('Sales Data'!$D:$D,'Sales Data'!$A:$A,$E$2,'Sales Data'!$B:$B,BQ$15,'Sales Data'!$C:$C,"Periodic")/1000</f>
        <v>1961.6283494952713</v>
      </c>
      <c r="BR38" s="163">
        <f>SUMIFS('Sales Data'!$D:$D,'Sales Data'!$A:$A,$E$2,'Sales Data'!$B:$B,BR$15,'Sales Data'!$C:$C,"Periodic")/1000</f>
        <v>2054.8871073274777</v>
      </c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 spans="1:83" s="84" customFormat="1" x14ac:dyDescent="0.2">
      <c r="A39" s="1"/>
      <c r="B39" s="1"/>
      <c r="C39" s="1"/>
      <c r="D39" s="1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1"/>
      <c r="Y39" s="1"/>
      <c r="Z39" s="1"/>
      <c r="AA39" s="1"/>
      <c r="AB39" s="1"/>
      <c r="AC39" s="1"/>
      <c r="AD39" s="1"/>
      <c r="AE39" s="1"/>
      <c r="AF39" s="1"/>
      <c r="AG39" s="131"/>
      <c r="AH39" s="181" t="s">
        <v>34</v>
      </c>
      <c r="AI39" s="1"/>
      <c r="AJ39" s="1"/>
      <c r="AK39" s="1"/>
      <c r="BG39" s="163" t="str">
        <f t="shared" ref="BG39:BR39" si="35">IF(OR(BG$8=1,BG$9=1),F17,"")</f>
        <v/>
      </c>
      <c r="BH39" s="163" t="str">
        <f t="shared" si="35"/>
        <v/>
      </c>
      <c r="BI39" s="163" t="str">
        <f t="shared" si="35"/>
        <v/>
      </c>
      <c r="BJ39" s="163" t="str">
        <f t="shared" si="35"/>
        <v/>
      </c>
      <c r="BK39" s="163" t="str">
        <f t="shared" si="35"/>
        <v/>
      </c>
      <c r="BL39" s="163" t="str">
        <f t="shared" si="35"/>
        <v/>
      </c>
      <c r="BM39" s="163">
        <f t="shared" si="35"/>
        <v>2230.7593678140001</v>
      </c>
      <c r="BN39" s="163">
        <f t="shared" si="35"/>
        <v>1964.3289439132727</v>
      </c>
      <c r="BO39" s="163">
        <f t="shared" si="35"/>
        <v>2108.2431813156572</v>
      </c>
      <c r="BP39" s="163">
        <f t="shared" si="35"/>
        <v>2301.332711682433</v>
      </c>
      <c r="BQ39" s="163">
        <f t="shared" si="35"/>
        <v>1961.6283494952713</v>
      </c>
      <c r="BR39" s="163">
        <f t="shared" si="35"/>
        <v>2054.8871073274777</v>
      </c>
      <c r="BS39" s="89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 spans="1:83" s="84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1"/>
      <c r="AF40" s="1"/>
      <c r="AG40" s="131"/>
      <c r="AH40" s="187" t="s">
        <v>26</v>
      </c>
      <c r="AI40" s="1"/>
      <c r="AJ40" s="1"/>
      <c r="AK40" s="1"/>
      <c r="BG40" s="174">
        <f t="shared" ref="BG40:BR40" si="36">IF(BG36="",BG38,BG36)</f>
        <v>1879.7722767438308</v>
      </c>
      <c r="BH40" s="174">
        <f t="shared" si="36"/>
        <v>2223.6608376606791</v>
      </c>
      <c r="BI40" s="174">
        <f t="shared" si="36"/>
        <v>1909.8568531001472</v>
      </c>
      <c r="BJ40" s="174">
        <f t="shared" si="36"/>
        <v>2263.1684271844379</v>
      </c>
      <c r="BK40" s="174">
        <f t="shared" si="36"/>
        <v>2166.1436211155592</v>
      </c>
      <c r="BL40" s="174">
        <f t="shared" si="36"/>
        <v>1931.9294057951809</v>
      </c>
      <c r="BM40" s="174">
        <f t="shared" si="36"/>
        <v>2295.1582137395931</v>
      </c>
      <c r="BN40" s="174">
        <f t="shared" si="36"/>
        <v>2331.2413081101745</v>
      </c>
      <c r="BO40" s="174">
        <f t="shared" si="36"/>
        <v>2357.5012839673382</v>
      </c>
      <c r="BP40" s="174">
        <f t="shared" si="36"/>
        <v>2383.7612598245014</v>
      </c>
      <c r="BQ40" s="174">
        <f t="shared" si="36"/>
        <v>2410.0212356816651</v>
      </c>
      <c r="BR40" s="174">
        <f t="shared" si="36"/>
        <v>2436.2812115388288</v>
      </c>
      <c r="BS40" s="190">
        <f>SUM(BG40:BR40)</f>
        <v>26588.495934461938</v>
      </c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 spans="1:83" s="84" customFormat="1" x14ac:dyDescent="0.2">
      <c r="A41" s="200"/>
      <c r="B41" s="2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00"/>
      <c r="Y41" s="1"/>
      <c r="Z41" s="1"/>
      <c r="AA41" s="1"/>
      <c r="AB41" s="1"/>
      <c r="AC41" s="1"/>
      <c r="AD41" s="1"/>
      <c r="AE41" s="1"/>
      <c r="AF41" s="1"/>
      <c r="AG41" s="7" t="s">
        <v>30</v>
      </c>
      <c r="AH41" s="187" t="s">
        <v>90</v>
      </c>
      <c r="AI41" s="1"/>
      <c r="AJ41" s="1"/>
      <c r="AK41" s="1"/>
      <c r="BG41" s="174">
        <f t="shared" ref="BG41:BR41" si="37">IF(BG37="",BG38,BG37)</f>
        <v>1879.7722767438308</v>
      </c>
      <c r="BH41" s="174">
        <f t="shared" si="37"/>
        <v>2223.6608376606791</v>
      </c>
      <c r="BI41" s="174">
        <f t="shared" si="37"/>
        <v>1909.8568531001472</v>
      </c>
      <c r="BJ41" s="174">
        <f t="shared" si="37"/>
        <v>2263.1684271844379</v>
      </c>
      <c r="BK41" s="174">
        <f t="shared" si="37"/>
        <v>2166.1436211155592</v>
      </c>
      <c r="BL41" s="174">
        <f t="shared" si="37"/>
        <v>1931.9294057951809</v>
      </c>
      <c r="BM41" s="174">
        <f t="shared" si="37"/>
        <v>2295.1582137395931</v>
      </c>
      <c r="BN41" s="174">
        <f t="shared" si="37"/>
        <v>2334.8920548269607</v>
      </c>
      <c r="BO41" s="174">
        <f t="shared" si="37"/>
        <v>2361.0933897544473</v>
      </c>
      <c r="BP41" s="174">
        <f t="shared" si="37"/>
        <v>2387.294724681934</v>
      </c>
      <c r="BQ41" s="174">
        <f t="shared" si="37"/>
        <v>2413.4960596094206</v>
      </c>
      <c r="BR41" s="174">
        <f t="shared" si="37"/>
        <v>2439.6973945369073</v>
      </c>
      <c r="BS41" s="190">
        <f>SUM(BG41:BR41)</f>
        <v>26606.1632587491</v>
      </c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 spans="1:83" s="84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00"/>
      <c r="Y42" s="1"/>
      <c r="Z42" s="1"/>
      <c r="AA42" s="1"/>
      <c r="AB42" s="1"/>
      <c r="AC42" s="1"/>
      <c r="AD42" s="1"/>
      <c r="AE42" s="1"/>
      <c r="AF42" s="1"/>
      <c r="AG42" s="179"/>
      <c r="AI42" s="1"/>
      <c r="AJ42" s="1"/>
      <c r="AK42" s="1"/>
      <c r="AL42" s="1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89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 spans="1:83" s="84" customFormat="1" x14ac:dyDescent="0.2">
      <c r="A43" s="1"/>
      <c r="B43" s="1"/>
      <c r="C43" s="200"/>
      <c r="D43" s="20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00"/>
      <c r="Y43" s="1"/>
      <c r="Z43" s="1"/>
      <c r="AA43" s="1"/>
      <c r="AB43" s="1"/>
      <c r="AC43" s="1"/>
      <c r="AD43" s="1"/>
      <c r="AE43" s="1"/>
      <c r="AF43" s="1"/>
      <c r="AG43" s="7" t="s">
        <v>89</v>
      </c>
      <c r="AH43" s="167" t="str">
        <f>AH34</f>
        <v>Actual</v>
      </c>
      <c r="AI43" s="1"/>
      <c r="AJ43" s="1"/>
      <c r="AK43" s="1"/>
      <c r="AL43" s="1"/>
      <c r="AM43" s="78"/>
      <c r="AN43" s="78"/>
      <c r="AO43" s="78"/>
      <c r="AP43" s="78"/>
      <c r="AQ43" s="78"/>
      <c r="AR43" s="78"/>
      <c r="AS43" s="78"/>
      <c r="AT43" s="78"/>
      <c r="AU43" s="163">
        <f t="shared" ref="AU43:BR43" si="38">IF(AU34="",NA(),AU34)</f>
        <v>1690.3867757865562</v>
      </c>
      <c r="AV43" s="163">
        <f t="shared" si="38"/>
        <v>2011.3839385243195</v>
      </c>
      <c r="AW43" s="163">
        <f t="shared" si="38"/>
        <v>1545.1562668286288</v>
      </c>
      <c r="AX43" s="163">
        <f t="shared" si="38"/>
        <v>2250.1060861155411</v>
      </c>
      <c r="AY43" s="163">
        <f t="shared" si="38"/>
        <v>1970.3038874724662</v>
      </c>
      <c r="AZ43" s="163">
        <f t="shared" si="38"/>
        <v>1761.9690553753344</v>
      </c>
      <c r="BA43" s="163">
        <f t="shared" si="38"/>
        <v>2447.2910734761708</v>
      </c>
      <c r="BB43" s="163">
        <f t="shared" si="38"/>
        <v>1799.0383362456187</v>
      </c>
      <c r="BC43" s="163">
        <f t="shared" si="38"/>
        <v>1950.4351278270096</v>
      </c>
      <c r="BD43" s="163">
        <f t="shared" si="38"/>
        <v>2097.4438525737464</v>
      </c>
      <c r="BE43" s="163">
        <f t="shared" si="38"/>
        <v>1940.7240471902387</v>
      </c>
      <c r="BF43" s="163">
        <f t="shared" si="38"/>
        <v>2176.6650417491296</v>
      </c>
      <c r="BG43" s="163">
        <f t="shared" si="38"/>
        <v>2374.8096808109999</v>
      </c>
      <c r="BH43" s="163">
        <f t="shared" si="38"/>
        <v>1899.9102903480002</v>
      </c>
      <c r="BI43" s="163">
        <f t="shared" si="38"/>
        <v>2876.2979462190001</v>
      </c>
      <c r="BJ43" s="163">
        <f t="shared" si="38"/>
        <v>1927.7196770369999</v>
      </c>
      <c r="BK43" s="163">
        <f t="shared" si="38"/>
        <v>2047.5976440450002</v>
      </c>
      <c r="BL43" s="163">
        <f t="shared" si="38"/>
        <v>2388.1333070249998</v>
      </c>
      <c r="BM43" s="163">
        <f t="shared" si="38"/>
        <v>2230.7593678140001</v>
      </c>
      <c r="BN43" s="163" t="e">
        <f t="shared" si="38"/>
        <v>#N/A</v>
      </c>
      <c r="BO43" s="163" t="e">
        <f t="shared" si="38"/>
        <v>#N/A</v>
      </c>
      <c r="BP43" s="163" t="e">
        <f t="shared" si="38"/>
        <v>#N/A</v>
      </c>
      <c r="BQ43" s="163" t="e">
        <f t="shared" si="38"/>
        <v>#N/A</v>
      </c>
      <c r="BR43" s="163" t="e">
        <f t="shared" si="38"/>
        <v>#N/A</v>
      </c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 spans="1:83" s="200" customFormat="1" ht="13.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U44" s="84"/>
      <c r="V44" s="84"/>
      <c r="W44" s="84"/>
      <c r="X44" s="84"/>
      <c r="Y44" s="1"/>
      <c r="Z44" s="1"/>
      <c r="AA44" s="1"/>
      <c r="AB44" s="1"/>
      <c r="AC44" s="1"/>
      <c r="AD44" s="1"/>
      <c r="AG44" s="84"/>
      <c r="AH44" s="167" t="str">
        <f>AH38</f>
        <v>Budget</v>
      </c>
      <c r="AI44" s="1"/>
      <c r="AJ44" s="1"/>
      <c r="AK44" s="1"/>
      <c r="AL44" s="1"/>
      <c r="AM44" s="78"/>
      <c r="AN44" s="78"/>
      <c r="AO44" s="78"/>
      <c r="AP44" s="78"/>
      <c r="AQ44" s="78"/>
      <c r="AR44" s="78"/>
      <c r="AS44" s="78"/>
      <c r="AT44" s="78"/>
      <c r="AU44" s="163" t="e">
        <f t="shared" ref="AU44:BR44" si="39">IF(AU35="",NA(),AU35)</f>
        <v>#N/A</v>
      </c>
      <c r="AV44" s="163" t="e">
        <f t="shared" si="39"/>
        <v>#N/A</v>
      </c>
      <c r="AW44" s="163" t="e">
        <f t="shared" si="39"/>
        <v>#N/A</v>
      </c>
      <c r="AX44" s="163" t="e">
        <f t="shared" si="39"/>
        <v>#N/A</v>
      </c>
      <c r="AY44" s="163" t="e">
        <f t="shared" si="39"/>
        <v>#N/A</v>
      </c>
      <c r="AZ44" s="163" t="e">
        <f t="shared" si="39"/>
        <v>#N/A</v>
      </c>
      <c r="BA44" s="163" t="e">
        <f t="shared" si="39"/>
        <v>#N/A</v>
      </c>
      <c r="BB44" s="163" t="e">
        <f t="shared" si="39"/>
        <v>#N/A</v>
      </c>
      <c r="BC44" s="163" t="e">
        <f t="shared" si="39"/>
        <v>#N/A</v>
      </c>
      <c r="BD44" s="163" t="e">
        <f t="shared" si="39"/>
        <v>#N/A</v>
      </c>
      <c r="BE44" s="163" t="e">
        <f t="shared" si="39"/>
        <v>#N/A</v>
      </c>
      <c r="BF44" s="163" t="e">
        <f t="shared" si="39"/>
        <v>#N/A</v>
      </c>
      <c r="BG44" s="163" t="e">
        <f t="shared" si="39"/>
        <v>#N/A</v>
      </c>
      <c r="BH44" s="163" t="e">
        <f t="shared" si="39"/>
        <v>#N/A</v>
      </c>
      <c r="BI44" s="163" t="e">
        <f t="shared" si="39"/>
        <v>#N/A</v>
      </c>
      <c r="BJ44" s="163" t="e">
        <f t="shared" si="39"/>
        <v>#N/A</v>
      </c>
      <c r="BK44" s="163" t="e">
        <f t="shared" si="39"/>
        <v>#N/A</v>
      </c>
      <c r="BL44" s="163" t="e">
        <f t="shared" si="39"/>
        <v>#N/A</v>
      </c>
      <c r="BM44" s="163">
        <f t="shared" si="39"/>
        <v>2295.1582137395931</v>
      </c>
      <c r="BN44" s="163">
        <f t="shared" si="39"/>
        <v>1964.3289439132727</v>
      </c>
      <c r="BO44" s="163">
        <f t="shared" si="39"/>
        <v>2108.2431813156572</v>
      </c>
      <c r="BP44" s="163">
        <f t="shared" si="39"/>
        <v>2301.332711682433</v>
      </c>
      <c r="BQ44" s="163">
        <f t="shared" si="39"/>
        <v>1961.6283494952713</v>
      </c>
      <c r="BR44" s="163">
        <f t="shared" si="39"/>
        <v>2054.8871073274777</v>
      </c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 spans="1:83" s="84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Y45" s="1"/>
      <c r="Z45" s="1"/>
      <c r="AA45" s="1"/>
      <c r="AB45" s="1"/>
      <c r="AC45" s="1"/>
      <c r="AD45" s="1"/>
      <c r="AE45" s="1"/>
      <c r="AF45" s="1"/>
      <c r="AH45" s="167" t="str">
        <f>AH36</f>
        <v>Trend 6m</v>
      </c>
      <c r="AI45" s="1"/>
      <c r="AJ45" s="1"/>
      <c r="AK45" s="1"/>
      <c r="AL45" s="1"/>
      <c r="AM45" s="78"/>
      <c r="AN45" s="78"/>
      <c r="AO45" s="78"/>
      <c r="AP45" s="78"/>
      <c r="AQ45" s="78"/>
      <c r="AR45" s="78"/>
      <c r="AS45" s="78"/>
      <c r="AT45" s="78"/>
      <c r="AU45" s="163" t="e">
        <f t="shared" ref="AU45:BR45" si="40">IF(AU36="",NA(),AU36)</f>
        <v>#N/A</v>
      </c>
      <c r="AV45" s="163" t="e">
        <f t="shared" si="40"/>
        <v>#N/A</v>
      </c>
      <c r="AW45" s="163" t="e">
        <f t="shared" si="40"/>
        <v>#N/A</v>
      </c>
      <c r="AX45" s="163" t="e">
        <f t="shared" si="40"/>
        <v>#N/A</v>
      </c>
      <c r="AY45" s="163" t="e">
        <f t="shared" si="40"/>
        <v>#N/A</v>
      </c>
      <c r="AZ45" s="163" t="e">
        <f t="shared" si="40"/>
        <v>#N/A</v>
      </c>
      <c r="BA45" s="163" t="e">
        <f t="shared" si="40"/>
        <v>#N/A</v>
      </c>
      <c r="BB45" s="163" t="e">
        <f t="shared" si="40"/>
        <v>#N/A</v>
      </c>
      <c r="BC45" s="163" t="e">
        <f t="shared" si="40"/>
        <v>#N/A</v>
      </c>
      <c r="BD45" s="163" t="e">
        <f t="shared" si="40"/>
        <v>#N/A</v>
      </c>
      <c r="BE45" s="163" t="e">
        <f t="shared" si="40"/>
        <v>#N/A</v>
      </c>
      <c r="BF45" s="163" t="e">
        <f t="shared" si="40"/>
        <v>#N/A</v>
      </c>
      <c r="BG45" s="163" t="e">
        <f t="shared" si="40"/>
        <v>#N/A</v>
      </c>
      <c r="BH45" s="163" t="e">
        <f t="shared" si="40"/>
        <v>#N/A</v>
      </c>
      <c r="BI45" s="163" t="e">
        <f t="shared" si="40"/>
        <v>#N/A</v>
      </c>
      <c r="BJ45" s="163" t="e">
        <f t="shared" si="40"/>
        <v>#N/A</v>
      </c>
      <c r="BK45" s="163" t="e">
        <f t="shared" si="40"/>
        <v>#N/A</v>
      </c>
      <c r="BL45" s="163" t="e">
        <f t="shared" si="40"/>
        <v>#N/A</v>
      </c>
      <c r="BM45" s="163" t="e">
        <f t="shared" si="40"/>
        <v>#N/A</v>
      </c>
      <c r="BN45" s="163">
        <f t="shared" si="40"/>
        <v>2331.2413081101745</v>
      </c>
      <c r="BO45" s="163">
        <f t="shared" si="40"/>
        <v>2357.5012839673382</v>
      </c>
      <c r="BP45" s="163">
        <f t="shared" si="40"/>
        <v>2383.7612598245014</v>
      </c>
      <c r="BQ45" s="163">
        <f t="shared" si="40"/>
        <v>2410.0212356816651</v>
      </c>
      <c r="BR45" s="163">
        <f t="shared" si="40"/>
        <v>2436.2812115388288</v>
      </c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 spans="1:83" s="84" customForma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Y46" s="1"/>
      <c r="Z46" s="1"/>
      <c r="AA46" s="1"/>
      <c r="AB46" s="1"/>
      <c r="AC46" s="1"/>
      <c r="AD46" s="1"/>
      <c r="AE46" s="1"/>
      <c r="AF46" s="1"/>
      <c r="AH46" s="167" t="str">
        <f>AH37</f>
        <v>Trend 12m</v>
      </c>
      <c r="AI46" s="1"/>
      <c r="AJ46" s="1"/>
      <c r="AK46" s="1"/>
      <c r="AL46" s="1"/>
      <c r="AM46" s="78"/>
      <c r="AN46" s="78"/>
      <c r="AO46" s="78"/>
      <c r="AP46" s="78"/>
      <c r="AQ46" s="78"/>
      <c r="AR46" s="78"/>
      <c r="AS46" s="78"/>
      <c r="AT46" s="78"/>
      <c r="AU46" s="163" t="e">
        <f t="shared" ref="AU46:BR46" si="41">IF(AU37="",NA(),AU37)</f>
        <v>#N/A</v>
      </c>
      <c r="AV46" s="163" t="e">
        <f t="shared" si="41"/>
        <v>#N/A</v>
      </c>
      <c r="AW46" s="163" t="e">
        <f t="shared" si="41"/>
        <v>#N/A</v>
      </c>
      <c r="AX46" s="163" t="e">
        <f t="shared" si="41"/>
        <v>#N/A</v>
      </c>
      <c r="AY46" s="163" t="e">
        <f t="shared" si="41"/>
        <v>#N/A</v>
      </c>
      <c r="AZ46" s="163" t="e">
        <f t="shared" si="41"/>
        <v>#N/A</v>
      </c>
      <c r="BA46" s="163" t="e">
        <f t="shared" si="41"/>
        <v>#N/A</v>
      </c>
      <c r="BB46" s="163" t="e">
        <f t="shared" si="41"/>
        <v>#N/A</v>
      </c>
      <c r="BC46" s="163" t="e">
        <f t="shared" si="41"/>
        <v>#N/A</v>
      </c>
      <c r="BD46" s="163" t="e">
        <f t="shared" si="41"/>
        <v>#N/A</v>
      </c>
      <c r="BE46" s="163" t="e">
        <f t="shared" si="41"/>
        <v>#N/A</v>
      </c>
      <c r="BF46" s="163" t="e">
        <f t="shared" si="41"/>
        <v>#N/A</v>
      </c>
      <c r="BG46" s="163" t="e">
        <f t="shared" si="41"/>
        <v>#N/A</v>
      </c>
      <c r="BH46" s="163" t="e">
        <f t="shared" si="41"/>
        <v>#N/A</v>
      </c>
      <c r="BI46" s="163" t="e">
        <f t="shared" si="41"/>
        <v>#N/A</v>
      </c>
      <c r="BJ46" s="163" t="e">
        <f t="shared" si="41"/>
        <v>#N/A</v>
      </c>
      <c r="BK46" s="163" t="e">
        <f t="shared" si="41"/>
        <v>#N/A</v>
      </c>
      <c r="BL46" s="163" t="e">
        <f t="shared" si="41"/>
        <v>#N/A</v>
      </c>
      <c r="BM46" s="163" t="e">
        <f t="shared" si="41"/>
        <v>#N/A</v>
      </c>
      <c r="BN46" s="163">
        <f t="shared" si="41"/>
        <v>2334.8920548269607</v>
      </c>
      <c r="BO46" s="163">
        <f t="shared" si="41"/>
        <v>2361.0933897544473</v>
      </c>
      <c r="BP46" s="163">
        <f t="shared" si="41"/>
        <v>2387.294724681934</v>
      </c>
      <c r="BQ46" s="163">
        <f t="shared" si="41"/>
        <v>2413.4960596094206</v>
      </c>
      <c r="BR46" s="163">
        <f t="shared" si="41"/>
        <v>2439.6973945369073</v>
      </c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 spans="1:83" s="84" customForma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Y47" s="1"/>
      <c r="Z47" s="1"/>
      <c r="AA47" s="1"/>
      <c r="AB47" s="1"/>
      <c r="AC47" s="1"/>
      <c r="AD47" s="1"/>
      <c r="AE47" s="1"/>
      <c r="AF47" s="1"/>
      <c r="AG47" s="1"/>
      <c r="AH47" s="167" t="s">
        <v>34</v>
      </c>
      <c r="AI47" s="1"/>
      <c r="AJ47" s="1"/>
      <c r="AK47" s="1"/>
      <c r="AL47" s="201"/>
      <c r="AM47" s="113"/>
      <c r="AN47" s="113"/>
      <c r="AO47" s="113"/>
      <c r="AP47" s="113"/>
      <c r="AQ47" s="113"/>
      <c r="AR47" s="113"/>
      <c r="AS47" s="113"/>
      <c r="AT47" s="113"/>
      <c r="AU47" s="163" t="e">
        <f>IF(AU39="",NA(),AU39)</f>
        <v>#N/A</v>
      </c>
      <c r="AV47" s="163" t="e">
        <f t="shared" ref="AV47:BR47" si="42">IF(AV39="",NA(),AV39)</f>
        <v>#N/A</v>
      </c>
      <c r="AW47" s="163" t="e">
        <f t="shared" si="42"/>
        <v>#N/A</v>
      </c>
      <c r="AX47" s="163" t="e">
        <f t="shared" si="42"/>
        <v>#N/A</v>
      </c>
      <c r="AY47" s="163" t="e">
        <f t="shared" si="42"/>
        <v>#N/A</v>
      </c>
      <c r="AZ47" s="163" t="e">
        <f t="shared" si="42"/>
        <v>#N/A</v>
      </c>
      <c r="BA47" s="163" t="e">
        <f t="shared" si="42"/>
        <v>#N/A</v>
      </c>
      <c r="BB47" s="163" t="e">
        <f t="shared" si="42"/>
        <v>#N/A</v>
      </c>
      <c r="BC47" s="163" t="e">
        <f t="shared" si="42"/>
        <v>#N/A</v>
      </c>
      <c r="BD47" s="163" t="e">
        <f t="shared" si="42"/>
        <v>#N/A</v>
      </c>
      <c r="BE47" s="163" t="e">
        <f t="shared" si="42"/>
        <v>#N/A</v>
      </c>
      <c r="BF47" s="163" t="e">
        <f t="shared" si="42"/>
        <v>#N/A</v>
      </c>
      <c r="BG47" s="163" t="e">
        <f t="shared" si="42"/>
        <v>#N/A</v>
      </c>
      <c r="BH47" s="163" t="e">
        <f t="shared" si="42"/>
        <v>#N/A</v>
      </c>
      <c r="BI47" s="163" t="e">
        <f t="shared" si="42"/>
        <v>#N/A</v>
      </c>
      <c r="BJ47" s="163" t="e">
        <f t="shared" si="42"/>
        <v>#N/A</v>
      </c>
      <c r="BK47" s="163" t="e">
        <f t="shared" si="42"/>
        <v>#N/A</v>
      </c>
      <c r="BL47" s="163" t="e">
        <f t="shared" si="42"/>
        <v>#N/A</v>
      </c>
      <c r="BM47" s="163">
        <f t="shared" si="42"/>
        <v>2230.7593678140001</v>
      </c>
      <c r="BN47" s="163">
        <f t="shared" si="42"/>
        <v>1964.3289439132727</v>
      </c>
      <c r="BO47" s="163">
        <f t="shared" si="42"/>
        <v>2108.2431813156572</v>
      </c>
      <c r="BP47" s="163">
        <f t="shared" si="42"/>
        <v>2301.332711682433</v>
      </c>
      <c r="BQ47" s="163">
        <f t="shared" si="42"/>
        <v>1961.6283494952713</v>
      </c>
      <c r="BR47" s="163">
        <f t="shared" si="42"/>
        <v>2054.8871073274777</v>
      </c>
      <c r="BS47" s="78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 spans="1:83" s="84" customForma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Y48" s="1"/>
      <c r="Z48" s="1"/>
      <c r="AA48" s="1"/>
      <c r="AB48" s="1"/>
      <c r="AC48" s="1"/>
      <c r="AD48" s="1"/>
      <c r="AE48" s="1"/>
      <c r="AF48" s="1"/>
      <c r="AH48" s="1"/>
      <c r="AI48" s="1"/>
      <c r="BS48" s="78"/>
      <c r="BW48" s="1"/>
      <c r="BX48" s="1"/>
      <c r="BY48" s="1"/>
      <c r="BZ48" s="1"/>
      <c r="CA48" s="1"/>
    </row>
    <row r="49" spans="1:79" s="84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Y49" s="1"/>
      <c r="Z49" s="1"/>
      <c r="AA49" s="1"/>
      <c r="AB49" s="1"/>
      <c r="AC49" s="1"/>
      <c r="AD49" s="1"/>
      <c r="AE49" s="1"/>
      <c r="AF49" s="1"/>
      <c r="AH49" s="1"/>
      <c r="AI49" s="1"/>
      <c r="BS49" s="78"/>
      <c r="BW49" s="1"/>
      <c r="BX49" s="1"/>
      <c r="BY49" s="1"/>
      <c r="BZ49" s="1"/>
      <c r="CA49" s="1"/>
    </row>
    <row r="50" spans="1:79" s="84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BS50" s="78"/>
      <c r="BW50" s="1"/>
      <c r="BX50" s="1"/>
      <c r="BY50" s="1"/>
      <c r="BZ50" s="1"/>
      <c r="CA50" s="1"/>
    </row>
    <row r="51" spans="1:79" s="84" customForma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BS51" s="78"/>
      <c r="BW51" s="1"/>
      <c r="BX51" s="1"/>
      <c r="BY51" s="1"/>
      <c r="BZ51" s="1"/>
      <c r="CA51" s="1"/>
    </row>
    <row r="52" spans="1:79" s="84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BW52" s="1"/>
      <c r="BX52" s="1"/>
      <c r="BY52" s="1"/>
      <c r="BZ52" s="1"/>
      <c r="CA52" s="1"/>
    </row>
    <row r="53" spans="1:79" s="84" customForma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BW53" s="1"/>
      <c r="BX53" s="1"/>
      <c r="BY53" s="1"/>
      <c r="BZ53" s="1"/>
      <c r="CA53" s="1"/>
    </row>
    <row r="54" spans="1:79" s="84" customForma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BW54" s="1"/>
      <c r="BX54" s="1"/>
      <c r="BY54" s="1"/>
      <c r="BZ54" s="1"/>
      <c r="CA54" s="1"/>
    </row>
    <row r="55" spans="1:79" s="84" customForma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BW55" s="1"/>
      <c r="BX55" s="1"/>
      <c r="BY55" s="1"/>
      <c r="BZ55" s="1"/>
      <c r="CA55" s="1"/>
    </row>
    <row r="56" spans="1:79" s="84" customForma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BW56" s="1"/>
      <c r="BX56" s="1"/>
      <c r="BY56" s="1"/>
      <c r="BZ56" s="1"/>
      <c r="CA56" s="1"/>
    </row>
    <row r="57" spans="1:79" s="84" customForma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BW57" s="1"/>
      <c r="BX57" s="1"/>
      <c r="BY57" s="1"/>
      <c r="BZ57" s="1"/>
      <c r="CA57" s="1"/>
    </row>
    <row r="58" spans="1:79" s="84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BW58" s="1"/>
      <c r="BX58" s="1"/>
      <c r="BY58" s="1"/>
      <c r="BZ58" s="1"/>
      <c r="CA58" s="1"/>
    </row>
    <row r="59" spans="1:79" x14ac:dyDescent="0.2">
      <c r="T59" s="84"/>
      <c r="U59" s="84"/>
      <c r="V59" s="84"/>
      <c r="W59" s="84"/>
      <c r="X59" s="84"/>
      <c r="AJ59" s="84"/>
    </row>
    <row r="60" spans="1:79" s="84" customForma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BW60" s="1"/>
      <c r="BX60" s="1"/>
      <c r="BY60" s="1"/>
      <c r="BZ60" s="1"/>
      <c r="CA60" s="1"/>
    </row>
    <row r="61" spans="1:79" s="84" customForma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BW61" s="1"/>
      <c r="BX61" s="1"/>
      <c r="BY61" s="1"/>
      <c r="BZ61" s="1"/>
      <c r="CA61" s="1"/>
    </row>
    <row r="62" spans="1:79" s="84" customForma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BW62" s="1"/>
      <c r="BX62" s="1"/>
      <c r="BY62" s="1"/>
      <c r="BZ62" s="1"/>
      <c r="CA62" s="1"/>
    </row>
    <row r="63" spans="1:79" s="84" customForma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BW63" s="1"/>
      <c r="BX63" s="1"/>
      <c r="BY63" s="1"/>
      <c r="BZ63" s="1"/>
      <c r="CA63" s="1"/>
    </row>
    <row r="64" spans="1:79" s="84" customForma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BW64" s="1"/>
      <c r="BX64" s="1"/>
      <c r="BY64" s="1"/>
      <c r="BZ64" s="1"/>
      <c r="CA64" s="1"/>
    </row>
    <row r="65" spans="1:79" s="84" customForma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BW65" s="1"/>
      <c r="BX65" s="1"/>
      <c r="BY65" s="1"/>
      <c r="BZ65" s="1"/>
      <c r="CA65" s="1"/>
    </row>
    <row r="66" spans="1:79" s="84" customForma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BW66" s="1"/>
      <c r="BX66" s="1"/>
      <c r="BY66" s="1"/>
      <c r="BZ66" s="1"/>
      <c r="CA66" s="1"/>
    </row>
    <row r="67" spans="1:79" s="84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BW67" s="1"/>
      <c r="BX67" s="1"/>
      <c r="BY67" s="1"/>
      <c r="BZ67" s="1"/>
      <c r="CA67" s="1"/>
    </row>
    <row r="68" spans="1:79" s="84" customForma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BW68" s="1"/>
      <c r="BX68" s="1"/>
      <c r="BY68" s="1"/>
      <c r="BZ68" s="1"/>
      <c r="CA68" s="1"/>
    </row>
    <row r="69" spans="1:79" s="84" customForma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BW69" s="1"/>
      <c r="BX69" s="1"/>
      <c r="BY69" s="1"/>
      <c r="BZ69" s="1"/>
      <c r="CA69" s="1"/>
    </row>
    <row r="70" spans="1:79" s="84" customForma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BW70" s="1"/>
      <c r="BX70" s="1"/>
      <c r="BY70" s="1"/>
      <c r="BZ70" s="1"/>
      <c r="CA70" s="1"/>
    </row>
    <row r="71" spans="1:79" s="84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BW71" s="1"/>
      <c r="BX71" s="1"/>
      <c r="BY71" s="1"/>
      <c r="BZ71" s="1"/>
      <c r="CA71" s="1"/>
    </row>
    <row r="72" spans="1:79" s="84" customForma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BW72" s="1"/>
      <c r="BX72" s="1"/>
      <c r="BY72" s="1"/>
      <c r="BZ72" s="1"/>
      <c r="CA72" s="1"/>
    </row>
    <row r="73" spans="1:79" s="8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BW73" s="1"/>
      <c r="BX73" s="1"/>
      <c r="BY73" s="1"/>
      <c r="BZ73" s="1"/>
      <c r="CA73" s="1"/>
    </row>
    <row r="74" spans="1:79" s="84" customForma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BW74" s="1"/>
      <c r="BX74" s="1"/>
      <c r="BY74" s="1"/>
      <c r="BZ74" s="1"/>
      <c r="CA74" s="1"/>
    </row>
    <row r="75" spans="1:79" s="84" customForma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BW75" s="1"/>
      <c r="BX75" s="1"/>
      <c r="BY75" s="1"/>
      <c r="BZ75" s="1"/>
      <c r="CA75" s="1"/>
    </row>
    <row r="76" spans="1:79" s="84" customForma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BW76" s="1"/>
      <c r="BX76" s="1"/>
      <c r="BY76" s="1"/>
      <c r="BZ76" s="1"/>
      <c r="CA76" s="1"/>
    </row>
    <row r="77" spans="1:79" s="84" customForma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BW77" s="1"/>
      <c r="BX77" s="1"/>
      <c r="BY77" s="1"/>
      <c r="BZ77" s="1"/>
      <c r="CA77" s="1"/>
    </row>
    <row r="78" spans="1:79" s="84" customForma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BW78" s="1"/>
      <c r="BX78" s="1"/>
      <c r="BY78" s="1"/>
      <c r="BZ78" s="1"/>
      <c r="CA78" s="1"/>
    </row>
    <row r="79" spans="1:79" s="84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BW79" s="1"/>
      <c r="BX79" s="1"/>
      <c r="BY79" s="1"/>
      <c r="BZ79" s="1"/>
      <c r="CA79" s="1"/>
    </row>
    <row r="80" spans="1:79" s="84" customForma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BW80" s="1"/>
      <c r="BX80" s="1"/>
      <c r="BY80" s="1"/>
      <c r="BZ80" s="1"/>
      <c r="CA80" s="1"/>
    </row>
    <row r="81" spans="1:79" s="84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BW81" s="1"/>
      <c r="BX81" s="1"/>
      <c r="BY81" s="1"/>
      <c r="BZ81" s="1"/>
      <c r="CA81" s="1"/>
    </row>
    <row r="82" spans="1:79" s="84" customForma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BW82" s="1"/>
      <c r="BX82" s="1"/>
      <c r="BY82" s="1"/>
      <c r="BZ82" s="1"/>
      <c r="CA82" s="1"/>
    </row>
    <row r="83" spans="1:79" s="84" customForma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BW83" s="1"/>
      <c r="BX83" s="1"/>
      <c r="BY83" s="1"/>
      <c r="BZ83" s="1"/>
      <c r="CA83" s="1"/>
    </row>
    <row r="84" spans="1:79" s="84" customForma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BW84" s="1"/>
      <c r="BX84" s="1"/>
      <c r="BY84" s="1"/>
      <c r="BZ84" s="1"/>
      <c r="CA84" s="1"/>
    </row>
    <row r="85" spans="1:79" s="84" customForma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BW85" s="1"/>
      <c r="BX85" s="1"/>
      <c r="BY85" s="1"/>
      <c r="BZ85" s="1"/>
      <c r="CA85" s="1"/>
    </row>
    <row r="86" spans="1:79" s="84" customForma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BW86" s="1"/>
      <c r="BX86" s="1"/>
      <c r="BY86" s="1"/>
      <c r="BZ86" s="1"/>
      <c r="CA86" s="1"/>
    </row>
    <row r="87" spans="1:79" s="84" customForma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BW87" s="1"/>
      <c r="BX87" s="1"/>
      <c r="BY87" s="1"/>
      <c r="BZ87" s="1"/>
      <c r="CA87" s="1"/>
    </row>
    <row r="88" spans="1:79" x14ac:dyDescent="0.2">
      <c r="AJ88" s="84"/>
    </row>
    <row r="89" spans="1:79" s="84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BW89" s="1"/>
      <c r="BX89" s="1"/>
      <c r="BY89" s="1"/>
      <c r="BZ89" s="1"/>
      <c r="CA89" s="1"/>
    </row>
    <row r="90" spans="1:79" s="84" customForma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BW90" s="1"/>
      <c r="BX90" s="1"/>
      <c r="BY90" s="1"/>
      <c r="BZ90" s="1"/>
      <c r="CA90" s="1"/>
    </row>
    <row r="91" spans="1:79" s="84" customForma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BW91" s="1"/>
      <c r="BX91" s="1"/>
      <c r="BY91" s="1"/>
      <c r="BZ91" s="1"/>
      <c r="CA91" s="1"/>
    </row>
    <row r="92" spans="1:79" s="84" customForma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BW92" s="1"/>
      <c r="BX92" s="1"/>
      <c r="BY92" s="1"/>
      <c r="BZ92" s="1"/>
      <c r="CA92" s="1"/>
    </row>
    <row r="93" spans="1:79" s="84" customForma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BW93" s="1"/>
      <c r="BX93" s="1"/>
      <c r="BY93" s="1"/>
      <c r="BZ93" s="1"/>
      <c r="CA93" s="1"/>
    </row>
    <row r="94" spans="1:79" s="84" customForma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BW94" s="1"/>
      <c r="BX94" s="1"/>
      <c r="BY94" s="1"/>
      <c r="BZ94" s="1"/>
      <c r="CA94" s="1"/>
    </row>
    <row r="95" spans="1:79" s="84" customForma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BW95" s="1"/>
      <c r="BX95" s="1"/>
      <c r="BY95" s="1"/>
      <c r="BZ95" s="1"/>
      <c r="CA95" s="1"/>
    </row>
    <row r="96" spans="1:79" s="84" customForma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BW96" s="1"/>
      <c r="BX96" s="1"/>
      <c r="BY96" s="1"/>
      <c r="BZ96" s="1"/>
      <c r="CA96" s="1"/>
    </row>
    <row r="97" spans="1:79" s="84" customForma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BW97" s="1"/>
      <c r="BX97" s="1"/>
      <c r="BY97" s="1"/>
      <c r="BZ97" s="1"/>
      <c r="CA97" s="1"/>
    </row>
    <row r="98" spans="1:79" s="84" customForma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BW98" s="1"/>
      <c r="BX98" s="1"/>
      <c r="BY98" s="1"/>
      <c r="BZ98" s="1"/>
      <c r="CA98" s="1"/>
    </row>
    <row r="99" spans="1:79" s="84" customForma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BW99" s="1"/>
      <c r="BX99" s="1"/>
      <c r="BY99" s="1"/>
      <c r="BZ99" s="1"/>
      <c r="CA99" s="1"/>
    </row>
    <row r="100" spans="1:79" s="84" customForma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BW100" s="1"/>
      <c r="BX100" s="1"/>
      <c r="BY100" s="1"/>
      <c r="BZ100" s="1"/>
      <c r="CA100" s="1"/>
    </row>
    <row r="101" spans="1:79" s="84" customForma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BW101" s="1"/>
      <c r="BX101" s="1"/>
      <c r="BY101" s="1"/>
      <c r="BZ101" s="1"/>
      <c r="CA101" s="1"/>
    </row>
    <row r="102" spans="1:79" s="84" customForma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BW102" s="1"/>
      <c r="BX102" s="1"/>
      <c r="BY102" s="1"/>
      <c r="BZ102" s="1"/>
      <c r="CA102" s="1"/>
    </row>
    <row r="103" spans="1:79" s="84" customForma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BW103" s="1"/>
      <c r="BX103" s="1"/>
      <c r="BY103" s="1"/>
      <c r="BZ103" s="1"/>
      <c r="CA103" s="1"/>
    </row>
    <row r="104" spans="1:79" s="84" customForma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BW104" s="1"/>
      <c r="BX104" s="1"/>
      <c r="BY104" s="1"/>
      <c r="BZ104" s="1"/>
      <c r="CA104" s="1"/>
    </row>
    <row r="105" spans="1:79" s="84" customForma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BW105" s="1"/>
      <c r="BX105" s="1"/>
      <c r="BY105" s="1"/>
      <c r="BZ105" s="1"/>
      <c r="CA105" s="1"/>
    </row>
    <row r="106" spans="1:79" s="84" customForma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BW106" s="1"/>
      <c r="BX106" s="1"/>
      <c r="BY106" s="1"/>
      <c r="BZ106" s="1"/>
      <c r="CA106" s="1"/>
    </row>
    <row r="107" spans="1:79" s="84" customForma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BW107" s="1"/>
      <c r="BX107" s="1"/>
      <c r="BY107" s="1"/>
      <c r="BZ107" s="1"/>
      <c r="CA107" s="1"/>
    </row>
    <row r="108" spans="1:79" s="84" customForma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02"/>
      <c r="AK108" s="203"/>
      <c r="AL108" s="167"/>
      <c r="AM108" s="204"/>
      <c r="AN108" s="205"/>
      <c r="AP108" s="206"/>
      <c r="AR108" s="206"/>
      <c r="AT108" s="206"/>
      <c r="AV108" s="206"/>
      <c r="AX108" s="206"/>
      <c r="AZ108" s="206"/>
      <c r="BB108" s="206"/>
      <c r="BD108" s="206"/>
      <c r="BF108" s="206"/>
      <c r="BH108" s="206"/>
      <c r="BJ108" s="206"/>
      <c r="BW108" s="1"/>
      <c r="BX108" s="1"/>
      <c r="BY108" s="1"/>
      <c r="BZ108" s="1"/>
      <c r="CA108" s="1"/>
    </row>
    <row r="109" spans="1:79" s="84" customForma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BW109" s="1"/>
      <c r="BX109" s="1"/>
      <c r="BY109" s="1"/>
      <c r="BZ109" s="1"/>
      <c r="CA109" s="1"/>
    </row>
    <row r="110" spans="1:79" s="84" customForma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BW110" s="1"/>
      <c r="BX110" s="1"/>
      <c r="BY110" s="1"/>
      <c r="BZ110" s="1"/>
      <c r="CA110" s="1"/>
    </row>
    <row r="111" spans="1:79" s="84" customForma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BW111" s="1"/>
      <c r="BX111" s="1"/>
      <c r="BY111" s="1"/>
      <c r="BZ111" s="1"/>
      <c r="CA111" s="1"/>
    </row>
    <row r="112" spans="1:79" s="84" customForma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BW112" s="1"/>
      <c r="BX112" s="1"/>
      <c r="BY112" s="1"/>
      <c r="BZ112" s="1"/>
      <c r="CA112" s="1"/>
    </row>
    <row r="113" spans="1:79" s="84" customForma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BW113" s="1"/>
      <c r="BX113" s="1"/>
      <c r="BY113" s="1"/>
      <c r="BZ113" s="1"/>
      <c r="CA113" s="1"/>
    </row>
    <row r="114" spans="1:79" s="84" customForma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BW114" s="1"/>
      <c r="BX114" s="1"/>
      <c r="BY114" s="1"/>
      <c r="BZ114" s="1"/>
      <c r="CA114" s="1"/>
    </row>
    <row r="115" spans="1:79" s="84" customForma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BW115" s="1"/>
      <c r="BX115" s="1"/>
      <c r="BY115" s="1"/>
      <c r="BZ115" s="1"/>
      <c r="CA115" s="1"/>
    </row>
    <row r="116" spans="1:79" s="84" customForma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BW116" s="1"/>
      <c r="BX116" s="1"/>
      <c r="BY116" s="1"/>
      <c r="BZ116" s="1"/>
      <c r="CA116" s="1"/>
    </row>
  </sheetData>
  <conditionalFormatting sqref="AD6:AD9 S11 Z10:AA10 U31:X31 AA31:AD31">
    <cfRule type="cellIs" dxfId="74" priority="73" operator="lessThan">
      <formula>0</formula>
    </cfRule>
    <cfRule type="cellIs" dxfId="73" priority="74" operator="greaterThan">
      <formula>0</formula>
    </cfRule>
  </conditionalFormatting>
  <conditionalFormatting sqref="S9 S6:S7">
    <cfRule type="cellIs" dxfId="72" priority="71" operator="lessThan">
      <formula>0</formula>
    </cfRule>
    <cfRule type="cellIs" dxfId="71" priority="72" operator="greaterThan">
      <formula>0</formula>
    </cfRule>
  </conditionalFormatting>
  <conditionalFormatting sqref="AA35:AC35">
    <cfRule type="cellIs" dxfId="70" priority="65" operator="lessThan">
      <formula>0</formula>
    </cfRule>
    <cfRule type="cellIs" dxfId="69" priority="66" operator="greaterThan">
      <formula>0</formula>
    </cfRule>
  </conditionalFormatting>
  <conditionalFormatting sqref="AA36:AD38">
    <cfRule type="cellIs" dxfId="68" priority="67" operator="lessThan">
      <formula>0</formula>
    </cfRule>
    <cfRule type="cellIs" dxfId="67" priority="68" operator="greaterThan">
      <formula>0</formula>
    </cfRule>
  </conditionalFormatting>
  <conditionalFormatting sqref="S8">
    <cfRule type="cellIs" dxfId="66" priority="69" operator="lessThan">
      <formula>0</formula>
    </cfRule>
    <cfRule type="cellIs" dxfId="65" priority="70" operator="greaterThan">
      <formula>0</formula>
    </cfRule>
  </conditionalFormatting>
  <conditionalFormatting sqref="AB13:AC13">
    <cfRule type="cellIs" dxfId="64" priority="59" operator="lessThan">
      <formula>0</formula>
    </cfRule>
    <cfRule type="cellIs" dxfId="63" priority="60" operator="greaterThan">
      <formula>0</formula>
    </cfRule>
  </conditionalFormatting>
  <conditionalFormatting sqref="AD35">
    <cfRule type="cellIs" dxfId="62" priority="63" operator="lessThan">
      <formula>0</formula>
    </cfRule>
    <cfRule type="cellIs" dxfId="61" priority="64" operator="greaterThan">
      <formula>0</formula>
    </cfRule>
  </conditionalFormatting>
  <conditionalFormatting sqref="S10">
    <cfRule type="cellIs" dxfId="60" priority="61" operator="lessThan">
      <formula>0</formula>
    </cfRule>
    <cfRule type="cellIs" dxfId="59" priority="62" operator="greaterThan">
      <formula>0</formula>
    </cfRule>
  </conditionalFormatting>
  <conditionalFormatting sqref="AD13">
    <cfRule type="cellIs" dxfId="58" priority="57" operator="lessThan">
      <formula>0</formula>
    </cfRule>
    <cfRule type="cellIs" dxfId="57" priority="58" operator="greaterThan">
      <formula>0</formula>
    </cfRule>
  </conditionalFormatting>
  <conditionalFormatting sqref="AD14">
    <cfRule type="cellIs" dxfId="56" priority="55" operator="lessThan">
      <formula>0</formula>
    </cfRule>
    <cfRule type="cellIs" dxfId="55" priority="56" operator="greaterThan">
      <formula>0</formula>
    </cfRule>
  </conditionalFormatting>
  <conditionalFormatting sqref="AB27:AD27">
    <cfRule type="cellIs" dxfId="54" priority="53" operator="lessThan">
      <formula>0</formula>
    </cfRule>
    <cfRule type="cellIs" dxfId="53" priority="54" operator="greaterThan">
      <formula>0</formula>
    </cfRule>
  </conditionalFormatting>
  <conditionalFormatting sqref="AA27">
    <cfRule type="cellIs" dxfId="52" priority="51" operator="lessThan">
      <formula>0</formula>
    </cfRule>
    <cfRule type="cellIs" dxfId="51" priority="52" operator="greaterThan">
      <formula>0</formula>
    </cfRule>
  </conditionalFormatting>
  <conditionalFormatting sqref="T10:U10 X6:X9">
    <cfRule type="cellIs" dxfId="50" priority="49" operator="lessThan">
      <formula>0</formula>
    </cfRule>
    <cfRule type="cellIs" dxfId="49" priority="50" operator="greaterThan">
      <formula>0</formula>
    </cfRule>
  </conditionalFormatting>
  <conditionalFormatting sqref="X25:X26">
    <cfRule type="cellIs" dxfId="48" priority="43" operator="lessThan">
      <formula>0</formula>
    </cfRule>
    <cfRule type="cellIs" dxfId="47" priority="44" operator="greaterThan">
      <formula>0</formula>
    </cfRule>
  </conditionalFormatting>
  <conditionalFormatting sqref="U36:X38">
    <cfRule type="cellIs" dxfId="46" priority="41" operator="lessThan">
      <formula>0</formula>
    </cfRule>
    <cfRule type="cellIs" dxfId="45" priority="42" operator="greaterThan">
      <formula>0</formula>
    </cfRule>
  </conditionalFormatting>
  <conditionalFormatting sqref="U35:W35">
    <cfRule type="cellIs" dxfId="44" priority="39" operator="lessThan">
      <formula>0</formula>
    </cfRule>
    <cfRule type="cellIs" dxfId="43" priority="40" operator="greaterThan">
      <formula>0</formula>
    </cfRule>
  </conditionalFormatting>
  <conditionalFormatting sqref="U25:U26">
    <cfRule type="cellIs" dxfId="42" priority="47" operator="lessThan">
      <formula>0</formula>
    </cfRule>
    <cfRule type="cellIs" dxfId="41" priority="48" operator="greaterThan">
      <formula>0</formula>
    </cfRule>
  </conditionalFormatting>
  <conditionalFormatting sqref="V25:W26">
    <cfRule type="cellIs" dxfId="40" priority="45" operator="lessThan">
      <formula>0</formula>
    </cfRule>
    <cfRule type="cellIs" dxfId="39" priority="46" operator="greaterThan">
      <formula>0</formula>
    </cfRule>
  </conditionalFormatting>
  <conditionalFormatting sqref="X35">
    <cfRule type="cellIs" dxfId="38" priority="37" operator="lessThan">
      <formula>0</formula>
    </cfRule>
    <cfRule type="cellIs" dxfId="37" priority="38" operator="greaterThan">
      <formula>0</formula>
    </cfRule>
  </conditionalFormatting>
  <conditionalFormatting sqref="V13:W13">
    <cfRule type="cellIs" dxfId="36" priority="35" operator="lessThan">
      <formula>0</formula>
    </cfRule>
    <cfRule type="cellIs" dxfId="35" priority="36" operator="greaterThan">
      <formula>0</formula>
    </cfRule>
  </conditionalFormatting>
  <conditionalFormatting sqref="X13">
    <cfRule type="cellIs" dxfId="34" priority="33" operator="lessThan">
      <formula>0</formula>
    </cfRule>
    <cfRule type="cellIs" dxfId="33" priority="34" operator="greaterThan">
      <formula>0</formula>
    </cfRule>
  </conditionalFormatting>
  <conditionalFormatting sqref="X14">
    <cfRule type="cellIs" dxfId="32" priority="31" operator="lessThan">
      <formula>0</formula>
    </cfRule>
    <cfRule type="cellIs" dxfId="31" priority="32" operator="greaterThan">
      <formula>0</formula>
    </cfRule>
  </conditionalFormatting>
  <conditionalFormatting sqref="V27:X27">
    <cfRule type="cellIs" dxfId="30" priority="29" operator="lessThan">
      <formula>0</formula>
    </cfRule>
    <cfRule type="cellIs" dxfId="29" priority="30" operator="greaterThan">
      <formula>0</formula>
    </cfRule>
  </conditionalFormatting>
  <conditionalFormatting sqref="U32:X32">
    <cfRule type="cellIs" dxfId="28" priority="27" operator="lessThan">
      <formula>0</formula>
    </cfRule>
    <cfRule type="cellIs" dxfId="27" priority="28" operator="greaterThan">
      <formula>0</formula>
    </cfRule>
  </conditionalFormatting>
  <conditionalFormatting sqref="U27">
    <cfRule type="cellIs" dxfId="26" priority="25" operator="lessThan">
      <formula>0</formula>
    </cfRule>
    <cfRule type="cellIs" dxfId="25" priority="26" operator="greaterThan">
      <formula>0</formula>
    </cfRule>
  </conditionalFormatting>
  <conditionalFormatting sqref="AC14 W14">
    <cfRule type="expression" dxfId="24" priority="75">
      <formula>#REF!&gt;#REF!</formula>
    </cfRule>
  </conditionalFormatting>
  <conditionalFormatting sqref="U30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V30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W30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X30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AA32:AD32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AA30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AB30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AC30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AD30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D25:AD26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AA25:AA26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AB25:AC2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 verticalDpi="300" r:id="rId1"/>
  <ignoredErrors>
    <ignoredError sqref="F8:R8 F15:R15" formula="1"/>
  </ignoredErrors>
  <drawing r:id="rId2"/>
  <legacyDrawing r:id="rId3"/>
  <controls>
    <mc:AlternateContent xmlns:mc="http://schemas.openxmlformats.org/markup-compatibility/2006">
      <mc:Choice Requires="x14">
        <control shapeId="577537" r:id="rId4" name="FPMExcelClientSheetOptionstb1">
          <controlPr defaultSize="0" autoLine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77537" r:id="rId4" name="FPMExcelClientSheetOptionstb1"/>
      </mc:Fallback>
    </mc:AlternateContent>
    <mc:AlternateContent xmlns:mc="http://schemas.openxmlformats.org/markup-compatibility/2006">
      <mc:Choice Requires="x14">
        <control shapeId="577538" r:id="rId6" name="ConnectionDescriptorsInfo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333375</xdr:colOff>
                <xdr:row>0</xdr:row>
                <xdr:rowOff>0</xdr:rowOff>
              </to>
            </anchor>
          </controlPr>
        </control>
      </mc:Choice>
      <mc:Fallback>
        <control shapeId="577538" r:id="rId6" name="ConnectionDescriptorsInfotb1"/>
      </mc:Fallback>
    </mc:AlternateContent>
    <mc:AlternateContent xmlns:mc="http://schemas.openxmlformats.org/markup-compatibility/2006">
      <mc:Choice Requires="x14">
        <control shapeId="577539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333375</xdr:colOff>
                <xdr:row>0</xdr:row>
                <xdr:rowOff>0</xdr:rowOff>
              </to>
            </anchor>
          </controlPr>
        </control>
      </mc:Choice>
      <mc:Fallback>
        <control shapeId="577539" r:id="rId8" name="MultipleReportManagerInfotb1"/>
      </mc:Fallback>
    </mc:AlternateContent>
    <mc:AlternateContent xmlns:mc="http://schemas.openxmlformats.org/markup-compatibility/2006">
      <mc:Choice Requires="x14">
        <control shapeId="577540" r:id="rId10" name="AnalyzerDynReport000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333375</xdr:colOff>
                <xdr:row>0</xdr:row>
                <xdr:rowOff>0</xdr:rowOff>
              </to>
            </anchor>
          </controlPr>
        </control>
      </mc:Choice>
      <mc:Fallback>
        <control shapeId="577540" r:id="rId10" name="AnalyzerDynReport000tb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3D7AF1-36D6-4BA0-8AB6-C892DC031A65}">
          <x14:formula1>
            <xm:f>Mapping!$A$2:$A$19</xm:f>
          </x14:formula1>
          <xm:sqref>E2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FD260C0EBCD4E91A53891CC8A485B" ma:contentTypeVersion="13" ma:contentTypeDescription="Create a new document." ma:contentTypeScope="" ma:versionID="351de0b444d287a2673bd796e8b46def">
  <xsd:schema xmlns:xsd="http://www.w3.org/2001/XMLSchema" xmlns:xs="http://www.w3.org/2001/XMLSchema" xmlns:p="http://schemas.microsoft.com/office/2006/metadata/properties" xmlns:ns3="19dfdce6-3da8-47c2-83ed-2044855683c6" xmlns:ns4="adcc72fa-723a-4d9d-ad85-3aa454337524" targetNamespace="http://schemas.microsoft.com/office/2006/metadata/properties" ma:root="true" ma:fieldsID="d21f82a527d534b7e959f84c6d93a4f7" ns3:_="" ns4:_="">
    <xsd:import namespace="19dfdce6-3da8-47c2-83ed-2044855683c6"/>
    <xsd:import namespace="adcc72fa-723a-4d9d-ad85-3aa45433752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fdce6-3da8-47c2-83ed-2044855683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c72fa-723a-4d9d-ad85-3aa45433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466703-2963-45A2-8861-11E94C5CDF67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dcc72fa-723a-4d9d-ad85-3aa454337524"/>
    <ds:schemaRef ds:uri="19dfdce6-3da8-47c2-83ed-2044855683c6"/>
  </ds:schemaRefs>
</ds:datastoreItem>
</file>

<file path=customXml/itemProps2.xml><?xml version="1.0" encoding="utf-8"?>
<ds:datastoreItem xmlns:ds="http://schemas.openxmlformats.org/officeDocument/2006/customXml" ds:itemID="{FEC988D1-051B-456C-A307-2B4938C6A7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B62FF5-FD6E-402B-9A79-DE02F9E34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fdce6-3da8-47c2-83ed-2044855683c6"/>
    <ds:schemaRef ds:uri="adcc72fa-723a-4d9d-ad85-3aa45433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Mapping</vt:lpstr>
      <vt:lpstr>Bridges for Trends</vt:lpstr>
      <vt:lpstr>Sales Data</vt:lpstr>
      <vt:lpstr>Units sold</vt:lpstr>
      <vt:lpstr>Summary</vt:lpstr>
      <vt:lpstr>Chairs</vt:lpstr>
      <vt:lpstr>Tables</vt:lpstr>
      <vt:lpstr>Kitchen</vt:lpstr>
      <vt:lpstr>Accessories</vt:lpstr>
    </vt:vector>
  </TitlesOfParts>
  <Company>Novartis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Joligewar, Chandrakanth</dc:creator>
  <cp:lastModifiedBy>Stockkamp, Felix</cp:lastModifiedBy>
  <dcterms:created xsi:type="dcterms:W3CDTF">2019-03-20T09:12:48Z</dcterms:created>
  <dcterms:modified xsi:type="dcterms:W3CDTF">2020-08-31T15:55:53Z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CH Sales Input  Phasing 01.20 -Management Sales (004).xlsx</vt:lpwstr>
  </property>
  <property fmtid="{D5CDD505-2E9C-101B-9397-08002B2CF9AE}" pid="3" name="MSIP_Label_4929bff8-5b33-42aa-95d2-28f72e792cb0_Enabled">
    <vt:lpwstr>True</vt:lpwstr>
  </property>
  <property fmtid="{D5CDD505-2E9C-101B-9397-08002B2CF9AE}" pid="4" name="MSIP_Label_4929bff8-5b33-42aa-95d2-28f72e792cb0_SiteId">
    <vt:lpwstr>f35a6974-607f-47d4-82d7-ff31d7dc53a5</vt:lpwstr>
  </property>
  <property fmtid="{D5CDD505-2E9C-101B-9397-08002B2CF9AE}" pid="5" name="MSIP_Label_4929bff8-5b33-42aa-95d2-28f72e792cb0_Owner">
    <vt:lpwstr>DEPAOAL1@novartis.net</vt:lpwstr>
  </property>
  <property fmtid="{D5CDD505-2E9C-101B-9397-08002B2CF9AE}" pid="6" name="MSIP_Label_4929bff8-5b33-42aa-95d2-28f72e792cb0_SetDate">
    <vt:lpwstr>2020-06-04T06:27:50.8432302Z</vt:lpwstr>
  </property>
  <property fmtid="{D5CDD505-2E9C-101B-9397-08002B2CF9AE}" pid="7" name="MSIP_Label_4929bff8-5b33-42aa-95d2-28f72e792cb0_Name">
    <vt:lpwstr>Business Use Only</vt:lpwstr>
  </property>
  <property fmtid="{D5CDD505-2E9C-101B-9397-08002B2CF9AE}" pid="8" name="MSIP_Label_4929bff8-5b33-42aa-95d2-28f72e792cb0_Application">
    <vt:lpwstr>Microsoft Azure Information Protection</vt:lpwstr>
  </property>
  <property fmtid="{D5CDD505-2E9C-101B-9397-08002B2CF9AE}" pid="9" name="MSIP_Label_4929bff8-5b33-42aa-95d2-28f72e792cb0_ActionId">
    <vt:lpwstr>9a469345-1911-4047-8aa3-04db85e2b0c9</vt:lpwstr>
  </property>
  <property fmtid="{D5CDD505-2E9C-101B-9397-08002B2CF9AE}" pid="10" name="MSIP_Label_4929bff8-5b33-42aa-95d2-28f72e792cb0_Extended_MSFT_Method">
    <vt:lpwstr>Automatic</vt:lpwstr>
  </property>
  <property fmtid="{D5CDD505-2E9C-101B-9397-08002B2CF9AE}" pid="11" name="Confidentiality">
    <vt:lpwstr>Business Use Only</vt:lpwstr>
  </property>
  <property fmtid="{D5CDD505-2E9C-101B-9397-08002B2CF9AE}" pid="12" name="ContentTypeId">
    <vt:lpwstr>0x010100062FD260C0EBCD4E91A53891CC8A485B</vt:lpwstr>
  </property>
  <property fmtid="{D5CDD505-2E9C-101B-9397-08002B2CF9AE}" pid="13" name="CustomUiType">
    <vt:lpwstr>2</vt:lpwstr>
  </property>
</Properties>
</file>