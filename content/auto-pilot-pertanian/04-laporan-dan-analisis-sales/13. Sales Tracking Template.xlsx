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codeName="ThisWorkbook" hidePivotFieldList="1" defaultThemeVersion="166925"/>
  <mc:AlternateContent xmlns:mc="http://schemas.openxmlformats.org/markup-compatibility/2006">
    <mc:Choice Requires="x15">
      <x15ac:absPath xmlns:x15ac="http://schemas.microsoft.com/office/spreadsheetml/2010/11/ac" url="C:\Users\jf\Dropbox\XLS\XLSTEMPLATE\Sales\"/>
    </mc:Choice>
  </mc:AlternateContent>
  <xr:revisionPtr revIDLastSave="0" documentId="13_ncr:1_{41AD3066-1E59-4D53-BD0F-91DCE5FC5E25}" xr6:coauthVersionLast="46" xr6:coauthVersionMax="46" xr10:uidLastSave="{00000000-0000-0000-0000-000000000000}"/>
  <bookViews>
    <workbookView xWindow="-120" yWindow="-120" windowWidth="19440" windowHeight="10440" tabRatio="631" activeTab="3" xr2:uid="{AE3F18A6-0905-47A1-AC3A-07AFCB3DAA68}"/>
  </bookViews>
  <sheets>
    <sheet name="Instructions" sheetId="9" r:id="rId1"/>
    <sheet name="Customer Tracking" sheetId="8" r:id="rId2"/>
    <sheet name="Sales Personnel Tracking" sheetId="6" r:id="rId3"/>
    <sheet name="Activity Log" sheetId="2" r:id="rId4"/>
    <sheet name="Info" sheetId="1" r:id="rId5"/>
  </sheets>
  <definedNames>
    <definedName name="_xlcn.WorksheetConnection_SalesTrackingTemplatev1.3.xlsxActvityTbl1" hidden="1">ActvityTbl[]</definedName>
    <definedName name="Activity">OFFSET(Info!$H$4,0,0,COUNTA(Info!$H:$H)-2,1)</definedName>
    <definedName name="CustomerList">OFFSET(#REF!,0,0,COUNTA(#REF!),1)</definedName>
    <definedName name="Product">OFFSET(Info!$J$4,0,0,COUNTA(Info!$J:$J)-1,1)</definedName>
    <definedName name="ProspectCategory">OFFSET(Info!$D$4,0,0,COUNTA(Info!$D:$D)-2,1)</definedName>
    <definedName name="SalesPerson">OFFSET(Info!$B$4,0,0,COUNTA(Info!$B:$B)-2,1)</definedName>
    <definedName name="Status">OFFSET(Info!$F$4,0,0,COUNTA(Info!$F:$F)-2,1)</definedName>
  </definedNames>
  <calcPr calcId="191029"/>
  <pivotCaches>
    <pivotCache cacheId="24" r:id="rId6"/>
    <pivotCache cacheId="27" r:id="rId7"/>
    <pivotCache cacheId="75" r:id="rId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tvityTbl" name="ActvityTbl" connection="WorksheetConnection_Sales Tracking Template v1.3.xlsx!ActvityTb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6" l="1"/>
  <c r="F4" i="6" a="1"/>
  <c r="F4" i="6" s="1"/>
  <c r="H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F3F3C8-46A2-416A-A811-750C238BF26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B7B5DF0-8269-4790-B595-DE28CF8B12FB}" name="WorksheetConnection_Sales Tracking Template v1.3.xlsx!ActvityTbl" type="102" refreshedVersion="7" minRefreshableVersion="5">
    <extLst>
      <ext xmlns:x15="http://schemas.microsoft.com/office/spreadsheetml/2010/11/main" uri="{DE250136-89BD-433C-8126-D09CA5730AF9}">
        <x15:connection id="ActvityTbl" autoDelete="1">
          <x15:rangePr sourceName="_xlcn.WorksheetConnection_SalesTrackingTemplatev1.3.xlsxActvityTbl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4">
    <s v="ThisWorkbookDataModel"/>
    <s v="{[ActvityTbl].[Sales Person].&amp;[Jane Doe]}"/>
    <s v="{[ActvityTbl].[Key Prospect].&amp;[Yes]}"/>
    <s v="{[ActvityTbl].[Customer/Prospect].&amp;[Company 42]}"/>
  </metadataStrings>
  <mdxMetadata count="3">
    <mdx n="0" f="s">
      <ms ns="1" c="0"/>
    </mdx>
    <mdx n="0" f="s">
      <ms ns="2" c="0"/>
    </mdx>
    <mdx n="0" f="s">
      <ms ns="3" c="0"/>
    </mdx>
  </mdxMetadata>
  <futureMetadata name="XLDAPR" count="1">
    <bk>
      <extLst>
        <ext uri="{bdbb8cdc-fa1e-496e-a857-3c3f30c029c3}">
          <xda:dynamicArrayProperties fDynamic="1" fCollapsed="0"/>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<sst xmlns="http://schemas.openxmlformats.org/spreadsheetml/2006/main" count="173" uniqueCount="83">
  <si>
    <t>Sales Person</t>
  </si>
  <si>
    <t>Status</t>
  </si>
  <si>
    <t>Prospect Status</t>
  </si>
  <si>
    <t>Win</t>
  </si>
  <si>
    <t>Close in 30 days</t>
  </si>
  <si>
    <t>Close in 60 days</t>
  </si>
  <si>
    <t>Close in &gt; 90 days</t>
  </si>
  <si>
    <t>Delayed</t>
  </si>
  <si>
    <t>Lost</t>
  </si>
  <si>
    <t>John Smith</t>
  </si>
  <si>
    <t>Jane Doe</t>
  </si>
  <si>
    <t>Tom Brown</t>
  </si>
  <si>
    <t>Ella White</t>
  </si>
  <si>
    <t>Prospect Category</t>
  </si>
  <si>
    <t>New lead</t>
  </si>
  <si>
    <t>Follow up lead</t>
  </si>
  <si>
    <t>Existing Customer</t>
  </si>
  <si>
    <t>Actvity</t>
  </si>
  <si>
    <t>Call</t>
  </si>
  <si>
    <t>Text</t>
  </si>
  <si>
    <t>Email</t>
  </si>
  <si>
    <t>Face to face meeting</t>
  </si>
  <si>
    <t>Online meeting</t>
  </si>
  <si>
    <t>Product</t>
  </si>
  <si>
    <t>Product Package</t>
  </si>
  <si>
    <t>One Time Cost</t>
  </si>
  <si>
    <t>Monthly Fee</t>
  </si>
  <si>
    <t>Revenue</t>
  </si>
  <si>
    <t>Customer/Prospect</t>
  </si>
  <si>
    <t>Activity date</t>
  </si>
  <si>
    <t>Activity</t>
  </si>
  <si>
    <t>Product QTY</t>
  </si>
  <si>
    <t>Company 42</t>
  </si>
  <si>
    <t>Price Quote</t>
  </si>
  <si>
    <t>123 Co.</t>
  </si>
  <si>
    <t>Downtown Inc</t>
  </si>
  <si>
    <t>Another Co.</t>
  </si>
  <si>
    <t>Follow-up date</t>
  </si>
  <si>
    <t>Key Prospects</t>
  </si>
  <si>
    <t>Yes</t>
  </si>
  <si>
    <t>No</t>
  </si>
  <si>
    <t>Key Prospect</t>
  </si>
  <si>
    <t># of Wins</t>
  </si>
  <si>
    <t>Wins % of Total Contacts</t>
  </si>
  <si>
    <t>Total # of Contacts</t>
  </si>
  <si>
    <t>XYZ Corp</t>
  </si>
  <si>
    <t>CatCo</t>
  </si>
  <si>
    <t>9/10/2020</t>
  </si>
  <si>
    <t>9/30/2020</t>
  </si>
  <si>
    <t>Follow-up Date</t>
  </si>
  <si>
    <t>10/3/2020</t>
  </si>
  <si>
    <t>Date/Customer</t>
  </si>
  <si>
    <t>Date/Activity</t>
  </si>
  <si>
    <t>Total Product QTY</t>
  </si>
  <si>
    <t>Sum of Prices Quoted</t>
  </si>
  <si>
    <t>Total Revenue</t>
  </si>
  <si>
    <t>Navigation</t>
  </si>
  <si>
    <t>Title</t>
  </si>
  <si>
    <t>Content</t>
  </si>
  <si>
    <t>Customization difficulty (1-3)</t>
  </si>
  <si>
    <t>Explanation of sheets</t>
  </si>
  <si>
    <t>How to customize</t>
  </si>
  <si>
    <t>1)</t>
  </si>
  <si>
    <t>2)</t>
  </si>
  <si>
    <t>Sales Tracking Template</t>
  </si>
  <si>
    <t>This workbook is intended to help organize and track sales personnel and customer/prospect interactions and activities.</t>
  </si>
  <si>
    <t>Sales personnel, customers/prospects, activities, and statuses are stored for easy repetitive input using drop-down menus on the other tabs with tracking tabs to summarize key activities for sales personnel and customers/prospects.</t>
  </si>
  <si>
    <t>Customer Tracking:</t>
  </si>
  <si>
    <t xml:space="preserve">This sheet contains two interactive reports. One allows the user to select a customer/prospect and to view all of the activities and contact information for them. The second shows the sum of product quantity, sum of quoted prices, and sum of revenues related to key prospects. The second reports also gives the ability to view a list of the prostects not considered key or to view a list of that information for all contact. </t>
  </si>
  <si>
    <t>Sales Personnel Tracking:</t>
  </si>
  <si>
    <t>This sheet contains one interactive report which allowe the user to select a sales person and to see all of their activity surrounding their contact with customers/prospects. A mini-dashboard to its right shows how many contacts they have and the percentage of contacts considered a "Win."</t>
  </si>
  <si>
    <t>Activity Log:</t>
  </si>
  <si>
    <t>This sheet is where all activities conducted between sales personnel and customers/prospects is recorded. This sheet has drop-down menus which are populated with the data from the Info Tab. This is where the user specifies which contacts are "Key prospects" by choosing either "Yes" or "No" from the drop-down menu in the "Key Prospect" column.</t>
  </si>
  <si>
    <t>Info:</t>
  </si>
  <si>
    <t xml:space="preserve">This sheet is where the user defines what information will be available in the corresponding columns in of Activity Tab. </t>
  </si>
  <si>
    <t xml:space="preserve">Enter all relevant information into the table in the Acvitity Log Tab. </t>
  </si>
  <si>
    <t>Define the different aspects within the Info Tab tables. To add more options to each small table, simply start typing in the bottommost empty line or overwrite existing data. Drop-down menus will automatically be populated with the new data.</t>
  </si>
  <si>
    <t>Customer Tracking</t>
  </si>
  <si>
    <t>Sales Personnel Tracking</t>
  </si>
  <si>
    <t>Activity Log</t>
  </si>
  <si>
    <t>Info</t>
  </si>
  <si>
    <t>Instructions</t>
  </si>
  <si>
    <t>11/1/2020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</si>
</sst>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m/d/yy;@"/>
    <numFmt numFmtId="165" formatCode="&quot;$&quot;#,##0.00"/>
    <numFmt numFmtId="166" formatCode="m/d/yy"/>
  </numFmts>
  <fonts count="15" x14ac:knownFonts="1">
    <font>
      <sz val="11"/>
      <color theme="1"/>
      <name val="Calibri"/>
      <family val="2"/>
      <scheme val="minor"/>
    </font>
    <font>
      <sz val="11"/>
      <color theme="1"/>
      <name val="Calibri"/>
      <family val="2"/>
      <scheme val="minor"/>
    </font>
    <font>
      <sz val="10"/>
      <color theme="1"/>
      <name val="Arial"/>
      <family val="2"/>
    </font>
    <font>
      <b/>
      <sz val="10"/>
      <color theme="1"/>
      <name val="Arial"/>
      <family val="2"/>
    </font>
    <font>
      <b/>
      <sz val="11"/>
      <color theme="1"/>
      <name val="Arial"/>
      <family val="2"/>
    </font>
    <font>
      <sz val="9"/>
      <color theme="1"/>
      <name val="Arial"/>
      <family val="2"/>
    </font>
    <font>
      <b/>
      <sz val="10"/>
      <color theme="0"/>
      <name val="Arial"/>
      <family val="2"/>
    </font>
    <font>
      <b/>
      <sz val="11"/>
      <color theme="0"/>
      <name val="Arial"/>
      <family val="2"/>
    </font>
    <font>
      <b/>
      <sz val="11"/>
      <color theme="0"/>
      <name val="Calibri"/>
      <family val="2"/>
      <scheme val="minor"/>
    </font>
    <font>
      <sz val="10"/>
      <color theme="0"/>
      <name val="Arial"/>
      <family val="2"/>
    </font>
    <font>
      <b/>
      <sz val="10"/>
      <name val="Arial"/>
      <family val="2"/>
    </font>
    <font>
      <sz val="10"/>
      <name val="Arial"/>
      <family val="2"/>
    </font>
    <font>
      <u/>
      <sz val="11"/>
      <color theme="10"/>
      <name val="Calibri"/>
      <family val="2"/>
      <scheme val="minor"/>
    </font>
    <font>
      <b/>
      <i/>
      <sz val="10"/>
      <color theme="0"/>
      <name val="Arial"/>
      <family val="2"/>
    </font>
    <font>
      <b/>
      <u/>
      <sz val="11"/>
      <color theme="0"/>
      <name val="Calibri"/>
      <family val="2"/>
      <scheme val="minor"/>
    </font>
  </fonts>
  <fills count="4">
    <fill>
      <patternFill patternType="none"/>
    </fill>
    <fill>
      <patternFill patternType="gray125"/>
    </fill>
    <fill>
      <patternFill patternType="solid">
        <fgColor rgb="FF50B47F"/>
        <bgColor indexed="64"/>
      </patternFill>
    </fill>
    <fill>
      <patternFill patternType="solid">
        <fgColor rgb="FF8FCFAD"/>
        <bgColor indexed="64"/>
      </patternFill>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right>
      <top style="thin">
        <color theme="0" tint="-0.24994659260841701"/>
      </top>
      <bottom style="thin">
        <color theme="0" tint="-0.24994659260841701"/>
      </bottom>
      <diagonal/>
    </border>
    <border>
      <left style="thin">
        <color theme="0"/>
      </left>
      <right style="thin">
        <color theme="0"/>
      </right>
      <top style="thin">
        <color theme="0" tint="-0.24994659260841701"/>
      </top>
      <bottom style="thin">
        <color theme="0" tint="-0.24994659260841701"/>
      </bottom>
      <diagonal/>
    </border>
    <border>
      <left style="thin">
        <color theme="0"/>
      </left>
      <right style="thin">
        <color theme="0" tint="-0.24994659260841701"/>
      </right>
      <top style="thin">
        <color theme="0" tint="-0.24994659260841701"/>
      </top>
      <bottom style="thin">
        <color theme="0" tint="-0.2499465926084170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cellStyleXfs>
  <cellXfs count="66">
    <xf numFmtId="0" fontId="0" fillId="0" borderId="0" xfId="0"/>
    <xf numFmtId="0" fontId="2" fillId="0" borderId="0" xfId="0" applyFont="1"/>
    <xf numFmtId="164" fontId="2" fillId="0" borderId="0" xfId="0" applyNumberFormat="1" applyFont="1"/>
    <xf numFmtId="0" fontId="3" fillId="0" borderId="0" xfId="0" applyFont="1" applyAlignment="1">
      <alignment horizontal="center" vertical="top"/>
    </xf>
    <xf numFmtId="0" fontId="2" fillId="0" borderId="0" xfId="0" applyNumberFormat="1" applyFont="1"/>
    <xf numFmtId="0" fontId="2" fillId="0" borderId="0" xfId="0" applyFont="1" applyFill="1" applyBorder="1"/>
    <xf numFmtId="0" fontId="4" fillId="0" borderId="0" xfId="0" applyFont="1" applyAlignment="1">
      <alignment horizontal="center" vertical="top"/>
    </xf>
    <xf numFmtId="0" fontId="5" fillId="0" borderId="0" xfId="0" applyFont="1" applyAlignment="1">
      <alignment horizontal="center"/>
    </xf>
    <xf numFmtId="0" fontId="7" fillId="2" borderId="2" xfId="0" applyNumberFormat="1" applyFont="1" applyFill="1" applyBorder="1" applyAlignment="1">
      <alignment horizontal="center" vertical="top" wrapText="1"/>
    </xf>
    <xf numFmtId="0" fontId="7" fillId="2" borderId="2" xfId="0" applyFont="1" applyFill="1" applyBorder="1" applyAlignment="1">
      <alignment horizontal="center" vertical="top" wrapText="1"/>
    </xf>
    <xf numFmtId="0" fontId="7" fillId="2" borderId="1" xfId="0" applyFont="1" applyFill="1" applyBorder="1" applyAlignment="1">
      <alignment horizontal="center" vertical="top"/>
    </xf>
    <xf numFmtId="164" fontId="2" fillId="0" borderId="0" xfId="0" applyNumberFormat="1" applyFont="1" applyAlignment="1">
      <alignment horizontal="center"/>
    </xf>
    <xf numFmtId="0" fontId="2" fillId="0" borderId="0" xfId="0" applyFont="1" applyAlignment="1">
      <alignment horizontal="center"/>
    </xf>
    <xf numFmtId="1" fontId="2" fillId="0" borderId="0" xfId="0" applyNumberFormat="1" applyFont="1" applyAlignment="1">
      <alignment horizontal="center"/>
    </xf>
    <xf numFmtId="165" fontId="2" fillId="0" borderId="0" xfId="1" applyNumberFormat="1" applyFont="1" applyAlignment="1">
      <alignment horizontal="center"/>
    </xf>
    <xf numFmtId="0" fontId="2" fillId="0" borderId="0" xfId="0" applyFont="1" applyAlignment="1">
      <alignment vertical="top"/>
    </xf>
    <xf numFmtId="0" fontId="2" fillId="0" borderId="1" xfId="0" applyFont="1" applyBorder="1" applyAlignment="1">
      <alignment horizontal="center"/>
    </xf>
    <xf numFmtId="0" fontId="2" fillId="0" borderId="1" xfId="0" applyFont="1" applyBorder="1" applyAlignment="1">
      <alignment horizontal="centerContinuous"/>
    </xf>
    <xf numFmtId="9" fontId="2" fillId="0" borderId="1" xfId="2" applyFont="1" applyBorder="1" applyAlignment="1">
      <alignment horizontal="centerContinuous"/>
    </xf>
    <xf numFmtId="0" fontId="2" fillId="0" borderId="0" xfId="0" applyFont="1" applyAlignment="1">
      <alignment horizontal="right" vertical="top"/>
    </xf>
    <xf numFmtId="0" fontId="10" fillId="0" borderId="0" xfId="0" applyFont="1" applyFill="1" applyBorder="1" applyAlignment="1">
      <alignment horizontal="center"/>
    </xf>
    <xf numFmtId="0" fontId="11" fillId="0" borderId="0" xfId="0" applyFont="1" applyFill="1" applyBorder="1" applyAlignment="1">
      <alignment horizontal="center"/>
    </xf>
    <xf numFmtId="44" fontId="2" fillId="0" borderId="0" xfId="1" applyFont="1"/>
    <xf numFmtId="0" fontId="6" fillId="2" borderId="3" xfId="0" applyFont="1" applyFill="1" applyBorder="1" applyAlignment="1">
      <alignment horizontal="center" vertical="top"/>
    </xf>
    <xf numFmtId="0" fontId="6" fillId="2" borderId="4" xfId="0" applyFont="1" applyFill="1" applyBorder="1" applyAlignment="1">
      <alignment horizontal="center" vertical="top"/>
    </xf>
    <xf numFmtId="0" fontId="6" fillId="2" borderId="4" xfId="0" applyFont="1" applyFill="1" applyBorder="1" applyAlignment="1">
      <alignment horizontal="centerContinuous" vertical="top"/>
    </xf>
    <xf numFmtId="0" fontId="6" fillId="2" borderId="5" xfId="0" applyFont="1" applyFill="1" applyBorder="1" applyAlignment="1">
      <alignment horizontal="centerContinuous" vertical="top"/>
    </xf>
    <xf numFmtId="0" fontId="9" fillId="2" borderId="0" xfId="0" applyFont="1" applyFill="1"/>
    <xf numFmtId="0" fontId="13" fillId="2" borderId="0" xfId="0" applyFont="1" applyFill="1" applyAlignment="1">
      <alignment horizontal="center" vertical="center"/>
    </xf>
    <xf numFmtId="0" fontId="3" fillId="0" borderId="0" xfId="0" applyFont="1"/>
    <xf numFmtId="0" fontId="14" fillId="2" borderId="0" xfId="3" applyFont="1" applyFill="1" applyBorder="1" applyAlignment="1">
      <alignment horizontal="left"/>
    </xf>
    <xf numFmtId="0" fontId="14" fillId="2" borderId="0" xfId="3" applyFont="1" applyFill="1" applyBorder="1" applyAlignment="1">
      <alignment horizontal="left" vertical="center"/>
    </xf>
    <xf numFmtId="0" fontId="3" fillId="0" borderId="0" xfId="0" quotePrefix="1" applyFont="1" applyAlignment="1">
      <alignment horizontal="right" vertical="top"/>
    </xf>
    <xf numFmtId="0" fontId="3" fillId="0" borderId="0" xfId="0" applyFont="1" applyAlignment="1">
      <alignment horizontal="right" vertical="top"/>
    </xf>
    <xf numFmtId="0" fontId="3" fillId="0" borderId="0" xfId="0" applyFont="1" applyAlignment="1">
      <alignment vertical="top"/>
    </xf>
    <xf numFmtId="0" fontId="2" fillId="0" borderId="0" xfId="0" quotePrefix="1" applyFont="1" applyAlignment="1">
      <alignment horizontal="right" vertical="top"/>
    </xf>
    <xf numFmtId="0" fontId="2" fillId="0" borderId="0" xfId="0" quotePrefix="1" applyFont="1" applyAlignment="1">
      <alignment horizontal="right"/>
    </xf>
    <xf numFmtId="0" fontId="2" fillId="0" borderId="0" xfId="0" applyFont="1" applyAlignment="1">
      <alignment horizontal="right"/>
    </xf>
    <xf numFmtId="0" fontId="2" fillId="0" borderId="0" xfId="0" applyFont="1" applyAlignment="1">
      <alignment horizontal="left"/>
    </xf>
    <xf numFmtId="0" fontId="14" fillId="2" borderId="0" xfId="3" quotePrefix="1" applyFont="1" applyFill="1" applyBorder="1" applyAlignment="1">
      <alignment horizontal="left"/>
    </xf>
    <xf numFmtId="0" fontId="8" fillId="3" borderId="0" xfId="0" applyFont="1" applyFill="1" applyAlignment="1">
      <alignment vertical="top"/>
    </xf>
    <xf numFmtId="0" fontId="14" fillId="3" borderId="0" xfId="3" applyFont="1" applyFill="1" applyBorder="1" applyAlignment="1">
      <alignment horizontal="center" vertical="top"/>
    </xf>
    <xf numFmtId="0" fontId="14" fillId="3" borderId="0" xfId="3" quotePrefix="1" applyFont="1" applyFill="1" applyBorder="1" applyAlignment="1">
      <alignment horizontal="center" vertical="top"/>
    </xf>
    <xf numFmtId="0" fontId="14" fillId="3" borderId="0" xfId="3" applyFont="1" applyFill="1" applyBorder="1" applyAlignment="1">
      <alignment vertical="top"/>
    </xf>
    <xf numFmtId="0" fontId="8" fillId="3" borderId="0" xfId="0" applyFont="1" applyFill="1" applyAlignment="1">
      <alignment horizontal="center" vertical="top"/>
    </xf>
    <xf numFmtId="0" fontId="2" fillId="0" borderId="0" xfId="0" applyFont="1" applyAlignment="1">
      <alignment vertical="top" wrapText="1"/>
    </xf>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horizontal="left" vertical="top" wrapText="1"/>
    </xf>
    <xf numFmtId="0" fontId="14" fillId="3" borderId="0" xfId="3" quotePrefix="1" applyFont="1" applyFill="1" applyBorder="1" applyAlignment="1">
      <alignment horizontal="center" vertical="top"/>
    </xf>
    <xf numFmtId="0" fontId="14" fillId="3" borderId="0" xfId="3" applyFont="1" applyFill="1" applyBorder="1" applyAlignment="1">
      <alignment horizontal="center" vertical="top"/>
    </xf>
    <xf numFmtId="0" fontId="2" fillId="0" borderId="0" xfId="0" pivotButton="1" applyFont="1" applyAlignment="1">
      <alignment vertical="top" wrapText="1"/>
    </xf>
    <xf numFmtId="0" fontId="2" fillId="0" borderId="0" xfId="0" pivotButton="1" applyFont="1" applyAlignment="1">
      <alignment vertical="top"/>
    </xf>
    <xf numFmtId="14" fontId="2" fillId="0" borderId="0" xfId="0" applyNumberFormat="1" applyFont="1" applyAlignment="1">
      <alignment horizontal="left" vertical="top"/>
    </xf>
    <xf numFmtId="0" fontId="2" fillId="0" borderId="0" xfId="0" applyNumberFormat="1" applyFont="1" applyAlignment="1">
      <alignment vertical="top"/>
    </xf>
    <xf numFmtId="0" fontId="2" fillId="0" borderId="0" xfId="0" applyFont="1" applyAlignment="1">
      <alignment horizontal="left" vertical="top" indent="1"/>
    </xf>
    <xf numFmtId="166" fontId="2" fillId="0" borderId="0" xfId="0" applyNumberFormat="1" applyFont="1" applyAlignment="1">
      <alignment vertical="top"/>
    </xf>
    <xf numFmtId="0" fontId="2" fillId="0" borderId="0" xfId="0" applyFont="1" applyAlignment="1">
      <alignment horizontal="center" vertical="top"/>
    </xf>
    <xf numFmtId="0" fontId="2" fillId="0" borderId="0" xfId="0" applyNumberFormat="1" applyFont="1" applyAlignment="1">
      <alignment horizontal="center" vertical="top"/>
    </xf>
    <xf numFmtId="166" fontId="2" fillId="0" borderId="0" xfId="0" applyNumberFormat="1" applyFont="1" applyAlignment="1">
      <alignment horizontal="center" vertical="top"/>
    </xf>
    <xf numFmtId="0" fontId="2" fillId="0" borderId="0" xfId="0" applyFont="1" applyAlignment="1">
      <alignment horizontal="left" vertical="top"/>
    </xf>
    <xf numFmtId="44" fontId="2" fillId="0" borderId="0" xfId="0" applyNumberFormat="1" applyFont="1" applyAlignment="1">
      <alignment vertical="top"/>
    </xf>
    <xf numFmtId="0" fontId="2" fillId="0" borderId="0" xfId="0" applyFont="1" applyAlignment="1">
      <alignment horizontal="center" vertical="top" wrapText="1"/>
    </xf>
    <xf numFmtId="165" fontId="2" fillId="0" borderId="0" xfId="0" applyNumberFormat="1" applyFont="1" applyAlignment="1">
      <alignment horizontal="center" vertical="top"/>
    </xf>
    <xf numFmtId="0" fontId="2" fillId="0" borderId="0" xfId="0" pivotButton="1" applyFont="1" applyAlignment="1">
      <alignment horizontal="right" vertical="center"/>
    </xf>
    <xf numFmtId="0" fontId="2" fillId="0" borderId="0" xfId="0" applyFont="1" applyAlignment="1">
      <alignment horizontal="left" vertical="center"/>
    </xf>
  </cellXfs>
  <cellStyles count="4">
    <cellStyle name="Currency" xfId="1" builtinId="4"/>
    <cellStyle name="Hyperlink" xfId="3" builtinId="8"/>
    <cellStyle name="Normal" xfId="0" builtinId="0"/>
    <cellStyle name="Percent" xfId="2" builtinId="5"/>
  </cellStyles>
  <dxfs count="93">
    <dxf>
      <border>
        <left style="thin">
          <color theme="0" tint="-0.24994659260841701"/>
        </left>
        <right style="thin">
          <color theme="0" tint="-0.24994659260841701"/>
        </right>
        <top style="thin">
          <color theme="0" tint="-0.24994659260841701"/>
        </top>
        <bottom style="thin">
          <color theme="0" tint="-0.24994659260841701"/>
        </bottom>
        <vertical/>
        <horizontal/>
      </border>
    </dxf>
    <dxf>
      <font>
        <strike val="0"/>
        <outline val="0"/>
        <shadow val="0"/>
        <u val="none"/>
        <vertAlign val="baseline"/>
        <sz val="10"/>
        <color theme="1"/>
        <name val="Arial"/>
        <family val="2"/>
        <scheme val="none"/>
      </font>
    </dxf>
    <dxf>
      <font>
        <strike val="0"/>
        <outline val="0"/>
        <shadow val="0"/>
        <u val="none"/>
        <vertAlign val="baseline"/>
        <sz val="10"/>
        <color theme="1"/>
        <name val="Arial"/>
        <family val="2"/>
        <scheme val="none"/>
      </font>
      <numFmt numFmtId="165" formatCode="&quot;$&quot;#,##0.00"/>
      <alignment horizontal="center" textRotation="0" indent="0" justifyLastLine="0" shrinkToFit="0" readingOrder="0"/>
    </dxf>
    <dxf>
      <font>
        <strike val="0"/>
        <outline val="0"/>
        <shadow val="0"/>
        <u val="none"/>
        <vertAlign val="baseline"/>
        <sz val="10"/>
        <color theme="1"/>
        <name val="Arial"/>
        <family val="2"/>
        <scheme val="none"/>
      </font>
      <numFmt numFmtId="1" formatCode="0"/>
      <alignment horizontal="center" textRotation="0" indent="0" justifyLastLine="0" shrinkToFit="0" readingOrder="0"/>
    </dxf>
    <dxf>
      <font>
        <strike val="0"/>
        <outline val="0"/>
        <shadow val="0"/>
        <u val="none"/>
        <vertAlign val="baseline"/>
        <sz val="10"/>
        <color theme="1"/>
        <name val="Arial"/>
        <family val="2"/>
        <scheme val="none"/>
      </font>
    </dxf>
    <dxf>
      <font>
        <strike val="0"/>
        <outline val="0"/>
        <shadow val="0"/>
        <u val="none"/>
        <vertAlign val="baseline"/>
        <sz val="10"/>
        <color theme="1"/>
        <name val="Arial"/>
        <family val="2"/>
        <scheme val="none"/>
      </font>
      <alignment horizontal="center" textRotation="0" indent="0" justifyLastLine="0" shrinkToFit="0" readingOrder="0"/>
    </dxf>
    <dxf>
      <font>
        <strike val="0"/>
        <outline val="0"/>
        <shadow val="0"/>
        <u val="none"/>
        <vertAlign val="baseline"/>
        <sz val="10"/>
        <color theme="1"/>
        <name val="Arial"/>
        <family val="2"/>
        <scheme val="none"/>
      </font>
      <numFmt numFmtId="164" formatCode="m/d/yy;@"/>
      <alignment horizontal="center" textRotation="0" indent="0" justifyLastLine="0" shrinkToFit="0" readingOrder="0"/>
    </dxf>
    <dxf>
      <font>
        <strike val="0"/>
        <outline val="0"/>
        <shadow val="0"/>
        <u val="none"/>
        <vertAlign val="baseline"/>
        <sz val="10"/>
        <color theme="1"/>
        <name val="Arial"/>
        <family val="2"/>
        <scheme val="none"/>
      </font>
    </dxf>
    <dxf>
      <font>
        <strike val="0"/>
        <outline val="0"/>
        <shadow val="0"/>
        <u val="none"/>
        <vertAlign val="baseline"/>
        <sz val="10"/>
        <color theme="1"/>
        <name val="Arial"/>
        <family val="2"/>
        <scheme val="none"/>
      </font>
    </dxf>
    <dxf>
      <font>
        <b val="0"/>
        <i val="0"/>
        <strike val="0"/>
        <condense val="0"/>
        <extend val="0"/>
        <outline val="0"/>
        <shadow val="0"/>
        <u val="none"/>
        <vertAlign val="baseline"/>
        <sz val="9"/>
        <color theme="1"/>
        <name val="Arial"/>
        <family val="2"/>
        <scheme val="none"/>
      </font>
      <alignment horizontal="center" vertical="bottom" textRotation="0" wrapText="0" indent="0" justifyLastLine="0" shrinkToFit="0" readingOrder="0"/>
    </dxf>
    <dxf>
      <font>
        <strike val="0"/>
        <outline val="0"/>
        <shadow val="0"/>
        <u val="none"/>
        <vertAlign val="baseline"/>
        <sz val="10"/>
        <color theme="1"/>
        <name val="Arial"/>
        <family val="2"/>
        <scheme val="none"/>
      </font>
    </dxf>
    <dxf>
      <font>
        <strike val="0"/>
        <outline val="0"/>
        <shadow val="0"/>
        <u val="none"/>
        <vertAlign val="baseline"/>
        <sz val="10"/>
        <color theme="1"/>
        <name val="Arial"/>
        <family val="2"/>
        <scheme val="none"/>
      </font>
    </dxf>
    <dxf>
      <font>
        <strike val="0"/>
        <outline val="0"/>
        <shadow val="0"/>
        <u val="none"/>
        <vertAlign val="baseline"/>
        <sz val="10"/>
        <color theme="1"/>
        <name val="Arial"/>
        <family val="2"/>
        <scheme val="none"/>
      </font>
      <numFmt numFmtId="164" formatCode="m/d/yy;@"/>
      <alignment horizontal="center" textRotation="0" indent="0" justifyLastLine="0" shrinkToFit="0" readingOrder="0"/>
    </dxf>
    <dxf>
      <border outline="0">
        <top style="thin">
          <color theme="0" tint="-0.24994659260841701"/>
        </top>
      </border>
    </dxf>
    <dxf>
      <font>
        <strike val="0"/>
        <outline val="0"/>
        <shadow val="0"/>
        <u val="none"/>
        <vertAlign val="baseline"/>
        <sz val="10"/>
        <color theme="1"/>
        <name val="Arial"/>
        <family val="2"/>
        <scheme val="none"/>
      </font>
    </dxf>
    <dxf>
      <border outline="0">
        <bottom style="thin">
          <color theme="0" tint="-0.24994659260841701"/>
        </bottom>
      </border>
    </dxf>
    <dxf>
      <font>
        <b/>
        <i val="0"/>
        <strike val="0"/>
        <condense val="0"/>
        <extend val="0"/>
        <outline val="0"/>
        <shadow val="0"/>
        <u val="none"/>
        <vertAlign val="baseline"/>
        <sz val="11"/>
        <color theme="0"/>
        <name val="Arial"/>
        <family val="2"/>
        <scheme val="none"/>
      </font>
      <fill>
        <patternFill patternType="solid">
          <fgColor indexed="64"/>
          <bgColor rgb="FF50B47F"/>
        </patternFill>
      </fill>
      <alignment horizontal="center" vertical="top" textRotation="0" wrapText="1" indent="0" justifyLastLine="0" shrinkToFit="0" readingOrder="0"/>
      <border diagonalUp="0" diagonalDown="0" outline="0">
        <left style="thin">
          <color theme="0" tint="-0.24994659260841701"/>
        </left>
        <right style="thin">
          <color theme="0" tint="-0.24994659260841701"/>
        </right>
        <top/>
        <bottom/>
      </border>
    </dxf>
    <dxf>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24994659260841701"/>
        </left>
        <right style="thin">
          <color theme="0" tint="-0.24994659260841701"/>
        </right>
        <top style="thin">
          <color theme="0" tint="-0.24994659260841701"/>
        </top>
        <bottom style="thin">
          <color theme="0" tint="-0.24994659260841701"/>
        </bottom>
        <vertical/>
        <horizontal/>
      </border>
    </dxf>
    <dxf>
      <alignment horizontal="left"/>
    </dxf>
    <dxf>
      <alignment vertical="center"/>
    </dxf>
    <dxf>
      <alignment horizontal="right"/>
    </dxf>
    <dxf>
      <alignment vertical="center"/>
    </dxf>
    <dxf>
      <alignment wrapText="0"/>
    </dxf>
    <dxf>
      <alignment wrapText="0"/>
    </dxf>
    <dxf>
      <alignment wrapText="0"/>
    </dxf>
    <dxf>
      <alignment wrapText="0"/>
    </dxf>
    <dxf>
      <alignment wrapText="0"/>
    </dxf>
    <dxf>
      <font>
        <sz val="10"/>
      </font>
    </dxf>
    <dxf>
      <font>
        <sz val="10"/>
      </font>
    </dxf>
    <dxf>
      <font>
        <name val="Arial"/>
        <scheme val="none"/>
      </font>
    </dxf>
    <dxf>
      <font>
        <name val="Arial"/>
        <scheme val="none"/>
      </font>
    </dxf>
    <dxf>
      <alignment vertical="top"/>
    </dxf>
    <dxf>
      <alignment vertical="top"/>
    </dxf>
    <dxf>
      <alignment wrapText="1"/>
    </dxf>
    <dxf>
      <alignment wrapText="1"/>
    </dxf>
    <dxf>
      <alignment horizontal="center"/>
    </dxf>
    <dxf>
      <alignment horizontal="center"/>
    </dxf>
    <dxf>
      <alignment horizontal="center"/>
    </dxf>
    <dxf>
      <alignment vertical="center"/>
    </dxf>
    <dxf>
      <alignment horizontal="right"/>
    </dxf>
    <dxf>
      <font>
        <i val="0"/>
      </font>
    </dxf>
    <dxf>
      <alignment vertical="center"/>
    </dxf>
    <dxf>
      <alignment horizontal="right"/>
    </dxf>
    <dxf>
      <alignment wrapText="0"/>
    </dxf>
    <dxf>
      <alignment wrapText="0"/>
    </dxf>
    <dxf>
      <alignment wrapText="0"/>
    </dxf>
    <dxf>
      <alignment wrapText="0"/>
    </dxf>
    <dxf>
      <alignment wrapText="0"/>
    </dxf>
    <dxf>
      <font>
        <sz val="10"/>
      </font>
    </dxf>
    <dxf>
      <font>
        <sz val="10"/>
      </font>
    </dxf>
    <dxf>
      <font>
        <name val="Arial"/>
        <scheme val="none"/>
      </font>
    </dxf>
    <dxf>
      <font>
        <name val="Arial"/>
        <scheme val="none"/>
      </font>
    </dxf>
    <dxf>
      <alignment vertical="top"/>
    </dxf>
    <dxf>
      <alignment vertical="top"/>
    </dxf>
    <dxf>
      <alignment wrapText="1"/>
    </dxf>
    <dxf>
      <alignment wrapText="1"/>
    </dxf>
    <dxf>
      <alignment vertical="top"/>
    </dxf>
    <dxf>
      <alignment horizontal="center"/>
    </dxf>
    <dxf>
      <alignment horizontal="center"/>
    </dxf>
    <dxf>
      <alignment wrapText="1"/>
    </dxf>
    <dxf>
      <alignment wrapText="1"/>
    </dxf>
    <dxf>
      <numFmt numFmtId="165" formatCode="&quot;$&quot;#,##0.00"/>
    </dxf>
    <dxf>
      <numFmt numFmtId="34" formatCode="_(&quot;$&quot;* #,##0.00_);_(&quot;$&quot;* \(#,##0.00\);_(&quot;$&quot;* &quot;-&quot;??_);_(@_)"/>
    </dxf>
    <dxf>
      <alignment vertical="center"/>
    </dxf>
    <dxf>
      <alignment horizontal="right"/>
    </dxf>
    <dxf>
      <font>
        <i val="0"/>
      </font>
    </dxf>
    <dxf>
      <alignment vertical="center"/>
    </dxf>
    <dxf>
      <alignment horizontal="right"/>
    </dxf>
    <dxf>
      <alignment wrapText="0"/>
    </dxf>
    <dxf>
      <alignment wrapText="0"/>
    </dxf>
    <dxf>
      <alignment wrapText="0"/>
    </dxf>
    <dxf>
      <font>
        <sz val="10"/>
      </font>
    </dxf>
    <dxf>
      <font>
        <sz val="10"/>
      </font>
    </dxf>
    <dxf>
      <font>
        <name val="Arial"/>
        <scheme val="none"/>
      </font>
    </dxf>
    <dxf>
      <font>
        <name val="Arial"/>
        <scheme val="none"/>
      </font>
    </dxf>
    <dxf>
      <alignment vertical="top"/>
    </dxf>
    <dxf>
      <alignment vertical="top"/>
    </dxf>
    <dxf>
      <alignment wrapText="1"/>
    </dxf>
    <dxf>
      <alignment wrapText="1"/>
    </dxf>
    <dxf>
      <font>
        <b/>
        <i val="0"/>
      </font>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left style="thin">
          <color theme="0" tint="-0.34998626667073579"/>
        </left>
        <right style="thin">
          <color theme="0" tint="-0.34998626667073579"/>
        </right>
        <top style="thin">
          <color theme="0" tint="-0.34998626667073579"/>
        </top>
        <bottom style="thin">
          <color theme="0" tint="-0.34998626667073579"/>
        </bottom>
        <vertical/>
        <horizontal/>
      </border>
    </dxf>
    <dxf>
      <font>
        <b val="0"/>
        <i/>
      </font>
      <border diagonalUp="0" diagonalDown="0">
        <left/>
        <right/>
        <top/>
        <bottom/>
        <vertical/>
        <horizontal/>
      </border>
    </dxf>
    <dxf>
      <font>
        <b/>
        <color theme="1" tint="0.499984740745262"/>
      </font>
    </dxf>
    <dxf>
      <font>
        <b val="0"/>
        <i val="0"/>
        <color theme="1"/>
      </font>
      <fill>
        <patternFill patternType="solid">
          <bgColor rgb="FFF5F5F5"/>
        </patternFill>
      </fill>
      <border>
        <top style="thin">
          <color theme="0" tint="-0.499984740745262"/>
        </top>
      </border>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color theme="1"/>
      </font>
      <fill>
        <patternFill patternType="solid">
          <fgColor theme="0"/>
          <bgColor theme="0"/>
        </patternFill>
      </fill>
      <border>
        <top style="thin">
          <color theme="1" tint="0.499984740745262"/>
        </top>
        <bottom style="thin">
          <color theme="1" tint="0.499984740745262"/>
        </bottom>
      </border>
    </dxf>
    <dxf>
      <font>
        <b/>
        <i val="0"/>
        <color theme="0"/>
      </font>
      <fill>
        <patternFill>
          <bgColor rgb="FF50B47F"/>
        </patternFill>
      </fill>
      <border>
        <top style="thin">
          <color theme="1" tint="0.499984740745262"/>
        </top>
        <bottom style="thin">
          <color theme="1" tint="0.499984740745262"/>
        </bottom>
        <vertical style="thin">
          <color theme="0"/>
        </vertical>
      </border>
    </dxf>
    <dxf>
      <font>
        <color theme="1"/>
      </font>
      <border>
        <horizontal style="thin">
          <color theme="0" tint="-0.14999847407452621"/>
        </horizontal>
      </border>
    </dxf>
  </dxfs>
  <tableStyles count="2" defaultTableStyle="TableStyleMedium2" defaultPivotStyle="PivotStyleLight16">
    <tableStyle name="PivotStyleLight1 2" table="0" count="11" xr9:uid="{6EAB1FC4-6526-42E2-8C13-3A8FF1CA88B9}">
      <tableStyleElement type="wholeTable" dxfId="92"/>
      <tableStyleElement type="headerRow" dxfId="91"/>
      <tableStyleElement type="totalRow" dxfId="90"/>
      <tableStyleElement type="firstRowStripe" dxfId="89"/>
      <tableStyleElement type="firstColumnStripe" dxfId="88"/>
      <tableStyleElement type="firstSubtotalRow" dxfId="87"/>
      <tableStyleElement type="secondSubtotalRow" dxfId="86"/>
      <tableStyleElement type="firstRowSubheading" dxfId="85"/>
      <tableStyleElement type="secondRowSubheading" dxfId="84"/>
      <tableStyleElement type="pageFieldLabels" dxfId="83"/>
      <tableStyleElement type="pageFieldValues" dxfId="82"/>
    </tableStyle>
    <tableStyle name="Table Style 1" pivot="0" count="2" xr9:uid="{0F952B74-802E-4CE8-B3ED-0408E92D17EF}">
      <tableStyleElement type="wholeTable" dxfId="81"/>
      <tableStyleElement type="headerRow" dxfId="80"/>
    </tableStyle>
  </tableStyles>
  <colors>
    <mruColors>
      <color rgb="FF50B47F"/>
      <color rgb="FFF5F5F5"/>
      <color rgb="FFFBFBFB"/>
      <color rgb="FF8FCF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jf" refreshedDate="44319.395653935186" backgroundQuery="1" createdVersion="6" refreshedVersion="7" minRefreshableVersion="3" recordCount="0" supportSubquery="1" supportAdvancedDrill="1" xr:uid="{A3621678-FCA4-4E7B-86B2-E409A2802C23}">
  <cacheSource type="external" connectionId="1"/>
  <cacheFields count="6">
    <cacheField name="[ActvityTbl].[Sales Person].[Sales Person]" caption="Sales Person" numFmtId="0" hierarchy="1" level="1">
      <sharedItems containsSemiMixedTypes="0" containsNonDate="0" containsString="0"/>
    </cacheField>
    <cacheField name="[ActvityTbl].[Key Prospect].[Key Prospect]" caption="Key Prospect" numFmtId="0" hierarchy="3" level="1">
      <sharedItems containsSemiMixedTypes="0" containsNonDate="0" containsString="0"/>
    </cacheField>
    <cacheField name="[Measures].[Sum of Product QTY]" caption="Sum of Product QTY" numFmtId="0" hierarchy="19" level="32767"/>
    <cacheField name="[Measures].[Sum of Price Quote]" caption="Sum of Price Quote" numFmtId="0" hierarchy="20" level="32767"/>
    <cacheField name="[Measures].[Sum of Revenue]" caption="Sum of Revenue" numFmtId="0" hierarchy="21" level="32767"/>
    <cacheField name="[ActvityTbl].[Customer/Prospect].[Customer/Prospect]" caption="Customer/Prospect" numFmtId="0" hierarchy="2" level="1">
      <sharedItems count="4">
        <s v="CatCo"/>
        <s v="Company 42"/>
        <s v="Downtown Inc"/>
        <s v="XYZ Corp"/>
      </sharedItems>
      <extLst>
        <ext xmlns:x15="http://schemas.microsoft.com/office/spreadsheetml/2010/11/main" uri="{4F2E5C28-24EA-4eb8-9CBF-B6C8F9C3D259}">
          <x15:cachedUniqueNames>
            <x15:cachedUniqueName index="0" name="[ActvityTbl].[Customer/Prospect].&amp;[CatCo]"/>
            <x15:cachedUniqueName index="1" name="[ActvityTbl].[Customer/Prospect].&amp;[Company 42]"/>
            <x15:cachedUniqueName index="2" name="[ActvityTbl].[Customer/Prospect].&amp;[Downtown Inc]"/>
            <x15:cachedUniqueName index="3" name="[ActvityTbl].[Customer/Prospect].&amp;[XYZ Corp]"/>
          </x15:cachedUniqueNames>
        </ext>
      </extLst>
    </cacheField>
  </cacheFields>
  <cacheHierarchies count="23">
    <cacheHierarchy uniqueName="[ActvityTbl].[Activity date]" caption="Activity date" attribute="1" time="1" defaultMemberUniqueName="[ActvityTbl].[Activity date].[All]" allUniqueName="[ActvityTbl].[Activity date].[All]" dimensionUniqueName="[ActvityTbl]" displayFolder="" count="0" memberValueDatatype="7" unbalanced="0"/>
    <cacheHierarchy uniqueName="[ActvityTbl].[Sales Person]" caption="Sales Person" attribute="1" defaultMemberUniqueName="[ActvityTbl].[Sales Person].[All]" allUniqueName="[ActvityTbl].[Sales Person].[All]" dimensionUniqueName="[ActvityTbl]" displayFolder="" count="2" memberValueDatatype="130" unbalanced="0">
      <fieldsUsage count="2">
        <fieldUsage x="-1"/>
        <fieldUsage x="0"/>
      </fieldsUsage>
    </cacheHierarchy>
    <cacheHierarchy uniqueName="[ActvityTbl].[Customer/Prospect]" caption="Customer/Prospect" attribute="1" defaultMemberUniqueName="[ActvityTbl].[Customer/Prospect].[All]" allUniqueName="[ActvityTbl].[Customer/Prospect].[All]" dimensionUniqueName="[ActvityTbl]" displayFolder="" count="2" memberValueDatatype="130" unbalanced="0">
      <fieldsUsage count="2">
        <fieldUsage x="-1"/>
        <fieldUsage x="5"/>
      </fieldsUsage>
    </cacheHierarchy>
    <cacheHierarchy uniqueName="[ActvityTbl].[Key Prospect]" caption="Key Prospect" attribute="1" defaultMemberUniqueName="[ActvityTbl].[Key Prospect].[All]" allUniqueName="[ActvityTbl].[Key Prospect].[All]" dimensionUniqueName="[ActvityTbl]" displayFolder="" count="2" memberValueDatatype="130" unbalanced="0">
      <fieldsUsage count="2">
        <fieldUsage x="-1"/>
        <fieldUsage x="1"/>
      </fieldsUsage>
    </cacheHierarchy>
    <cacheHierarchy uniqueName="[ActvityTbl].[Prospect Category]" caption="Prospect Category" attribute="1" defaultMemberUniqueName="[ActvityTbl].[Prospect Category].[All]" allUniqueName="[ActvityTbl].[Prospect Category].[All]" dimensionUniqueName="[ActvityTbl]" displayFolder="" count="0" memberValueDatatype="130" unbalanced="0"/>
    <cacheHierarchy uniqueName="[ActvityTbl].[Activity]" caption="Activity" attribute="1" defaultMemberUniqueName="[ActvityTbl].[Activity].[All]" allUniqueName="[ActvityTbl].[Activity].[All]" dimensionUniqueName="[ActvityTbl]" displayFolder="" count="0" memberValueDatatype="130" unbalanced="0"/>
    <cacheHierarchy uniqueName="[ActvityTbl].[Follow-up date]" caption="Follow-up date" attribute="1" time="1" defaultMemberUniqueName="[ActvityTbl].[Follow-up date].[All]" allUniqueName="[ActvityTbl].[Follow-up date].[All]" dimensionUniqueName="[ActvityTbl]" displayFolder="" count="0" memberValueDatatype="7" unbalanced="0"/>
    <cacheHierarchy uniqueName="[ActvityTbl].[Status]" caption="Status" attribute="1" defaultMemberUniqueName="[ActvityTbl].[Status].[All]" allUniqueName="[ActvityTbl].[Status].[All]" dimensionUniqueName="[ActvityTbl]" displayFolder="" count="0" memberValueDatatype="130" unbalanced="0"/>
    <cacheHierarchy uniqueName="[ActvityTbl].[Product]" caption="Product" attribute="1" defaultMemberUniqueName="[ActvityTbl].[Product].[All]" allUniqueName="[ActvityTbl].[Product].[All]" dimensionUniqueName="[ActvityTbl]" displayFolder="" count="0" memberValueDatatype="130" unbalanced="0"/>
    <cacheHierarchy uniqueName="[ActvityTbl].[Product QTY]" caption="Product QTY" attribute="1" defaultMemberUniqueName="[ActvityTbl].[Product QTY].[All]" allUniqueName="[ActvityTbl].[Product QTY].[All]" dimensionUniqueName="[ActvityTbl]" displayFolder="" count="0" memberValueDatatype="20" unbalanced="0"/>
    <cacheHierarchy uniqueName="[ActvityTbl].[Price Quote]" caption="Price Quote" attribute="1" defaultMemberUniqueName="[ActvityTbl].[Price Quote].[All]" allUniqueName="[ActvityTbl].[Price Quote].[All]" dimensionUniqueName="[ActvityTbl]" displayFolder="" count="0" memberValueDatatype="20" unbalanced="0"/>
    <cacheHierarchy uniqueName="[ActvityTbl].[Revenue]" caption="Revenue" attribute="1" defaultMemberUniqueName="[ActvityTbl].[Revenue].[All]" allUniqueName="[ActvityTbl].[Revenue].[All]" dimensionUniqueName="[ActvityTbl]" displayFolder="" count="0" memberValueDatatype="20" unbalanced="0"/>
    <cacheHierarchy uniqueName="[Measures].[CustomerText]" caption="CustomerText" measure="1" displayFolder="" measureGroup="ActvityTbl" count="0"/>
    <cacheHierarchy uniqueName="[Measures].[FollowupText]" caption="FollowupText" measure="1" displayFolder="" measureGroup="ActvityTbl" count="0"/>
    <cacheHierarchy uniqueName="[Measures].[StatusText]" caption="StatusText" measure="1" displayFolder="" measureGroup="ActvityTbl" count="0"/>
    <cacheHierarchy uniqueName="[Measures].[ActivityDateText]" caption="ActivityDateText" measure="1" displayFolder="" measureGroup="ActvityTbl" count="0"/>
    <cacheHierarchy uniqueName="[Measures].[SalesPersonText]" caption="SalesPersonText" measure="1" displayFolder="" measureGroup="ActvityTbl" count="0"/>
    <cacheHierarchy uniqueName="[Measures].[__XL_Count ActvityTbl]" caption="__XL_Count ActvityTbl" measure="1" displayFolder="" measureGroup="ActvityTbl" count="0" hidden="1"/>
    <cacheHierarchy uniqueName="[Measures].[__No measures defined]" caption="__No measures defined" measure="1" displayFolder="" count="0" hidden="1"/>
    <cacheHierarchy uniqueName="[Measures].[Sum of Product QTY]" caption="Sum of Product QTY" measure="1" displayFolder="" measureGroup="ActvityTbl"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Price Quote]" caption="Sum of Price Quote" measure="1" displayFolder="" measureGroup="ActvityTbl"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Revenue]" caption="Sum of Revenue" measure="1" displayFolder="" measureGroup="ActvityTbl" count="0" oneField="1" hidden="1">
      <fieldsUsage count="1">
        <fieldUsage x="4"/>
      </fieldsUsage>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ActvityTbl" count="0" hidden="1">
      <extLst>
        <ext xmlns:x15="http://schemas.microsoft.com/office/spreadsheetml/2010/11/main" uri="{B97F6D7D-B522-45F9-BDA1-12C45D357490}">
          <x15:cacheHierarchy aggregatedColumn="6"/>
        </ext>
      </extLst>
    </cacheHierarchy>
  </cacheHierarchies>
  <kpis count="0"/>
  <dimensions count="2">
    <dimension name="ActvityTbl" uniqueName="[ActvityTbl]" caption="ActvityTbl"/>
    <dimension measure="1" name="Measures" uniqueName="[Measures]" caption="Measures"/>
  </dimensions>
  <measureGroups count="1">
    <measureGroup name="ActvityTbl" caption="Actvity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jf" refreshedDate="44319.39565486111" backgroundQuery="1" createdVersion="6" refreshedVersion="7" minRefreshableVersion="3" recordCount="0" supportSubquery="1" supportAdvancedDrill="1" xr:uid="{C80500A6-26EB-4421-9D23-69F795755355}">
  <cacheSource type="external" connectionId="1"/>
  <cacheFields count="5">
    <cacheField name="[ActvityTbl].[Sales Person].[Sales Person]" caption="Sales Person" numFmtId="0" hierarchy="1" level="1">
      <sharedItems containsSemiMixedTypes="0" containsNonDate="0" containsString="0"/>
    </cacheField>
    <cacheField name="[ActvityTbl].[Customer/Prospect].[Customer/Prospect]" caption="Customer/Prospect" numFmtId="0" hierarchy="2" level="1">
      <sharedItems count="5">
        <s v="123 Co."/>
        <s v="Downtown Inc"/>
        <s v="CatCo"/>
        <s v="XYZ Corp"/>
        <s v="Company 42"/>
      </sharedItems>
      <extLst>
        <ext xmlns:x15="http://schemas.microsoft.com/office/spreadsheetml/2010/11/main" uri="{4F2E5C28-24EA-4eb8-9CBF-B6C8F9C3D259}">
          <x15:cachedUniqueNames>
            <x15:cachedUniqueName index="0" name="[ActvityTbl].[Customer/Prospect].&amp;[123 Co.]"/>
            <x15:cachedUniqueName index="1" name="[ActvityTbl].[Customer/Prospect].&amp;[Downtown Inc]"/>
            <x15:cachedUniqueName index="2" name="[ActvityTbl].[Customer/Prospect].&amp;[CatCo]"/>
            <x15:cachedUniqueName index="3" name="[ActvityTbl].[Customer/Prospect].&amp;[XYZ Corp]"/>
            <x15:cachedUniqueName index="4" name="[ActvityTbl].[Customer/Prospect].&amp;[Company 42]"/>
          </x15:cachedUniqueNames>
        </ext>
      </extLst>
    </cacheField>
    <cacheField name="[Measures].[StatusText]" caption="StatusText" numFmtId="0" hierarchy="14" level="32767"/>
    <cacheField name="[ActvityTbl].[Activity date].[Activity date]" caption="Activity date" numFmtId="0" level="1">
      <sharedItems containsSemiMixedTypes="0" containsNonDate="0" containsDate="1" containsString="0" minDate="2020-09-01T00:00:00" maxDate="2020-10-01T00:00:00" count="4">
        <d v="2020-09-01T00:00:00"/>
        <d v="2020-09-02T00:00:00"/>
        <d v="2020-09-29T00:00:00"/>
        <d v="2020-09-30T00:00:00"/>
      </sharedItems>
      <extLst>
        <ext xmlns:x15="http://schemas.microsoft.com/office/spreadsheetml/2010/11/main" uri="{4F2E5C28-24EA-4eb8-9CBF-B6C8F9C3D259}">
          <x15:cachedUniqueNames>
            <x15:cachedUniqueName index="0" name="[ActvityTbl].[Activity date].&amp;[2020-09-01T00:00:00]"/>
            <x15:cachedUniqueName index="1" name="[ActvityTbl].[Activity date].&amp;[2020-09-02T00:00:00]"/>
            <x15:cachedUniqueName index="2" name="[ActvityTbl].[Activity date].&amp;[2020-09-29T00:00:00]"/>
            <x15:cachedUniqueName index="3" name="[ActvityTbl].[Activity date].&amp;[2020-09-30T00:00:00]"/>
          </x15:cachedUniqueNames>
        </ext>
      </extLst>
    </cacheField>
    <cacheField name="[Measures].[FollowupText]" caption="FollowupText" numFmtId="0" hierarchy="13" level="32767"/>
  </cacheFields>
  <cacheHierarchies count="23">
    <cacheHierarchy uniqueName="[ActvityTbl].[Activity date]" caption="Activity date" attribute="1" time="1" defaultMemberUniqueName="[ActvityTbl].[Activity date].[All]" allUniqueName="[ActvityTbl].[Activity date].[All]" dimensionUniqueName="[ActvityTbl]" displayFolder="" count="2" memberValueDatatype="7" unbalanced="0">
      <fieldsUsage count="2">
        <fieldUsage x="-1"/>
        <fieldUsage x="3"/>
      </fieldsUsage>
    </cacheHierarchy>
    <cacheHierarchy uniqueName="[ActvityTbl].[Sales Person]" caption="Sales Person" attribute="1" defaultMemberUniqueName="[ActvityTbl].[Sales Person].[All]" allUniqueName="[ActvityTbl].[Sales Person].[All]" dimensionUniqueName="[ActvityTbl]" displayFolder="" count="2" memberValueDatatype="130" unbalanced="0">
      <fieldsUsage count="2">
        <fieldUsage x="-1"/>
        <fieldUsage x="0"/>
      </fieldsUsage>
    </cacheHierarchy>
    <cacheHierarchy uniqueName="[ActvityTbl].[Customer/Prospect]" caption="Customer/Prospect" attribute="1" defaultMemberUniqueName="[ActvityTbl].[Customer/Prospect].[All]" allUniqueName="[ActvityTbl].[Customer/Prospect].[All]" dimensionUniqueName="[ActvityTbl]" displayFolder="" count="2" memberValueDatatype="130" unbalanced="0">
      <fieldsUsage count="2">
        <fieldUsage x="-1"/>
        <fieldUsage x="1"/>
      </fieldsUsage>
    </cacheHierarchy>
    <cacheHierarchy uniqueName="[ActvityTbl].[Key Prospect]" caption="Key Prospect" attribute="1" defaultMemberUniqueName="[ActvityTbl].[Key Prospect].[All]" allUniqueName="[ActvityTbl].[Key Prospect].[All]" dimensionUniqueName="[ActvityTbl]" displayFolder="" count="0" memberValueDatatype="130" unbalanced="0"/>
    <cacheHierarchy uniqueName="[ActvityTbl].[Prospect Category]" caption="Prospect Category" attribute="1" defaultMemberUniqueName="[ActvityTbl].[Prospect Category].[All]" allUniqueName="[ActvityTbl].[Prospect Category].[All]" dimensionUniqueName="[ActvityTbl]" displayFolder="" count="0" memberValueDatatype="130" unbalanced="0"/>
    <cacheHierarchy uniqueName="[ActvityTbl].[Activity]" caption="Activity" attribute="1" defaultMemberUniqueName="[ActvityTbl].[Activity].[All]" allUniqueName="[ActvityTbl].[Activity].[All]" dimensionUniqueName="[ActvityTbl]" displayFolder="" count="0" memberValueDatatype="130" unbalanced="0"/>
    <cacheHierarchy uniqueName="[ActvityTbl].[Follow-up date]" caption="Follow-up date" attribute="1" time="1" defaultMemberUniqueName="[ActvityTbl].[Follow-up date].[All]" allUniqueName="[ActvityTbl].[Follow-up date].[All]" dimensionUniqueName="[ActvityTbl]" displayFolder="" count="0" memberValueDatatype="7" unbalanced="0"/>
    <cacheHierarchy uniqueName="[ActvityTbl].[Status]" caption="Status" attribute="1" defaultMemberUniqueName="[ActvityTbl].[Status].[All]" allUniqueName="[ActvityTbl].[Status].[All]" dimensionUniqueName="[ActvityTbl]" displayFolder="" count="0" memberValueDatatype="130" unbalanced="0"/>
    <cacheHierarchy uniqueName="[ActvityTbl].[Product]" caption="Product" attribute="1" defaultMemberUniqueName="[ActvityTbl].[Product].[All]" allUniqueName="[ActvityTbl].[Product].[All]" dimensionUniqueName="[ActvityTbl]" displayFolder="" count="0" memberValueDatatype="130" unbalanced="0"/>
    <cacheHierarchy uniqueName="[ActvityTbl].[Product QTY]" caption="Product QTY" attribute="1" defaultMemberUniqueName="[ActvityTbl].[Product QTY].[All]" allUniqueName="[ActvityTbl].[Product QTY].[All]" dimensionUniqueName="[ActvityTbl]" displayFolder="" count="0" memberValueDatatype="20" unbalanced="0"/>
    <cacheHierarchy uniqueName="[ActvityTbl].[Price Quote]" caption="Price Quote" attribute="1" defaultMemberUniqueName="[ActvityTbl].[Price Quote].[All]" allUniqueName="[ActvityTbl].[Price Quote].[All]" dimensionUniqueName="[ActvityTbl]" displayFolder="" count="0" memberValueDatatype="20" unbalanced="0"/>
    <cacheHierarchy uniqueName="[ActvityTbl].[Revenue]" caption="Revenue" attribute="1" defaultMemberUniqueName="[ActvityTbl].[Revenue].[All]" allUniqueName="[ActvityTbl].[Revenue].[All]" dimensionUniqueName="[ActvityTbl]" displayFolder="" count="0" memberValueDatatype="20" unbalanced="0"/>
    <cacheHierarchy uniqueName="[Measures].[CustomerText]" caption="CustomerText" measure="1" displayFolder="" measureGroup="ActvityTbl" count="0"/>
    <cacheHierarchy uniqueName="[Measures].[FollowupText]" caption="FollowupText" measure="1" displayFolder="" measureGroup="ActvityTbl" count="0" oneField="1">
      <fieldsUsage count="1">
        <fieldUsage x="4"/>
      </fieldsUsage>
    </cacheHierarchy>
    <cacheHierarchy uniqueName="[Measures].[StatusText]" caption="StatusText" measure="1" displayFolder="" measureGroup="ActvityTbl" count="0" oneField="1">
      <fieldsUsage count="1">
        <fieldUsage x="2"/>
      </fieldsUsage>
    </cacheHierarchy>
    <cacheHierarchy uniqueName="[Measures].[ActivityDateText]" caption="ActivityDateText" measure="1" displayFolder="" measureGroup="ActvityTbl" count="0"/>
    <cacheHierarchy uniqueName="[Measures].[SalesPersonText]" caption="SalesPersonText" measure="1" displayFolder="" measureGroup="ActvityTbl" count="0"/>
    <cacheHierarchy uniqueName="[Measures].[__XL_Count ActvityTbl]" caption="__XL_Count ActvityTbl" measure="1" displayFolder="" measureGroup="ActvityTbl" count="0" hidden="1"/>
    <cacheHierarchy uniqueName="[Measures].[__No measures defined]" caption="__No measures defined" measure="1" displayFolder="" count="0" hidden="1"/>
    <cacheHierarchy uniqueName="[Measures].[Sum of Product QTY]" caption="Sum of Product QTY" measure="1" displayFolder="" measureGroup="ActvityTbl" count="0" hidden="1">
      <extLst>
        <ext xmlns:x15="http://schemas.microsoft.com/office/spreadsheetml/2010/11/main" uri="{B97F6D7D-B522-45F9-BDA1-12C45D357490}">
          <x15:cacheHierarchy aggregatedColumn="9"/>
        </ext>
      </extLst>
    </cacheHierarchy>
    <cacheHierarchy uniqueName="[Measures].[Sum of Price Quote]" caption="Sum of Price Quote" measure="1" displayFolder="" measureGroup="ActvityTbl"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ActvityTbl"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ActvityTbl" count="0" hidden="1">
      <extLst>
        <ext xmlns:x15="http://schemas.microsoft.com/office/spreadsheetml/2010/11/main" uri="{B97F6D7D-B522-45F9-BDA1-12C45D357490}">
          <x15:cacheHierarchy aggregatedColumn="6"/>
        </ext>
      </extLst>
    </cacheHierarchy>
  </cacheHierarchies>
  <kpis count="0"/>
  <dimensions count="2">
    <dimension name="ActvityTbl" uniqueName="[ActvityTbl]" caption="ActvityTbl"/>
    <dimension measure="1" name="Measures" uniqueName="[Measures]" caption="Measures"/>
  </dimensions>
  <measureGroups count="1">
    <measureGroup name="ActvityTbl" caption="Actvity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jf" refreshedDate="44319.554059490743" backgroundQuery="1" createdVersion="6" refreshedVersion="7" minRefreshableVersion="3" recordCount="0" supportSubquery="1" supportAdvancedDrill="1" xr:uid="{09E25960-DD16-4729-90DA-CD702FD5BEC1}">
  <cacheSource type="external" connectionId="1"/>
  <cacheFields count="7">
    <cacheField name="[ActvityTbl].[Sales Person].[Sales Person]" caption="Sales Person" numFmtId="0" hierarchy="1" level="1">
      <sharedItems containsSemiMixedTypes="0" containsNonDate="0" containsString="0"/>
    </cacheField>
    <cacheField name="[ActvityTbl].[Customer/Prospect].[Customer/Prospect]" caption="Customer/Prospect" numFmtId="0" hierarchy="2" level="1">
      <sharedItems containsSemiMixedTypes="0" containsNonDate="0" containsString="0"/>
    </cacheField>
    <cacheField name="[Measures].[StatusText]" caption="StatusText" numFmtId="0" hierarchy="14" level="32767"/>
    <cacheField name="[ActvityTbl].[Activity date].[Activity date]" caption="Activity date" numFmtId="0" level="1">
      <sharedItems containsSemiMixedTypes="0" containsNonDate="0" containsDate="1" containsString="0" minDate="2020-09-01T00:00:00" maxDate="2020-10-01T00:00:00" count="2">
        <d v="2020-09-01T00:00:00"/>
        <d v="2020-09-30T00:00:00"/>
      </sharedItems>
      <extLst>
        <ext xmlns:x15="http://schemas.microsoft.com/office/spreadsheetml/2010/11/main" uri="{4F2E5C28-24EA-4eb8-9CBF-B6C8F9C3D259}">
          <x15:cachedUniqueNames>
            <x15:cachedUniqueName index="0" name="[ActvityTbl].[Activity date].&amp;[2020-09-01T00:00:00]"/>
            <x15:cachedUniqueName index="1" name="[ActvityTbl].[Activity date].&amp;[2020-09-30T00:00:00]"/>
          </x15:cachedUniqueNames>
        </ext>
      </extLst>
    </cacheField>
    <cacheField name="[Measures].[SalesPersonText]" caption="SalesPersonText" numFmtId="0" hierarchy="16" level="32767"/>
    <cacheField name="[ActvityTbl].[Activity].[Activity]" caption="Activity" numFmtId="0" hierarchy="5" level="1">
      <sharedItems count="2">
        <s v="Face to face meeting"/>
        <s v="Online meeting"/>
      </sharedItems>
      <extLst>
        <ext xmlns:x15="http://schemas.microsoft.com/office/spreadsheetml/2010/11/main" uri="{4F2E5C28-24EA-4eb8-9CBF-B6C8F9C3D259}">
          <x15:cachedUniqueNames>
            <x15:cachedUniqueName index="0" name="[ActvityTbl].[Activity].&amp;[Face to face meeting]"/>
            <x15:cachedUniqueName index="1" name="[ActvityTbl].[Activity].&amp;[Online meeting]"/>
          </x15:cachedUniqueNames>
        </ext>
      </extLst>
    </cacheField>
    <cacheField name="[Measures].[FollowupText]" caption="FollowupText" numFmtId="0" hierarchy="13" level="32767"/>
  </cacheFields>
  <cacheHierarchies count="23">
    <cacheHierarchy uniqueName="[ActvityTbl].[Activity date]" caption="Activity date" attribute="1" time="1" defaultMemberUniqueName="[ActvityTbl].[Activity date].[All]" allUniqueName="[ActvityTbl].[Activity date].[All]" dimensionUniqueName="[ActvityTbl]" displayFolder="" count="2" memberValueDatatype="7" unbalanced="0">
      <fieldsUsage count="2">
        <fieldUsage x="-1"/>
        <fieldUsage x="3"/>
      </fieldsUsage>
    </cacheHierarchy>
    <cacheHierarchy uniqueName="[ActvityTbl].[Sales Person]" caption="Sales Person" attribute="1" defaultMemberUniqueName="[ActvityTbl].[Sales Person].[All]" allUniqueName="[ActvityTbl].[Sales Person].[All]" dimensionUniqueName="[ActvityTbl]" displayFolder="" count="2" memberValueDatatype="130" unbalanced="0">
      <fieldsUsage count="2">
        <fieldUsage x="-1"/>
        <fieldUsage x="0"/>
      </fieldsUsage>
    </cacheHierarchy>
    <cacheHierarchy uniqueName="[ActvityTbl].[Customer/Prospect]" caption="Customer/Prospect" attribute="1" defaultMemberUniqueName="[ActvityTbl].[Customer/Prospect].[All]" allUniqueName="[ActvityTbl].[Customer/Prospect].[All]" dimensionUniqueName="[ActvityTbl]" displayFolder="" count="2" memberValueDatatype="130" unbalanced="0">
      <fieldsUsage count="2">
        <fieldUsage x="-1"/>
        <fieldUsage x="1"/>
      </fieldsUsage>
    </cacheHierarchy>
    <cacheHierarchy uniqueName="[ActvityTbl].[Key Prospect]" caption="Key Prospect" attribute="1" defaultMemberUniqueName="[ActvityTbl].[Key Prospect].[All]" allUniqueName="[ActvityTbl].[Key Prospect].[All]" dimensionUniqueName="[ActvityTbl]" displayFolder="" count="0" memberValueDatatype="130" unbalanced="0"/>
    <cacheHierarchy uniqueName="[ActvityTbl].[Prospect Category]" caption="Prospect Category" attribute="1" defaultMemberUniqueName="[ActvityTbl].[Prospect Category].[All]" allUniqueName="[ActvityTbl].[Prospect Category].[All]" dimensionUniqueName="[ActvityTbl]" displayFolder="" count="0" memberValueDatatype="130" unbalanced="0"/>
    <cacheHierarchy uniqueName="[ActvityTbl].[Activity]" caption="Activity" attribute="1" defaultMemberUniqueName="[ActvityTbl].[Activity].[All]" allUniqueName="[ActvityTbl].[Activity].[All]" dimensionUniqueName="[ActvityTbl]" displayFolder="" count="2" memberValueDatatype="130" unbalanced="0">
      <fieldsUsage count="2">
        <fieldUsage x="-1"/>
        <fieldUsage x="5"/>
      </fieldsUsage>
    </cacheHierarchy>
    <cacheHierarchy uniqueName="[ActvityTbl].[Follow-up date]" caption="Follow-up date" attribute="1" time="1" defaultMemberUniqueName="[ActvityTbl].[Follow-up date].[All]" allUniqueName="[ActvityTbl].[Follow-up date].[All]" dimensionUniqueName="[ActvityTbl]" displayFolder="" count="0" memberValueDatatype="7" unbalanced="0"/>
    <cacheHierarchy uniqueName="[ActvityTbl].[Status]" caption="Status" attribute="1" defaultMemberUniqueName="[ActvityTbl].[Status].[All]" allUniqueName="[ActvityTbl].[Status].[All]" dimensionUniqueName="[ActvityTbl]" displayFolder="" count="0" memberValueDatatype="130" unbalanced="0"/>
    <cacheHierarchy uniqueName="[ActvityTbl].[Product]" caption="Product" attribute="1" defaultMemberUniqueName="[ActvityTbl].[Product].[All]" allUniqueName="[ActvityTbl].[Product].[All]" dimensionUniqueName="[ActvityTbl]" displayFolder="" count="0" memberValueDatatype="130" unbalanced="0"/>
    <cacheHierarchy uniqueName="[ActvityTbl].[Product QTY]" caption="Product QTY" attribute="1" defaultMemberUniqueName="[ActvityTbl].[Product QTY].[All]" allUniqueName="[ActvityTbl].[Product QTY].[All]" dimensionUniqueName="[ActvityTbl]" displayFolder="" count="0" memberValueDatatype="20" unbalanced="0"/>
    <cacheHierarchy uniqueName="[ActvityTbl].[Price Quote]" caption="Price Quote" attribute="1" defaultMemberUniqueName="[ActvityTbl].[Price Quote].[All]" allUniqueName="[ActvityTbl].[Price Quote].[All]" dimensionUniqueName="[ActvityTbl]" displayFolder="" count="0" memberValueDatatype="20" unbalanced="0"/>
    <cacheHierarchy uniqueName="[ActvityTbl].[Revenue]" caption="Revenue" attribute="1" defaultMemberUniqueName="[ActvityTbl].[Revenue].[All]" allUniqueName="[ActvityTbl].[Revenue].[All]" dimensionUniqueName="[ActvityTbl]" displayFolder="" count="0" memberValueDatatype="20" unbalanced="0"/>
    <cacheHierarchy uniqueName="[Measures].[CustomerText]" caption="CustomerText" measure="1" displayFolder="" measureGroup="ActvityTbl" count="0"/>
    <cacheHierarchy uniqueName="[Measures].[FollowupText]" caption="FollowupText" measure="1" displayFolder="" measureGroup="ActvityTbl" count="0" oneField="1">
      <fieldsUsage count="1">
        <fieldUsage x="6"/>
      </fieldsUsage>
    </cacheHierarchy>
    <cacheHierarchy uniqueName="[Measures].[StatusText]" caption="StatusText" measure="1" displayFolder="" measureGroup="ActvityTbl" count="0" oneField="1">
      <fieldsUsage count="1">
        <fieldUsage x="2"/>
      </fieldsUsage>
    </cacheHierarchy>
    <cacheHierarchy uniqueName="[Measures].[ActivityDateText]" caption="ActivityDateText" measure="1" displayFolder="" measureGroup="ActvityTbl" count="0"/>
    <cacheHierarchy uniqueName="[Measures].[SalesPersonText]" caption="SalesPersonText" measure="1" displayFolder="" measureGroup="ActvityTbl" count="0" oneField="1">
      <fieldsUsage count="1">
        <fieldUsage x="4"/>
      </fieldsUsage>
    </cacheHierarchy>
    <cacheHierarchy uniqueName="[Measures].[__XL_Count ActvityTbl]" caption="__XL_Count ActvityTbl" measure="1" displayFolder="" measureGroup="ActvityTbl" count="0" hidden="1"/>
    <cacheHierarchy uniqueName="[Measures].[__No measures defined]" caption="__No measures defined" measure="1" displayFolder="" count="0" hidden="1"/>
    <cacheHierarchy uniqueName="[Measures].[Sum of Product QTY]" caption="Sum of Product QTY" measure="1" displayFolder="" measureGroup="ActvityTbl" count="0" hidden="1">
      <extLst>
        <ext xmlns:x15="http://schemas.microsoft.com/office/spreadsheetml/2010/11/main" uri="{B97F6D7D-B522-45F9-BDA1-12C45D357490}">
          <x15:cacheHierarchy aggregatedColumn="9"/>
        </ext>
      </extLst>
    </cacheHierarchy>
    <cacheHierarchy uniqueName="[Measures].[Sum of Price Quote]" caption="Sum of Price Quote" measure="1" displayFolder="" measureGroup="ActvityTbl"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ActvityTbl" count="0" hidden="1">
      <extLst>
        <ext xmlns:x15="http://schemas.microsoft.com/office/spreadsheetml/2010/11/main" uri="{B97F6D7D-B522-45F9-BDA1-12C45D357490}">
          <x15:cacheHierarchy aggregatedColumn="11"/>
        </ext>
      </extLst>
    </cacheHierarchy>
    <cacheHierarchy uniqueName="[Measures].[Count of Follow-up date]" caption="Count of Follow-up date" measure="1" displayFolder="" measureGroup="ActvityTbl" count="0" hidden="1">
      <extLst>
        <ext xmlns:x15="http://schemas.microsoft.com/office/spreadsheetml/2010/11/main" uri="{B97F6D7D-B522-45F9-BDA1-12C45D357490}">
          <x15:cacheHierarchy aggregatedColumn="6"/>
        </ext>
      </extLst>
    </cacheHierarchy>
  </cacheHierarchies>
  <kpis count="0"/>
  <dimensions count="2">
    <dimension name="ActvityTbl" uniqueName="[ActvityTbl]" caption="ActvityTbl"/>
    <dimension measure="1" name="Measures" uniqueName="[Measures]" caption="Measures"/>
  </dimensions>
  <measureGroups count="1">
    <measureGroup name="ActvityTbl" caption="Actvity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B5200F-396A-4C90-80B4-0287ACD67AB2}" name="PivotTable2" cacheId="7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6" indent="0" outline="1" outlineData="1" multipleFieldFilters="0" rowHeaderCaption="Date/Activity">
  <location ref="B5:E9" firstHeaderRow="0" firstDataRow="1" firstDataCol="1" rowPageCount="1" colPageCount="1"/>
  <pivotFields count="7">
    <pivotField name="Customer"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2">
    <field x="3"/>
    <field x="5"/>
  </rowFields>
  <rowItems count="4">
    <i>
      <x/>
    </i>
    <i r="1">
      <x/>
    </i>
    <i>
      <x v="1"/>
    </i>
    <i r="1">
      <x v="1"/>
    </i>
  </rowItems>
  <colFields count="1">
    <field x="-2"/>
  </colFields>
  <colItems count="3">
    <i>
      <x/>
    </i>
    <i i="1">
      <x v="1"/>
    </i>
    <i i="2">
      <x v="2"/>
    </i>
  </colItems>
  <pageFields count="1">
    <pageField fld="1" hier="2" name="[ActvityTbl].[Customer/Prospect].&amp;[Company 42]" cap="Company 42"/>
  </pageFields>
  <dataFields count="3">
    <dataField fld="6" subtotal="count" baseField="0" baseItem="0"/>
    <dataField name="Status" fld="2" subtotal="count" baseField="0" baseItem="0"/>
    <dataField name="Sales Person" fld="4" subtotal="count" baseField="0" baseItem="0"/>
  </dataFields>
  <formats count="21">
    <format dxfId="56">
      <pivotArea type="all" dataOnly="0" outline="0"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1" type="button" dataOnly="0" labelOnly="1" outline="0" axis="axisPage" fieldPosition="0"/>
    </format>
    <format dxfId="45">
      <pivotArea dataOnly="0" labelOnly="1" fieldPosition="0">
        <references count="1">
          <reference field="1" count="0"/>
        </references>
      </pivotArea>
    </format>
    <format dxfId="44">
      <pivotArea dataOnly="0" labelOnly="1" outline="0" axis="axisValues" fieldPosition="0"/>
    </format>
    <format dxfId="43">
      <pivotArea field="0" type="button" dataOnly="0" labelOnly="1" outline="0"/>
    </format>
    <format dxfId="42">
      <pivotArea field="0" type="button" dataOnly="0" labelOnly="1" outline="0"/>
    </format>
    <format dxfId="41">
      <pivotArea field="0" type="button" dataOnly="0" labelOnly="1" outline="0"/>
    </format>
    <format dxfId="40">
      <pivotArea field="0" type="button" dataOnly="0" labelOnly="1" outline="0"/>
    </format>
    <format dxfId="39">
      <pivotArea field="0" type="button" dataOnly="0" labelOnly="1" outline="0"/>
    </format>
    <format dxfId="38">
      <pivotArea dataOnly="0" outline="0" fieldPosition="0">
        <references count="1">
          <reference field="4294967294" count="1">
            <x v="2"/>
          </reference>
        </references>
      </pivotArea>
    </format>
    <format dxfId="37">
      <pivotArea dataOnly="0" outline="0" fieldPosition="0">
        <references count="1">
          <reference field="4294967294" count="1">
            <x v="0"/>
          </reference>
        </references>
      </pivotArea>
    </format>
    <format dxfId="36">
      <pivotArea dataOnly="0" outline="0" fieldPosition="0">
        <references count="1">
          <reference field="4294967294" count="1">
            <x v="1"/>
          </reference>
        </references>
      </pivotArea>
    </format>
  </formats>
  <pivotHierarchies count="23">
    <pivotHierarchy dragToData="1"/>
    <pivotHierarchy dragToData="1"/>
    <pivotHierarchy multipleItemSelectionAllowed="1" dragToData="1">
      <members count="1" level="1">
        <member name="[ActvityTbl].[Customer/Prospect].&amp;[Company 4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ustomer/Prospect"/>
    <pivotHierarchy dragToRow="0" dragToCol="0" dragToPage="0" dragToData="1" caption="Follow-up Date"/>
    <pivotHierarchy dragToRow="0" dragToCol="0" dragToPage="0" dragToData="1" caption="Status"/>
    <pivotHierarchy dragToRow="0" dragToCol="0" dragToPage="0" dragToData="1"/>
    <pivotHierarchy dragToRow="0" dragToCol="0" dragToPage="0" dragToData="1" caption="Sales Person"/>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 2" showRowHeaders="1" showColHeaders="1" showRowStripes="0" showColStripes="0" showLastColumn="1"/>
  <rowHierarchiesUsage count="2">
    <rowHierarchyUsage hierarchyUsage="0"/>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Sales Tracking Template v1.3.xlsx!ActvityTbl">
        <x15:activeTabTopLevelEntity name="[Actvity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9B59F9-2D8F-4905-BD8F-803A76BCD4A5}" name="PivotTable3" cacheId="24"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6" indent="0" showEmptyRow="1" outline="1" outlineData="1" multipleFieldFilters="0" rowHeaderCaption="Date/Activity">
  <location ref="G5:J9" firstHeaderRow="0" firstDataRow="1" firstDataCol="1" rowPageCount="1" colPageCount="1"/>
  <pivotFields count="6">
    <pivotField name="Customer" allDrilled="1" subtotalTop="0" showAll="0" dataSourceSort="1" defaultSubtotal="0" defaultAttributeDrillState="1"/>
    <pivotField name="Key Prospects"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5"/>
  </rowFields>
  <rowItems count="4">
    <i>
      <x/>
    </i>
    <i>
      <x v="1"/>
    </i>
    <i>
      <x v="2"/>
    </i>
    <i>
      <x v="3"/>
    </i>
  </rowItems>
  <colFields count="1">
    <field x="-2"/>
  </colFields>
  <colItems count="3">
    <i>
      <x/>
    </i>
    <i i="1">
      <x v="1"/>
    </i>
    <i i="2">
      <x v="2"/>
    </i>
  </colItems>
  <pageFields count="1">
    <pageField fld="1" hier="3" name="[ActvityTbl].[Key Prospect].&amp;[Yes]" cap="Yes"/>
  </pageFields>
  <dataFields count="3">
    <dataField name="Total Product QTY" fld="2" baseField="0" baseItem="0"/>
    <dataField name="Sum of Prices Quoted" fld="3" baseField="5" baseItem="2" numFmtId="165"/>
    <dataField name="Total Revenue" fld="4" baseField="5" baseItem="2" numFmtId="44"/>
  </dataFields>
  <formats count="23">
    <format dxfId="79">
      <pivotArea type="all" dataOnly="0" outline="0" fieldPosition="0"/>
    </format>
    <format dxfId="78">
      <pivotArea outline="0" collapsedLevelsAreSubtotals="1" fieldPosition="0"/>
    </format>
    <format dxfId="77">
      <pivotArea type="all" dataOnly="0" outline="0"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 dxfId="68">
      <pivotArea field="0" type="button" dataOnly="0" labelOnly="1" outline="0"/>
    </format>
    <format dxfId="67">
      <pivotArea field="0" type="button" dataOnly="0" labelOnly="1" outline="0"/>
    </format>
    <format dxfId="66">
      <pivotArea field="0" type="button" dataOnly="0" labelOnly="1" outline="0"/>
    </format>
    <format dxfId="65">
      <pivotArea field="0" type="button" dataOnly="0" labelOnly="1" outline="0"/>
    </format>
    <format dxfId="64">
      <pivotArea field="0" type="button" dataOnly="0" labelOnly="1" outline="0"/>
    </format>
    <format dxfId="63">
      <pivotArea outline="0" fieldPosition="0">
        <references count="1">
          <reference field="4294967294" count="1">
            <x v="2"/>
          </reference>
        </references>
      </pivotArea>
    </format>
    <format dxfId="62">
      <pivotArea outline="0" fieldPosition="0">
        <references count="1">
          <reference field="4294967294" count="1">
            <x v="1"/>
          </reference>
        </references>
      </pivotArea>
    </format>
    <format dxfId="61">
      <pivotArea field="5" type="button" dataOnly="0" labelOnly="1" outline="0" axis="axisRow" fieldPosition="0"/>
    </format>
    <format dxfId="60">
      <pivotArea dataOnly="0" labelOnly="1" outline="0" fieldPosition="0">
        <references count="1">
          <reference field="4294967294" count="3">
            <x v="0"/>
            <x v="1"/>
            <x v="2"/>
          </reference>
        </references>
      </pivotArea>
    </format>
    <format dxfId="59">
      <pivotArea dataOnly="0" outline="0" fieldPosition="0">
        <references count="1">
          <reference field="4294967294" count="1">
            <x v="0"/>
          </reference>
        </references>
      </pivotArea>
    </format>
    <format dxfId="58">
      <pivotArea dataOnly="0" outline="0" fieldPosition="0">
        <references count="1">
          <reference field="4294967294" count="1">
            <x v="1"/>
          </reference>
        </references>
      </pivotArea>
    </format>
    <format dxfId="57">
      <pivotArea field="1" type="button" dataOnly="0" labelOnly="1" outline="0" axis="axisPage" fieldPosition="0"/>
    </format>
  </formats>
  <pivotHierarchies count="23">
    <pivotHierarchy dragToData="1"/>
    <pivotHierarchy dragToData="1"/>
    <pivotHierarchy dragToData="1"/>
    <pivotHierarchy multipleItemSelectionAllowed="1" dragToData="1">
      <members count="1" level="1">
        <member name="[ActvityTbl].[Key Prospect].&amp;[Y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ustomer/Prospect"/>
    <pivotHierarchy dragToRow="0" dragToCol="0" dragToPage="0" dragToData="1" caption="Follow-up Date"/>
    <pivotHierarchy dragToRow="0" dragToCol="0" dragToPage="0" dragToData="1" caption="Status"/>
    <pivotHierarchy dragToRow="0" dragToCol="0" dragToPage="0" dragToData="1"/>
    <pivotHierarchy dragToRow="0" dragToCol="0" dragToPage="0" dragToData="1" caption="Sales Person"/>
    <pivotHierarchy dragToRow="0" dragToCol="0" dragToPage="0" dragToData="1"/>
    <pivotHierarchy dragToRow="0" dragToCol="0" dragToPage="0" dragToData="1"/>
    <pivotHierarchy dragToData="1" caption="Total Product QTY"/>
    <pivotHierarchy dragToData="1" caption="Sum of Prices Quoted"/>
    <pivotHierarchy dragToData="1" caption="Total Revenue"/>
    <pivotHierarchy dragToData="1"/>
  </pivotHierarchies>
  <pivotTableStyleInfo name="PivotStyleLight1 2"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Sales Tracking Template v1.3.xlsx!ActvityTbl">
        <x15:activeTabTopLevelEntity name="[Actvity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A64CA7-15E6-463C-8397-EF4DD8A3BEF2}" name="PivotTable2" cacheId="2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6" indent="0" outline="1" outlineData="1" multipleFieldFilters="0" rowHeaderCaption="Date/Customer">
  <location ref="B5:D14" firstHeaderRow="0" firstDataRow="1"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2">
    <field x="3"/>
    <field x="1"/>
  </rowFields>
  <rowItems count="9">
    <i>
      <x/>
    </i>
    <i r="1">
      <x/>
    </i>
    <i>
      <x v="1"/>
    </i>
    <i r="1">
      <x v="1"/>
    </i>
    <i>
      <x v="2"/>
    </i>
    <i r="1">
      <x v="2"/>
    </i>
    <i r="1">
      <x v="3"/>
    </i>
    <i>
      <x v="3"/>
    </i>
    <i r="1">
      <x v="4"/>
    </i>
  </rowItems>
  <colFields count="1">
    <field x="-2"/>
  </colFields>
  <colItems count="2">
    <i>
      <x/>
    </i>
    <i i="1">
      <x v="1"/>
    </i>
  </colItems>
  <pageFields count="1">
    <pageField fld="0" hier="1" name="[ActvityTbl].[Sales Person].&amp;[Jane Doe]" cap="Jane Doe"/>
  </pageFields>
  <dataFields count="2">
    <dataField fld="4" subtotal="count" baseField="0" baseItem="0"/>
    <dataField name="Status" fld="2" subtotal="count" baseField="0" baseItem="0"/>
  </dataFields>
  <formats count="17">
    <format dxfId="35">
      <pivotArea type="all" dataOnly="0" outline="0" fieldPosition="0"/>
    </format>
    <format dxfId="34">
      <pivotArea outline="0" collapsedLevelsAreSubtotals="1" fieldPosition="0"/>
    </format>
    <format dxfId="33">
      <pivotArea type="all" dataOnly="0"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1"/>
    </format>
    <format dxfId="24">
      <pivotArea dataOnly="0" labelOnly="1" fieldPosition="0">
        <references count="1">
          <reference field="1" count="0"/>
        </references>
      </pivotArea>
    </format>
    <format dxfId="23">
      <pivotArea dataOnly="0" labelOnly="1" outline="0" axis="axisValues" fieldPosition="0"/>
    </format>
    <format dxfId="22">
      <pivotArea dataOnly="0" labelOnly="1" outline="0" fieldPosition="0">
        <references count="1">
          <reference field="0" count="0"/>
        </references>
      </pivotArea>
    </format>
    <format dxfId="21">
      <pivotArea field="0" type="button" dataOnly="0" labelOnly="1" outline="0" axis="axisPage" fieldPosition="0"/>
    </format>
    <format dxfId="20">
      <pivotArea field="0" type="button" dataOnly="0" labelOnly="1" outline="0" axis="axisPage" fieldPosition="0"/>
    </format>
    <format dxfId="19">
      <pivotArea dataOnly="0" labelOnly="1" outline="0" fieldPosition="0">
        <references count="1">
          <reference field="0" count="0"/>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ustomer/Prospect"/>
    <pivotHierarchy dragToRow="0" dragToCol="0" dragToPage="0" dragToData="1" caption="Follow-up Date"/>
    <pivotHierarchy dragToRow="0" dragToCol="0" dragToPage="0" dragToData="1" caption="Status"/>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 2" showRowHeaders="1" showColHeaders="1" showRowStripes="0" showColStripes="0" showLastColumn="1"/>
  <rowHierarchiesUsage count="2">
    <rowHierarchyUsage hierarchyUsage="0"/>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Sales Tracking Template v1.3.xlsx!ActvityTbl">
        <x15:activeTabTopLevelEntity name="[ActvityTbl]"/>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EA8243-0BE1-43E1-B570-C1D51BD43C7B}" name="ActvityTbl" displayName="ActvityTbl" ref="B3:M10" totalsRowShown="0" headerRowDxfId="16" dataDxfId="14" headerRowBorderDxfId="15" tableBorderDxfId="13">
  <autoFilter ref="B3:M10" xr:uid="{4BC5BCB9-F439-47C6-8E42-1B82AE71A0E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D33D630-F837-4E81-BC53-9B847AE6AC18}" name="Activity date" dataDxfId="12"/>
    <tableColumn id="2" xr3:uid="{FE73AFC6-E8F0-4FC0-B2B8-17DCBBE20C21}" name="Sales Person" dataDxfId="11"/>
    <tableColumn id="3" xr3:uid="{CDDA76C7-95D5-414D-8825-11F753D01338}" name="Customer/Prospect" dataDxfId="10"/>
    <tableColumn id="11" xr3:uid="{E06D5329-8639-48A9-8286-FF2B48D44ECD}" name="Key Prospect" dataDxfId="9"/>
    <tableColumn id="4" xr3:uid="{A0134854-D90F-442B-81CF-17E286ACBA80}" name="Prospect Category" dataDxfId="8"/>
    <tableColumn id="5" xr3:uid="{3976DD98-53D8-4D18-AA61-4956180000F5}" name="Activity" dataDxfId="7"/>
    <tableColumn id="10" xr3:uid="{EEE4BF41-4830-4949-A564-28249C15E772}" name="Follow-up date" dataDxfId="6"/>
    <tableColumn id="6" xr3:uid="{6BC3D177-6179-4F4C-AC5E-AB2E9F3426CA}" name="Status" dataDxfId="5"/>
    <tableColumn id="7" xr3:uid="{ED028706-6E2D-4FA3-B281-60EE560195DA}" name="Product" dataDxfId="4"/>
    <tableColumn id="8" xr3:uid="{577D40DC-4FCF-457A-A4A3-BF4FDE0CCC18}" name="Product QTY" dataDxfId="3"/>
    <tableColumn id="9" xr3:uid="{83C6DDD4-59AE-4E4F-8AEE-48EFF0E6F219}" name="Price Quote" dataDxfId="2" dataCellStyle="Currency"/>
    <tableColumn id="12" xr3:uid="{50BC11F1-6A93-4EC4-8A4D-896E38E88152}" name="Revenue" dataDxfId="1" dataCellStyle="Currency"/>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F99EA-41FA-4D18-B9C5-F46F8818CF86}">
  <sheetPr codeName="Sheet1"/>
  <dimension ref="B2:I34"/>
  <sheetViews>
    <sheetView showGridLines="0" showRowColHeaders="0" workbookViewId="0">
      <selection activeCell="I8" sqref="I8"/>
    </sheetView>
  </sheetViews>
  <sheetFormatPr defaultColWidth="9" defaultRowHeight="12.75" x14ac:dyDescent="0.2"/>
  <cols>
    <col min="1" max="1" width="3.5703125" style="1" customWidth="1"/>
    <col min="2" max="2" width="0.85546875" style="27" customWidth="1"/>
    <col min="3" max="3" width="22.5703125" style="27" customWidth="1"/>
    <col min="4" max="4" width="0.85546875" style="27" customWidth="1"/>
    <col min="5" max="5" width="3.5703125" style="1" customWidth="1"/>
    <col min="6" max="6" width="17.5703125" style="1" customWidth="1"/>
    <col min="7" max="7" width="14.140625" style="1" customWidth="1"/>
    <col min="8" max="8" width="6.7109375" style="1" customWidth="1"/>
    <col min="9" max="9" width="94.7109375" style="1" customWidth="1"/>
    <col min="10" max="16384" width="9" style="1"/>
  </cols>
  <sheetData>
    <row r="2" spans="3:9" x14ac:dyDescent="0.2">
      <c r="C2" s="28" t="s">
        <v>56</v>
      </c>
      <c r="F2" s="29" t="s">
        <v>57</v>
      </c>
      <c r="H2" s="29" t="s">
        <v>64</v>
      </c>
    </row>
    <row r="4" spans="3:9" ht="15" x14ac:dyDescent="0.25">
      <c r="C4" s="30" t="s">
        <v>77</v>
      </c>
      <c r="F4" s="29" t="s">
        <v>58</v>
      </c>
      <c r="H4" s="46" t="s">
        <v>65</v>
      </c>
      <c r="I4" s="46"/>
    </row>
    <row r="5" spans="3:9" ht="14.25" customHeight="1" x14ac:dyDescent="0.25">
      <c r="C5" s="39" t="s">
        <v>78</v>
      </c>
      <c r="H5" s="47" t="s">
        <v>66</v>
      </c>
      <c r="I5" s="47"/>
    </row>
    <row r="6" spans="3:9" ht="15" x14ac:dyDescent="0.25">
      <c r="C6" s="30" t="s">
        <v>79</v>
      </c>
      <c r="H6" s="47"/>
      <c r="I6" s="47"/>
    </row>
    <row r="7" spans="3:9" ht="15" x14ac:dyDescent="0.25">
      <c r="C7" s="30" t="s">
        <v>80</v>
      </c>
      <c r="H7" s="46"/>
      <c r="I7" s="46"/>
    </row>
    <row r="8" spans="3:9" ht="15" x14ac:dyDescent="0.25">
      <c r="C8" s="30"/>
      <c r="F8" s="29" t="s">
        <v>59</v>
      </c>
      <c r="H8" s="1">
        <v>2</v>
      </c>
    </row>
    <row r="9" spans="3:9" ht="15" x14ac:dyDescent="0.2">
      <c r="C9" s="31"/>
    </row>
    <row r="10" spans="3:9" x14ac:dyDescent="0.2">
      <c r="F10" s="29" t="s">
        <v>60</v>
      </c>
    </row>
    <row r="11" spans="3:9" ht="59.65" customHeight="1" x14ac:dyDescent="0.2">
      <c r="F11" s="29"/>
      <c r="G11" s="32" t="s">
        <v>67</v>
      </c>
      <c r="H11" s="47" t="s">
        <v>68</v>
      </c>
      <c r="I11" s="47"/>
    </row>
    <row r="12" spans="3:9" ht="45.75" customHeight="1" x14ac:dyDescent="0.2">
      <c r="G12" s="32" t="s">
        <v>69</v>
      </c>
      <c r="H12" s="47" t="s">
        <v>70</v>
      </c>
      <c r="I12" s="47"/>
    </row>
    <row r="13" spans="3:9" ht="49.5" customHeight="1" x14ac:dyDescent="0.2">
      <c r="G13" s="33" t="s">
        <v>71</v>
      </c>
      <c r="H13" s="47" t="s">
        <v>72</v>
      </c>
      <c r="I13" s="47"/>
    </row>
    <row r="14" spans="3:9" x14ac:dyDescent="0.2">
      <c r="G14" s="33" t="s">
        <v>73</v>
      </c>
      <c r="H14" s="47" t="s">
        <v>74</v>
      </c>
      <c r="I14" s="47"/>
    </row>
    <row r="15" spans="3:9" x14ac:dyDescent="0.2">
      <c r="G15" s="33"/>
      <c r="H15" s="47"/>
      <c r="I15" s="47"/>
    </row>
    <row r="16" spans="3:9" x14ac:dyDescent="0.2">
      <c r="G16" s="33"/>
      <c r="H16" s="47"/>
      <c r="I16" s="47"/>
    </row>
    <row r="17" spans="6:9" x14ac:dyDescent="0.2">
      <c r="G17" s="15"/>
      <c r="H17" s="15"/>
      <c r="I17" s="15"/>
    </row>
    <row r="18" spans="6:9" ht="27.4" customHeight="1" x14ac:dyDescent="0.2">
      <c r="F18" s="34" t="s">
        <v>61</v>
      </c>
      <c r="G18" s="35" t="s">
        <v>62</v>
      </c>
      <c r="H18" s="47" t="s">
        <v>76</v>
      </c>
      <c r="I18" s="47"/>
    </row>
    <row r="19" spans="6:9" ht="13.15" customHeight="1" x14ac:dyDescent="0.2">
      <c r="F19" s="34"/>
      <c r="G19" s="35" t="s">
        <v>63</v>
      </c>
      <c r="H19" s="47" t="s">
        <v>75</v>
      </c>
      <c r="I19" s="47"/>
    </row>
    <row r="20" spans="6:9" x14ac:dyDescent="0.2">
      <c r="G20" s="35"/>
      <c r="H20" s="47"/>
      <c r="I20" s="47"/>
    </row>
    <row r="21" spans="6:9" x14ac:dyDescent="0.2">
      <c r="G21" s="19"/>
      <c r="H21" s="48"/>
      <c r="I21" s="48"/>
    </row>
    <row r="22" spans="6:9" x14ac:dyDescent="0.2">
      <c r="G22" s="36"/>
    </row>
    <row r="23" spans="6:9" x14ac:dyDescent="0.2">
      <c r="G23" s="37"/>
      <c r="H23" s="38"/>
    </row>
    <row r="24" spans="6:9" x14ac:dyDescent="0.2">
      <c r="G24" s="37"/>
      <c r="H24" s="37"/>
    </row>
    <row r="25" spans="6:9" x14ac:dyDescent="0.2">
      <c r="H25" s="37"/>
    </row>
    <row r="28" spans="6:9" x14ac:dyDescent="0.2">
      <c r="H28" s="37"/>
    </row>
    <row r="29" spans="6:9" x14ac:dyDescent="0.2">
      <c r="H29" s="37"/>
    </row>
    <row r="30" spans="6:9" x14ac:dyDescent="0.2">
      <c r="H30" s="37"/>
    </row>
    <row r="31" spans="6:9" x14ac:dyDescent="0.2">
      <c r="H31" s="37"/>
    </row>
    <row r="32" spans="6:9" x14ac:dyDescent="0.2">
      <c r="H32" s="37"/>
    </row>
    <row r="34" spans="8:8" x14ac:dyDescent="0.2">
      <c r="H34" s="38"/>
    </row>
  </sheetData>
  <mergeCells count="13">
    <mergeCell ref="H20:I20"/>
    <mergeCell ref="H21:I21"/>
    <mergeCell ref="H14:I14"/>
    <mergeCell ref="H15:I15"/>
    <mergeCell ref="H16:I16"/>
    <mergeCell ref="H18:I18"/>
    <mergeCell ref="H19:I19"/>
    <mergeCell ref="H4:I4"/>
    <mergeCell ref="H7:I7"/>
    <mergeCell ref="H11:I11"/>
    <mergeCell ref="H5:I6"/>
    <mergeCell ref="H13:I13"/>
    <mergeCell ref="H12:I12"/>
  </mergeCells>
  <conditionalFormatting sqref="H8">
    <cfRule type="iconSet" priority="1">
      <iconSet reverse="1">
        <cfvo type="percent" val="0"/>
        <cfvo type="num" val="2"/>
        <cfvo type="num" val="3" gte="0"/>
      </iconSet>
    </cfRule>
  </conditionalFormatting>
  <hyperlinks>
    <hyperlink ref="C27" location="Setup!A1" display="Setup" xr:uid="{DE761899-8299-42A2-B2CC-74A4CA8B3E13}"/>
    <hyperlink ref="C26" location="Leads!A1" display="Leads" xr:uid="{84EBD354-CD5B-473C-9B8D-82497DBAC37F}"/>
    <hyperlink ref="C25" location="Companies!A1" display="Companies" xr:uid="{C08172A8-183E-403F-A423-57A854DE2031}"/>
    <hyperlink ref="C24" location="Contacts!A1" display="Contacts" xr:uid="{444814D5-F210-407C-AACB-FEFC45EA0B6B}"/>
    <hyperlink ref="C23" location="'Contact Log'!A1" display="Contact Log" xr:uid="{A66AAA84-FC4E-4291-B126-EB02156F19FC}"/>
    <hyperlink ref="C4" location="'Customer Tracking'!A1" display="Customer Tracking" xr:uid="{515076A8-534D-47AA-9A06-0DA068DEE689}"/>
    <hyperlink ref="C5" location="'Sales Personnel Tracking'!A1" display="'Sales Personnel Tracking'!A1" xr:uid="{62A1F46F-AD35-4110-808F-18FFE46007B8}"/>
    <hyperlink ref="C6" location="'Activity Log'!A1" display="Activity Log" xr:uid="{99119CF3-68C0-4A23-92B0-55BB490A4090}"/>
    <hyperlink ref="C7" location="Info!A1" display="Info" xr:uid="{327253A7-E7C6-4C92-B5EE-F410045E048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490C-33C6-4A32-9AC8-BAC6A84D2656}">
  <sheetPr codeName="Sheet2">
    <pageSetUpPr autoPageBreaks="0"/>
  </sheetPr>
  <dimension ref="B1:K18"/>
  <sheetViews>
    <sheetView showGridLines="0" zoomScaleNormal="100" workbookViewId="0">
      <pane ySplit="5" topLeftCell="A6" activePane="bottomLeft" state="frozen"/>
      <selection pane="bottomLeft" activeCell="F11" sqref="F11"/>
    </sheetView>
  </sheetViews>
  <sheetFormatPr defaultColWidth="9" defaultRowHeight="12.75" x14ac:dyDescent="0.2"/>
  <cols>
    <col min="1" max="1" width="9" style="1"/>
    <col min="2" max="2" width="22.42578125" style="1" bestFit="1" customWidth="1"/>
    <col min="3" max="3" width="14.85546875" style="1" bestFit="1" customWidth="1"/>
    <col min="4" max="4" width="15" style="1" bestFit="1" customWidth="1"/>
    <col min="5" max="5" width="12.85546875" style="1" bestFit="1" customWidth="1"/>
    <col min="6" max="6" width="18" style="1" customWidth="1"/>
    <col min="7" max="7" width="14.5703125" style="1" bestFit="1" customWidth="1"/>
    <col min="8" max="8" width="13.28515625" style="1" bestFit="1" customWidth="1"/>
    <col min="9" max="9" width="13.7109375" style="1" bestFit="1" customWidth="1"/>
    <col min="10" max="10" width="9" style="1" bestFit="1" customWidth="1"/>
    <col min="11" max="11" width="15.28515625" style="1" bestFit="1" customWidth="1"/>
    <col min="12" max="16384" width="9" style="1"/>
  </cols>
  <sheetData>
    <row r="1" spans="2:11" s="40" customFormat="1" ht="15" x14ac:dyDescent="0.25">
      <c r="B1" s="41" t="s">
        <v>81</v>
      </c>
      <c r="C1" s="49" t="s">
        <v>78</v>
      </c>
      <c r="D1" s="50"/>
      <c r="E1" s="49" t="s">
        <v>79</v>
      </c>
      <c r="F1" s="50"/>
      <c r="G1" s="41" t="s">
        <v>80</v>
      </c>
      <c r="J1" s="41"/>
      <c r="K1" s="41"/>
    </row>
    <row r="2" spans="2:11" ht="15" x14ac:dyDescent="0.25">
      <c r="B2"/>
      <c r="C2"/>
    </row>
    <row r="3" spans="2:11" x14ac:dyDescent="0.2">
      <c r="B3" s="52" t="s">
        <v>28</v>
      </c>
      <c r="C3" s="15" t="s" vm="3">
        <v>32</v>
      </c>
      <c r="F3" s="20"/>
      <c r="G3" s="52" t="s">
        <v>38</v>
      </c>
      <c r="H3" s="15" t="s" vm="2">
        <v>39</v>
      </c>
    </row>
    <row r="4" spans="2:11" x14ac:dyDescent="0.2">
      <c r="F4" s="21"/>
    </row>
    <row r="5" spans="2:11" ht="25.5" x14ac:dyDescent="0.25">
      <c r="B5" s="52" t="s">
        <v>52</v>
      </c>
      <c r="C5" s="57" t="s">
        <v>49</v>
      </c>
      <c r="D5" s="57" t="s">
        <v>1</v>
      </c>
      <c r="E5" s="57" t="s">
        <v>0</v>
      </c>
      <c r="G5" s="51" t="s">
        <v>52</v>
      </c>
      <c r="H5" s="62" t="s">
        <v>53</v>
      </c>
      <c r="I5" s="62" t="s">
        <v>54</v>
      </c>
      <c r="J5" s="45" t="s">
        <v>55</v>
      </c>
      <c r="K5"/>
    </row>
    <row r="6" spans="2:11" ht="15" x14ac:dyDescent="0.25">
      <c r="B6" s="53">
        <v>44075</v>
      </c>
      <c r="C6" s="58"/>
      <c r="D6" s="58"/>
      <c r="E6" s="58"/>
      <c r="G6" s="60" t="s">
        <v>46</v>
      </c>
      <c r="H6" s="58"/>
      <c r="I6" s="63"/>
      <c r="J6" s="61"/>
      <c r="K6"/>
    </row>
    <row r="7" spans="2:11" ht="15" x14ac:dyDescent="0.25">
      <c r="B7" s="55" t="s">
        <v>21</v>
      </c>
      <c r="C7" s="59" t="s">
        <v>82</v>
      </c>
      <c r="D7" s="58" t="s">
        <v>3</v>
      </c>
      <c r="E7" s="58" t="s">
        <v>12</v>
      </c>
      <c r="G7" s="60" t="s">
        <v>32</v>
      </c>
      <c r="H7" s="58">
        <v>8</v>
      </c>
      <c r="I7" s="63">
        <v>545</v>
      </c>
      <c r="J7" s="61">
        <v>500</v>
      </c>
      <c r="K7"/>
    </row>
    <row r="8" spans="2:11" ht="15" x14ac:dyDescent="0.25">
      <c r="B8" s="53">
        <v>44104</v>
      </c>
      <c r="C8" s="58"/>
      <c r="D8" s="58"/>
      <c r="E8" s="58"/>
      <c r="G8" s="60" t="s">
        <v>35</v>
      </c>
      <c r="H8" s="58">
        <v>1</v>
      </c>
      <c r="I8" s="63">
        <v>90</v>
      </c>
      <c r="J8" s="61"/>
      <c r="K8"/>
    </row>
    <row r="9" spans="2:11" ht="15" x14ac:dyDescent="0.25">
      <c r="B9" s="55" t="s">
        <v>22</v>
      </c>
      <c r="C9" s="59"/>
      <c r="D9" s="58" t="s">
        <v>5</v>
      </c>
      <c r="E9" s="58" t="s">
        <v>10</v>
      </c>
      <c r="G9" s="60" t="s">
        <v>45</v>
      </c>
      <c r="H9" s="58">
        <v>1</v>
      </c>
      <c r="I9" s="63">
        <v>50</v>
      </c>
      <c r="J9" s="61"/>
      <c r="K9"/>
    </row>
    <row r="10" spans="2:11" ht="15" x14ac:dyDescent="0.25">
      <c r="B10"/>
      <c r="C10"/>
      <c r="D10"/>
      <c r="E10"/>
      <c r="G10"/>
      <c r="H10"/>
      <c r="I10"/>
      <c r="J10"/>
    </row>
    <row r="11" spans="2:11" ht="15" x14ac:dyDescent="0.25">
      <c r="B11"/>
      <c r="C11"/>
      <c r="D11"/>
      <c r="E11"/>
      <c r="G11"/>
      <c r="H11"/>
      <c r="I11"/>
      <c r="J11"/>
    </row>
    <row r="12" spans="2:11" ht="15" x14ac:dyDescent="0.25">
      <c r="B12"/>
      <c r="C12"/>
      <c r="D12"/>
      <c r="E12"/>
      <c r="G12"/>
      <c r="H12"/>
      <c r="I12"/>
      <c r="J12"/>
    </row>
    <row r="13" spans="2:11" ht="15" x14ac:dyDescent="0.25">
      <c r="B13"/>
      <c r="C13"/>
      <c r="D13"/>
      <c r="E13"/>
      <c r="G13"/>
      <c r="H13"/>
      <c r="I13"/>
      <c r="J13"/>
    </row>
    <row r="14" spans="2:11" ht="15" x14ac:dyDescent="0.25">
      <c r="B14"/>
      <c r="C14"/>
      <c r="D14"/>
      <c r="E14"/>
      <c r="G14"/>
      <c r="H14"/>
      <c r="I14"/>
      <c r="J14"/>
    </row>
    <row r="15" spans="2:11" ht="15" x14ac:dyDescent="0.25">
      <c r="B15"/>
      <c r="C15"/>
      <c r="D15"/>
      <c r="E15"/>
      <c r="G15"/>
      <c r="H15"/>
      <c r="I15"/>
      <c r="J15"/>
    </row>
    <row r="16" spans="2:11" ht="15" x14ac:dyDescent="0.25">
      <c r="B16"/>
      <c r="C16"/>
      <c r="D16"/>
      <c r="E16"/>
      <c r="G16"/>
      <c r="H16"/>
      <c r="I16"/>
      <c r="J16"/>
    </row>
    <row r="17" spans="2:10" ht="15" x14ac:dyDescent="0.25">
      <c r="B17"/>
      <c r="C17"/>
      <c r="D17"/>
      <c r="E17"/>
      <c r="G17"/>
      <c r="H17"/>
      <c r="I17"/>
      <c r="J17"/>
    </row>
    <row r="18" spans="2:10" ht="15" x14ac:dyDescent="0.25">
      <c r="B18"/>
      <c r="C18"/>
      <c r="D18"/>
    </row>
  </sheetData>
  <mergeCells count="2">
    <mergeCell ref="C1:D1"/>
    <mergeCell ref="E1:F1"/>
  </mergeCells>
  <hyperlinks>
    <hyperlink ref="B1" location="Instructions!A1" display="Instructions" xr:uid="{F95E3600-6E08-45B7-9704-9A5B558C487E}"/>
    <hyperlink ref="C1:D1" location="'Sales Personnel Tracking'!A1" display="Customer Tracking'!A1" xr:uid="{F8DCA8EC-ACEF-4A85-949E-F8781A68FD59}"/>
    <hyperlink ref="E1:F1" location="'Activity Log'!A1" display="'Activity Log'!A1" xr:uid="{EDDE1702-C694-47E2-AD60-00E1BCEECCDD}"/>
    <hyperlink ref="G1" location="Info!A1" display="Info" xr:uid="{FBA4D675-F765-453F-8379-9320D9622EA2}"/>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FC8C-9ABA-4C70-86B3-CF2704505814}">
  <sheetPr codeName="Sheet3">
    <pageSetUpPr autoPageBreaks="0"/>
  </sheetPr>
  <dimension ref="B1:K18"/>
  <sheetViews>
    <sheetView showGridLines="0" zoomScaleNormal="100" workbookViewId="0">
      <pane ySplit="5" topLeftCell="A6" activePane="bottomLeft" state="frozen"/>
      <selection pane="bottomLeft" activeCell="E1" sqref="E1:F1"/>
    </sheetView>
  </sheetViews>
  <sheetFormatPr defaultColWidth="9" defaultRowHeight="12.75" x14ac:dyDescent="0.2"/>
  <cols>
    <col min="1" max="1" width="9" style="1"/>
    <col min="2" max="2" width="16.7109375" style="1" bestFit="1" customWidth="1"/>
    <col min="3" max="3" width="14.85546875" style="1" bestFit="1" customWidth="1"/>
    <col min="4" max="4" width="15" style="1" bestFit="1" customWidth="1"/>
    <col min="5" max="5" width="6.42578125" style="1" customWidth="1"/>
    <col min="6" max="6" width="18" style="1" customWidth="1"/>
    <col min="7" max="7" width="12.7109375" style="1" customWidth="1"/>
    <col min="8" max="9" width="13" style="1" customWidth="1"/>
    <col min="10" max="16384" width="9" style="1"/>
  </cols>
  <sheetData>
    <row r="1" spans="2:11" s="40" customFormat="1" ht="15" x14ac:dyDescent="0.25">
      <c r="B1" s="41" t="s">
        <v>81</v>
      </c>
      <c r="C1" s="50" t="s">
        <v>77</v>
      </c>
      <c r="D1" s="50"/>
      <c r="E1" s="49" t="s">
        <v>79</v>
      </c>
      <c r="F1" s="50"/>
      <c r="G1" s="41" t="s">
        <v>80</v>
      </c>
      <c r="J1" s="41"/>
      <c r="K1" s="41"/>
    </row>
    <row r="3" spans="2:11" ht="16.5" customHeight="1" x14ac:dyDescent="0.2">
      <c r="B3" s="64" t="s">
        <v>0</v>
      </c>
      <c r="C3" s="65" t="s" vm="1">
        <v>10</v>
      </c>
      <c r="F3" s="23" t="s">
        <v>44</v>
      </c>
      <c r="G3" s="24" t="s">
        <v>42</v>
      </c>
      <c r="H3" s="25" t="s">
        <v>43</v>
      </c>
      <c r="I3" s="26"/>
    </row>
    <row r="4" spans="2:11" x14ac:dyDescent="0.2">
      <c r="F4" s="16" cm="1">
        <f t="array" ref="F4">COUNTA(_xlfn.UNIQUE(_xlfn._xlws.FILTER(ActvityTbl[Customer/Prospect],ActvityTbl[Sales Person]=$C$3)))</f>
        <v>5</v>
      </c>
      <c r="G4" s="16">
        <f>COUNTIF(D:D,"Win")</f>
        <v>2</v>
      </c>
      <c r="H4" s="18">
        <f>G4/F4</f>
        <v>0.4</v>
      </c>
      <c r="I4" s="17"/>
    </row>
    <row r="5" spans="2:11" ht="15" x14ac:dyDescent="0.25">
      <c r="B5" s="52" t="s">
        <v>51</v>
      </c>
      <c r="C5" s="15" t="s">
        <v>49</v>
      </c>
      <c r="D5" s="15" t="s">
        <v>1</v>
      </c>
      <c r="E5"/>
    </row>
    <row r="6" spans="2:11" ht="15" x14ac:dyDescent="0.25">
      <c r="B6" s="53">
        <v>44075</v>
      </c>
      <c r="C6" s="54"/>
      <c r="D6" s="54"/>
      <c r="E6"/>
    </row>
    <row r="7" spans="2:11" ht="15" x14ac:dyDescent="0.25">
      <c r="B7" s="55" t="s">
        <v>34</v>
      </c>
      <c r="C7" s="56" t="s">
        <v>47</v>
      </c>
      <c r="D7" s="54" t="s">
        <v>4</v>
      </c>
      <c r="E7"/>
    </row>
    <row r="8" spans="2:11" ht="15" x14ac:dyDescent="0.25">
      <c r="B8" s="53">
        <v>44076</v>
      </c>
      <c r="C8" s="54"/>
      <c r="D8" s="54"/>
      <c r="E8"/>
    </row>
    <row r="9" spans="2:11" ht="15" x14ac:dyDescent="0.25">
      <c r="B9" s="55" t="s">
        <v>35</v>
      </c>
      <c r="C9" s="56" t="s">
        <v>48</v>
      </c>
      <c r="D9" s="54" t="s">
        <v>3</v>
      </c>
      <c r="E9"/>
    </row>
    <row r="10" spans="2:11" ht="15" x14ac:dyDescent="0.25">
      <c r="B10" s="53">
        <v>44103</v>
      </c>
      <c r="C10" s="54"/>
      <c r="D10" s="54"/>
      <c r="E10"/>
    </row>
    <row r="11" spans="2:11" ht="15" x14ac:dyDescent="0.25">
      <c r="B11" s="55" t="s">
        <v>46</v>
      </c>
      <c r="C11" s="56"/>
      <c r="D11" s="54" t="s">
        <v>7</v>
      </c>
      <c r="E11"/>
    </row>
    <row r="12" spans="2:11" x14ac:dyDescent="0.2">
      <c r="B12" s="55" t="s">
        <v>45</v>
      </c>
      <c r="C12" s="56" t="s">
        <v>50</v>
      </c>
      <c r="D12" s="54" t="s">
        <v>3</v>
      </c>
    </row>
    <row r="13" spans="2:11" x14ac:dyDescent="0.2">
      <c r="B13" s="53">
        <v>44104</v>
      </c>
      <c r="C13" s="54"/>
      <c r="D13" s="54"/>
    </row>
    <row r="14" spans="2:11" x14ac:dyDescent="0.2">
      <c r="B14" s="55" t="s">
        <v>32</v>
      </c>
      <c r="C14" s="56"/>
      <c r="D14" s="54" t="s">
        <v>5</v>
      </c>
    </row>
    <row r="15" spans="2:11" ht="15" x14ac:dyDescent="0.25">
      <c r="B15"/>
      <c r="C15"/>
      <c r="D15"/>
    </row>
    <row r="16" spans="2:11" ht="15" x14ac:dyDescent="0.25">
      <c r="B16"/>
      <c r="C16"/>
      <c r="D16"/>
    </row>
    <row r="17" spans="2:4" ht="15" x14ac:dyDescent="0.25">
      <c r="B17"/>
      <c r="C17"/>
      <c r="D17"/>
    </row>
    <row r="18" spans="2:4" ht="15" x14ac:dyDescent="0.25">
      <c r="B18"/>
      <c r="C18"/>
      <c r="D18"/>
    </row>
  </sheetData>
  <mergeCells count="2">
    <mergeCell ref="C1:D1"/>
    <mergeCell ref="E1:F1"/>
  </mergeCells>
  <hyperlinks>
    <hyperlink ref="B1" location="Instructions!A1" display="Instructions" xr:uid="{617161A4-53D2-4B22-BF3C-020FAFED80A7}"/>
    <hyperlink ref="C1:D1" location="'Customer Tracking'!A1" display="Customer Tracking" xr:uid="{208C83B6-6562-42D8-91D3-BC952BA3CCD1}"/>
    <hyperlink ref="E1:F1" location="'Activity Log'!A1" display="'Activity Log'!A1" xr:uid="{749C97D9-E338-4CD4-AF3B-5E8F37963514}"/>
    <hyperlink ref="G1" location="Info!A1" display="Info" xr:uid="{13371A59-B094-42E5-95E9-1752D98CCE3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F3A58-1D45-4D1E-85EB-F0D509705AC0}">
  <sheetPr codeName="Sheet4"/>
  <dimension ref="B1:M10"/>
  <sheetViews>
    <sheetView showGridLines="0" tabSelected="1" workbookViewId="0">
      <pane ySplit="3" topLeftCell="A4" activePane="bottomLeft" state="frozen"/>
      <selection pane="bottomLeft" activeCell="F13" sqref="F13"/>
    </sheetView>
  </sheetViews>
  <sheetFormatPr defaultColWidth="9" defaultRowHeight="12.75" x14ac:dyDescent="0.2"/>
  <cols>
    <col min="1" max="1" width="3.5703125" style="1" customWidth="1"/>
    <col min="2" max="2" width="17.7109375" style="2" customWidth="1"/>
    <col min="3" max="4" width="20.5703125" style="1" customWidth="1"/>
    <col min="5" max="5" width="16.85546875" style="1" customWidth="1"/>
    <col min="6" max="7" width="20.5703125" style="1" customWidth="1"/>
    <col min="8" max="8" width="17.7109375" style="1" customWidth="1"/>
    <col min="9" max="10" width="20.5703125" style="1" customWidth="1"/>
    <col min="11" max="12" width="15.85546875" style="1" customWidth="1"/>
    <col min="13" max="13" width="14" style="1" customWidth="1"/>
    <col min="14" max="16384" width="9" style="1"/>
  </cols>
  <sheetData>
    <row r="1" spans="2:13" s="40" customFormat="1" ht="15" x14ac:dyDescent="0.25">
      <c r="B1" s="41" t="s">
        <v>81</v>
      </c>
      <c r="C1" s="50" t="s">
        <v>77</v>
      </c>
      <c r="D1" s="50"/>
      <c r="E1" s="49" t="s">
        <v>78</v>
      </c>
      <c r="F1" s="50"/>
      <c r="G1" s="41" t="s">
        <v>80</v>
      </c>
      <c r="H1" s="43"/>
      <c r="J1" s="41"/>
      <c r="K1" s="41"/>
    </row>
    <row r="2" spans="2:13" x14ac:dyDescent="0.2">
      <c r="B2" s="4"/>
    </row>
    <row r="3" spans="2:13" s="3" customFormat="1" ht="19.149999999999999" customHeight="1" x14ac:dyDescent="0.25">
      <c r="B3" s="8" t="s">
        <v>29</v>
      </c>
      <c r="C3" s="9" t="s">
        <v>0</v>
      </c>
      <c r="D3" s="9" t="s">
        <v>28</v>
      </c>
      <c r="E3" s="9" t="s">
        <v>41</v>
      </c>
      <c r="F3" s="9" t="s">
        <v>13</v>
      </c>
      <c r="G3" s="9" t="s">
        <v>30</v>
      </c>
      <c r="H3" s="9" t="s">
        <v>37</v>
      </c>
      <c r="I3" s="9" t="s">
        <v>1</v>
      </c>
      <c r="J3" s="9" t="s">
        <v>23</v>
      </c>
      <c r="K3" s="9" t="s">
        <v>31</v>
      </c>
      <c r="L3" s="9" t="s">
        <v>33</v>
      </c>
      <c r="M3" s="9" t="s">
        <v>27</v>
      </c>
    </row>
    <row r="4" spans="2:13" x14ac:dyDescent="0.2">
      <c r="B4" s="11">
        <v>44075</v>
      </c>
      <c r="C4" s="1" t="s">
        <v>10</v>
      </c>
      <c r="D4" s="1" t="s">
        <v>34</v>
      </c>
      <c r="E4" s="7" t="s">
        <v>40</v>
      </c>
      <c r="F4" s="1" t="s">
        <v>15</v>
      </c>
      <c r="G4" s="1" t="s">
        <v>19</v>
      </c>
      <c r="H4" s="11">
        <v>44084</v>
      </c>
      <c r="I4" s="12" t="s">
        <v>4</v>
      </c>
      <c r="J4" s="1" t="s">
        <v>25</v>
      </c>
      <c r="K4" s="13">
        <v>2</v>
      </c>
      <c r="L4" s="14">
        <v>100</v>
      </c>
      <c r="M4" s="22">
        <v>200</v>
      </c>
    </row>
    <row r="5" spans="2:13" x14ac:dyDescent="0.2">
      <c r="B5" s="11">
        <v>44075</v>
      </c>
      <c r="C5" s="1" t="s">
        <v>12</v>
      </c>
      <c r="D5" s="1" t="s">
        <v>32</v>
      </c>
      <c r="E5" s="7" t="s">
        <v>39</v>
      </c>
      <c r="F5" s="1" t="s">
        <v>16</v>
      </c>
      <c r="G5" s="1" t="s">
        <v>21</v>
      </c>
      <c r="H5" s="11">
        <v>44136</v>
      </c>
      <c r="I5" s="12" t="s">
        <v>3</v>
      </c>
      <c r="J5" s="1" t="s">
        <v>24</v>
      </c>
      <c r="K5" s="13">
        <v>1</v>
      </c>
      <c r="L5" s="14">
        <v>500</v>
      </c>
      <c r="M5" s="22">
        <v>500</v>
      </c>
    </row>
    <row r="6" spans="2:13" x14ac:dyDescent="0.2">
      <c r="B6" s="11">
        <v>44076</v>
      </c>
      <c r="C6" s="1" t="s">
        <v>10</v>
      </c>
      <c r="D6" s="1" t="s">
        <v>35</v>
      </c>
      <c r="E6" s="7" t="s">
        <v>39</v>
      </c>
      <c r="F6" s="1" t="s">
        <v>14</v>
      </c>
      <c r="G6" s="1" t="s">
        <v>18</v>
      </c>
      <c r="H6" s="11">
        <v>44104</v>
      </c>
      <c r="I6" s="12" t="s">
        <v>3</v>
      </c>
      <c r="J6" s="1" t="s">
        <v>26</v>
      </c>
      <c r="K6" s="13">
        <v>1</v>
      </c>
      <c r="L6" s="14">
        <v>90</v>
      </c>
      <c r="M6" s="22"/>
    </row>
    <row r="7" spans="2:13" x14ac:dyDescent="0.2">
      <c r="B7" s="11">
        <v>44084</v>
      </c>
      <c r="C7" s="1" t="s">
        <v>11</v>
      </c>
      <c r="D7" s="1" t="s">
        <v>36</v>
      </c>
      <c r="E7" s="7" t="s">
        <v>40</v>
      </c>
      <c r="F7" s="1" t="s">
        <v>15</v>
      </c>
      <c r="G7" s="1" t="s">
        <v>20</v>
      </c>
      <c r="H7" s="11">
        <v>44114</v>
      </c>
      <c r="I7" s="12" t="s">
        <v>7</v>
      </c>
      <c r="J7" s="1" t="s">
        <v>25</v>
      </c>
      <c r="K7" s="13"/>
      <c r="L7" s="14"/>
      <c r="M7" s="22"/>
    </row>
    <row r="8" spans="2:13" x14ac:dyDescent="0.2">
      <c r="B8" s="11">
        <v>44104</v>
      </c>
      <c r="C8" s="1" t="s">
        <v>10</v>
      </c>
      <c r="D8" s="1" t="s">
        <v>32</v>
      </c>
      <c r="E8" s="7" t="s">
        <v>39</v>
      </c>
      <c r="F8" s="1" t="s">
        <v>15</v>
      </c>
      <c r="G8" s="1" t="s">
        <v>22</v>
      </c>
      <c r="H8" s="11"/>
      <c r="I8" s="12" t="s">
        <v>5</v>
      </c>
      <c r="J8" s="1" t="s">
        <v>26</v>
      </c>
      <c r="K8" s="13">
        <v>7</v>
      </c>
      <c r="L8" s="14">
        <v>45</v>
      </c>
      <c r="M8" s="22"/>
    </row>
    <row r="9" spans="2:13" x14ac:dyDescent="0.2">
      <c r="B9" s="11">
        <v>44103</v>
      </c>
      <c r="C9" s="1" t="s">
        <v>10</v>
      </c>
      <c r="D9" s="1" t="s">
        <v>45</v>
      </c>
      <c r="E9" s="7" t="s">
        <v>39</v>
      </c>
      <c r="F9" s="1" t="s">
        <v>16</v>
      </c>
      <c r="G9" s="1" t="s">
        <v>21</v>
      </c>
      <c r="H9" s="11">
        <v>44107</v>
      </c>
      <c r="I9" s="12" t="s">
        <v>3</v>
      </c>
      <c r="J9" s="1" t="s">
        <v>26</v>
      </c>
      <c r="K9" s="13">
        <v>1</v>
      </c>
      <c r="L9" s="14">
        <v>50</v>
      </c>
      <c r="M9" s="22"/>
    </row>
    <row r="10" spans="2:13" x14ac:dyDescent="0.2">
      <c r="B10" s="11">
        <v>44103</v>
      </c>
      <c r="C10" s="1" t="s">
        <v>10</v>
      </c>
      <c r="D10" s="1" t="s">
        <v>46</v>
      </c>
      <c r="E10" s="7" t="s">
        <v>39</v>
      </c>
      <c r="F10" s="1" t="s">
        <v>16</v>
      </c>
      <c r="G10" s="1" t="s">
        <v>19</v>
      </c>
      <c r="H10" s="11"/>
      <c r="I10" s="12" t="s">
        <v>7</v>
      </c>
      <c r="J10" s="1" t="s">
        <v>24</v>
      </c>
      <c r="K10" s="13"/>
      <c r="L10" s="14"/>
      <c r="M10" s="22"/>
    </row>
  </sheetData>
  <mergeCells count="2">
    <mergeCell ref="C1:D1"/>
    <mergeCell ref="E1:F1"/>
  </mergeCells>
  <conditionalFormatting sqref="B5:M1048576">
    <cfRule type="expression" dxfId="18" priority="1">
      <formula>$B4&lt;&gt;""</formula>
    </cfRule>
  </conditionalFormatting>
  <conditionalFormatting sqref="B4:M10">
    <cfRule type="expression" dxfId="17" priority="3">
      <formula>#REF!&lt;&gt;""</formula>
    </cfRule>
  </conditionalFormatting>
  <dataValidations count="6">
    <dataValidation type="list" allowBlank="1" showInputMessage="1" showErrorMessage="1" errorTitle="Invalid Entry" error="Please select a name from the dropdown menu" sqref="C4:C10" xr:uid="{6D023399-9EE7-4C49-8EC3-7D19650A1CE5}">
      <formula1>SalesPerson</formula1>
    </dataValidation>
    <dataValidation type="list" allowBlank="1" showInputMessage="1" showErrorMessage="1" errorTitle="Invalid Entry" error="Please select a name from the dropdown menu" sqref="F4:F10" xr:uid="{B8A92365-43F1-4D27-A74D-209DF7E7D383}">
      <formula1>ProspectCategory</formula1>
    </dataValidation>
    <dataValidation type="list" allowBlank="1" showInputMessage="1" showErrorMessage="1" errorTitle="Invalid Entry" error="Please select a name from the dropdown menu" sqref="G4:G10" xr:uid="{06AA911D-DB9D-40B5-9D96-CD0BCF655BBA}">
      <formula1>Activity</formula1>
    </dataValidation>
    <dataValidation type="list" allowBlank="1" showInputMessage="1" showErrorMessage="1" sqref="I4:I10" xr:uid="{366E1B16-A127-4B11-8E71-83D1BF7272B7}">
      <formula1>Status</formula1>
    </dataValidation>
    <dataValidation type="list" allowBlank="1" showInputMessage="1" showErrorMessage="1" sqref="J4:J10" xr:uid="{897B534A-1341-40F7-BA67-FD2B0BE14AED}">
      <formula1>Product</formula1>
    </dataValidation>
    <dataValidation type="list" allowBlank="1" showInputMessage="1" showErrorMessage="1" sqref="E4:E10" xr:uid="{854AA1CC-F17B-4E62-A38C-555893EB7999}">
      <formula1>"Yes,No"</formula1>
    </dataValidation>
  </dataValidations>
  <hyperlinks>
    <hyperlink ref="B1" location="Instructions!A1" display="Instructions" xr:uid="{558C1104-6432-4402-8099-5609A35CA85B}"/>
    <hyperlink ref="E1:F1" location="'Sales Personnel Tracking'!A1" display="Customer Tracking'!A1" xr:uid="{0645CFAD-864D-46AA-ACB4-3DF95467F504}"/>
    <hyperlink ref="C1:D1" location="'Customer Tracking'!A1" display="Customer Tracking" xr:uid="{A2E46147-5ABD-4B1B-BF22-4421C3B87C51}"/>
    <hyperlink ref="G1" location="Info!A1" display="Info" xr:uid="{6697F9D0-034D-4664-A834-C7F025BBA413}"/>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FFA9A-81EE-4E31-9025-0325BEF67776}">
  <sheetPr codeName="Sheet5"/>
  <dimension ref="B1:K9"/>
  <sheetViews>
    <sheetView showGridLines="0" workbookViewId="0">
      <selection activeCell="D17" sqref="D17"/>
    </sheetView>
  </sheetViews>
  <sheetFormatPr defaultColWidth="9" defaultRowHeight="12.75" x14ac:dyDescent="0.2"/>
  <cols>
    <col min="1" max="1" width="3.5703125" style="1" customWidth="1"/>
    <col min="2" max="2" width="20.5703125" style="1" customWidth="1"/>
    <col min="3" max="3" width="3.5703125" style="1" customWidth="1"/>
    <col min="4" max="4" width="20.5703125" style="1" customWidth="1"/>
    <col min="5" max="5" width="3.5703125" style="1" customWidth="1"/>
    <col min="6" max="6" width="20.5703125" style="1" customWidth="1"/>
    <col min="7" max="7" width="3.5703125" style="1" customWidth="1"/>
    <col min="8" max="8" width="20.5703125" style="1" customWidth="1"/>
    <col min="9" max="9" width="3.5703125" style="1" customWidth="1"/>
    <col min="10" max="10" width="20.5703125" style="1" customWidth="1"/>
    <col min="11" max="11" width="3.5703125" style="1" customWidth="1"/>
    <col min="12" max="16384" width="9" style="1"/>
  </cols>
  <sheetData>
    <row r="1" spans="2:11" s="44" customFormat="1" ht="15" x14ac:dyDescent="0.25">
      <c r="B1" s="41" t="s">
        <v>81</v>
      </c>
      <c r="D1" s="41" t="s">
        <v>77</v>
      </c>
      <c r="F1" s="42" t="s">
        <v>78</v>
      </c>
      <c r="H1" s="42" t="s">
        <v>79</v>
      </c>
      <c r="I1" s="41"/>
      <c r="J1" s="41"/>
      <c r="K1" s="41"/>
    </row>
    <row r="3" spans="2:11" s="6" customFormat="1" ht="19.149999999999999" customHeight="1" x14ac:dyDescent="0.25">
      <c r="B3" s="10" t="s">
        <v>0</v>
      </c>
      <c r="D3" s="10" t="s">
        <v>13</v>
      </c>
      <c r="F3" s="10" t="s">
        <v>2</v>
      </c>
      <c r="H3" s="10" t="s">
        <v>17</v>
      </c>
      <c r="J3" s="10" t="s">
        <v>23</v>
      </c>
    </row>
    <row r="4" spans="2:11" x14ac:dyDescent="0.2">
      <c r="B4" s="1" t="s">
        <v>9</v>
      </c>
      <c r="D4" s="1" t="s">
        <v>14</v>
      </c>
      <c r="F4" s="1" t="s">
        <v>3</v>
      </c>
      <c r="H4" s="1" t="s">
        <v>18</v>
      </c>
      <c r="J4" s="1" t="s">
        <v>24</v>
      </c>
    </row>
    <row r="5" spans="2:11" x14ac:dyDescent="0.2">
      <c r="B5" s="1" t="s">
        <v>10</v>
      </c>
      <c r="D5" s="1" t="s">
        <v>15</v>
      </c>
      <c r="F5" s="1" t="s">
        <v>4</v>
      </c>
      <c r="H5" s="1" t="s">
        <v>19</v>
      </c>
      <c r="J5" s="1" t="s">
        <v>25</v>
      </c>
    </row>
    <row r="6" spans="2:11" x14ac:dyDescent="0.2">
      <c r="B6" s="1" t="s">
        <v>11</v>
      </c>
      <c r="D6" s="1" t="s">
        <v>16</v>
      </c>
      <c r="F6" s="1" t="s">
        <v>5</v>
      </c>
      <c r="H6" s="1" t="s">
        <v>20</v>
      </c>
      <c r="J6" s="1" t="s">
        <v>26</v>
      </c>
    </row>
    <row r="7" spans="2:11" x14ac:dyDescent="0.2">
      <c r="B7" s="1" t="s">
        <v>12</v>
      </c>
      <c r="F7" s="1" t="s">
        <v>6</v>
      </c>
      <c r="H7" s="1" t="s">
        <v>22</v>
      </c>
      <c r="J7" s="1" t="s">
        <v>27</v>
      </c>
    </row>
    <row r="8" spans="2:11" x14ac:dyDescent="0.2">
      <c r="B8" s="5"/>
      <c r="F8" s="1" t="s">
        <v>7</v>
      </c>
      <c r="H8" s="1" t="s">
        <v>21</v>
      </c>
    </row>
    <row r="9" spans="2:11" x14ac:dyDescent="0.2">
      <c r="F9" s="1" t="s">
        <v>8</v>
      </c>
    </row>
  </sheetData>
  <conditionalFormatting sqref="B4:J101">
    <cfRule type="expression" dxfId="0" priority="1">
      <formula>B3&lt;&gt;""</formula>
    </cfRule>
  </conditionalFormatting>
  <hyperlinks>
    <hyperlink ref="B1" location="Instructions!A1" display="Instructions" xr:uid="{6EC1B52D-DC81-4FBF-9CBA-86C275F9F80C}"/>
    <hyperlink ref="F1" location="'Sales Personnel Tracking'!A1" display="Customer Tracking'!A1" xr:uid="{A3185E00-63FD-4D89-9D36-DF1D65C9FE0A}"/>
    <hyperlink ref="D1" location="'Customer Tracking'!A1" display="Customer Tracking" xr:uid="{BF389310-E443-461E-A9DD-41F67F8FE4AA}"/>
    <hyperlink ref="H1" location="'Activity Log'!A1" display="'Activity Log'!A1" xr:uid="{05D0CB29-6638-4989-8934-9067C509AF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Customer Tracking</vt:lpstr>
      <vt:lpstr>Sales Personnel Tracking</vt:lpstr>
      <vt:lpstr>Activity Log</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dc:creator>
  <cp:lastModifiedBy>jf</cp:lastModifiedBy>
  <cp:lastPrinted>2020-10-01T18:26:46Z</cp:lastPrinted>
  <dcterms:created xsi:type="dcterms:W3CDTF">2020-09-28T17:34:11Z</dcterms:created>
  <dcterms:modified xsi:type="dcterms:W3CDTF">2021-05-03T09:59:16Z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985a17bd-d56f-46fd-98bc-8fe3f3e1205d</vt:lpwstr>
  </property>
</Properties>
</file>