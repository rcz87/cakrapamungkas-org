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nila/Documents/Operasional Kantor/Marketing/"/>
    </mc:Choice>
  </mc:AlternateContent>
  <xr:revisionPtr revIDLastSave="0" documentId="13_ncr:1_{ECA2AA34-B8D2-1D4F-B675-A20F68694F0D}" xr6:coauthVersionLast="47" xr6:coauthVersionMax="47" xr10:uidLastSave="{00000000-0000-0000-0000-000000000000}"/>
  <bookViews>
    <workbookView xWindow="0" yWindow="500" windowWidth="28040" windowHeight="16440" xr2:uid="{00000000-000D-0000-FFFF-FFFF00000000}"/>
  </bookViews>
  <sheets>
    <sheet name="CRM" sheetId="1" r:id="rId1"/>
    <sheet name="ContactLog" sheetId="2" r:id="rId2"/>
    <sheet name="SalesLog" sheetId="3" r:id="rId3"/>
    <sheet name="ContactDetails" sheetId="4" r:id="rId4"/>
    <sheet name="Team" sheetId="5" r:id="rId5"/>
    <sheet name="Pengaturan" sheetId="6" r:id="rId6"/>
    <sheet name="Bantuan" sheetId="7" r:id="rId7"/>
  </sheets>
  <definedNames>
    <definedName name="_xlnm._FilterDatabase" localSheetId="3" hidden="1">ContactDetails!$A$4:$K$28</definedName>
    <definedName name="_xlnm._FilterDatabase" localSheetId="1" hidden="1">ContactLog!$A$4:$F$29</definedName>
    <definedName name="_xlnm._FilterDatabase" localSheetId="0" hidden="1">CRM!$A$4:$M$21</definedName>
    <definedName name="_xlnm._FilterDatabase" localSheetId="2" hidden="1">SalesLog!$A$4:$G$28</definedName>
    <definedName name="_xlnm._FilterDatabase" localSheetId="4" hidden="1">Team!$A$5:$F$23</definedName>
    <definedName name="Customers">ContactDetails!$A$5:$A$28</definedName>
    <definedName name="lead_source">Pengaturan!$C$2:$C$16</definedName>
    <definedName name="lead_status">Pengaturan!$A$2:$A$16</definedName>
    <definedName name="_xlnm.Print_Area" localSheetId="3">ContactDetails!$A$1:$K$28</definedName>
    <definedName name="_xlnm.Print_Area" localSheetId="1">ContactLog!$A$1:$F$28</definedName>
    <definedName name="_xlnm.Print_Area" localSheetId="0">CRM!$A$1:$M$20</definedName>
    <definedName name="_xlnm.Print_Area" localSheetId="2">SalesLog!$A$1:$G$28</definedName>
    <definedName name="_xlnm.Print_Area" localSheetId="4">Team!$A$1:$F$22</definedName>
    <definedName name="_xlnm.Print_Titles" localSheetId="3">ContactDetails!$A$1:$IT$4</definedName>
    <definedName name="_xlnm.Print_Titles" localSheetId="1">ContactLog!$A$1:$IW$4</definedName>
    <definedName name="_xlnm.Print_Titles" localSheetId="0">CRM!$A$1:$IV$4</definedName>
    <definedName name="_xlnm.Print_Titles" localSheetId="2">SalesLog!$A$1:$IV$4</definedName>
    <definedName name="_xlnm.Print_Titles" localSheetId="4">Team!$A$1:$IW$5</definedName>
    <definedName name="team_names">Team!$A$6:$A$22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2" roundtripDataSignature="AMtx7mjCiUhH1gl9gs8PipYy+TkIwxKIsw=="/>
    </ext>
  </extLst>
</workbook>
</file>

<file path=xl/calcChain.xml><?xml version="1.0" encoding="utf-8"?>
<calcChain xmlns="http://schemas.openxmlformats.org/spreadsheetml/2006/main">
  <c r="E8" i="5" l="1"/>
  <c r="D8" i="5"/>
  <c r="E7" i="5"/>
  <c r="D7" i="5"/>
  <c r="E6" i="5"/>
  <c r="D6" i="5"/>
  <c r="D27" i="1"/>
  <c r="A27" i="1"/>
  <c r="E19" i="1"/>
  <c r="D19" i="1"/>
  <c r="C19" i="1"/>
  <c r="B19" i="1"/>
  <c r="E18" i="1"/>
  <c r="D18" i="1"/>
  <c r="C18" i="1"/>
  <c r="B18" i="1"/>
  <c r="E17" i="1"/>
  <c r="D17" i="1"/>
  <c r="C17" i="1"/>
  <c r="B17" i="1"/>
  <c r="E16" i="1"/>
  <c r="D16" i="1"/>
  <c r="C16" i="1"/>
  <c r="B16" i="1"/>
  <c r="E15" i="1"/>
  <c r="D15" i="1"/>
  <c r="C15" i="1"/>
  <c r="B15" i="1"/>
  <c r="E14" i="1"/>
  <c r="D14" i="1"/>
  <c r="C14" i="1"/>
  <c r="B14" i="1"/>
  <c r="E13" i="1"/>
  <c r="D13" i="1"/>
  <c r="C13" i="1"/>
  <c r="B13" i="1"/>
  <c r="E12" i="1"/>
  <c r="D12" i="1"/>
  <c r="C12" i="1"/>
  <c r="B12" i="1"/>
  <c r="E11" i="1"/>
  <c r="D11" i="1"/>
  <c r="C11" i="1"/>
  <c r="B11" i="1"/>
  <c r="E10" i="1"/>
  <c r="D10" i="1"/>
  <c r="C10" i="1"/>
  <c r="B10" i="1"/>
  <c r="E9" i="1"/>
  <c r="D9" i="1"/>
  <c r="C9" i="1"/>
  <c r="B9" i="1"/>
  <c r="E8" i="1"/>
  <c r="D8" i="1"/>
  <c r="C8" i="1"/>
  <c r="B8" i="1"/>
  <c r="E7" i="1"/>
  <c r="D7" i="1"/>
  <c r="C7" i="1"/>
  <c r="B7" i="1"/>
  <c r="E6" i="1"/>
  <c r="D6" i="1"/>
  <c r="C6" i="1"/>
  <c r="B6" i="1"/>
  <c r="E5" i="1"/>
  <c r="D5" i="1"/>
  <c r="C5" i="1"/>
  <c r="B5" i="1"/>
</calcChain>
</file>

<file path=xl/sharedStrings.xml><?xml version="1.0" encoding="utf-8"?>
<sst xmlns="http://schemas.openxmlformats.org/spreadsheetml/2006/main" count="184" uniqueCount="134">
  <si>
    <t>CRM TEMPLATE</t>
  </si>
  <si>
    <t>[Nama Perusahaan atau Nama Tim]</t>
  </si>
  <si>
    <t>Nama</t>
  </si>
  <si>
    <t>Perusahaan</t>
  </si>
  <si>
    <t>Jabatan</t>
  </si>
  <si>
    <t>Telepon</t>
  </si>
  <si>
    <t>Email</t>
  </si>
  <si>
    <t>Estimasi Penjualan</t>
  </si>
  <si>
    <t>Kontak
Terakhir</t>
  </si>
  <si>
    <t>Langkah
Selanjutnya</t>
  </si>
  <si>
    <t>Kontak
Selanjutnya</t>
  </si>
  <si>
    <t>Status
Lead</t>
  </si>
  <si>
    <t>Sumber
Lead</t>
  </si>
  <si>
    <t>Pemilik</t>
  </si>
  <si>
    <t>Catatan</t>
  </si>
  <si>
    <t>Jameson, Bill</t>
  </si>
  <si>
    <t>❄ Cold</t>
  </si>
  <si>
    <t>Referral</t>
  </si>
  <si>
    <t>Sam</t>
  </si>
  <si>
    <t>Anderson, Jane</t>
  </si>
  <si>
    <t>♨ Warm</t>
  </si>
  <si>
    <t>Website</t>
  </si>
  <si>
    <t>Tim</t>
  </si>
  <si>
    <t>Smithers, Joe</t>
  </si>
  <si>
    <t>🔥 Hot</t>
  </si>
  <si>
    <t>Sally</t>
  </si>
  <si>
    <t>Loves chocolate</t>
  </si>
  <si>
    <t>Sisipkan baris baru di atas garis abu-abu</t>
  </si>
  <si>
    <t>[42]</t>
  </si>
  <si>
    <t>Jangan ragu untuk menyembunyikan baris ini jika Anda tidak ingin menyesuaikan pemformatan bersyarat di tabel CRM</t>
  </si>
  <si>
    <t>Hari Sejak Kontak Terakhir (&lt;=)</t>
  </si>
  <si>
    <t>Hari Hingga Tindakan Selanjutnya (&gt;=)</t>
  </si>
  <si>
    <t>CONTACT LOG</t>
  </si>
  <si>
    <t>Tanggal Kontak</t>
  </si>
  <si>
    <t>Pelanggan</t>
  </si>
  <si>
    <t>Tujuan</t>
  </si>
  <si>
    <t>Metode</t>
  </si>
  <si>
    <t>Anggota Tim</t>
  </si>
  <si>
    <t>Phone</t>
  </si>
  <si>
    <t>Ini adalah contoh catatan yang membungkus baris kedua. Untuk catatan yang sangat panjang, Anda dapat menggunakan komentar sel.</t>
  </si>
  <si>
    <t>SALES LOG</t>
  </si>
  <si>
    <t>← Sisipkan Kolom Salinan ke Kiri</t>
  </si>
  <si>
    <t>Tanggal Penjualan</t>
  </si>
  <si>
    <t>Jumlah</t>
  </si>
  <si>
    <t>Item / Product / Service</t>
  </si>
  <si>
    <t>Invoice #</t>
  </si>
  <si>
    <t>Product ABC</t>
  </si>
  <si>
    <t>Installation</t>
  </si>
  <si>
    <t>CONTACT DETAILS</t>
  </si>
  <si>
    <t>Fungsi Kerja</t>
  </si>
  <si>
    <t>Telepon Kantor</t>
  </si>
  <si>
    <t>Email Kerja</t>
  </si>
  <si>
    <t>Telepon seluler</t>
  </si>
  <si>
    <t>Email Pribadi</t>
  </si>
  <si>
    <t>Alamat</t>
  </si>
  <si>
    <t>Kota</t>
  </si>
  <si>
    <t>Zip</t>
  </si>
  <si>
    <t>XYZ Plumbing</t>
  </si>
  <si>
    <t>Owner</t>
  </si>
  <si>
    <t>444-555-6666</t>
  </si>
  <si>
    <t>xyz@plumber.com</t>
  </si>
  <si>
    <t>111-111-1111</t>
  </si>
  <si>
    <t>bjames@email.com</t>
  </si>
  <si>
    <t>321 Somewhere Dr.</t>
  </si>
  <si>
    <t>Kotan</t>
  </si>
  <si>
    <t>Suka coklat</t>
  </si>
  <si>
    <t>ABC Corp</t>
  </si>
  <si>
    <t>Sales Manager</t>
  </si>
  <si>
    <t>222-656-7890</t>
  </si>
  <si>
    <t>busl@abccorp.com</t>
  </si>
  <si>
    <t>ACME</t>
  </si>
  <si>
    <t>Business Dev.</t>
  </si>
  <si>
    <t>111-234-5678</t>
  </si>
  <si>
    <t>acme@acme.com</t>
  </si>
  <si>
    <t>TEAM MEMBERS</t>
  </si>
  <si>
    <t>Hasil</t>
  </si>
  <si>
    <t>Pemimpin Tim: [Nama]</t>
  </si>
  <si>
    <t>Dari:</t>
  </si>
  <si>
    <t>Ke:</t>
  </si>
  <si>
    <t>Nama Pencarian</t>
  </si>
  <si>
    <t>Nama lengkap</t>
  </si>
  <si>
    <t>Role</t>
  </si>
  <si>
    <t>Penjualan Total</t>
  </si>
  <si>
    <t>Kontak</t>
  </si>
  <si>
    <t>Salesman, Sam</t>
  </si>
  <si>
    <t>Sales</t>
  </si>
  <si>
    <t>Leader, Sally</t>
  </si>
  <si>
    <t>Team Lead</t>
  </si>
  <si>
    <t>Tech, Tim</t>
  </si>
  <si>
    <t>Support</t>
  </si>
  <si>
    <t>Catatan: Kolom Nama Pencarian digunakan untuk daftar turun bawah di lembar kerja CRM, SalesLog, dan ContactLog.</t>
  </si>
  <si>
    <t>Status Lead</t>
  </si>
  <si>
    <t>Sumber Lead</t>
  </si>
  <si>
    <t>Active</t>
  </si>
  <si>
    <t>Won</t>
  </si>
  <si>
    <t>Facebook</t>
  </si>
  <si>
    <t>Loss</t>
  </si>
  <si>
    <t>LinkedIn</t>
  </si>
  <si>
    <t>Ubah sesuai kebutuhan</t>
  </si>
  <si>
    <t>Newsletter</t>
  </si>
  <si>
    <t>Social</t>
  </si>
  <si>
    <t>Bantuan</t>
  </si>
  <si>
    <t>Tentang Template Ini:</t>
  </si>
  <si>
    <t>Fitur penting dari setiap sistem CRM adalah melacak komunikasi dengan pelanggan, merencanakan kontak tindak lanjut, memperbarui status prospek, menjadwalkan komunikasi di masa mendatang dengan pelanggan, dan melacak penjualan. Templat ini memberikan titik awal dan mudah disesuaikan. Ini mencakup beberapa lembar kerja opsional yang dapat Anda gunakan untuk menyimpan catatan yang lebih mendetail tentang aspek CRM ini.</t>
  </si>
  <si>
    <t>Google Sheets adalah alat kolaborasi tim yang hebat. Versi template CRM ini telah diperbarui untuk menyertakan lembar kerja Tim, tempat Anda dapat mencantumkan nama anggota tim Anda. Lembar kerja ContactLog dan SalesLog menyertakan kolom "Anggota Tim". Lembar kerja Tim menjumlahkan penjualan dari SalesLog untuk setiap anggota tim. Itu juga menghitung jumlah kontak dari Log Kontak.</t>
  </si>
  <si>
    <t>CRM Sheet</t>
  </si>
  <si>
    <t>Instruksi</t>
  </si>
  <si>
    <t>1)</t>
  </si>
  <si>
    <t>Masukkan Nama, Perusahaan, Fungsi Kerja, Telepon dan Email untuk pelanggan Anda</t>
  </si>
  <si>
    <t>2)</t>
  </si>
  <si>
    <t>Masukkan Sumber Utama untuk membantu Anda mengevaluasi keefektifan pemasaran Anda</t>
  </si>
  <si>
    <t>3)</t>
  </si>
  <si>
    <t>Masukkan jumlah Estimasi Penjualan untuk membantu Anda mengevaluasi pentingnya penjualan</t>
  </si>
  <si>
    <t>4)</t>
  </si>
  <si>
    <t>Saat kontak dibuat, masukkan tanggal di bidang Kontak Terakhir dan masukkan catatan menggunakan komentar sel atau lembar kerja Log Kontak opsional</t>
  </si>
  <si>
    <t>5)</t>
  </si>
  <si>
    <t>Rencanakan kontak berikutnya dengan mencantumkan Tindakan Selanjutnya dan perbarui tanggal Kontak Berikutnya</t>
  </si>
  <si>
    <t>6)</t>
  </si>
  <si>
    <t>Perbarui Status Prospek saat pelanggan kemungkinan besar akan menerima tawaran Anda</t>
  </si>
  <si>
    <t>Tips</t>
  </si>
  <si>
    <t>Gunakan lembar kerja Pengaturan untuk mengedit apa yang muncul di daftar drop-down prospek dan sumber</t>
  </si>
  <si>
    <t>Anda dapat menggunakan catatan sel untuk menyimpan blok teks yang besar</t>
  </si>
  <si>
    <t>Pemformatan bersyarat digunakan untuk menyorot Kontak Terakhir dan Kontak Berikutnya hijau/kuning/merah tergantung pada nilai di bagian bawah lembar kerja</t>
  </si>
  <si>
    <t>Jika menggunakan lembar kerja ContactDetails opsional, Anda dapat membuat rumus VLOOKUP atau INDEX(MATCH()) yang akan menarik alamat Perusahaan, Fungsi Kerja, Telepon, dan Email dari lembar kerja Detail Kontak.</t>
  </si>
  <si>
    <t>Lainnya (Opsional)</t>
  </si>
  <si>
    <r>
      <rPr>
        <b/>
        <sz val="11"/>
        <color theme="1"/>
        <rFont val="Arial"/>
        <family val="2"/>
      </rPr>
      <t>ContactLog:</t>
    </r>
    <r>
      <rPr>
        <sz val="11"/>
        <color theme="1"/>
        <rFont val="Arial"/>
        <family val="2"/>
      </rPr>
      <t xml:space="preserve"> Memberikan contoh tentang apa yang mungkin Anda gunakan untuk log kontak yang lebih mendetail. Anda dapat menyertakan catatan penting sebagai komentar sel di lembar kerja CRM utama jika tidak perlu menyimpan log mendetail ini.</t>
    </r>
  </si>
  <si>
    <r>
      <rPr>
        <b/>
        <sz val="11"/>
        <color theme="1"/>
        <rFont val="Arial"/>
        <family val="2"/>
      </rPr>
      <t xml:space="preserve">SalesLog: </t>
    </r>
    <r>
      <rPr>
        <sz val="11"/>
        <color theme="1"/>
        <rFont val="Arial"/>
        <family val="2"/>
      </rPr>
      <t>Dapat digunakan untuk menyimpan riwayat penjualan yang telah selesai.</t>
    </r>
  </si>
  <si>
    <t>Jika Anda ingin melacak total penjualan untuk pelanggan tertentu, Anda dapat menggunakan rumus SUMIF pada lembar SalesLog.</t>
  </si>
  <si>
    <r>
      <rPr>
        <b/>
        <sz val="11"/>
        <color theme="1"/>
        <rFont val="Arial"/>
        <family val="2"/>
      </rPr>
      <t>ContactDetails:</t>
    </r>
    <r>
      <rPr>
        <sz val="11"/>
        <color theme="1"/>
        <rFont val="Arial"/>
        <family val="2"/>
      </rPr>
      <t xml:space="preserve"> Memungkinkan Anda menyimpan informasi kontak yang lebih rinci tentang klien Anda.</t>
    </r>
  </si>
  <si>
    <t>Cara mencetak catatan CRM</t>
  </si>
  <si>
    <t>Pilih tab lembar kerja yang ingin Anda cetak</t>
  </si>
  <si>
    <t>Sembunyikan kolom yang tidak ingin Anda cetak</t>
  </si>
  <si>
    <t>Buka File &gt; Cetak</t>
  </si>
  <si>
    <t>Setel Tata Letak ke "Sesuai dengan Lebar" dan "Lanskap"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</si>
</sst>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numFmt numFmtId="165" formatCode="[$Rp-421]#,##0.00"/>
    <numFmt numFmtId="166" formatCode="_(&quot;$&quot;* #,##0_);_(&quot;$&quot;* \(#,##0\);_(&quot;$&quot;* &quot;-&quot;??_);_(@_)"/>
  </numFmts>
  <fonts count="36">
    <font>
      <sz val="10"/>
      <color rgb="FF000000"/>
      <name val="Arial"/>
      <scheme val="minor"/>
    </font>
    <font>
      <b/>
      <sz val="20"/>
      <color rgb="FFC4161C"/>
      <name val="Arial"/>
      <family val="2"/>
    </font>
    <font>
      <sz val="10"/>
      <color theme="1"/>
      <name val="Arial"/>
      <family val="2"/>
    </font>
    <font>
      <b/>
      <sz val="16"/>
      <color rgb="FF999999"/>
      <name val="Ropa Sans"/>
    </font>
    <font>
      <sz val="12"/>
      <color theme="1"/>
      <name val="Arial"/>
      <family val="2"/>
    </font>
    <font>
      <b/>
      <sz val="12"/>
      <color theme="1"/>
      <name val="Arial"/>
      <family val="2"/>
    </font>
    <font>
      <i/>
      <sz val="10"/>
      <color theme="1"/>
      <name val="Arial"/>
      <family val="2"/>
    </font>
    <font>
      <b/>
      <sz val="10"/>
      <color rgb="FFFFFFFF"/>
      <name val="Arial"/>
      <family val="2"/>
    </font>
    <font>
      <sz val="10"/>
      <color theme="1"/>
      <name val="Arial"/>
      <family val="2"/>
    </font>
    <font>
      <u/>
      <sz val="10"/>
      <color rgb="FF0000FF"/>
      <name val="Arial"/>
      <family val="2"/>
    </font>
    <font>
      <u/>
      <sz val="10"/>
      <color rgb="FF0000FF"/>
      <name val="Arial"/>
      <family val="2"/>
    </font>
    <font>
      <b/>
      <sz val="10"/>
      <color theme="1"/>
      <name val="Arial"/>
      <family val="2"/>
    </font>
    <font>
      <u/>
      <sz val="10"/>
      <color rgb="FF0000FF"/>
      <name val="Arial"/>
      <family val="2"/>
    </font>
    <font>
      <u/>
      <sz val="10"/>
      <color rgb="FF0000FF"/>
      <name val="Arial"/>
      <family val="2"/>
    </font>
    <font>
      <sz val="9"/>
      <color theme="1"/>
      <name val="Arial"/>
      <family val="2"/>
    </font>
    <font>
      <sz val="10"/>
      <color rgb="FFFFFFFF"/>
      <name val="Arial"/>
      <family val="2"/>
    </font>
    <font>
      <b/>
      <sz val="11"/>
      <color rgb="FFFFFFFF"/>
      <name val="Arial"/>
      <family val="2"/>
    </font>
    <font>
      <sz val="8"/>
      <color theme="1"/>
      <name val="Arial"/>
      <family val="2"/>
    </font>
    <font>
      <sz val="2"/>
      <color rgb="FFFFFFFF"/>
      <name val="Arial"/>
      <family val="2"/>
    </font>
    <font>
      <u/>
      <sz val="10"/>
      <color rgb="FF0000FF"/>
      <name val="Arial"/>
      <family val="2"/>
    </font>
    <font>
      <u/>
      <sz val="10"/>
      <color rgb="FF0000FF"/>
      <name val="Arial"/>
      <family val="2"/>
    </font>
    <font>
      <b/>
      <sz val="10"/>
      <color rgb="FF666666"/>
      <name val="Arial"/>
      <family val="2"/>
    </font>
    <font>
      <sz val="10"/>
      <color rgb="FF000000"/>
      <name val="Arial"/>
      <family val="2"/>
    </font>
    <font>
      <sz val="10"/>
      <name val="Arial"/>
      <family val="2"/>
    </font>
    <font>
      <b/>
      <sz val="18"/>
      <color rgb="FFFFFFFF"/>
      <name val="Arial"/>
      <family val="2"/>
    </font>
    <font>
      <sz val="10"/>
      <color rgb="FF000000"/>
      <name val="Arial"/>
      <family val="2"/>
    </font>
    <font>
      <sz val="9"/>
      <color theme="1"/>
      <name val="Inconsolata"/>
    </font>
    <font>
      <sz val="9"/>
      <color rgb="FF666666"/>
      <name val="Arial"/>
      <family val="2"/>
    </font>
    <font>
      <b/>
      <sz val="14"/>
      <color rgb="FFFFFFFF"/>
      <name val="Arial"/>
      <family val="2"/>
    </font>
    <font>
      <sz val="11"/>
      <color theme="1"/>
      <name val="Arial"/>
      <family val="2"/>
    </font>
    <font>
      <sz val="11"/>
      <color rgb="FFFFFFFF"/>
      <name val="Arial"/>
      <family val="2"/>
    </font>
    <font>
      <b/>
      <sz val="14"/>
      <color rgb="FF000000"/>
      <name val="Arial"/>
      <family val="2"/>
    </font>
    <font>
      <b/>
      <sz val="11"/>
      <color rgb="FF000000"/>
      <name val="Arial"/>
      <family val="2"/>
    </font>
    <font>
      <b/>
      <sz val="11"/>
      <color theme="1"/>
      <name val="Arial"/>
      <family val="2"/>
    </font>
    <font>
      <sz val="12"/>
      <color rgb="FF1155CC"/>
      <name val="Arial"/>
      <family val="2"/>
    </font>
    <font>
      <u/>
      <sz val="11"/>
      <color rgb="FF0000FF"/>
      <name val="Arial"/>
      <family val="2"/>
    </font>
  </fonts>
  <fills count="10">
    <fill>
      <patternFill patternType="none"/>
    </fill>
    <fill>
      <patternFill patternType="gray125"/>
    </fill>
    <fill>
      <patternFill patternType="solid">
        <fgColor rgb="FFC4161C"/>
        <bgColor rgb="FFC4161C"/>
      </patternFill>
    </fill>
    <fill>
      <patternFill patternType="solid">
        <fgColor rgb="FFFFFFFF"/>
        <bgColor rgb="FFFFFFFF"/>
      </patternFill>
    </fill>
    <fill>
      <patternFill patternType="solid">
        <fgColor rgb="FFF3F3F3"/>
        <bgColor rgb="FFF3F3F3"/>
      </patternFill>
    </fill>
    <fill>
      <patternFill patternType="solid">
        <fgColor rgb="FFB2B2B2"/>
        <bgColor rgb="FFB2B2B2"/>
      </patternFill>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CCCCCC"/>
        <bgColor rgb="FFCCCCCC"/>
      </patternFill>
    </fill>
  </fills>
  <borders count="6">
    <border>
      <left/>
      <right/>
      <top/>
      <bottom/>
      <diagonal/>
    </border>
    <border>
      <left style="thin">
        <color rgb="FF999999"/>
      </left>
      <right style="thin">
        <color rgb="FF999999"/>
      </right>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bottom/>
      <diagonal/>
    </border>
  </borders>
  <cellStyleXfs count="1">
    <xf numFmtId="0" fontId="0" fillId="0" borderId="0"/>
  </cellStyleXfs>
  <cellXfs count="106">
    <xf numFmtId="0" fontId="0" fillId="0" borderId="0" xfId="0" applyAlignment="1">
      <alignment wrapText="1"/>
    </xf>
    <xf numFmtId="0" fontId="1" fillId="0" borderId="0" xfId="0" applyFont="1" applyAlignment="1">
      <alignment horizontal="left"/>
    </xf>
    <xf numFmtId="0" fontId="2" fillId="0" borderId="0" xfId="0" applyFont="1"/>
    <xf numFmtId="0" fontId="3" fillId="0" borderId="0" xfId="0" applyFont="1" applyAlignment="1">
      <alignment horizontal="left" wrapText="1"/>
    </xf>
    <xf numFmtId="0" fontId="4" fillId="0" borderId="0" xfId="0" applyFont="1" applyAlignment="1">
      <alignment horizontal="left"/>
    </xf>
    <xf numFmtId="0" fontId="5" fillId="0" borderId="0" xfId="0" applyFont="1" applyAlignment="1">
      <alignment horizontal="left"/>
    </xf>
    <xf numFmtId="0" fontId="6" fillId="0" borderId="0" xfId="0" applyFont="1" applyAlignment="1">
      <alignment horizontal="right"/>
    </xf>
    <xf numFmtId="0" fontId="7" fillId="2" borderId="0" xfId="0" applyFont="1" applyFill="1" applyAlignment="1">
      <alignment horizontal="center" vertical="center" wrapText="1"/>
    </xf>
    <xf numFmtId="0" fontId="2" fillId="3" borderId="0" xfId="0" applyFont="1" applyFill="1" applyAlignment="1">
      <alignment vertical="center"/>
    </xf>
    <xf numFmtId="0" fontId="8" fillId="3" borderId="0" xfId="0" applyFont="1" applyFill="1" applyAlignment="1">
      <alignment wrapText="1"/>
    </xf>
    <xf numFmtId="0" fontId="2" fillId="0" borderId="1" xfId="0" applyFont="1" applyBorder="1" applyAlignment="1">
      <alignment horizontal="left" vertical="center"/>
    </xf>
    <xf numFmtId="0" fontId="2" fillId="4" borderId="1" xfId="0" applyFont="1" applyFill="1" applyBorder="1" applyAlignment="1">
      <alignment horizontal="left" vertical="center"/>
    </xf>
    <xf numFmtId="0" fontId="2" fillId="4" borderId="1" xfId="0" applyFont="1" applyFill="1" applyBorder="1" applyAlignment="1">
      <alignment horizontal="left" vertical="center" wrapText="1"/>
    </xf>
    <xf numFmtId="164" fontId="9" fillId="4" borderId="1" xfId="0" applyNumberFormat="1" applyFont="1" applyFill="1" applyBorder="1" applyAlignment="1">
      <alignment horizontal="left" vertical="center" wrapText="1"/>
    </xf>
    <xf numFmtId="165" fontId="2" fillId="0" borderId="1" xfId="0"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2" xfId="0" applyFont="1" applyBorder="1" applyAlignment="1">
      <alignment horizontal="left" vertical="center"/>
    </xf>
    <xf numFmtId="0" fontId="2" fillId="4" borderId="2" xfId="0" applyFont="1" applyFill="1" applyBorder="1" applyAlignment="1">
      <alignment horizontal="left" vertical="center"/>
    </xf>
    <xf numFmtId="0" fontId="2" fillId="4" borderId="2" xfId="0" applyFont="1" applyFill="1" applyBorder="1" applyAlignment="1">
      <alignment horizontal="left" vertical="center" wrapText="1"/>
    </xf>
    <xf numFmtId="164" fontId="10" fillId="4" borderId="2" xfId="0" applyNumberFormat="1" applyFont="1" applyFill="1" applyBorder="1" applyAlignment="1">
      <alignment horizontal="left" vertical="center" wrapText="1"/>
    </xf>
    <xf numFmtId="165" fontId="2" fillId="0" borderId="2" xfId="0" applyNumberFormat="1" applyFont="1" applyBorder="1" applyAlignment="1">
      <alignment horizontal="center" vertical="center" wrapText="1"/>
    </xf>
    <xf numFmtId="14" fontId="2" fillId="0" borderId="2" xfId="0" applyNumberFormat="1" applyFont="1" applyBorder="1" applyAlignment="1">
      <alignment horizontal="center" vertical="center" wrapText="1"/>
    </xf>
    <xf numFmtId="164" fontId="2" fillId="0" borderId="2" xfId="0" applyNumberFormat="1" applyFont="1" applyBorder="1" applyAlignment="1">
      <alignment horizontal="left" vertical="center" wrapText="1"/>
    </xf>
    <xf numFmtId="0" fontId="2" fillId="0" borderId="2" xfId="0" applyFont="1" applyBorder="1" applyAlignment="1">
      <alignment horizontal="center" vertical="center" wrapText="1"/>
    </xf>
    <xf numFmtId="0" fontId="2" fillId="0" borderId="2" xfId="0" applyFont="1" applyBorder="1" applyAlignment="1">
      <alignment horizontal="left" vertical="center" wrapText="1"/>
    </xf>
    <xf numFmtId="0" fontId="2" fillId="0" borderId="0" xfId="0" applyFont="1" applyAlignment="1">
      <alignment vertical="center"/>
    </xf>
    <xf numFmtId="0" fontId="11" fillId="0" borderId="0" xfId="0" applyFont="1" applyAlignment="1">
      <alignment vertical="center"/>
    </xf>
    <xf numFmtId="164" fontId="2" fillId="0" borderId="2" xfId="0" applyNumberFormat="1" applyFont="1" applyBorder="1" applyAlignment="1">
      <alignment horizontal="center" vertical="center" wrapText="1"/>
    </xf>
    <xf numFmtId="0" fontId="2" fillId="5" borderId="2" xfId="0" applyFont="1" applyFill="1" applyBorder="1" applyAlignment="1">
      <alignment horizontal="left" vertical="center"/>
    </xf>
    <xf numFmtId="0" fontId="2" fillId="5" borderId="2" xfId="0" applyFont="1" applyFill="1" applyBorder="1" applyAlignment="1">
      <alignment horizontal="left" vertical="center" wrapText="1"/>
    </xf>
    <xf numFmtId="164" fontId="12" fillId="5" borderId="2" xfId="0" applyNumberFormat="1" applyFont="1" applyFill="1" applyBorder="1" applyAlignment="1">
      <alignment horizontal="center" vertical="center" wrapText="1"/>
    </xf>
    <xf numFmtId="166" fontId="13" fillId="5" borderId="2" xfId="0" applyNumberFormat="1" applyFont="1" applyFill="1" applyBorder="1" applyAlignment="1">
      <alignment horizontal="center" vertical="center" wrapText="1"/>
    </xf>
    <xf numFmtId="0" fontId="14" fillId="0" borderId="0" xfId="0" applyFont="1"/>
    <xf numFmtId="0" fontId="15" fillId="0" borderId="0" xfId="0" applyFont="1"/>
    <xf numFmtId="0" fontId="6" fillId="0" borderId="0" xfId="0" applyFont="1"/>
    <xf numFmtId="0" fontId="2" fillId="0" borderId="0" xfId="0" applyFont="1" applyAlignment="1">
      <alignment horizontal="center"/>
    </xf>
    <xf numFmtId="0" fontId="7" fillId="2" borderId="2" xfId="0" applyFont="1" applyFill="1" applyBorder="1" applyAlignment="1">
      <alignment horizontal="center" vertical="center" wrapText="1"/>
    </xf>
    <xf numFmtId="0" fontId="4" fillId="0" borderId="0" xfId="0" applyFont="1" applyAlignment="1">
      <alignment vertical="center"/>
    </xf>
    <xf numFmtId="0" fontId="17" fillId="0" borderId="2" xfId="0" applyFont="1" applyBorder="1" applyAlignment="1">
      <alignment vertical="center" wrapText="1"/>
    </xf>
    <xf numFmtId="0" fontId="17" fillId="0" borderId="2" xfId="0" applyFont="1" applyBorder="1" applyAlignment="1">
      <alignment horizontal="left" vertical="center" wrapText="1"/>
    </xf>
    <xf numFmtId="0" fontId="2" fillId="0" borderId="0" xfId="0" applyFont="1" applyAlignment="1">
      <alignment horizontal="left" vertical="center"/>
    </xf>
    <xf numFmtId="14" fontId="2" fillId="5" borderId="2" xfId="0" applyNumberFormat="1" applyFont="1" applyFill="1" applyBorder="1" applyAlignment="1">
      <alignment horizontal="center" vertical="center" wrapText="1"/>
    </xf>
    <xf numFmtId="0" fontId="17" fillId="5" borderId="2" xfId="0" applyFont="1" applyFill="1" applyBorder="1" applyAlignment="1">
      <alignment vertical="center" wrapText="1"/>
    </xf>
    <xf numFmtId="0" fontId="17" fillId="5" borderId="2" xfId="0" applyFont="1" applyFill="1" applyBorder="1" applyAlignment="1">
      <alignment horizontal="left" vertical="center" wrapText="1"/>
    </xf>
    <xf numFmtId="0" fontId="15" fillId="0" borderId="0" xfId="0" applyFont="1" applyAlignment="1">
      <alignment vertical="center"/>
    </xf>
    <xf numFmtId="166" fontId="2" fillId="0" borderId="2" xfId="0" applyNumberFormat="1" applyFont="1" applyBorder="1" applyAlignment="1">
      <alignment horizontal="left" vertical="center" wrapText="1"/>
    </xf>
    <xf numFmtId="0" fontId="2" fillId="5" borderId="2" xfId="0" applyFont="1" applyFill="1" applyBorder="1" applyAlignment="1">
      <alignment vertical="center" wrapText="1"/>
    </xf>
    <xf numFmtId="0" fontId="18" fillId="0" borderId="0" xfId="0" applyFont="1" applyAlignment="1">
      <alignment horizontal="right"/>
    </xf>
    <xf numFmtId="0" fontId="15" fillId="0" borderId="0" xfId="0" applyFont="1" applyAlignment="1">
      <alignment horizontal="right"/>
    </xf>
    <xf numFmtId="164" fontId="19" fillId="0" borderId="2" xfId="0" applyNumberFormat="1" applyFont="1" applyBorder="1" applyAlignment="1">
      <alignment horizontal="center" vertical="center" wrapText="1"/>
    </xf>
    <xf numFmtId="0" fontId="20" fillId="0" borderId="2" xfId="0" applyFont="1" applyBorder="1" applyAlignment="1">
      <alignment horizontal="left" vertical="center" wrapText="1"/>
    </xf>
    <xf numFmtId="165" fontId="2" fillId="0" borderId="0" xfId="0" applyNumberFormat="1" applyFont="1"/>
    <xf numFmtId="0" fontId="2" fillId="0" borderId="0" xfId="0" applyFont="1" applyAlignment="1">
      <alignment horizontal="right"/>
    </xf>
    <xf numFmtId="0" fontId="7" fillId="0" borderId="0" xfId="0" applyFont="1" applyAlignment="1">
      <alignment horizontal="center" vertical="center" wrapText="1"/>
    </xf>
    <xf numFmtId="165" fontId="7" fillId="2" borderId="2" xfId="0" applyNumberFormat="1" applyFont="1" applyFill="1" applyBorder="1" applyAlignment="1">
      <alignment horizontal="center" vertical="center" wrapText="1"/>
    </xf>
    <xf numFmtId="0" fontId="14" fillId="0" borderId="2" xfId="0" applyFont="1" applyBorder="1" applyAlignment="1">
      <alignment vertical="center" wrapText="1"/>
    </xf>
    <xf numFmtId="165" fontId="14" fillId="4" borderId="2" xfId="0" applyNumberFormat="1" applyFont="1" applyFill="1" applyBorder="1" applyAlignment="1">
      <alignment horizontal="right" vertical="center" wrapText="1"/>
    </xf>
    <xf numFmtId="0" fontId="14" fillId="4" borderId="2" xfId="0" applyFont="1" applyFill="1" applyBorder="1" applyAlignment="1">
      <alignment horizontal="center" vertical="center" wrapText="1"/>
    </xf>
    <xf numFmtId="0" fontId="14" fillId="0" borderId="2" xfId="0" applyFont="1" applyBorder="1" applyAlignment="1">
      <alignment horizontal="left" vertical="center" wrapText="1"/>
    </xf>
    <xf numFmtId="165" fontId="14" fillId="4" borderId="2" xfId="0" applyNumberFormat="1" applyFont="1" applyFill="1" applyBorder="1" applyAlignment="1">
      <alignment horizontal="left" vertical="center" wrapText="1"/>
    </xf>
    <xf numFmtId="0" fontId="14" fillId="5" borderId="2" xfId="0" applyFont="1" applyFill="1" applyBorder="1" applyAlignment="1">
      <alignment vertical="center" wrapText="1"/>
    </xf>
    <xf numFmtId="165" fontId="14" fillId="5" borderId="2" xfId="0" applyNumberFormat="1" applyFont="1" applyFill="1" applyBorder="1" applyAlignment="1">
      <alignment horizontal="left" vertical="center" wrapText="1"/>
    </xf>
    <xf numFmtId="0" fontId="14" fillId="5" borderId="2" xfId="0" applyFont="1" applyFill="1" applyBorder="1" applyAlignment="1">
      <alignment horizontal="center" vertical="center" wrapText="1"/>
    </xf>
    <xf numFmtId="0" fontId="14" fillId="5" borderId="2" xfId="0" applyFont="1" applyFill="1" applyBorder="1" applyAlignment="1">
      <alignment horizontal="left" vertical="center" wrapText="1"/>
    </xf>
    <xf numFmtId="165" fontId="15" fillId="0" borderId="0" xfId="0" applyNumberFormat="1" applyFont="1" applyAlignment="1">
      <alignment vertical="center"/>
    </xf>
    <xf numFmtId="0" fontId="6" fillId="0" borderId="0" xfId="0" applyFont="1" applyAlignment="1">
      <alignment vertical="center"/>
    </xf>
    <xf numFmtId="165" fontId="8" fillId="0" borderId="0" xfId="0" applyNumberFormat="1" applyFont="1" applyAlignment="1">
      <alignment wrapText="1"/>
    </xf>
    <xf numFmtId="0" fontId="16" fillId="2" borderId="2" xfId="0" applyFont="1" applyFill="1" applyBorder="1" applyAlignment="1">
      <alignment horizontal="center" vertical="top" wrapText="1"/>
    </xf>
    <xf numFmtId="0" fontId="8" fillId="0" borderId="0" xfId="0" applyFont="1" applyAlignment="1">
      <alignment wrapText="1"/>
    </xf>
    <xf numFmtId="0" fontId="2" fillId="0" borderId="2" xfId="0" applyFont="1" applyBorder="1"/>
    <xf numFmtId="0" fontId="24" fillId="2" borderId="0" xfId="0" applyFont="1" applyFill="1" applyAlignment="1">
      <alignment vertical="center"/>
    </xf>
    <xf numFmtId="0" fontId="25" fillId="0" borderId="0" xfId="0" applyFont="1" applyAlignment="1">
      <alignment wrapText="1"/>
    </xf>
    <xf numFmtId="0" fontId="26" fillId="0" borderId="0" xfId="0" applyFont="1" applyAlignment="1">
      <alignment vertical="center"/>
    </xf>
    <xf numFmtId="0" fontId="14" fillId="0" borderId="0" xfId="0" applyFont="1" applyAlignment="1">
      <alignment horizontal="right" vertical="center" wrapText="1"/>
    </xf>
    <xf numFmtId="0" fontId="27" fillId="0" borderId="0" xfId="0" applyFont="1" applyAlignment="1">
      <alignment horizontal="right" vertical="center"/>
    </xf>
    <xf numFmtId="0" fontId="5" fillId="0" borderId="0" xfId="0" applyFont="1" applyAlignment="1">
      <alignment wrapText="1"/>
    </xf>
    <xf numFmtId="0" fontId="28" fillId="2" borderId="5" xfId="0" applyFont="1" applyFill="1" applyBorder="1"/>
    <xf numFmtId="0" fontId="29" fillId="2" borderId="0" xfId="0" applyFont="1" applyFill="1" applyAlignment="1">
      <alignment wrapText="1"/>
    </xf>
    <xf numFmtId="0" fontId="5" fillId="0" borderId="0" xfId="0" applyFont="1" applyAlignment="1">
      <alignment vertical="top" wrapText="1"/>
    </xf>
    <xf numFmtId="0" fontId="29" fillId="0" borderId="0" xfId="0" applyFont="1" applyAlignment="1">
      <alignment wrapText="1"/>
    </xf>
    <xf numFmtId="0" fontId="30" fillId="2" borderId="0" xfId="0" applyFont="1" applyFill="1" applyAlignment="1">
      <alignment wrapText="1"/>
    </xf>
    <xf numFmtId="0" fontId="31" fillId="0" borderId="0" xfId="0" applyFont="1"/>
    <xf numFmtId="0" fontId="32" fillId="3" borderId="0" xfId="0" applyFont="1" applyFill="1" applyAlignment="1">
      <alignment horizontal="right" vertical="top" wrapText="1"/>
    </xf>
    <xf numFmtId="0" fontId="29" fillId="0" borderId="0" xfId="0" applyFont="1" applyAlignment="1">
      <alignment horizontal="left" wrapText="1"/>
    </xf>
    <xf numFmtId="0" fontId="29" fillId="0" borderId="0" xfId="0" applyFont="1" applyAlignment="1">
      <alignment horizontal="left" vertical="top" wrapText="1"/>
    </xf>
    <xf numFmtId="0" fontId="33" fillId="0" borderId="0" xfId="0" applyFont="1" applyAlignment="1">
      <alignment horizontal="right" vertical="top" wrapText="1"/>
    </xf>
    <xf numFmtId="0" fontId="29" fillId="3" borderId="0" xfId="0" applyFont="1" applyFill="1" applyAlignment="1">
      <alignment horizontal="left" wrapText="1"/>
    </xf>
    <xf numFmtId="0" fontId="33" fillId="0" borderId="0" xfId="0" applyFont="1" applyAlignment="1">
      <alignment vertical="top" wrapText="1"/>
    </xf>
    <xf numFmtId="0" fontId="29" fillId="0" borderId="0" xfId="0" applyFont="1" applyAlignment="1">
      <alignment vertical="top" wrapText="1"/>
    </xf>
    <xf numFmtId="0" fontId="29" fillId="0" borderId="0" xfId="0" applyFont="1" applyAlignment="1">
      <alignment horizontal="right" vertical="top" wrapText="1"/>
    </xf>
    <xf numFmtId="0" fontId="28" fillId="3" borderId="5" xfId="0" applyFont="1" applyFill="1" applyBorder="1"/>
    <xf numFmtId="0" fontId="30" fillId="3" borderId="0" xfId="0" applyFont="1" applyFill="1" applyAlignment="1">
      <alignment wrapText="1"/>
    </xf>
    <xf numFmtId="0" fontId="34" fillId="0" borderId="0" xfId="0" applyFont="1" applyAlignment="1">
      <alignment vertical="center"/>
    </xf>
    <xf numFmtId="0" fontId="35" fillId="0" borderId="0" xfId="0" applyFont="1" applyAlignment="1">
      <alignment horizontal="left"/>
    </xf>
    <xf numFmtId="0" fontId="2" fillId="7" borderId="0" xfId="0" applyFont="1" applyFill="1" applyAlignment="1">
      <alignment horizontal="center"/>
    </xf>
    <xf numFmtId="0" fontId="0" fillId="0" borderId="0" xfId="0" applyAlignment="1">
      <alignment wrapText="1"/>
    </xf>
    <xf numFmtId="0" fontId="2" fillId="8" borderId="0" xfId="0" applyFont="1" applyFill="1" applyAlignment="1">
      <alignment horizontal="center"/>
    </xf>
    <xf numFmtId="0" fontId="2" fillId="0" borderId="0" xfId="0" applyFont="1" applyAlignment="1">
      <alignment horizontal="left"/>
    </xf>
    <xf numFmtId="0" fontId="16" fillId="2" borderId="0" xfId="0" applyFont="1" applyFill="1" applyAlignment="1">
      <alignment horizontal="center" vertical="center" wrapText="1"/>
    </xf>
    <xf numFmtId="0" fontId="2" fillId="6" borderId="0" xfId="0" applyFont="1" applyFill="1" applyAlignment="1">
      <alignment horizontal="center"/>
    </xf>
    <xf numFmtId="165" fontId="21" fillId="9" borderId="0" xfId="0" applyNumberFormat="1" applyFont="1" applyFill="1" applyAlignment="1">
      <alignment horizontal="center" vertical="center"/>
    </xf>
    <xf numFmtId="165" fontId="22" fillId="0" borderId="3" xfId="0" applyNumberFormat="1" applyFont="1" applyBorder="1" applyAlignment="1">
      <alignment horizontal="center" vertical="center" wrapText="1"/>
    </xf>
    <xf numFmtId="0" fontId="23" fillId="0" borderId="4" xfId="0" applyFont="1" applyBorder="1" applyAlignment="1">
      <alignment wrapText="1"/>
    </xf>
  </cellXfs>
  <cellStyles count="1">
    <cellStyle name="Normal" xfId="0" builtinId="0"/>
  </cellStyles>
  <dxfs count="10">
    <dxf>
      <fill>
        <patternFill patternType="solid">
          <fgColor rgb="FFE6B8AF"/>
          <bgColor rgb="FFE6B8AF"/>
        </patternFill>
      </fill>
    </dxf>
    <dxf>
      <fill>
        <patternFill patternType="solid">
          <fgColor rgb="FFFCE5CD"/>
          <bgColor rgb="FFFCE5CD"/>
        </patternFill>
      </fill>
    </dxf>
    <dxf>
      <fill>
        <patternFill patternType="solid">
          <fgColor rgb="FFC9DAF8"/>
          <bgColor rgb="FFC9DAF8"/>
        </patternFill>
      </fill>
    </dxf>
    <dxf>
      <fill>
        <patternFill patternType="solid">
          <fgColor rgb="FFF4CCCC"/>
          <bgColor rgb="FFF4CCCC"/>
        </patternFill>
      </fill>
    </dxf>
    <dxf>
      <fill>
        <patternFill patternType="solid">
          <fgColor rgb="FFFFF2CC"/>
          <bgColor rgb="FFFFF2CC"/>
        </patternFill>
      </fill>
    </dxf>
    <dxf>
      <fill>
        <patternFill patternType="solid">
          <fgColor rgb="FFD9EAD3"/>
          <bgColor rgb="FFD9EAD3"/>
        </patternFill>
      </fill>
    </dxf>
    <dxf>
      <fill>
        <patternFill patternType="solid">
          <fgColor rgb="FFF4CCCC"/>
          <bgColor rgb="FFF4CCCC"/>
        </patternFill>
      </fill>
    </dxf>
    <dxf>
      <fill>
        <patternFill patternType="solid">
          <fgColor rgb="FFFFF2CC"/>
          <bgColor rgb="FFFFF2CC"/>
        </patternFill>
      </fill>
    </dxf>
    <dxf>
      <fill>
        <patternFill patternType="solid">
          <fgColor rgb="FFD9EAD3"/>
          <bgColor rgb="FFD9EAD3"/>
        </patternFill>
      </fill>
    </dxf>
    <dxf>
      <font>
        <b/>
        <color rgb="FFFFFFFF"/>
      </font>
      <fill>
        <patternFill patternType="solid">
          <fgColor rgb="FF3B4E87"/>
          <bgColor rgb="FF3B4E8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752475</xdr:colOff>
      <xdr:row>0</xdr:row>
      <xdr:rowOff>0</xdr:rowOff>
    </xdr:from>
    <xdr:ext cx="2162175" cy="823686"/>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5181600" y="0"/>
          <a:ext cx="2162175" cy="823686"/>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6</xdr:col>
      <xdr:colOff>19050</xdr:colOff>
      <xdr:row>0</xdr:row>
      <xdr:rowOff>0</xdr:rowOff>
    </xdr:from>
    <xdr:ext cx="2162175" cy="823686"/>
    <xdr:pic>
      <xdr:nvPicPr>
        <xdr:cNvPr id="3" name="image2.png">
          <a:extLst>
            <a:ext uri="{FF2B5EF4-FFF2-40B4-BE49-F238E27FC236}">
              <a16:creationId xmlns:a16="http://schemas.microsoft.com/office/drawing/2014/main" id="{7FF7862C-C570-48C7-93A0-835FDF21E7DF}"/>
            </a:ext>
          </a:extLst>
        </xdr:cNvPr>
        <xdr:cNvPicPr preferRelativeResize="0"/>
      </xdr:nvPicPr>
      <xdr:blipFill>
        <a:blip xmlns:r="http://schemas.openxmlformats.org/officeDocument/2006/relationships" r:embed="rId1" cstate="print"/>
        <a:stretch>
          <a:fillRect/>
        </a:stretch>
      </xdr:blipFill>
      <xdr:spPr>
        <a:xfrm>
          <a:off x="5619750" y="0"/>
          <a:ext cx="2162175" cy="823686"/>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9</xdr:col>
      <xdr:colOff>352425</xdr:colOff>
      <xdr:row>0</xdr:row>
      <xdr:rowOff>0</xdr:rowOff>
    </xdr:from>
    <xdr:ext cx="2162175" cy="823686"/>
    <xdr:pic>
      <xdr:nvPicPr>
        <xdr:cNvPr id="3" name="image2.png">
          <a:extLst>
            <a:ext uri="{FF2B5EF4-FFF2-40B4-BE49-F238E27FC236}">
              <a16:creationId xmlns:a16="http://schemas.microsoft.com/office/drawing/2014/main" id="{8FFB6D13-072F-487F-8C67-5DC1FF364B51}"/>
            </a:ext>
          </a:extLst>
        </xdr:cNvPr>
        <xdr:cNvPicPr preferRelativeResize="0"/>
      </xdr:nvPicPr>
      <xdr:blipFill>
        <a:blip xmlns:r="http://schemas.openxmlformats.org/officeDocument/2006/relationships" r:embed="rId1" cstate="print"/>
        <a:stretch>
          <a:fillRect/>
        </a:stretch>
      </xdr:blipFill>
      <xdr:spPr>
        <a:xfrm>
          <a:off x="8191500" y="0"/>
          <a:ext cx="2162175" cy="823686"/>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5</xdr:col>
      <xdr:colOff>781050</xdr:colOff>
      <xdr:row>0</xdr:row>
      <xdr:rowOff>0</xdr:rowOff>
    </xdr:from>
    <xdr:ext cx="2162175" cy="823686"/>
    <xdr:pic>
      <xdr:nvPicPr>
        <xdr:cNvPr id="3" name="image2.png">
          <a:extLst>
            <a:ext uri="{FF2B5EF4-FFF2-40B4-BE49-F238E27FC236}">
              <a16:creationId xmlns:a16="http://schemas.microsoft.com/office/drawing/2014/main" id="{311A049A-844C-4BA1-9931-719C2C0FFD27}"/>
            </a:ext>
          </a:extLst>
        </xdr:cNvPr>
        <xdr:cNvPicPr preferRelativeResize="0"/>
      </xdr:nvPicPr>
      <xdr:blipFill>
        <a:blip xmlns:r="http://schemas.openxmlformats.org/officeDocument/2006/relationships" r:embed="rId1" cstate="print"/>
        <a:stretch>
          <a:fillRect/>
        </a:stretch>
      </xdr:blipFill>
      <xdr:spPr>
        <a:xfrm>
          <a:off x="5191125" y="0"/>
          <a:ext cx="2162175" cy="823686"/>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3</xdr:col>
      <xdr:colOff>466724</xdr:colOff>
      <xdr:row>0</xdr:row>
      <xdr:rowOff>0</xdr:rowOff>
    </xdr:from>
    <xdr:ext cx="1666875" cy="657224"/>
    <xdr:pic>
      <xdr:nvPicPr>
        <xdr:cNvPr id="2" name="image2.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xfrm>
          <a:off x="2619374" y="0"/>
          <a:ext cx="1666875" cy="657224"/>
        </a:xfrm>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2</xdr:col>
      <xdr:colOff>0</xdr:colOff>
      <xdr:row>0</xdr:row>
      <xdr:rowOff>0</xdr:rowOff>
    </xdr:from>
    <xdr:ext cx="1047750" cy="400050"/>
    <xdr:pic>
      <xdr:nvPicPr>
        <xdr:cNvPr id="2" name="image3.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mailto:jsmith@email.com" TargetMode="External"/><Relationship Id="rId1" Type="http://schemas.openxmlformats.org/officeDocument/2006/relationships/hyperlink" Target="mailto:busl@abccorp.com"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B4E87"/>
    <outlinePr summaryBelow="0" summaryRight="0"/>
  </sheetPr>
  <dimension ref="A1:Z1000"/>
  <sheetViews>
    <sheetView showGridLines="0" tabSelected="1" workbookViewId="0">
      <pane ySplit="4" topLeftCell="A5" activePane="bottomLeft" state="frozen"/>
      <selection pane="bottomLeft" activeCell="B11" sqref="B11"/>
    </sheetView>
  </sheetViews>
  <sheetFormatPr baseColWidth="10" defaultColWidth="12.5" defaultRowHeight="15" customHeight="1"/>
  <cols>
    <col min="1" max="2" width="16" customWidth="1"/>
    <col min="3" max="3" width="17" customWidth="1"/>
    <col min="4" max="4" width="19.6640625" customWidth="1"/>
    <col min="5" max="5" width="25.6640625" customWidth="1"/>
    <col min="6" max="7" width="11.5" customWidth="1"/>
    <col min="8" max="8" width="13.6640625" customWidth="1"/>
    <col min="9" max="9" width="12.6640625" customWidth="1"/>
    <col min="10" max="10" width="10.1640625" customWidth="1"/>
    <col min="11" max="12" width="9.5" customWidth="1"/>
    <col min="13" max="13" width="27" customWidth="1"/>
    <col min="14" max="14" width="5.5" customWidth="1"/>
    <col min="15" max="15" width="22" customWidth="1"/>
    <col min="16" max="26" width="15.1640625" customWidth="1"/>
  </cols>
  <sheetData>
    <row r="1" spans="1:26" ht="27.75" customHeight="1">
      <c r="A1" s="1" t="s">
        <v>0</v>
      </c>
      <c r="B1" s="2"/>
      <c r="C1" s="2"/>
      <c r="D1" s="2"/>
      <c r="E1" s="2"/>
      <c r="F1" s="2"/>
      <c r="G1" s="2"/>
      <c r="H1" s="2"/>
      <c r="I1" s="2"/>
      <c r="J1" s="2"/>
      <c r="K1" s="2"/>
      <c r="L1" s="2"/>
      <c r="M1" s="2"/>
      <c r="N1" s="2"/>
      <c r="O1" s="3"/>
    </row>
    <row r="2" spans="1:26" ht="18" customHeight="1">
      <c r="A2" s="4" t="s">
        <v>1</v>
      </c>
      <c r="B2" s="2"/>
      <c r="C2" s="2"/>
      <c r="D2" s="2"/>
      <c r="E2" s="2"/>
      <c r="F2" s="2"/>
      <c r="G2" s="2"/>
      <c r="H2" s="2"/>
      <c r="I2" s="2"/>
      <c r="J2" s="2"/>
      <c r="K2" s="2"/>
      <c r="L2" s="2"/>
      <c r="M2" s="2"/>
      <c r="O2" s="100"/>
      <c r="P2" s="98"/>
      <c r="Q2" s="98"/>
      <c r="R2" s="98"/>
    </row>
    <row r="3" spans="1:26" ht="18" customHeight="1">
      <c r="A3" s="5"/>
      <c r="B3" s="2"/>
      <c r="C3" s="2"/>
      <c r="D3" s="2"/>
      <c r="E3" s="2"/>
      <c r="F3" s="2"/>
      <c r="G3" s="2"/>
      <c r="H3" s="2"/>
      <c r="I3" s="2"/>
      <c r="J3" s="2"/>
      <c r="K3" s="2"/>
      <c r="L3" s="6"/>
      <c r="M3" s="6"/>
      <c r="O3" s="98"/>
      <c r="P3" s="98"/>
      <c r="Q3" s="98"/>
      <c r="R3" s="98"/>
    </row>
    <row r="4" spans="1:26" ht="33" customHeight="1">
      <c r="A4" s="7" t="s">
        <v>2</v>
      </c>
      <c r="B4" s="7" t="s">
        <v>3</v>
      </c>
      <c r="C4" s="7" t="s">
        <v>4</v>
      </c>
      <c r="D4" s="7" t="s">
        <v>5</v>
      </c>
      <c r="E4" s="7" t="s">
        <v>6</v>
      </c>
      <c r="F4" s="7" t="s">
        <v>7</v>
      </c>
      <c r="G4" s="7" t="s">
        <v>8</v>
      </c>
      <c r="H4" s="7" t="s">
        <v>9</v>
      </c>
      <c r="I4" s="7" t="s">
        <v>10</v>
      </c>
      <c r="J4" s="7" t="s">
        <v>11</v>
      </c>
      <c r="K4" s="7" t="s">
        <v>12</v>
      </c>
      <c r="L4" s="7" t="s">
        <v>13</v>
      </c>
      <c r="M4" s="7" t="s">
        <v>14</v>
      </c>
      <c r="N4" s="8"/>
      <c r="O4" s="98"/>
      <c r="P4" s="98"/>
      <c r="Q4" s="98"/>
      <c r="R4" s="98"/>
      <c r="S4" s="9"/>
      <c r="T4" s="9"/>
      <c r="U4" s="9"/>
      <c r="V4" s="9"/>
      <c r="W4" s="9"/>
      <c r="X4" s="9"/>
      <c r="Y4" s="9"/>
      <c r="Z4" s="9"/>
    </row>
    <row r="5" spans="1:26" ht="14">
      <c r="A5" s="10" t="s">
        <v>15</v>
      </c>
      <c r="B5" s="11" t="str">
        <f>IFERROR(VLOOKUP($A5,ContactDetails!$A$4:$K$28,2,FALSE),"-")</f>
        <v>XYZ Plumbing</v>
      </c>
      <c r="C5" s="12" t="str">
        <f>IFERROR(VLOOKUP($A5,ContactDetails!$A$4:$K$28,3,FALSE),"-")</f>
        <v>Owner</v>
      </c>
      <c r="D5" s="12" t="str">
        <f>IFERROR(VLOOKUP($A5,ContactDetails!$A$4:$K$28,4,FALSE),"-")</f>
        <v>444-555-6666</v>
      </c>
      <c r="E5" s="13" t="str">
        <f>IFERROR(HYPERLINK("mailto:"&amp;VLOOKUP($A5,ContactDetails!$A$4:$K$28,5,FALSE),VLOOKUP($A5,ContactDetails!$A$4:$K$28,5,FALSE))," ")</f>
        <v>xyz@plumber.com</v>
      </c>
      <c r="F5" s="14">
        <v>45000</v>
      </c>
      <c r="G5" s="15">
        <v>43961</v>
      </c>
      <c r="H5" s="16"/>
      <c r="I5" s="15">
        <v>43980</v>
      </c>
      <c r="J5" s="17" t="s">
        <v>16</v>
      </c>
      <c r="K5" s="18" t="s">
        <v>17</v>
      </c>
      <c r="L5" s="18" t="s">
        <v>18</v>
      </c>
      <c r="M5" s="18"/>
      <c r="N5" s="8"/>
      <c r="O5" s="8"/>
      <c r="P5" s="9"/>
      <c r="Q5" s="9"/>
      <c r="R5" s="9"/>
      <c r="S5" s="9"/>
      <c r="T5" s="9"/>
      <c r="U5" s="9"/>
      <c r="V5" s="9"/>
      <c r="W5" s="9"/>
      <c r="X5" s="9"/>
      <c r="Y5" s="9"/>
      <c r="Z5" s="9"/>
    </row>
    <row r="6" spans="1:26" ht="15" customHeight="1">
      <c r="A6" s="19" t="s">
        <v>19</v>
      </c>
      <c r="B6" s="20" t="str">
        <f>IFERROR(VLOOKUP(A6,ContactDetails!$A$4:$K$28,2,FALSE),"-")</f>
        <v>ABC Corp</v>
      </c>
      <c r="C6" s="21" t="str">
        <f>IFERROR(VLOOKUP($A6,ContactDetails!$A$4:$K$28,3,FALSE),"-")</f>
        <v>Sales Manager</v>
      </c>
      <c r="D6" s="21" t="str">
        <f>IFERROR(VLOOKUP($A6,ContactDetails!$A$4:$K$28,4,FALSE),"-")</f>
        <v>222-656-7890</v>
      </c>
      <c r="E6" s="22" t="str">
        <f>IFERROR(HYPERLINK("mailto:"&amp;VLOOKUP($A6,ContactDetails!$A$4:$K$28,5,FALSE),VLOOKUP($A6,ContactDetails!$A$4:$K$28,5,FALSE)),"-")</f>
        <v>busl@abccorp.com</v>
      </c>
      <c r="F6" s="23">
        <v>10000</v>
      </c>
      <c r="G6" s="24">
        <v>43976</v>
      </c>
      <c r="H6" s="25"/>
      <c r="I6" s="24">
        <v>43987</v>
      </c>
      <c r="J6" s="26" t="s">
        <v>20</v>
      </c>
      <c r="K6" s="27" t="s">
        <v>21</v>
      </c>
      <c r="L6" s="27" t="s">
        <v>22</v>
      </c>
      <c r="M6" s="27"/>
      <c r="N6" s="28"/>
      <c r="O6" s="29"/>
    </row>
    <row r="7" spans="1:26" ht="15" customHeight="1">
      <c r="A7" s="19" t="s">
        <v>23</v>
      </c>
      <c r="B7" s="20" t="str">
        <f>IFERROR(VLOOKUP(A7,ContactDetails!$A$4:$K$28,2,FALSE),"-")</f>
        <v>ACME</v>
      </c>
      <c r="C7" s="21" t="str">
        <f>IFERROR(VLOOKUP($A7,ContactDetails!$A$4:$K$28,3,FALSE),"-")</f>
        <v>Business Dev.</v>
      </c>
      <c r="D7" s="21" t="str">
        <f>IFERROR(VLOOKUP($A7,ContactDetails!$A$4:$K$28,4,FALSE),"-")</f>
        <v>111-234-5678</v>
      </c>
      <c r="E7" s="22" t="str">
        <f>IFERROR(HYPERLINK("mailto:"&amp;VLOOKUP($A7,ContactDetails!$A$4:$K$28,5,FALSE),VLOOKUP($A7,ContactDetails!$A$4:$K$28,5,FALSE)),"-")</f>
        <v>acme@acme.com</v>
      </c>
      <c r="F7" s="23">
        <v>4500</v>
      </c>
      <c r="G7" s="24">
        <v>43978</v>
      </c>
      <c r="H7" s="25"/>
      <c r="I7" s="24">
        <v>43997</v>
      </c>
      <c r="J7" s="26" t="s">
        <v>24</v>
      </c>
      <c r="K7" s="27" t="s">
        <v>6</v>
      </c>
      <c r="L7" s="27" t="s">
        <v>25</v>
      </c>
      <c r="M7" s="27" t="s">
        <v>26</v>
      </c>
      <c r="N7" s="28"/>
      <c r="O7" s="28"/>
    </row>
    <row r="8" spans="1:26" ht="15" customHeight="1">
      <c r="A8" s="19"/>
      <c r="B8" s="20" t="str">
        <f>IFERROR(VLOOKUP(A8,ContactDetails!$A$4:$K$28,2,FALSE),"-")</f>
        <v>-</v>
      </c>
      <c r="C8" s="21" t="str">
        <f>IFERROR(VLOOKUP($A8,ContactDetails!$A$4:$K$28,3,FALSE),"-")</f>
        <v>-</v>
      </c>
      <c r="D8" s="21" t="str">
        <f>IFERROR(VLOOKUP($A8,ContactDetails!$A$4:$K$28,4,FALSE),"-")</f>
        <v>-</v>
      </c>
      <c r="E8" s="22" t="str">
        <f>IFERROR(HYPERLINK("mailto:"&amp;VLOOKUP($A8,ContactDetails!$A$4:$K$28,5,FALSE),VLOOKUP($A8,ContactDetails!$A$4:$K$28,5,FALSE)),"-")</f>
        <v>-</v>
      </c>
      <c r="F8" s="23"/>
      <c r="G8" s="24"/>
      <c r="H8" s="25"/>
      <c r="I8" s="24"/>
      <c r="J8" s="30"/>
      <c r="K8" s="27"/>
      <c r="L8" s="27"/>
      <c r="M8" s="27"/>
      <c r="N8" s="28"/>
      <c r="O8" s="28"/>
    </row>
    <row r="9" spans="1:26" ht="15" customHeight="1">
      <c r="A9" s="19"/>
      <c r="B9" s="20" t="str">
        <f>IFERROR(VLOOKUP(A9,ContactDetails!$A$4:$K$28,2,FALSE),"-")</f>
        <v>-</v>
      </c>
      <c r="C9" s="21" t="str">
        <f>IFERROR(VLOOKUP($A9,ContactDetails!$A$4:$K$28,3,FALSE),"-")</f>
        <v>-</v>
      </c>
      <c r="D9" s="21" t="str">
        <f>IFERROR(VLOOKUP($A9,ContactDetails!$A$4:$K$28,4,FALSE),"-")</f>
        <v>-</v>
      </c>
      <c r="E9" s="22" t="str">
        <f>IFERROR(HYPERLINK("mailto:"&amp;VLOOKUP($A9,ContactDetails!$A$4:$K$28,5,FALSE),VLOOKUP($A9,ContactDetails!$A$4:$K$28,5,FALSE)),"-")</f>
        <v>-</v>
      </c>
      <c r="F9" s="23"/>
      <c r="G9" s="24"/>
      <c r="H9" s="25"/>
      <c r="I9" s="24"/>
      <c r="J9" s="30"/>
      <c r="K9" s="27"/>
      <c r="L9" s="27"/>
      <c r="M9" s="27"/>
      <c r="N9" s="28"/>
      <c r="O9" s="28"/>
    </row>
    <row r="10" spans="1:26" ht="15" customHeight="1">
      <c r="A10" s="19"/>
      <c r="B10" s="20" t="str">
        <f>IFERROR(VLOOKUP(A10,ContactDetails!$A$4:$K$28,2,FALSE),"-")</f>
        <v>-</v>
      </c>
      <c r="C10" s="21" t="str">
        <f>IFERROR(VLOOKUP($A10,ContactDetails!$A$4:$K$28,3,FALSE),"-")</f>
        <v>-</v>
      </c>
      <c r="D10" s="21" t="str">
        <f>IFERROR(VLOOKUP($A10,ContactDetails!$A$4:$K$28,4,FALSE),"-")</f>
        <v>-</v>
      </c>
      <c r="E10" s="22" t="str">
        <f>IFERROR(HYPERLINK("mailto:"&amp;VLOOKUP($A10,ContactDetails!$A$4:$K$28,5,FALSE),VLOOKUP($A10,ContactDetails!$A$4:$K$28,5,FALSE)),"-")</f>
        <v>-</v>
      </c>
      <c r="F10" s="23"/>
      <c r="G10" s="24"/>
      <c r="H10" s="25"/>
      <c r="I10" s="24"/>
      <c r="J10" s="30"/>
      <c r="K10" s="27"/>
      <c r="L10" s="27"/>
      <c r="M10" s="27"/>
      <c r="N10" s="28"/>
      <c r="O10" s="28"/>
    </row>
    <row r="11" spans="1:26" ht="15" customHeight="1">
      <c r="A11" s="19"/>
      <c r="B11" s="20" t="str">
        <f>IFERROR(VLOOKUP(A11,ContactDetails!$A$4:$K$28,2,FALSE),"-")</f>
        <v>-</v>
      </c>
      <c r="C11" s="21" t="str">
        <f>IFERROR(VLOOKUP($A11,ContactDetails!$A$4:$K$28,3,FALSE),"-")</f>
        <v>-</v>
      </c>
      <c r="D11" s="21" t="str">
        <f>IFERROR(VLOOKUP($A11,ContactDetails!$A$4:$K$28,4,FALSE),"-")</f>
        <v>-</v>
      </c>
      <c r="E11" s="22" t="str">
        <f>IFERROR(HYPERLINK("mailto:"&amp;VLOOKUP($A11,ContactDetails!$A$4:$K$28,5,FALSE),VLOOKUP($A11,ContactDetails!$A$4:$K$28,5,FALSE)),"-")</f>
        <v>-</v>
      </c>
      <c r="F11" s="23"/>
      <c r="G11" s="24"/>
      <c r="H11" s="25"/>
      <c r="I11" s="24"/>
      <c r="J11" s="30"/>
      <c r="K11" s="27"/>
      <c r="L11" s="27"/>
      <c r="M11" s="27"/>
      <c r="N11" s="28"/>
      <c r="O11" s="28"/>
    </row>
    <row r="12" spans="1:26" ht="15" customHeight="1">
      <c r="A12" s="19"/>
      <c r="B12" s="20" t="str">
        <f>IFERROR(VLOOKUP(A12,ContactDetails!$A$4:$K$28,2,FALSE),"-")</f>
        <v>-</v>
      </c>
      <c r="C12" s="21" t="str">
        <f>IFERROR(VLOOKUP($A12,ContactDetails!$A$4:$K$28,3,FALSE),"-")</f>
        <v>-</v>
      </c>
      <c r="D12" s="21" t="str">
        <f>IFERROR(VLOOKUP($A12,ContactDetails!$A$4:$K$28,4,FALSE),"-")</f>
        <v>-</v>
      </c>
      <c r="E12" s="22" t="str">
        <f>IFERROR(HYPERLINK("mailto:"&amp;VLOOKUP($A12,ContactDetails!$A$4:$K$28,5,FALSE),VLOOKUP($A12,ContactDetails!$A$4:$K$28,5,FALSE)),"-")</f>
        <v>-</v>
      </c>
      <c r="F12" s="23"/>
      <c r="G12" s="24"/>
      <c r="H12" s="25"/>
      <c r="I12" s="24"/>
      <c r="J12" s="30"/>
      <c r="K12" s="27"/>
      <c r="L12" s="27"/>
      <c r="M12" s="27"/>
      <c r="N12" s="28"/>
      <c r="O12" s="28"/>
    </row>
    <row r="13" spans="1:26" ht="15" customHeight="1">
      <c r="A13" s="19"/>
      <c r="B13" s="20" t="str">
        <f>IFERROR(VLOOKUP(A13,ContactDetails!$A$4:$K$28,2,FALSE),"-")</f>
        <v>-</v>
      </c>
      <c r="C13" s="21" t="str">
        <f>IFERROR(VLOOKUP($A13,ContactDetails!$A$4:$K$28,3,FALSE),"-")</f>
        <v>-</v>
      </c>
      <c r="D13" s="21" t="str">
        <f>IFERROR(VLOOKUP($A13,ContactDetails!$A$4:$K$28,4,FALSE),"-")</f>
        <v>-</v>
      </c>
      <c r="E13" s="22" t="str">
        <f>IFERROR(HYPERLINK("mailto:"&amp;VLOOKUP($A13,ContactDetails!$A$4:$K$28,5,FALSE),VLOOKUP($A13,ContactDetails!$A$4:$K$28,5,FALSE)),"-")</f>
        <v>-</v>
      </c>
      <c r="F13" s="23"/>
      <c r="G13" s="24"/>
      <c r="H13" s="25"/>
      <c r="I13" s="24"/>
      <c r="J13" s="30"/>
      <c r="K13" s="27"/>
      <c r="L13" s="27"/>
      <c r="M13" s="27"/>
      <c r="N13" s="28"/>
      <c r="O13" s="28"/>
    </row>
    <row r="14" spans="1:26" ht="15" customHeight="1">
      <c r="A14" s="19"/>
      <c r="B14" s="20" t="str">
        <f>IFERROR(VLOOKUP(A14,ContactDetails!$A$4:$K$28,2,FALSE),"-")</f>
        <v>-</v>
      </c>
      <c r="C14" s="21" t="str">
        <f>IFERROR(VLOOKUP($A14,ContactDetails!$A$4:$K$28,3,FALSE),"-")</f>
        <v>-</v>
      </c>
      <c r="D14" s="21" t="str">
        <f>IFERROR(VLOOKUP($A14,ContactDetails!$A$4:$K$28,4,FALSE),"-")</f>
        <v>-</v>
      </c>
      <c r="E14" s="22" t="str">
        <f>IFERROR(HYPERLINK("mailto:"&amp;VLOOKUP($A14,ContactDetails!$A$4:$K$28,5,FALSE),VLOOKUP($A14,ContactDetails!$A$4:$K$28,5,FALSE)),"-")</f>
        <v>-</v>
      </c>
      <c r="F14" s="23"/>
      <c r="G14" s="24"/>
      <c r="H14" s="25"/>
      <c r="I14" s="24"/>
      <c r="J14" s="30"/>
      <c r="K14" s="27"/>
      <c r="L14" s="27"/>
      <c r="M14" s="27"/>
      <c r="N14" s="28"/>
      <c r="O14" s="28"/>
    </row>
    <row r="15" spans="1:26" ht="15" customHeight="1">
      <c r="A15" s="19"/>
      <c r="B15" s="20" t="str">
        <f>IFERROR(VLOOKUP(A15,ContactDetails!$A$4:$K$28,2,FALSE),"-")</f>
        <v>-</v>
      </c>
      <c r="C15" s="21" t="str">
        <f>IFERROR(VLOOKUP($A15,ContactDetails!$A$4:$K$28,3,FALSE),"-")</f>
        <v>-</v>
      </c>
      <c r="D15" s="21" t="str">
        <f>IFERROR(VLOOKUP($A15,ContactDetails!$A$4:$K$28,4,FALSE),"-")</f>
        <v>-</v>
      </c>
      <c r="E15" s="22" t="str">
        <f>IFERROR(HYPERLINK("mailto:"&amp;VLOOKUP($A15,ContactDetails!$A$4:$K$28,5,FALSE),VLOOKUP($A15,ContactDetails!$A$4:$K$28,5,FALSE)),"-")</f>
        <v>-</v>
      </c>
      <c r="F15" s="23"/>
      <c r="G15" s="24"/>
      <c r="H15" s="25"/>
      <c r="I15" s="24"/>
      <c r="J15" s="30"/>
      <c r="K15" s="27"/>
      <c r="L15" s="27"/>
      <c r="M15" s="27"/>
      <c r="N15" s="28"/>
      <c r="O15" s="28"/>
    </row>
    <row r="16" spans="1:26" ht="15" customHeight="1">
      <c r="A16" s="19"/>
      <c r="B16" s="20" t="str">
        <f>IFERROR(VLOOKUP(A16,ContactDetails!$A$4:$K$28,2,FALSE),"-")</f>
        <v>-</v>
      </c>
      <c r="C16" s="21" t="str">
        <f>IFERROR(VLOOKUP($A16,ContactDetails!$A$4:$K$28,3,FALSE),"-")</f>
        <v>-</v>
      </c>
      <c r="D16" s="21" t="str">
        <f>IFERROR(VLOOKUP($A16,ContactDetails!$A$4:$K$28,4,FALSE),"-")</f>
        <v>-</v>
      </c>
      <c r="E16" s="22" t="str">
        <f>IFERROR(HYPERLINK("mailto:"&amp;VLOOKUP($A16,ContactDetails!$A$4:$K$28,5,FALSE),VLOOKUP($A16,ContactDetails!$A$4:$K$28,5,FALSE)),"-")</f>
        <v>-</v>
      </c>
      <c r="F16" s="23"/>
      <c r="G16" s="24"/>
      <c r="H16" s="25"/>
      <c r="I16" s="24"/>
      <c r="J16" s="30"/>
      <c r="K16" s="27"/>
      <c r="L16" s="27"/>
      <c r="M16" s="27"/>
      <c r="N16" s="28"/>
      <c r="O16" s="28"/>
    </row>
    <row r="17" spans="1:15" ht="15" customHeight="1">
      <c r="A17" s="19"/>
      <c r="B17" s="20" t="str">
        <f>IFERROR(VLOOKUP(A17,ContactDetails!$A$4:$K$28,2,FALSE),"-")</f>
        <v>-</v>
      </c>
      <c r="C17" s="21" t="str">
        <f>IFERROR(VLOOKUP($A17,ContactDetails!$A$4:$K$28,3,FALSE),"-")</f>
        <v>-</v>
      </c>
      <c r="D17" s="21" t="str">
        <f>IFERROR(VLOOKUP($A17,ContactDetails!$A$4:$K$28,4,FALSE),"-")</f>
        <v>-</v>
      </c>
      <c r="E17" s="22" t="str">
        <f>IFERROR(HYPERLINK("mailto:"&amp;VLOOKUP($A17,ContactDetails!$A$4:$K$28,5,FALSE),VLOOKUP($A17,ContactDetails!$A$4:$K$28,5,FALSE)),"-")</f>
        <v>-</v>
      </c>
      <c r="F17" s="23"/>
      <c r="G17" s="24"/>
      <c r="H17" s="25"/>
      <c r="I17" s="24"/>
      <c r="J17" s="30"/>
      <c r="K17" s="27"/>
      <c r="L17" s="27"/>
      <c r="M17" s="27"/>
      <c r="N17" s="28"/>
      <c r="O17" s="28"/>
    </row>
    <row r="18" spans="1:15" ht="15" customHeight="1">
      <c r="A18" s="19"/>
      <c r="B18" s="20" t="str">
        <f>IFERROR(VLOOKUP(A18,ContactDetails!$A$4:$K$28,2,FALSE),"-")</f>
        <v>-</v>
      </c>
      <c r="C18" s="21" t="str">
        <f>IFERROR(VLOOKUP($A18,ContactDetails!$A$4:$K$28,3,FALSE),"-")</f>
        <v>-</v>
      </c>
      <c r="D18" s="21" t="str">
        <f>IFERROR(VLOOKUP($A18,ContactDetails!$A$4:$K$28,4,FALSE),"-")</f>
        <v>-</v>
      </c>
      <c r="E18" s="22" t="str">
        <f>IFERROR(HYPERLINK("mailto:"&amp;VLOOKUP($A18,ContactDetails!$A$4:$K$28,5,FALSE),VLOOKUP($A18,ContactDetails!$A$4:$K$28,5,FALSE)),"-")</f>
        <v>-</v>
      </c>
      <c r="F18" s="23"/>
      <c r="G18" s="24"/>
      <c r="H18" s="25"/>
      <c r="I18" s="24"/>
      <c r="J18" s="30"/>
      <c r="K18" s="27"/>
      <c r="L18" s="27"/>
      <c r="M18" s="27"/>
      <c r="N18" s="28"/>
      <c r="O18" s="28"/>
    </row>
    <row r="19" spans="1:15" ht="15" customHeight="1">
      <c r="A19" s="19"/>
      <c r="B19" s="20" t="str">
        <f>IFERROR(VLOOKUP(A19,ContactDetails!$A$4:$K$28,2,FALSE),"-")</f>
        <v>-</v>
      </c>
      <c r="C19" s="21" t="str">
        <f>IFERROR(VLOOKUP($A19,ContactDetails!$A$4:$K$28,3,FALSE),"-")</f>
        <v>-</v>
      </c>
      <c r="D19" s="21" t="str">
        <f>IFERROR(VLOOKUP($A19,ContactDetails!$A$4:$K$28,4,FALSE),"-")</f>
        <v>-</v>
      </c>
      <c r="E19" s="22" t="str">
        <f>IFERROR(HYPERLINK("mailto:"&amp;VLOOKUP($A19,ContactDetails!$A$4:$K$28,5,FALSE),VLOOKUP($A19,ContactDetails!$A$4:$K$28,5,FALSE)),"-")</f>
        <v>-</v>
      </c>
      <c r="F19" s="23"/>
      <c r="G19" s="24"/>
      <c r="H19" s="25"/>
      <c r="I19" s="24"/>
      <c r="J19" s="30"/>
      <c r="K19" s="27"/>
      <c r="L19" s="27"/>
      <c r="M19" s="27"/>
      <c r="N19" s="28"/>
      <c r="O19" s="28"/>
    </row>
    <row r="20" spans="1:15" ht="15" customHeight="1">
      <c r="A20" s="31"/>
      <c r="B20" s="31"/>
      <c r="C20" s="32"/>
      <c r="D20" s="32"/>
      <c r="E20" s="33"/>
      <c r="F20" s="34"/>
      <c r="G20" s="33"/>
      <c r="H20" s="33"/>
      <c r="I20" s="33"/>
      <c r="J20" s="33"/>
      <c r="K20" s="32"/>
      <c r="L20" s="32"/>
      <c r="M20" s="32"/>
      <c r="N20" s="28"/>
      <c r="O20" s="28"/>
    </row>
    <row r="21" spans="1:15" ht="15" customHeight="1">
      <c r="A21" s="35" t="s">
        <v>27</v>
      </c>
      <c r="B21" s="2"/>
      <c r="C21" s="2"/>
      <c r="D21" s="2"/>
      <c r="E21" s="2"/>
      <c r="F21" s="2"/>
      <c r="G21" s="2"/>
      <c r="H21" s="2"/>
      <c r="I21" s="2"/>
      <c r="J21" s="2"/>
      <c r="K21" s="2"/>
      <c r="L21" s="36"/>
      <c r="M21" s="36" t="s">
        <v>28</v>
      </c>
      <c r="N21" s="2"/>
      <c r="O21" s="2"/>
    </row>
    <row r="22" spans="1:15" ht="15" customHeight="1">
      <c r="A22" s="2"/>
      <c r="B22" s="2"/>
      <c r="C22" s="2"/>
      <c r="D22" s="2"/>
      <c r="E22" s="2"/>
      <c r="F22" s="2"/>
      <c r="G22" s="2"/>
      <c r="H22" s="2"/>
      <c r="I22" s="2"/>
      <c r="J22" s="2"/>
      <c r="K22" s="2"/>
      <c r="L22" s="36"/>
      <c r="M22" s="36"/>
      <c r="N22" s="2"/>
      <c r="O22" s="2"/>
    </row>
    <row r="23" spans="1:15" ht="15" customHeight="1">
      <c r="A23" s="37" t="s">
        <v>29</v>
      </c>
      <c r="B23" s="2"/>
      <c r="C23" s="2"/>
      <c r="D23" s="2"/>
      <c r="E23" s="2"/>
      <c r="F23" s="2"/>
      <c r="G23" s="2"/>
      <c r="H23" s="2"/>
      <c r="I23" s="2"/>
      <c r="J23" s="2"/>
      <c r="K23" s="2"/>
      <c r="L23" s="36"/>
      <c r="M23" s="36"/>
      <c r="N23" s="2"/>
      <c r="O23" s="2"/>
    </row>
    <row r="24" spans="1:15" ht="15" customHeight="1">
      <c r="A24" s="101" t="s">
        <v>30</v>
      </c>
      <c r="B24" s="98"/>
      <c r="C24" s="38"/>
      <c r="D24" s="101" t="s">
        <v>31</v>
      </c>
      <c r="E24" s="98"/>
      <c r="F24" s="2"/>
      <c r="G24" s="2"/>
      <c r="H24" s="2"/>
      <c r="I24" s="2"/>
      <c r="J24" s="2"/>
      <c r="K24" s="2"/>
      <c r="L24" s="36"/>
      <c r="M24" s="36"/>
      <c r="N24" s="2"/>
      <c r="O24" s="2"/>
    </row>
    <row r="25" spans="1:15" ht="15" customHeight="1">
      <c r="A25" s="102">
        <v>2</v>
      </c>
      <c r="B25" s="98"/>
      <c r="C25" s="38"/>
      <c r="D25" s="102">
        <v>10</v>
      </c>
      <c r="E25" s="98"/>
      <c r="F25" s="2"/>
      <c r="G25" s="2"/>
      <c r="H25" s="2"/>
      <c r="I25" s="2"/>
      <c r="J25" s="2"/>
      <c r="K25" s="2"/>
      <c r="L25" s="36"/>
      <c r="M25" s="36"/>
      <c r="N25" s="2"/>
      <c r="O25" s="2"/>
    </row>
    <row r="26" spans="1:15" ht="15" customHeight="1">
      <c r="A26" s="97">
        <v>5</v>
      </c>
      <c r="B26" s="98"/>
      <c r="C26" s="38"/>
      <c r="D26" s="97">
        <v>5</v>
      </c>
      <c r="E26" s="98"/>
      <c r="F26" s="2"/>
      <c r="G26" s="2"/>
      <c r="H26" s="2"/>
      <c r="I26" s="2"/>
      <c r="J26" s="2"/>
      <c r="K26" s="2"/>
      <c r="L26" s="36"/>
      <c r="M26" s="36"/>
      <c r="N26" s="2"/>
      <c r="O26" s="2"/>
    </row>
    <row r="27" spans="1:15" ht="15" customHeight="1">
      <c r="A27" s="99" t="str">
        <f>"&gt; "&amp;A26</f>
        <v>&gt; 5</v>
      </c>
      <c r="B27" s="98"/>
      <c r="C27" s="38"/>
      <c r="D27" s="99" t="str">
        <f>"&lt; "&amp;D26</f>
        <v>&lt; 5</v>
      </c>
      <c r="E27" s="98"/>
      <c r="F27" s="2"/>
      <c r="G27" s="2"/>
      <c r="H27" s="2"/>
      <c r="I27" s="2"/>
      <c r="J27" s="2"/>
      <c r="K27" s="2"/>
      <c r="L27" s="36"/>
      <c r="M27" s="36"/>
      <c r="N27" s="2"/>
      <c r="O27" s="2"/>
    </row>
    <row r="28" spans="1:15" ht="15" customHeight="1">
      <c r="A28" s="2"/>
      <c r="B28" s="2"/>
      <c r="C28" s="2"/>
      <c r="D28" s="2"/>
      <c r="E28" s="2"/>
      <c r="F28" s="2"/>
      <c r="G28" s="2"/>
      <c r="H28" s="2"/>
      <c r="I28" s="2"/>
      <c r="J28" s="2"/>
      <c r="K28" s="2"/>
      <c r="L28" s="36"/>
      <c r="M28" s="36"/>
      <c r="N28" s="2"/>
      <c r="O28" s="2"/>
    </row>
    <row r="29" spans="1:15" ht="15" customHeight="1">
      <c r="A29" s="2"/>
      <c r="B29" s="2"/>
      <c r="C29" s="2"/>
      <c r="D29" s="2"/>
      <c r="E29" s="2"/>
      <c r="F29" s="2"/>
      <c r="G29" s="2"/>
      <c r="H29" s="2"/>
      <c r="I29" s="2"/>
      <c r="J29" s="2"/>
      <c r="K29" s="2"/>
      <c r="L29" s="36"/>
      <c r="M29" s="36"/>
      <c r="N29" s="2"/>
      <c r="O29" s="2"/>
    </row>
    <row r="30" spans="1:15" ht="15" customHeight="1">
      <c r="A30" s="2"/>
      <c r="B30" s="2"/>
      <c r="C30" s="2"/>
      <c r="D30" s="2"/>
      <c r="E30" s="2"/>
      <c r="F30" s="2"/>
      <c r="G30" s="2"/>
      <c r="H30" s="2"/>
      <c r="I30" s="2"/>
      <c r="J30" s="2"/>
      <c r="K30" s="2"/>
      <c r="L30" s="36"/>
      <c r="M30" s="36"/>
      <c r="N30" s="2"/>
      <c r="O30" s="2"/>
    </row>
    <row r="31" spans="1:15" ht="15" customHeight="1">
      <c r="A31" s="2"/>
      <c r="B31" s="2"/>
      <c r="C31" s="2"/>
      <c r="D31" s="2"/>
      <c r="E31" s="2"/>
      <c r="F31" s="2"/>
      <c r="G31" s="2"/>
      <c r="H31" s="2"/>
      <c r="I31" s="2"/>
      <c r="J31" s="2"/>
      <c r="K31" s="2"/>
      <c r="L31" s="36"/>
      <c r="M31" s="36"/>
      <c r="N31" s="2"/>
      <c r="O31" s="2"/>
    </row>
    <row r="32" spans="1:15"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M21" xr:uid="{00000000-0009-0000-0000-000000000000}"/>
  <mergeCells count="9">
    <mergeCell ref="D26:E26"/>
    <mergeCell ref="D27:E27"/>
    <mergeCell ref="O2:R4"/>
    <mergeCell ref="A24:B24"/>
    <mergeCell ref="D24:E24"/>
    <mergeCell ref="A25:B25"/>
    <mergeCell ref="D25:E25"/>
    <mergeCell ref="A26:B26"/>
    <mergeCell ref="A27:B27"/>
  </mergeCells>
  <conditionalFormatting sqref="D4">
    <cfRule type="containsText" dxfId="9" priority="7" operator="containsText" text="Vertex42">
      <formula>NOT(ISERROR(SEARCH(("Vertex42"),(D4))))</formula>
    </cfRule>
  </conditionalFormatting>
  <conditionalFormatting sqref="G5:G20">
    <cfRule type="expression" dxfId="8" priority="4">
      <formula>AND(NOT(ISBLANK(G5)),(TODAY()-G5)&lt;=$A$25)</formula>
    </cfRule>
    <cfRule type="expression" dxfId="7" priority="5">
      <formula>(TODAY()-G5)&lt;=$A$26</formula>
    </cfRule>
    <cfRule type="expression" dxfId="6" priority="6">
      <formula>NOT(ISBLANK(G5))</formula>
    </cfRule>
  </conditionalFormatting>
  <conditionalFormatting sqref="I5:I20">
    <cfRule type="expression" dxfId="5" priority="1">
      <formula>(I5-TODAY())&gt;=$D$25</formula>
    </cfRule>
    <cfRule type="expression" dxfId="4" priority="2">
      <formula>(I5-TODAY())&gt;=$D$26</formula>
    </cfRule>
    <cfRule type="expression" dxfId="3" priority="3">
      <formula>NOT(ISBLANK(I5))</formula>
    </cfRule>
  </conditionalFormatting>
  <conditionalFormatting sqref="J5:J20">
    <cfRule type="containsText" dxfId="2" priority="8" operator="containsText" text="Cold">
      <formula>NOT(ISERROR(SEARCH(("Cold"),(J5))))</formula>
    </cfRule>
    <cfRule type="containsText" dxfId="1" priority="9" operator="containsText" text="Warm">
      <formula>NOT(ISERROR(SEARCH(("Warm"),(J5))))</formula>
    </cfRule>
    <cfRule type="containsText" dxfId="0" priority="10" operator="containsText" text="Hot">
      <formula>NOT(ISERROR(SEARCH(("Hot"),(J5))))</formula>
    </cfRule>
  </conditionalFormatting>
  <dataValidations count="4">
    <dataValidation type="list" allowBlank="1" showErrorMessage="1" sqref="J5:J20" xr:uid="{00000000-0002-0000-0000-000000000000}">
      <formula1>lead_status</formula1>
    </dataValidation>
    <dataValidation type="list" allowBlank="1" showErrorMessage="1" sqref="K5:K20" xr:uid="{00000000-0002-0000-0000-000001000000}">
      <formula1>lead_source</formula1>
    </dataValidation>
    <dataValidation type="list" allowBlank="1" sqref="A5:A20" xr:uid="{00000000-0002-0000-0000-000002000000}">
      <formula1>Customers</formula1>
    </dataValidation>
    <dataValidation type="list" allowBlank="1" sqref="L5:L20" xr:uid="{00000000-0002-0000-0000-000003000000}">
      <formula1>team_names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6428C"/>
    <outlinePr summaryBelow="0" summaryRight="0"/>
  </sheetPr>
  <dimension ref="A1:K1000"/>
  <sheetViews>
    <sheetView showGridLines="0" workbookViewId="0">
      <pane ySplit="4" topLeftCell="A5" activePane="bottomLeft" state="frozen"/>
      <selection pane="bottomLeft" activeCell="B6" sqref="B6"/>
    </sheetView>
  </sheetViews>
  <sheetFormatPr baseColWidth="10" defaultColWidth="12.5" defaultRowHeight="15" customHeight="1"/>
  <cols>
    <col min="1" max="1" width="11.5" customWidth="1"/>
    <col min="2" max="2" width="16" customWidth="1"/>
    <col min="3" max="3" width="16.83203125" customWidth="1"/>
    <col min="4" max="4" width="11.1640625" customWidth="1"/>
    <col min="5" max="5" width="10.83203125" customWidth="1"/>
    <col min="6" max="6" width="43.33203125" customWidth="1"/>
    <col min="7" max="7" width="5.5" customWidth="1"/>
    <col min="8" max="8" width="22" customWidth="1"/>
    <col min="9" max="26" width="15.1640625" customWidth="1"/>
  </cols>
  <sheetData>
    <row r="1" spans="1:11" ht="27.75" customHeight="1">
      <c r="A1" s="1" t="s">
        <v>32</v>
      </c>
      <c r="B1" s="2"/>
      <c r="C1" s="2"/>
      <c r="D1" s="2"/>
      <c r="E1" s="2"/>
      <c r="F1" s="2"/>
      <c r="G1" s="2"/>
      <c r="H1" s="3"/>
    </row>
    <row r="2" spans="1:11" ht="18" customHeight="1">
      <c r="A2" s="4" t="s">
        <v>1</v>
      </c>
      <c r="B2" s="2"/>
      <c r="C2" s="2"/>
      <c r="D2" s="2"/>
      <c r="E2" s="2"/>
      <c r="F2" s="2"/>
      <c r="H2" s="100"/>
      <c r="I2" s="98"/>
      <c r="J2" s="98"/>
      <c r="K2" s="98"/>
    </row>
    <row r="3" spans="1:11" ht="18" customHeight="1">
      <c r="A3" s="5"/>
      <c r="B3" s="2"/>
      <c r="C3" s="2"/>
      <c r="D3" s="2"/>
      <c r="E3" s="6"/>
      <c r="F3" s="6"/>
      <c r="H3" s="98"/>
      <c r="I3" s="98"/>
      <c r="J3" s="98"/>
      <c r="K3" s="98"/>
    </row>
    <row r="4" spans="1:11" ht="33" customHeight="1">
      <c r="A4" s="39" t="s">
        <v>33</v>
      </c>
      <c r="B4" s="39" t="s">
        <v>34</v>
      </c>
      <c r="C4" s="39" t="s">
        <v>35</v>
      </c>
      <c r="D4" s="39" t="s">
        <v>36</v>
      </c>
      <c r="E4" s="39" t="s">
        <v>37</v>
      </c>
      <c r="F4" s="39" t="s">
        <v>14</v>
      </c>
      <c r="G4" s="40"/>
      <c r="H4" s="98"/>
      <c r="I4" s="98"/>
      <c r="J4" s="98"/>
      <c r="K4" s="98"/>
    </row>
    <row r="5" spans="1:11" ht="15.75" customHeight="1">
      <c r="A5" s="24">
        <v>43969</v>
      </c>
      <c r="B5" s="27" t="s">
        <v>23</v>
      </c>
      <c r="C5" s="41"/>
      <c r="D5" s="27" t="s">
        <v>38</v>
      </c>
      <c r="E5" s="27" t="s">
        <v>18</v>
      </c>
      <c r="F5" s="42" t="s">
        <v>39</v>
      </c>
      <c r="G5" s="40"/>
      <c r="H5" s="43"/>
    </row>
    <row r="6" spans="1:11" ht="15.75" customHeight="1">
      <c r="A6" s="24">
        <v>43969</v>
      </c>
      <c r="B6" s="27" t="s">
        <v>19</v>
      </c>
      <c r="C6" s="41"/>
      <c r="D6" s="27" t="s">
        <v>6</v>
      </c>
      <c r="E6" s="27" t="s">
        <v>25</v>
      </c>
      <c r="F6" s="42"/>
      <c r="G6" s="40"/>
      <c r="H6" s="43"/>
    </row>
    <row r="7" spans="1:11" ht="15.75" customHeight="1">
      <c r="A7" s="24"/>
      <c r="B7" s="27"/>
      <c r="C7" s="41"/>
      <c r="D7" s="27"/>
      <c r="E7" s="27"/>
      <c r="F7" s="42"/>
      <c r="G7" s="40"/>
      <c r="H7" s="43"/>
    </row>
    <row r="8" spans="1:11" ht="15.75" customHeight="1">
      <c r="A8" s="24"/>
      <c r="B8" s="27"/>
      <c r="C8" s="41"/>
      <c r="D8" s="27"/>
      <c r="E8" s="27"/>
      <c r="F8" s="42"/>
      <c r="G8" s="40"/>
      <c r="H8" s="43"/>
    </row>
    <row r="9" spans="1:11" ht="15.75" customHeight="1">
      <c r="A9" s="24"/>
      <c r="B9" s="27"/>
      <c r="C9" s="41"/>
      <c r="D9" s="27"/>
      <c r="E9" s="27"/>
      <c r="F9" s="42"/>
      <c r="G9" s="40"/>
      <c r="H9" s="43"/>
    </row>
    <row r="10" spans="1:11" ht="15.75" customHeight="1">
      <c r="A10" s="24"/>
      <c r="B10" s="27"/>
      <c r="C10" s="41"/>
      <c r="D10" s="27"/>
      <c r="E10" s="27"/>
      <c r="F10" s="42"/>
      <c r="G10" s="40"/>
      <c r="H10" s="43"/>
    </row>
    <row r="11" spans="1:11" ht="15.75" customHeight="1">
      <c r="A11" s="24"/>
      <c r="B11" s="27"/>
      <c r="C11" s="41"/>
      <c r="D11" s="27"/>
      <c r="E11" s="27"/>
      <c r="F11" s="42"/>
      <c r="G11" s="40"/>
      <c r="H11" s="43"/>
    </row>
    <row r="12" spans="1:11" ht="15.75" customHeight="1">
      <c r="A12" s="24"/>
      <c r="B12" s="27"/>
      <c r="C12" s="41"/>
      <c r="D12" s="27"/>
      <c r="E12" s="27"/>
      <c r="F12" s="42"/>
      <c r="G12" s="40"/>
      <c r="H12" s="43"/>
    </row>
    <row r="13" spans="1:11" ht="15.75" customHeight="1">
      <c r="A13" s="24"/>
      <c r="B13" s="27"/>
      <c r="C13" s="41"/>
      <c r="D13" s="27"/>
      <c r="E13" s="27"/>
      <c r="F13" s="42"/>
      <c r="G13" s="40"/>
      <c r="H13" s="43"/>
    </row>
    <row r="14" spans="1:11" ht="15.75" customHeight="1">
      <c r="A14" s="24"/>
      <c r="B14" s="27"/>
      <c r="C14" s="41"/>
      <c r="D14" s="27"/>
      <c r="E14" s="27"/>
      <c r="F14" s="42"/>
      <c r="G14" s="40"/>
      <c r="H14" s="43"/>
    </row>
    <row r="15" spans="1:11" ht="15.75" customHeight="1">
      <c r="A15" s="24"/>
      <c r="B15" s="27"/>
      <c r="C15" s="41"/>
      <c r="D15" s="27"/>
      <c r="E15" s="27"/>
      <c r="F15" s="42"/>
      <c r="G15" s="40"/>
      <c r="H15" s="43"/>
    </row>
    <row r="16" spans="1:11" ht="15.75" customHeight="1">
      <c r="A16" s="24"/>
      <c r="B16" s="27"/>
      <c r="C16" s="41"/>
      <c r="D16" s="27"/>
      <c r="E16" s="27"/>
      <c r="F16" s="42"/>
      <c r="G16" s="40"/>
      <c r="H16" s="43"/>
    </row>
    <row r="17" spans="1:8" ht="15.75" customHeight="1">
      <c r="A17" s="24"/>
      <c r="B17" s="27"/>
      <c r="C17" s="41"/>
      <c r="D17" s="27"/>
      <c r="E17" s="27"/>
      <c r="F17" s="42"/>
      <c r="G17" s="40"/>
      <c r="H17" s="43"/>
    </row>
    <row r="18" spans="1:8" ht="15.75" customHeight="1">
      <c r="A18" s="24"/>
      <c r="B18" s="27"/>
      <c r="C18" s="41"/>
      <c r="D18" s="27"/>
      <c r="E18" s="27"/>
      <c r="F18" s="42"/>
      <c r="G18" s="40"/>
      <c r="H18" s="43"/>
    </row>
    <row r="19" spans="1:8" ht="15.75" customHeight="1">
      <c r="A19" s="24"/>
      <c r="B19" s="27"/>
      <c r="C19" s="41"/>
      <c r="D19" s="27"/>
      <c r="E19" s="27"/>
      <c r="F19" s="42"/>
      <c r="G19" s="40"/>
      <c r="H19" s="43"/>
    </row>
    <row r="20" spans="1:8" ht="15.75" customHeight="1">
      <c r="A20" s="24"/>
      <c r="B20" s="27"/>
      <c r="C20" s="41"/>
      <c r="D20" s="27"/>
      <c r="E20" s="27"/>
      <c r="F20" s="42"/>
      <c r="G20" s="40"/>
      <c r="H20" s="43"/>
    </row>
    <row r="21" spans="1:8" ht="15.75" customHeight="1">
      <c r="A21" s="24"/>
      <c r="B21" s="27"/>
      <c r="C21" s="41"/>
      <c r="D21" s="27"/>
      <c r="E21" s="27"/>
      <c r="F21" s="42"/>
      <c r="G21" s="40"/>
      <c r="H21" s="43"/>
    </row>
    <row r="22" spans="1:8" ht="15.75" customHeight="1">
      <c r="A22" s="24"/>
      <c r="B22" s="27"/>
      <c r="C22" s="41"/>
      <c r="D22" s="27"/>
      <c r="E22" s="27"/>
      <c r="F22" s="42"/>
      <c r="G22" s="40"/>
      <c r="H22" s="43"/>
    </row>
    <row r="23" spans="1:8" ht="15.75" customHeight="1">
      <c r="A23" s="24"/>
      <c r="B23" s="27"/>
      <c r="C23" s="41"/>
      <c r="D23" s="27"/>
      <c r="E23" s="27"/>
      <c r="F23" s="42"/>
      <c r="G23" s="40"/>
      <c r="H23" s="43"/>
    </row>
    <row r="24" spans="1:8" ht="15.75" customHeight="1">
      <c r="A24" s="24"/>
      <c r="B24" s="27"/>
      <c r="C24" s="41"/>
      <c r="D24" s="27"/>
      <c r="E24" s="27"/>
      <c r="F24" s="42"/>
      <c r="G24" s="40"/>
      <c r="H24" s="43"/>
    </row>
    <row r="25" spans="1:8" ht="15.75" customHeight="1">
      <c r="A25" s="24"/>
      <c r="B25" s="27"/>
      <c r="C25" s="41"/>
      <c r="D25" s="27"/>
      <c r="E25" s="27"/>
      <c r="F25" s="42"/>
      <c r="G25" s="40"/>
      <c r="H25" s="43"/>
    </row>
    <row r="26" spans="1:8" ht="15.75" customHeight="1">
      <c r="A26" s="24"/>
      <c r="B26" s="27"/>
      <c r="C26" s="41"/>
      <c r="D26" s="27"/>
      <c r="E26" s="27"/>
      <c r="F26" s="42"/>
      <c r="G26" s="40"/>
      <c r="H26" s="43"/>
    </row>
    <row r="27" spans="1:8" ht="15.75" customHeight="1">
      <c r="A27" s="24"/>
      <c r="B27" s="27"/>
      <c r="C27" s="41"/>
      <c r="D27" s="27"/>
      <c r="E27" s="27"/>
      <c r="F27" s="42"/>
      <c r="G27" s="40"/>
      <c r="H27" s="43"/>
    </row>
    <row r="28" spans="1:8" ht="15.75" customHeight="1">
      <c r="A28" s="44"/>
      <c r="B28" s="32"/>
      <c r="C28" s="45"/>
      <c r="D28" s="32"/>
      <c r="E28" s="32"/>
      <c r="F28" s="46"/>
      <c r="G28" s="40"/>
      <c r="H28" s="43"/>
    </row>
    <row r="29" spans="1:8" ht="15.75" customHeight="1">
      <c r="A29" s="28" t="s">
        <v>27</v>
      </c>
      <c r="B29" s="28"/>
      <c r="C29" s="28"/>
      <c r="D29" s="28"/>
      <c r="E29" s="47"/>
      <c r="F29" s="47" t="s">
        <v>28</v>
      </c>
      <c r="G29" s="40"/>
      <c r="H29" s="43"/>
    </row>
    <row r="30" spans="1:8" ht="15.75" customHeight="1"/>
    <row r="31" spans="1:8" ht="15.75" customHeight="1"/>
    <row r="32" spans="1: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F29" xr:uid="{00000000-0009-0000-0000-000001000000}"/>
  <mergeCells count="1">
    <mergeCell ref="H2:K4"/>
  </mergeCells>
  <dataValidations count="2">
    <dataValidation type="list" allowBlank="1" showInputMessage="1" prompt=" - " sqref="B5:B28" xr:uid="{00000000-0002-0000-0100-000000000000}">
      <formula1>Customers</formula1>
    </dataValidation>
    <dataValidation type="list" allowBlank="1" sqref="E5:E28" xr:uid="{00000000-0002-0000-0100-000001000000}">
      <formula1>team_names</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D7E1D"/>
    <outlinePr summaryBelow="0" summaryRight="0"/>
  </sheetPr>
  <dimension ref="A1:K1000"/>
  <sheetViews>
    <sheetView showGridLines="0" workbookViewId="0">
      <pane ySplit="4" topLeftCell="A5" activePane="bottomLeft" state="frozen"/>
      <selection pane="bottomLeft" activeCell="B6" sqref="B6"/>
    </sheetView>
  </sheetViews>
  <sheetFormatPr baseColWidth="10" defaultColWidth="12.5" defaultRowHeight="15" customHeight="1"/>
  <cols>
    <col min="1" max="1" width="11.5" customWidth="1"/>
    <col min="2" max="2" width="15.5" customWidth="1"/>
    <col min="3" max="3" width="11.5" customWidth="1"/>
    <col min="4" max="4" width="24.5" customWidth="1"/>
    <col min="5" max="5" width="10.6640625" customWidth="1"/>
    <col min="6" max="6" width="10.5" customWidth="1"/>
    <col min="7" max="7" width="30.5" customWidth="1"/>
    <col min="8" max="8" width="4.5" customWidth="1"/>
    <col min="9" max="9" width="22" customWidth="1"/>
    <col min="10" max="26" width="15.1640625" customWidth="1"/>
  </cols>
  <sheetData>
    <row r="1" spans="1:11" ht="27.75" customHeight="1">
      <c r="A1" s="1" t="s">
        <v>40</v>
      </c>
      <c r="B1" s="2"/>
      <c r="C1" s="2"/>
      <c r="D1" s="2"/>
      <c r="E1" s="2"/>
      <c r="F1" s="2"/>
      <c r="G1" s="2"/>
      <c r="H1" s="2"/>
      <c r="I1" s="3"/>
    </row>
    <row r="2" spans="1:11" ht="18" customHeight="1">
      <c r="A2" s="4" t="s">
        <v>1</v>
      </c>
      <c r="B2" s="2"/>
      <c r="C2" s="2"/>
      <c r="D2" s="2"/>
      <c r="E2" s="2"/>
      <c r="F2" s="2"/>
      <c r="G2" s="2"/>
      <c r="I2" s="100"/>
      <c r="J2" s="98"/>
      <c r="K2" s="98"/>
    </row>
    <row r="3" spans="1:11" ht="18" customHeight="1">
      <c r="A3" s="5"/>
      <c r="B3" s="2"/>
      <c r="C3" s="2"/>
      <c r="D3" s="2"/>
      <c r="E3" s="2"/>
      <c r="F3" s="6"/>
      <c r="G3" s="6" t="s">
        <v>41</v>
      </c>
      <c r="I3" s="98"/>
      <c r="J3" s="98"/>
      <c r="K3" s="98"/>
    </row>
    <row r="4" spans="1:11" ht="33" customHeight="1">
      <c r="A4" s="39" t="s">
        <v>42</v>
      </c>
      <c r="B4" s="39" t="s">
        <v>34</v>
      </c>
      <c r="C4" s="39" t="s">
        <v>43</v>
      </c>
      <c r="D4" s="39" t="s">
        <v>44</v>
      </c>
      <c r="E4" s="39" t="s">
        <v>45</v>
      </c>
      <c r="F4" s="39" t="s">
        <v>37</v>
      </c>
      <c r="G4" s="39" t="s">
        <v>14</v>
      </c>
      <c r="H4" s="40"/>
      <c r="I4" s="98"/>
      <c r="J4" s="98"/>
      <c r="K4" s="98"/>
    </row>
    <row r="5" spans="1:11" ht="15.75" customHeight="1">
      <c r="A5" s="24">
        <v>43969</v>
      </c>
      <c r="B5" s="27" t="s">
        <v>23</v>
      </c>
      <c r="C5" s="23">
        <v>4500</v>
      </c>
      <c r="D5" s="48" t="s">
        <v>46</v>
      </c>
      <c r="E5" s="26">
        <v>2342</v>
      </c>
      <c r="F5" s="27" t="s">
        <v>25</v>
      </c>
      <c r="G5" s="42"/>
      <c r="H5" s="40"/>
      <c r="I5" s="28"/>
    </row>
    <row r="6" spans="1:11" ht="15.75" customHeight="1">
      <c r="A6" s="24">
        <v>43955</v>
      </c>
      <c r="B6" s="27" t="s">
        <v>19</v>
      </c>
      <c r="C6" s="23">
        <v>2500</v>
      </c>
      <c r="D6" s="48" t="s">
        <v>47</v>
      </c>
      <c r="E6" s="26">
        <v>2343</v>
      </c>
      <c r="F6" s="27" t="s">
        <v>18</v>
      </c>
      <c r="G6" s="42"/>
      <c r="H6" s="40"/>
      <c r="I6" s="29"/>
    </row>
    <row r="7" spans="1:11" ht="15.75" customHeight="1">
      <c r="A7" s="24"/>
      <c r="B7" s="27"/>
      <c r="C7" s="23"/>
      <c r="D7" s="48"/>
      <c r="E7" s="26"/>
      <c r="F7" s="27"/>
      <c r="G7" s="42"/>
      <c r="H7" s="40"/>
      <c r="I7" s="28"/>
    </row>
    <row r="8" spans="1:11" ht="15.75" customHeight="1">
      <c r="A8" s="24"/>
      <c r="B8" s="27"/>
      <c r="C8" s="23"/>
      <c r="D8" s="48"/>
      <c r="E8" s="26"/>
      <c r="F8" s="27"/>
      <c r="G8" s="42"/>
      <c r="H8" s="40"/>
      <c r="I8" s="28"/>
    </row>
    <row r="9" spans="1:11" ht="15.75" customHeight="1">
      <c r="A9" s="24"/>
      <c r="B9" s="27"/>
      <c r="C9" s="23"/>
      <c r="D9" s="48"/>
      <c r="E9" s="26"/>
      <c r="F9" s="27"/>
      <c r="G9" s="42"/>
      <c r="H9" s="40"/>
      <c r="I9" s="28"/>
    </row>
    <row r="10" spans="1:11" ht="15.75" customHeight="1">
      <c r="A10" s="24"/>
      <c r="B10" s="27"/>
      <c r="C10" s="23"/>
      <c r="D10" s="48"/>
      <c r="E10" s="26"/>
      <c r="F10" s="27"/>
      <c r="G10" s="42"/>
      <c r="H10" s="40"/>
      <c r="I10" s="28"/>
    </row>
    <row r="11" spans="1:11" ht="15.75" customHeight="1">
      <c r="A11" s="24"/>
      <c r="B11" s="27"/>
      <c r="C11" s="23"/>
      <c r="D11" s="48"/>
      <c r="E11" s="26"/>
      <c r="F11" s="27"/>
      <c r="G11" s="42"/>
      <c r="H11" s="40"/>
      <c r="I11" s="28"/>
    </row>
    <row r="12" spans="1:11" ht="15.75" customHeight="1">
      <c r="A12" s="24"/>
      <c r="B12" s="27"/>
      <c r="C12" s="23"/>
      <c r="D12" s="48"/>
      <c r="E12" s="26"/>
      <c r="F12" s="27"/>
      <c r="G12" s="42"/>
      <c r="H12" s="40"/>
      <c r="I12" s="28"/>
    </row>
    <row r="13" spans="1:11" ht="15.75" customHeight="1">
      <c r="A13" s="24"/>
      <c r="B13" s="27"/>
      <c r="C13" s="23"/>
      <c r="D13" s="48"/>
      <c r="E13" s="26"/>
      <c r="F13" s="27"/>
      <c r="G13" s="42"/>
      <c r="H13" s="40"/>
      <c r="I13" s="28"/>
    </row>
    <row r="14" spans="1:11" ht="15.75" customHeight="1">
      <c r="A14" s="24"/>
      <c r="B14" s="27"/>
      <c r="C14" s="23"/>
      <c r="D14" s="48"/>
      <c r="E14" s="26"/>
      <c r="F14" s="27"/>
      <c r="G14" s="42"/>
      <c r="H14" s="40"/>
      <c r="I14" s="28"/>
    </row>
    <row r="15" spans="1:11" ht="15.75" customHeight="1">
      <c r="A15" s="24"/>
      <c r="B15" s="27"/>
      <c r="C15" s="23"/>
      <c r="D15" s="48"/>
      <c r="E15" s="26"/>
      <c r="F15" s="27"/>
      <c r="G15" s="42"/>
      <c r="H15" s="40"/>
      <c r="I15" s="28"/>
    </row>
    <row r="16" spans="1:11" ht="15.75" customHeight="1">
      <c r="A16" s="24"/>
      <c r="B16" s="27"/>
      <c r="C16" s="23"/>
      <c r="D16" s="48"/>
      <c r="E16" s="26"/>
      <c r="F16" s="27"/>
      <c r="G16" s="42"/>
      <c r="H16" s="40"/>
      <c r="I16" s="28"/>
    </row>
    <row r="17" spans="1:9" ht="15.75" customHeight="1">
      <c r="A17" s="24"/>
      <c r="B17" s="27"/>
      <c r="C17" s="23"/>
      <c r="D17" s="48"/>
      <c r="E17" s="26"/>
      <c r="F17" s="27"/>
      <c r="G17" s="42"/>
      <c r="H17" s="40"/>
      <c r="I17" s="28"/>
    </row>
    <row r="18" spans="1:9" ht="15.75" customHeight="1">
      <c r="A18" s="24"/>
      <c r="B18" s="27"/>
      <c r="C18" s="23"/>
      <c r="D18" s="48"/>
      <c r="E18" s="26"/>
      <c r="F18" s="27"/>
      <c r="G18" s="42"/>
      <c r="H18" s="40"/>
      <c r="I18" s="28"/>
    </row>
    <row r="19" spans="1:9" ht="15.75" customHeight="1">
      <c r="A19" s="24"/>
      <c r="B19" s="27"/>
      <c r="C19" s="23"/>
      <c r="D19" s="48"/>
      <c r="E19" s="26"/>
      <c r="F19" s="27"/>
      <c r="G19" s="42"/>
      <c r="H19" s="40"/>
      <c r="I19" s="28"/>
    </row>
    <row r="20" spans="1:9" ht="15.75" customHeight="1">
      <c r="A20" s="24"/>
      <c r="B20" s="27"/>
      <c r="C20" s="23"/>
      <c r="D20" s="48"/>
      <c r="E20" s="26"/>
      <c r="F20" s="27"/>
      <c r="G20" s="42"/>
      <c r="H20" s="40"/>
      <c r="I20" s="28"/>
    </row>
    <row r="21" spans="1:9" ht="15.75" customHeight="1">
      <c r="A21" s="24"/>
      <c r="B21" s="27"/>
      <c r="C21" s="23"/>
      <c r="D21" s="48"/>
      <c r="E21" s="26"/>
      <c r="F21" s="27"/>
      <c r="G21" s="42"/>
      <c r="H21" s="40"/>
      <c r="I21" s="28"/>
    </row>
    <row r="22" spans="1:9" ht="15.75" customHeight="1">
      <c r="A22" s="24"/>
      <c r="B22" s="27"/>
      <c r="C22" s="23"/>
      <c r="D22" s="48"/>
      <c r="E22" s="26"/>
      <c r="F22" s="27"/>
      <c r="G22" s="42"/>
      <c r="H22" s="40"/>
      <c r="I22" s="28"/>
    </row>
    <row r="23" spans="1:9" ht="15.75" customHeight="1">
      <c r="A23" s="24"/>
      <c r="B23" s="27"/>
      <c r="C23" s="23"/>
      <c r="D23" s="48"/>
      <c r="E23" s="26"/>
      <c r="F23" s="27"/>
      <c r="G23" s="42"/>
      <c r="H23" s="40"/>
      <c r="I23" s="28"/>
    </row>
    <row r="24" spans="1:9" ht="15.75" customHeight="1">
      <c r="A24" s="24"/>
      <c r="B24" s="27"/>
      <c r="C24" s="23"/>
      <c r="D24" s="48"/>
      <c r="E24" s="26"/>
      <c r="F24" s="27"/>
      <c r="G24" s="42"/>
      <c r="H24" s="40"/>
      <c r="I24" s="28"/>
    </row>
    <row r="25" spans="1:9" ht="15.75" customHeight="1">
      <c r="A25" s="24"/>
      <c r="B25" s="27"/>
      <c r="C25" s="23"/>
      <c r="D25" s="48"/>
      <c r="E25" s="26"/>
      <c r="F25" s="27"/>
      <c r="G25" s="42"/>
      <c r="H25" s="40"/>
      <c r="I25" s="28"/>
    </row>
    <row r="26" spans="1:9" ht="15.75" customHeight="1">
      <c r="A26" s="24"/>
      <c r="B26" s="27"/>
      <c r="C26" s="23"/>
      <c r="D26" s="48"/>
      <c r="E26" s="26"/>
      <c r="F26" s="27"/>
      <c r="G26" s="42"/>
      <c r="H26" s="40"/>
      <c r="I26" s="28"/>
    </row>
    <row r="27" spans="1:9" ht="15.75" customHeight="1">
      <c r="A27" s="24"/>
      <c r="B27" s="27"/>
      <c r="C27" s="23"/>
      <c r="D27" s="48"/>
      <c r="E27" s="26"/>
      <c r="F27" s="27"/>
      <c r="G27" s="42"/>
      <c r="H27" s="40"/>
      <c r="I27" s="28"/>
    </row>
    <row r="28" spans="1:9" ht="15.75" customHeight="1">
      <c r="A28" s="44"/>
      <c r="B28" s="32"/>
      <c r="C28" s="49"/>
      <c r="D28" s="49"/>
      <c r="E28" s="49"/>
      <c r="F28" s="32"/>
      <c r="G28" s="46"/>
      <c r="H28" s="40"/>
      <c r="I28" s="28"/>
    </row>
    <row r="29" spans="1:9" ht="15" customHeight="1">
      <c r="A29" s="2" t="s">
        <v>27</v>
      </c>
      <c r="B29" s="2"/>
      <c r="C29" s="2"/>
      <c r="D29" s="2"/>
      <c r="E29" s="2"/>
      <c r="F29" s="50"/>
      <c r="G29" s="50" t="s">
        <v>28</v>
      </c>
      <c r="H29" s="2"/>
      <c r="I29" s="2"/>
    </row>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G28" xr:uid="{00000000-0009-0000-0000-000002000000}"/>
  <mergeCells count="1">
    <mergeCell ref="I2:K4"/>
  </mergeCells>
  <dataValidations count="2">
    <dataValidation type="list" allowBlank="1" sqref="B5:B28" xr:uid="{00000000-0002-0000-0200-000000000000}">
      <formula1>Customers</formula1>
    </dataValidation>
    <dataValidation type="list" allowBlank="1" sqref="F5:F28" xr:uid="{00000000-0002-0000-0200-000001000000}">
      <formula1>team_names</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634D36"/>
    <outlinePr summaryBelow="0" summaryRight="0"/>
  </sheetPr>
  <dimension ref="A1:O1000"/>
  <sheetViews>
    <sheetView showGridLines="0" workbookViewId="0">
      <pane ySplit="4" topLeftCell="A5" activePane="bottomLeft" state="frozen"/>
      <selection pane="bottomLeft" sqref="A1:A1048576"/>
    </sheetView>
  </sheetViews>
  <sheetFormatPr baseColWidth="10" defaultColWidth="12.5" defaultRowHeight="15" customHeight="1"/>
  <cols>
    <col min="1" max="1" width="40" bestFit="1" customWidth="1"/>
    <col min="2" max="2" width="16.5" bestFit="1" customWidth="1"/>
    <col min="3" max="4" width="13.5" bestFit="1" customWidth="1"/>
    <col min="5" max="5" width="15.33203125" customWidth="1"/>
    <col min="6" max="6" width="11.83203125" customWidth="1"/>
    <col min="7" max="7" width="18" bestFit="1" customWidth="1"/>
    <col min="8" max="8" width="17.33203125" customWidth="1"/>
    <col min="9" max="9" width="7.5" customWidth="1"/>
    <col min="10" max="10" width="8.6640625" customWidth="1"/>
    <col min="11" max="11" width="27.1640625" customWidth="1"/>
    <col min="12" max="12" width="5.1640625" customWidth="1"/>
    <col min="13" max="13" width="22" customWidth="1"/>
    <col min="14" max="25" width="15.1640625" customWidth="1"/>
  </cols>
  <sheetData>
    <row r="1" spans="1:15" ht="27.75" customHeight="1">
      <c r="A1" s="1" t="s">
        <v>48</v>
      </c>
      <c r="B1" s="2"/>
      <c r="C1" s="2"/>
      <c r="D1" s="2"/>
      <c r="E1" s="2"/>
      <c r="F1" s="2"/>
      <c r="G1" s="2"/>
      <c r="H1" s="2"/>
      <c r="I1" s="2"/>
      <c r="J1" s="2"/>
      <c r="K1" s="2"/>
      <c r="L1" s="2"/>
      <c r="M1" s="3"/>
    </row>
    <row r="2" spans="1:15" ht="18" customHeight="1">
      <c r="A2" s="4" t="s">
        <v>1</v>
      </c>
      <c r="B2" s="2"/>
      <c r="C2" s="2"/>
      <c r="D2" s="2"/>
      <c r="E2" s="2"/>
      <c r="F2" s="2"/>
      <c r="G2" s="2"/>
      <c r="H2" s="51"/>
      <c r="I2" s="51"/>
      <c r="J2" s="51"/>
      <c r="K2" s="2"/>
      <c r="M2" s="100"/>
      <c r="N2" s="98"/>
      <c r="O2" s="98"/>
    </row>
    <row r="3" spans="1:15" ht="15" customHeight="1">
      <c r="A3" s="2"/>
      <c r="B3" s="2"/>
      <c r="C3" s="2"/>
      <c r="D3" s="2"/>
      <c r="E3" s="2"/>
      <c r="F3" s="2"/>
      <c r="G3" s="2"/>
      <c r="H3" s="51"/>
      <c r="I3" s="51"/>
      <c r="J3" s="51"/>
      <c r="K3" s="6"/>
      <c r="M3" s="98"/>
      <c r="N3" s="98"/>
      <c r="O3" s="98"/>
    </row>
    <row r="4" spans="1:15" ht="33" customHeight="1">
      <c r="A4" s="39" t="s">
        <v>2</v>
      </c>
      <c r="B4" s="39" t="s">
        <v>3</v>
      </c>
      <c r="C4" s="39" t="s">
        <v>49</v>
      </c>
      <c r="D4" s="39" t="s">
        <v>50</v>
      </c>
      <c r="E4" s="39" t="s">
        <v>51</v>
      </c>
      <c r="F4" s="39" t="s">
        <v>52</v>
      </c>
      <c r="G4" s="39" t="s">
        <v>53</v>
      </c>
      <c r="H4" s="39" t="s">
        <v>54</v>
      </c>
      <c r="I4" s="39" t="s">
        <v>55</v>
      </c>
      <c r="J4" s="39" t="s">
        <v>56</v>
      </c>
      <c r="K4" s="39" t="s">
        <v>14</v>
      </c>
      <c r="L4" s="40"/>
      <c r="M4" s="98"/>
      <c r="N4" s="98"/>
      <c r="O4" s="98"/>
    </row>
    <row r="5" spans="1:15" ht="15.75" customHeight="1">
      <c r="A5" s="27" t="s">
        <v>15</v>
      </c>
      <c r="B5" s="27" t="s">
        <v>57</v>
      </c>
      <c r="C5" s="27" t="s">
        <v>58</v>
      </c>
      <c r="D5" s="27" t="s">
        <v>59</v>
      </c>
      <c r="E5" s="52" t="s">
        <v>60</v>
      </c>
      <c r="F5" s="27" t="s">
        <v>61</v>
      </c>
      <c r="G5" s="53" t="s">
        <v>62</v>
      </c>
      <c r="H5" s="27" t="s">
        <v>63</v>
      </c>
      <c r="I5" s="27" t="s">
        <v>64</v>
      </c>
      <c r="J5" s="27">
        <v>11111</v>
      </c>
      <c r="K5" s="27" t="s">
        <v>65</v>
      </c>
      <c r="L5" s="40"/>
      <c r="M5" s="28"/>
    </row>
    <row r="6" spans="1:15" ht="15.75" customHeight="1">
      <c r="A6" s="27" t="s">
        <v>19</v>
      </c>
      <c r="B6" s="27" t="s">
        <v>66</v>
      </c>
      <c r="C6" s="27" t="s">
        <v>67</v>
      </c>
      <c r="D6" s="27" t="s">
        <v>68</v>
      </c>
      <c r="E6" s="52" t="s">
        <v>69</v>
      </c>
      <c r="F6" s="27"/>
      <c r="G6" s="27"/>
      <c r="H6" s="27"/>
      <c r="I6" s="27"/>
      <c r="J6" s="27"/>
      <c r="K6" s="27"/>
      <c r="L6" s="40"/>
      <c r="M6" s="29"/>
    </row>
    <row r="7" spans="1:15" ht="15.75" customHeight="1">
      <c r="A7" s="27" t="s">
        <v>23</v>
      </c>
      <c r="B7" s="27" t="s">
        <v>70</v>
      </c>
      <c r="C7" s="27" t="s">
        <v>71</v>
      </c>
      <c r="D7" s="27" t="s">
        <v>72</v>
      </c>
      <c r="E7" s="52" t="s">
        <v>73</v>
      </c>
      <c r="F7" s="27"/>
      <c r="G7" s="27"/>
      <c r="H7" s="27"/>
      <c r="I7" s="27"/>
      <c r="J7" s="27"/>
      <c r="K7" s="27"/>
      <c r="L7" s="40"/>
      <c r="M7" s="28"/>
    </row>
    <row r="8" spans="1:15" ht="15.75" customHeight="1">
      <c r="A8" s="27"/>
      <c r="B8" s="27"/>
      <c r="C8" s="27"/>
      <c r="D8" s="27"/>
      <c r="E8" s="52"/>
      <c r="F8" s="27"/>
      <c r="G8" s="27"/>
      <c r="H8" s="27"/>
      <c r="I8" s="27"/>
      <c r="J8" s="27"/>
      <c r="K8" s="27"/>
      <c r="L8" s="40"/>
      <c r="M8" s="28"/>
    </row>
    <row r="9" spans="1:15" ht="15.75" customHeight="1">
      <c r="A9" s="27"/>
      <c r="B9" s="27"/>
      <c r="C9" s="27"/>
      <c r="D9" s="27"/>
      <c r="E9" s="52"/>
      <c r="F9" s="27"/>
      <c r="G9" s="27"/>
      <c r="H9" s="27"/>
      <c r="I9" s="27"/>
      <c r="J9" s="27"/>
      <c r="K9" s="27"/>
      <c r="L9" s="40"/>
      <c r="M9" s="28"/>
    </row>
    <row r="10" spans="1:15" ht="15.75" customHeight="1">
      <c r="A10" s="27"/>
      <c r="B10" s="27"/>
      <c r="C10" s="27"/>
      <c r="D10" s="27"/>
      <c r="E10" s="52"/>
      <c r="F10" s="27"/>
      <c r="G10" s="27"/>
      <c r="H10" s="27"/>
      <c r="I10" s="27"/>
      <c r="J10" s="27"/>
      <c r="K10" s="27"/>
      <c r="L10" s="40"/>
      <c r="M10" s="28"/>
    </row>
    <row r="11" spans="1:15" ht="15.75" customHeight="1">
      <c r="A11" s="27"/>
      <c r="B11" s="27"/>
      <c r="C11" s="27"/>
      <c r="D11" s="27"/>
      <c r="E11" s="52"/>
      <c r="F11" s="27"/>
      <c r="G11" s="27"/>
      <c r="H11" s="27"/>
      <c r="I11" s="27"/>
      <c r="J11" s="27"/>
      <c r="K11" s="27"/>
      <c r="L11" s="40"/>
      <c r="M11" s="28"/>
    </row>
    <row r="12" spans="1:15" ht="15.75" customHeight="1">
      <c r="A12" s="27"/>
      <c r="B12" s="27"/>
      <c r="C12" s="27"/>
      <c r="D12" s="27"/>
      <c r="E12" s="52"/>
      <c r="F12" s="27"/>
      <c r="G12" s="27"/>
      <c r="H12" s="27"/>
      <c r="I12" s="27"/>
      <c r="J12" s="27"/>
      <c r="K12" s="27"/>
      <c r="L12" s="40"/>
      <c r="M12" s="28"/>
    </row>
    <row r="13" spans="1:15" ht="15.75" customHeight="1">
      <c r="A13" s="27"/>
      <c r="B13" s="27"/>
      <c r="C13" s="27"/>
      <c r="D13" s="27"/>
      <c r="E13" s="52"/>
      <c r="F13" s="27"/>
      <c r="G13" s="27"/>
      <c r="H13" s="27"/>
      <c r="I13" s="27"/>
      <c r="J13" s="27"/>
      <c r="K13" s="27"/>
      <c r="L13" s="40"/>
      <c r="M13" s="28"/>
    </row>
    <row r="14" spans="1:15" ht="15.75" customHeight="1">
      <c r="A14" s="27"/>
      <c r="B14" s="27"/>
      <c r="C14" s="27"/>
      <c r="D14" s="27"/>
      <c r="E14" s="52"/>
      <c r="F14" s="27"/>
      <c r="G14" s="27"/>
      <c r="H14" s="27"/>
      <c r="I14" s="27"/>
      <c r="J14" s="27"/>
      <c r="K14" s="27"/>
      <c r="L14" s="40"/>
      <c r="M14" s="28"/>
    </row>
    <row r="15" spans="1:15" ht="15.75" customHeight="1">
      <c r="A15" s="27"/>
      <c r="B15" s="27"/>
      <c r="C15" s="27"/>
      <c r="D15" s="27"/>
      <c r="E15" s="52"/>
      <c r="F15" s="27"/>
      <c r="G15" s="27"/>
      <c r="H15" s="27"/>
      <c r="I15" s="27"/>
      <c r="J15" s="27"/>
      <c r="K15" s="27"/>
      <c r="L15" s="40"/>
      <c r="M15" s="28"/>
    </row>
    <row r="16" spans="1:15" ht="15.75" customHeight="1">
      <c r="A16" s="27"/>
      <c r="B16" s="27"/>
      <c r="C16" s="27"/>
      <c r="D16" s="27"/>
      <c r="E16" s="52"/>
      <c r="F16" s="27"/>
      <c r="G16" s="27"/>
      <c r="H16" s="27"/>
      <c r="I16" s="27"/>
      <c r="J16" s="27"/>
      <c r="K16" s="27"/>
      <c r="L16" s="40"/>
      <c r="M16" s="28"/>
    </row>
    <row r="17" spans="1:13" ht="15.75" customHeight="1">
      <c r="A17" s="27"/>
      <c r="B17" s="27"/>
      <c r="C17" s="27"/>
      <c r="D17" s="27"/>
      <c r="E17" s="52"/>
      <c r="F17" s="27"/>
      <c r="G17" s="27"/>
      <c r="H17" s="27"/>
      <c r="I17" s="27"/>
      <c r="J17" s="27"/>
      <c r="K17" s="27"/>
      <c r="L17" s="40"/>
      <c r="M17" s="28"/>
    </row>
    <row r="18" spans="1:13" ht="15.75" customHeight="1">
      <c r="A18" s="27"/>
      <c r="B18" s="27"/>
      <c r="C18" s="27"/>
      <c r="D18" s="27"/>
      <c r="E18" s="52"/>
      <c r="F18" s="27"/>
      <c r="G18" s="27"/>
      <c r="H18" s="27"/>
      <c r="I18" s="27"/>
      <c r="J18" s="27"/>
      <c r="K18" s="27"/>
      <c r="L18" s="40"/>
      <c r="M18" s="28"/>
    </row>
    <row r="19" spans="1:13" ht="15.75" customHeight="1">
      <c r="A19" s="27"/>
      <c r="B19" s="27"/>
      <c r="C19" s="27"/>
      <c r="D19" s="27"/>
      <c r="E19" s="52"/>
      <c r="F19" s="27"/>
      <c r="G19" s="27"/>
      <c r="H19" s="27"/>
      <c r="I19" s="27"/>
      <c r="J19" s="27"/>
      <c r="K19" s="27"/>
      <c r="L19" s="40"/>
      <c r="M19" s="28"/>
    </row>
    <row r="20" spans="1:13" ht="15.75" customHeight="1">
      <c r="A20" s="27"/>
      <c r="B20" s="27"/>
      <c r="C20" s="27"/>
      <c r="D20" s="27"/>
      <c r="E20" s="52"/>
      <c r="F20" s="27"/>
      <c r="G20" s="27"/>
      <c r="H20" s="27"/>
      <c r="I20" s="27"/>
      <c r="J20" s="27"/>
      <c r="K20" s="27"/>
      <c r="L20" s="40"/>
      <c r="M20" s="28"/>
    </row>
    <row r="21" spans="1:13" ht="15.75" customHeight="1">
      <c r="A21" s="27"/>
      <c r="B21" s="27"/>
      <c r="C21" s="27"/>
      <c r="D21" s="27"/>
      <c r="E21" s="52"/>
      <c r="F21" s="27"/>
      <c r="G21" s="27"/>
      <c r="H21" s="27"/>
      <c r="I21" s="27"/>
      <c r="J21" s="27"/>
      <c r="K21" s="27"/>
      <c r="L21" s="40"/>
      <c r="M21" s="28"/>
    </row>
    <row r="22" spans="1:13" ht="15.75" customHeight="1">
      <c r="A22" s="27"/>
      <c r="B22" s="27"/>
      <c r="C22" s="27"/>
      <c r="D22" s="27"/>
      <c r="E22" s="52"/>
      <c r="F22" s="27"/>
      <c r="G22" s="27"/>
      <c r="H22" s="27"/>
      <c r="I22" s="27"/>
      <c r="J22" s="27"/>
      <c r="K22" s="27"/>
      <c r="L22" s="40"/>
      <c r="M22" s="28"/>
    </row>
    <row r="23" spans="1:13" ht="15.75" customHeight="1">
      <c r="A23" s="27"/>
      <c r="B23" s="27"/>
      <c r="C23" s="27"/>
      <c r="D23" s="27"/>
      <c r="E23" s="52"/>
      <c r="F23" s="27"/>
      <c r="G23" s="27"/>
      <c r="H23" s="27"/>
      <c r="I23" s="27"/>
      <c r="J23" s="27"/>
      <c r="K23" s="27"/>
      <c r="L23" s="40"/>
      <c r="M23" s="28"/>
    </row>
    <row r="24" spans="1:13" ht="15.75" customHeight="1">
      <c r="A24" s="27"/>
      <c r="B24" s="27"/>
      <c r="C24" s="27"/>
      <c r="D24" s="27"/>
      <c r="E24" s="52"/>
      <c r="F24" s="27"/>
      <c r="G24" s="27"/>
      <c r="H24" s="27"/>
      <c r="I24" s="27"/>
      <c r="J24" s="27"/>
      <c r="K24" s="27"/>
      <c r="L24" s="40"/>
      <c r="M24" s="28"/>
    </row>
    <row r="25" spans="1:13" ht="15.75" customHeight="1">
      <c r="A25" s="27"/>
      <c r="B25" s="27"/>
      <c r="C25" s="27"/>
      <c r="D25" s="27"/>
      <c r="E25" s="52"/>
      <c r="F25" s="27"/>
      <c r="G25" s="27"/>
      <c r="H25" s="27"/>
      <c r="I25" s="27"/>
      <c r="J25" s="27"/>
      <c r="K25" s="27"/>
      <c r="L25" s="40"/>
      <c r="M25" s="28"/>
    </row>
    <row r="26" spans="1:13" ht="15.75" customHeight="1">
      <c r="A26" s="27"/>
      <c r="B26" s="27"/>
      <c r="C26" s="27"/>
      <c r="D26" s="27"/>
      <c r="E26" s="52"/>
      <c r="F26" s="27"/>
      <c r="G26" s="27"/>
      <c r="H26" s="27"/>
      <c r="I26" s="27"/>
      <c r="J26" s="27"/>
      <c r="K26" s="27"/>
      <c r="L26" s="40"/>
      <c r="M26" s="28"/>
    </row>
    <row r="27" spans="1:13" ht="15.75" customHeight="1">
      <c r="A27" s="27"/>
      <c r="B27" s="27"/>
      <c r="C27" s="27"/>
      <c r="D27" s="27"/>
      <c r="E27" s="52"/>
      <c r="F27" s="27"/>
      <c r="G27" s="27"/>
      <c r="H27" s="27"/>
      <c r="I27" s="27"/>
      <c r="J27" s="27"/>
      <c r="K27" s="27"/>
      <c r="L27" s="40"/>
      <c r="M27" s="28"/>
    </row>
    <row r="28" spans="1:13" ht="15.75" customHeight="1">
      <c r="A28" s="44"/>
      <c r="B28" s="44"/>
      <c r="C28" s="44"/>
      <c r="D28" s="44"/>
      <c r="E28" s="44"/>
      <c r="F28" s="44"/>
      <c r="G28" s="44"/>
      <c r="H28" s="44"/>
      <c r="I28" s="44"/>
      <c r="J28" s="44"/>
      <c r="K28" s="44"/>
      <c r="L28" s="40"/>
      <c r="M28" s="28"/>
    </row>
    <row r="29" spans="1:13" ht="15" customHeight="1">
      <c r="A29" s="2" t="s">
        <v>27</v>
      </c>
      <c r="B29" s="2"/>
      <c r="C29" s="2"/>
      <c r="D29" s="2"/>
      <c r="E29" s="2"/>
      <c r="F29" s="2"/>
      <c r="G29" s="2"/>
      <c r="H29" s="2"/>
      <c r="I29" s="2"/>
      <c r="J29" s="2"/>
      <c r="K29" s="36" t="s">
        <v>28</v>
      </c>
      <c r="L29" s="2"/>
      <c r="M29" s="2"/>
    </row>
    <row r="30" spans="1:13" ht="15.75" customHeight="1"/>
    <row r="31" spans="1:13" ht="15.75" customHeight="1"/>
    <row r="32" spans="1: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K28" xr:uid="{00000000-0009-0000-0000-000003000000}"/>
  <mergeCells count="1">
    <mergeCell ref="M2:O4"/>
  </mergeCells>
  <hyperlinks>
    <hyperlink ref="E5" r:id="rId1" xr:uid="{00000000-0004-0000-0300-000000000000}"/>
    <hyperlink ref="G5" r:id="rId2" xr:uid="{00000000-0004-0000-0300-000001000000}"/>
  </hyperlink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B4E87"/>
    <outlinePr summaryBelow="0" summaryRight="0"/>
  </sheetPr>
  <dimension ref="A1:J1000"/>
  <sheetViews>
    <sheetView showGridLines="0" workbookViewId="0">
      <pane ySplit="5" topLeftCell="A6" activePane="bottomLeft" state="frozen"/>
      <selection pane="bottomLeft" activeCell="H2" sqref="H2:J5"/>
    </sheetView>
  </sheetViews>
  <sheetFormatPr baseColWidth="10" defaultColWidth="12.5" defaultRowHeight="15" customHeight="1"/>
  <cols>
    <col min="2" max="2" width="16.83203125" customWidth="1"/>
    <col min="3" max="3" width="13.33203125" customWidth="1"/>
    <col min="5" max="5" width="10.83203125" customWidth="1"/>
    <col min="6" max="6" width="43.33203125" customWidth="1"/>
    <col min="7" max="7" width="5.5" customWidth="1"/>
    <col min="8" max="8" width="22" customWidth="1"/>
    <col min="9" max="26" width="15.1640625" customWidth="1"/>
  </cols>
  <sheetData>
    <row r="1" spans="1:10" ht="27.75" customHeight="1">
      <c r="A1" s="1" t="s">
        <v>74</v>
      </c>
      <c r="B1" s="2"/>
      <c r="C1" s="2"/>
      <c r="D1" s="54"/>
      <c r="E1" s="2"/>
      <c r="F1" s="2"/>
      <c r="G1" s="2"/>
      <c r="H1" s="3"/>
    </row>
    <row r="2" spans="1:10" ht="18" customHeight="1">
      <c r="A2" s="4" t="s">
        <v>1</v>
      </c>
      <c r="C2" s="2"/>
      <c r="D2" s="103" t="s">
        <v>75</v>
      </c>
      <c r="E2" s="98"/>
      <c r="F2" s="2"/>
      <c r="H2" s="100"/>
      <c r="I2" s="98"/>
      <c r="J2" s="98"/>
    </row>
    <row r="3" spans="1:10" ht="15.75" customHeight="1">
      <c r="A3" s="4" t="s">
        <v>76</v>
      </c>
      <c r="B3" s="2"/>
      <c r="C3" s="55" t="s">
        <v>77</v>
      </c>
      <c r="D3" s="104">
        <v>43831</v>
      </c>
      <c r="E3" s="105"/>
      <c r="F3" s="56"/>
      <c r="G3" s="40"/>
      <c r="H3" s="98"/>
      <c r="I3" s="98"/>
      <c r="J3" s="98"/>
    </row>
    <row r="4" spans="1:10" ht="15.75" customHeight="1">
      <c r="A4" s="56"/>
      <c r="B4" s="56"/>
      <c r="C4" s="55" t="s">
        <v>78</v>
      </c>
      <c r="D4" s="104">
        <v>44196</v>
      </c>
      <c r="E4" s="105"/>
      <c r="F4" s="56"/>
      <c r="G4" s="40"/>
      <c r="H4" s="98"/>
      <c r="I4" s="98"/>
      <c r="J4" s="98"/>
    </row>
    <row r="5" spans="1:10" ht="33" customHeight="1">
      <c r="A5" s="39" t="s">
        <v>79</v>
      </c>
      <c r="B5" s="39" t="s">
        <v>80</v>
      </c>
      <c r="C5" s="39" t="s">
        <v>81</v>
      </c>
      <c r="D5" s="57" t="s">
        <v>82</v>
      </c>
      <c r="E5" s="39" t="s">
        <v>83</v>
      </c>
      <c r="F5" s="39" t="s">
        <v>14</v>
      </c>
      <c r="G5" s="40"/>
      <c r="H5" s="98"/>
      <c r="I5" s="98"/>
      <c r="J5" s="98"/>
    </row>
    <row r="6" spans="1:10" ht="15.75" customHeight="1">
      <c r="A6" s="27" t="s">
        <v>18</v>
      </c>
      <c r="B6" s="27" t="s">
        <v>84</v>
      </c>
      <c r="C6" s="58" t="s">
        <v>85</v>
      </c>
      <c r="D6" s="59">
        <f>SUMIFS(SalesLog!C:C,SalesLog!F:F,A6,SalesLog!A:A,"&gt;="&amp;$D$3,SalesLog!A:A,"&lt;="&amp;$D$4)</f>
        <v>2500</v>
      </c>
      <c r="E6" s="60">
        <f>COUNTIFS(ContactLog!E:E,A6,ContactLog!A:A,"&gt;="&amp;$D$3,ContactLog!A:A,"&lt;="&amp;$D$4)</f>
        <v>1</v>
      </c>
      <c r="F6" s="61"/>
      <c r="G6" s="40"/>
      <c r="H6" s="43"/>
    </row>
    <row r="7" spans="1:10" ht="15.75" customHeight="1">
      <c r="A7" s="27" t="s">
        <v>25</v>
      </c>
      <c r="B7" s="27" t="s">
        <v>86</v>
      </c>
      <c r="C7" s="58" t="s">
        <v>87</v>
      </c>
      <c r="D7" s="59">
        <f>SUMIFS(SalesLog!C:C,SalesLog!F:F,A7,SalesLog!A:A,"&gt;="&amp;$D$3,SalesLog!A:A,"&lt;="&amp;$D$4)</f>
        <v>4500</v>
      </c>
      <c r="E7" s="60">
        <f>COUNTIFS(ContactLog!E:E,A7,ContactLog!A:A,"&gt;="&amp;$D$3,ContactLog!A:A,"&lt;="&amp;$D$4)</f>
        <v>1</v>
      </c>
      <c r="F7" s="61"/>
      <c r="G7" s="40"/>
      <c r="H7" s="43"/>
    </row>
    <row r="8" spans="1:10" ht="15.75" customHeight="1">
      <c r="A8" s="27" t="s">
        <v>22</v>
      </c>
      <c r="B8" s="27" t="s">
        <v>88</v>
      </c>
      <c r="C8" s="58" t="s">
        <v>89</v>
      </c>
      <c r="D8" s="59">
        <f>SUMIFS(SalesLog!C:C,SalesLog!F:F,A8,SalesLog!A:A,"&gt;="&amp;$D$3,SalesLog!A:A,"&lt;="&amp;$D$4)</f>
        <v>0</v>
      </c>
      <c r="E8" s="60">
        <f>COUNTIFS(ContactLog!E:E,A8,ContactLog!A:A,"&gt;="&amp;$D$3,ContactLog!A:A,"&lt;="&amp;$D$4)</f>
        <v>0</v>
      </c>
      <c r="F8" s="61"/>
      <c r="G8" s="40"/>
      <c r="H8" s="43"/>
    </row>
    <row r="9" spans="1:10" ht="15.75" customHeight="1">
      <c r="A9" s="27"/>
      <c r="B9" s="58"/>
      <c r="C9" s="58"/>
      <c r="D9" s="62"/>
      <c r="E9" s="60"/>
      <c r="F9" s="61"/>
      <c r="G9" s="40"/>
      <c r="H9" s="43"/>
    </row>
    <row r="10" spans="1:10" ht="15.75" customHeight="1">
      <c r="A10" s="27"/>
      <c r="B10" s="58"/>
      <c r="C10" s="58"/>
      <c r="D10" s="62"/>
      <c r="E10" s="60"/>
      <c r="F10" s="61"/>
      <c r="G10" s="40"/>
      <c r="H10" s="43"/>
    </row>
    <row r="11" spans="1:10" ht="15.75" customHeight="1">
      <c r="A11" s="27"/>
      <c r="B11" s="58"/>
      <c r="C11" s="58"/>
      <c r="D11" s="62"/>
      <c r="E11" s="60"/>
      <c r="F11" s="61"/>
      <c r="G11" s="40"/>
      <c r="H11" s="43"/>
    </row>
    <row r="12" spans="1:10" ht="15.75" customHeight="1">
      <c r="A12" s="27"/>
      <c r="B12" s="58"/>
      <c r="C12" s="58"/>
      <c r="D12" s="62"/>
      <c r="E12" s="60"/>
      <c r="F12" s="61"/>
      <c r="G12" s="40"/>
      <c r="H12" s="43"/>
    </row>
    <row r="13" spans="1:10" ht="15.75" customHeight="1">
      <c r="A13" s="27"/>
      <c r="B13" s="58"/>
      <c r="C13" s="58"/>
      <c r="D13" s="62"/>
      <c r="E13" s="60"/>
      <c r="F13" s="61"/>
      <c r="G13" s="40"/>
      <c r="H13" s="43"/>
    </row>
    <row r="14" spans="1:10" ht="15.75" customHeight="1">
      <c r="A14" s="27"/>
      <c r="B14" s="58"/>
      <c r="C14" s="58"/>
      <c r="D14" s="62"/>
      <c r="E14" s="60"/>
      <c r="F14" s="61"/>
      <c r="G14" s="40"/>
      <c r="H14" s="43"/>
    </row>
    <row r="15" spans="1:10" ht="15.75" customHeight="1">
      <c r="A15" s="27"/>
      <c r="B15" s="58"/>
      <c r="C15" s="58"/>
      <c r="D15" s="62"/>
      <c r="E15" s="60"/>
      <c r="F15" s="61"/>
      <c r="G15" s="40"/>
      <c r="H15" s="43"/>
    </row>
    <row r="16" spans="1:10" ht="15.75" customHeight="1">
      <c r="A16" s="27"/>
      <c r="B16" s="58"/>
      <c r="C16" s="58"/>
      <c r="D16" s="62"/>
      <c r="E16" s="60"/>
      <c r="F16" s="61"/>
      <c r="G16" s="40"/>
      <c r="H16" s="43"/>
    </row>
    <row r="17" spans="1:8" ht="15.75" customHeight="1">
      <c r="A17" s="27"/>
      <c r="B17" s="58"/>
      <c r="C17" s="58"/>
      <c r="D17" s="62"/>
      <c r="E17" s="60"/>
      <c r="F17" s="61"/>
      <c r="G17" s="40"/>
      <c r="H17" s="43"/>
    </row>
    <row r="18" spans="1:8" ht="15.75" customHeight="1">
      <c r="A18" s="27"/>
      <c r="B18" s="58"/>
      <c r="C18" s="58"/>
      <c r="D18" s="62"/>
      <c r="E18" s="60"/>
      <c r="F18" s="61"/>
      <c r="G18" s="40"/>
      <c r="H18" s="43"/>
    </row>
    <row r="19" spans="1:8" ht="15.75" customHeight="1">
      <c r="A19" s="27"/>
      <c r="B19" s="58"/>
      <c r="C19" s="58"/>
      <c r="D19" s="62"/>
      <c r="E19" s="60"/>
      <c r="F19" s="61"/>
      <c r="G19" s="40"/>
      <c r="H19" s="43"/>
    </row>
    <row r="20" spans="1:8" ht="15.75" customHeight="1">
      <c r="A20" s="27"/>
      <c r="B20" s="58"/>
      <c r="C20" s="58"/>
      <c r="D20" s="62"/>
      <c r="E20" s="60"/>
      <c r="F20" s="61"/>
      <c r="G20" s="40"/>
      <c r="H20" s="43"/>
    </row>
    <row r="21" spans="1:8" ht="15.75" customHeight="1">
      <c r="A21" s="27"/>
      <c r="B21" s="58"/>
      <c r="C21" s="58"/>
      <c r="D21" s="62"/>
      <c r="E21" s="60"/>
      <c r="F21" s="61"/>
      <c r="G21" s="40"/>
      <c r="H21" s="43"/>
    </row>
    <row r="22" spans="1:8" ht="15.75" customHeight="1">
      <c r="A22" s="32"/>
      <c r="B22" s="63"/>
      <c r="C22" s="63"/>
      <c r="D22" s="64"/>
      <c r="E22" s="65"/>
      <c r="F22" s="66"/>
      <c r="G22" s="40"/>
      <c r="H22" s="43"/>
    </row>
    <row r="23" spans="1:8" ht="15.75" customHeight="1">
      <c r="A23" s="28" t="s">
        <v>27</v>
      </c>
      <c r="B23" s="28"/>
      <c r="C23" s="28"/>
      <c r="D23" s="67"/>
      <c r="E23" s="47"/>
      <c r="F23" s="47" t="s">
        <v>28</v>
      </c>
      <c r="G23" s="40"/>
      <c r="H23" s="43"/>
    </row>
    <row r="24" spans="1:8" ht="15.75" customHeight="1">
      <c r="A24" s="28"/>
      <c r="B24" s="28"/>
      <c r="C24" s="28"/>
      <c r="D24" s="67"/>
      <c r="E24" s="47"/>
      <c r="F24" s="47"/>
      <c r="G24" s="40"/>
      <c r="H24" s="43"/>
    </row>
    <row r="25" spans="1:8" ht="15.75" customHeight="1">
      <c r="A25" s="68" t="s">
        <v>90</v>
      </c>
      <c r="B25" s="28"/>
      <c r="C25" s="28"/>
      <c r="D25" s="67"/>
      <c r="E25" s="47"/>
      <c r="F25" s="47"/>
      <c r="G25" s="40"/>
      <c r="H25" s="43"/>
    </row>
    <row r="26" spans="1:8" ht="15.75" customHeight="1">
      <c r="D26" s="69"/>
    </row>
    <row r="27" spans="1:8" ht="15.75" customHeight="1">
      <c r="D27" s="69"/>
    </row>
    <row r="28" spans="1:8" ht="15.75" customHeight="1">
      <c r="D28" s="69"/>
    </row>
    <row r="29" spans="1:8" ht="15.75" customHeight="1">
      <c r="D29" s="69"/>
    </row>
    <row r="30" spans="1:8" ht="15.75" customHeight="1">
      <c r="D30" s="69"/>
    </row>
    <row r="31" spans="1:8" ht="15.75" customHeight="1">
      <c r="D31" s="69"/>
    </row>
    <row r="32" spans="1:8" ht="15.75" customHeight="1">
      <c r="D32" s="69"/>
    </row>
    <row r="33" spans="4:4" ht="15.75" customHeight="1">
      <c r="D33" s="69"/>
    </row>
    <row r="34" spans="4:4" ht="15.75" customHeight="1">
      <c r="D34" s="69"/>
    </row>
    <row r="35" spans="4:4" ht="15.75" customHeight="1">
      <c r="D35" s="69"/>
    </row>
    <row r="36" spans="4:4" ht="15.75" customHeight="1">
      <c r="D36" s="69"/>
    </row>
    <row r="37" spans="4:4" ht="15.75" customHeight="1">
      <c r="D37" s="69"/>
    </row>
    <row r="38" spans="4:4" ht="15.75" customHeight="1">
      <c r="D38" s="69"/>
    </row>
    <row r="39" spans="4:4" ht="15.75" customHeight="1">
      <c r="D39" s="69"/>
    </row>
    <row r="40" spans="4:4" ht="15.75" customHeight="1">
      <c r="D40" s="69"/>
    </row>
    <row r="41" spans="4:4" ht="15.75" customHeight="1">
      <c r="D41" s="69"/>
    </row>
    <row r="42" spans="4:4" ht="15.75" customHeight="1">
      <c r="D42" s="69"/>
    </row>
    <row r="43" spans="4:4" ht="15.75" customHeight="1">
      <c r="D43" s="69"/>
    </row>
    <row r="44" spans="4:4" ht="15.75" customHeight="1">
      <c r="D44" s="69"/>
    </row>
    <row r="45" spans="4:4" ht="15.75" customHeight="1">
      <c r="D45" s="69"/>
    </row>
    <row r="46" spans="4:4" ht="15.75" customHeight="1">
      <c r="D46" s="69"/>
    </row>
    <row r="47" spans="4:4" ht="15.75" customHeight="1">
      <c r="D47" s="69"/>
    </row>
    <row r="48" spans="4:4" ht="15.75" customHeight="1">
      <c r="D48" s="69"/>
    </row>
    <row r="49" spans="4:4" ht="15.75" customHeight="1">
      <c r="D49" s="69"/>
    </row>
    <row r="50" spans="4:4" ht="15.75" customHeight="1">
      <c r="D50" s="69"/>
    </row>
    <row r="51" spans="4:4" ht="15.75" customHeight="1">
      <c r="D51" s="69"/>
    </row>
    <row r="52" spans="4:4" ht="15.75" customHeight="1">
      <c r="D52" s="69"/>
    </row>
    <row r="53" spans="4:4" ht="15.75" customHeight="1">
      <c r="D53" s="69"/>
    </row>
    <row r="54" spans="4:4" ht="15.75" customHeight="1">
      <c r="D54" s="69"/>
    </row>
    <row r="55" spans="4:4" ht="15.75" customHeight="1">
      <c r="D55" s="69"/>
    </row>
    <row r="56" spans="4:4" ht="15.75" customHeight="1">
      <c r="D56" s="69"/>
    </row>
    <row r="57" spans="4:4" ht="15.75" customHeight="1">
      <c r="D57" s="69"/>
    </row>
    <row r="58" spans="4:4" ht="15.75" customHeight="1">
      <c r="D58" s="69"/>
    </row>
    <row r="59" spans="4:4" ht="15.75" customHeight="1">
      <c r="D59" s="69"/>
    </row>
    <row r="60" spans="4:4" ht="15.75" customHeight="1">
      <c r="D60" s="69"/>
    </row>
    <row r="61" spans="4:4" ht="15.75" customHeight="1">
      <c r="D61" s="69"/>
    </row>
    <row r="62" spans="4:4" ht="15.75" customHeight="1">
      <c r="D62" s="69"/>
    </row>
    <row r="63" spans="4:4" ht="15.75" customHeight="1">
      <c r="D63" s="69"/>
    </row>
    <row r="64" spans="4:4" ht="15.75" customHeight="1">
      <c r="D64" s="69"/>
    </row>
    <row r="65" spans="4:4" ht="15.75" customHeight="1">
      <c r="D65" s="69"/>
    </row>
    <row r="66" spans="4:4" ht="15.75" customHeight="1">
      <c r="D66" s="69"/>
    </row>
    <row r="67" spans="4:4" ht="15.75" customHeight="1">
      <c r="D67" s="69"/>
    </row>
    <row r="68" spans="4:4" ht="15.75" customHeight="1">
      <c r="D68" s="69"/>
    </row>
    <row r="69" spans="4:4" ht="15.75" customHeight="1">
      <c r="D69" s="69"/>
    </row>
    <row r="70" spans="4:4" ht="15.75" customHeight="1">
      <c r="D70" s="69"/>
    </row>
    <row r="71" spans="4:4" ht="15.75" customHeight="1">
      <c r="D71" s="69"/>
    </row>
    <row r="72" spans="4:4" ht="15.75" customHeight="1">
      <c r="D72" s="69"/>
    </row>
    <row r="73" spans="4:4" ht="15.75" customHeight="1">
      <c r="D73" s="69"/>
    </row>
    <row r="74" spans="4:4" ht="15.75" customHeight="1">
      <c r="D74" s="69"/>
    </row>
    <row r="75" spans="4:4" ht="15.75" customHeight="1">
      <c r="D75" s="69"/>
    </row>
    <row r="76" spans="4:4" ht="15.75" customHeight="1">
      <c r="D76" s="69"/>
    </row>
    <row r="77" spans="4:4" ht="15.75" customHeight="1">
      <c r="D77" s="69"/>
    </row>
    <row r="78" spans="4:4" ht="15.75" customHeight="1">
      <c r="D78" s="69"/>
    </row>
    <row r="79" spans="4:4" ht="15.75" customHeight="1">
      <c r="D79" s="69"/>
    </row>
    <row r="80" spans="4:4" ht="15.75" customHeight="1">
      <c r="D80" s="69"/>
    </row>
    <row r="81" spans="4:4" ht="15.75" customHeight="1">
      <c r="D81" s="69"/>
    </row>
    <row r="82" spans="4:4" ht="15.75" customHeight="1">
      <c r="D82" s="69"/>
    </row>
    <row r="83" spans="4:4" ht="15.75" customHeight="1">
      <c r="D83" s="69"/>
    </row>
    <row r="84" spans="4:4" ht="15.75" customHeight="1">
      <c r="D84" s="69"/>
    </row>
    <row r="85" spans="4:4" ht="15.75" customHeight="1">
      <c r="D85" s="69"/>
    </row>
    <row r="86" spans="4:4" ht="15.75" customHeight="1">
      <c r="D86" s="69"/>
    </row>
    <row r="87" spans="4:4" ht="15.75" customHeight="1">
      <c r="D87" s="69"/>
    </row>
    <row r="88" spans="4:4" ht="15.75" customHeight="1">
      <c r="D88" s="69"/>
    </row>
    <row r="89" spans="4:4" ht="15.75" customHeight="1">
      <c r="D89" s="69"/>
    </row>
    <row r="90" spans="4:4" ht="15.75" customHeight="1">
      <c r="D90" s="69"/>
    </row>
    <row r="91" spans="4:4" ht="15.75" customHeight="1">
      <c r="D91" s="69"/>
    </row>
    <row r="92" spans="4:4" ht="15.75" customHeight="1">
      <c r="D92" s="69"/>
    </row>
    <row r="93" spans="4:4" ht="15.75" customHeight="1">
      <c r="D93" s="69"/>
    </row>
    <row r="94" spans="4:4" ht="15.75" customHeight="1">
      <c r="D94" s="69"/>
    </row>
    <row r="95" spans="4:4" ht="15.75" customHeight="1">
      <c r="D95" s="69"/>
    </row>
    <row r="96" spans="4:4" ht="15.75" customHeight="1">
      <c r="D96" s="69"/>
    </row>
    <row r="97" spans="4:4" ht="15.75" customHeight="1">
      <c r="D97" s="69"/>
    </row>
    <row r="98" spans="4:4" ht="15.75" customHeight="1">
      <c r="D98" s="69"/>
    </row>
    <row r="99" spans="4:4" ht="15.75" customHeight="1">
      <c r="D99" s="69"/>
    </row>
    <row r="100" spans="4:4" ht="15.75" customHeight="1">
      <c r="D100" s="69"/>
    </row>
    <row r="101" spans="4:4" ht="15.75" customHeight="1">
      <c r="D101" s="69"/>
    </row>
    <row r="102" spans="4:4" ht="15.75" customHeight="1">
      <c r="D102" s="69"/>
    </row>
    <row r="103" spans="4:4" ht="15.75" customHeight="1">
      <c r="D103" s="69"/>
    </row>
    <row r="104" spans="4:4" ht="15.75" customHeight="1">
      <c r="D104" s="69"/>
    </row>
    <row r="105" spans="4:4" ht="15.75" customHeight="1">
      <c r="D105" s="69"/>
    </row>
    <row r="106" spans="4:4" ht="15.75" customHeight="1">
      <c r="D106" s="69"/>
    </row>
    <row r="107" spans="4:4" ht="15.75" customHeight="1">
      <c r="D107" s="69"/>
    </row>
    <row r="108" spans="4:4" ht="15.75" customHeight="1">
      <c r="D108" s="69"/>
    </row>
    <row r="109" spans="4:4" ht="15.75" customHeight="1">
      <c r="D109" s="69"/>
    </row>
    <row r="110" spans="4:4" ht="15.75" customHeight="1">
      <c r="D110" s="69"/>
    </row>
    <row r="111" spans="4:4" ht="15.75" customHeight="1">
      <c r="D111" s="69"/>
    </row>
    <row r="112" spans="4:4" ht="15.75" customHeight="1">
      <c r="D112" s="69"/>
    </row>
    <row r="113" spans="4:4" ht="15.75" customHeight="1">
      <c r="D113" s="69"/>
    </row>
    <row r="114" spans="4:4" ht="15.75" customHeight="1">
      <c r="D114" s="69"/>
    </row>
    <row r="115" spans="4:4" ht="15.75" customHeight="1">
      <c r="D115" s="69"/>
    </row>
    <row r="116" spans="4:4" ht="15.75" customHeight="1">
      <c r="D116" s="69"/>
    </row>
    <row r="117" spans="4:4" ht="15.75" customHeight="1">
      <c r="D117" s="69"/>
    </row>
    <row r="118" spans="4:4" ht="15.75" customHeight="1">
      <c r="D118" s="69"/>
    </row>
    <row r="119" spans="4:4" ht="15.75" customHeight="1">
      <c r="D119" s="69"/>
    </row>
    <row r="120" spans="4:4" ht="15.75" customHeight="1">
      <c r="D120" s="69"/>
    </row>
    <row r="121" spans="4:4" ht="15.75" customHeight="1">
      <c r="D121" s="69"/>
    </row>
    <row r="122" spans="4:4" ht="15.75" customHeight="1">
      <c r="D122" s="69"/>
    </row>
    <row r="123" spans="4:4" ht="15.75" customHeight="1">
      <c r="D123" s="69"/>
    </row>
    <row r="124" spans="4:4" ht="15.75" customHeight="1">
      <c r="D124" s="69"/>
    </row>
    <row r="125" spans="4:4" ht="15.75" customHeight="1">
      <c r="D125" s="69"/>
    </row>
    <row r="126" spans="4:4" ht="15.75" customHeight="1">
      <c r="D126" s="69"/>
    </row>
    <row r="127" spans="4:4" ht="15.75" customHeight="1">
      <c r="D127" s="69"/>
    </row>
    <row r="128" spans="4:4" ht="15.75" customHeight="1">
      <c r="D128" s="69"/>
    </row>
    <row r="129" spans="4:4" ht="15.75" customHeight="1">
      <c r="D129" s="69"/>
    </row>
    <row r="130" spans="4:4" ht="15.75" customHeight="1">
      <c r="D130" s="69"/>
    </row>
    <row r="131" spans="4:4" ht="15.75" customHeight="1">
      <c r="D131" s="69"/>
    </row>
    <row r="132" spans="4:4" ht="15.75" customHeight="1">
      <c r="D132" s="69"/>
    </row>
    <row r="133" spans="4:4" ht="15.75" customHeight="1">
      <c r="D133" s="69"/>
    </row>
    <row r="134" spans="4:4" ht="15.75" customHeight="1">
      <c r="D134" s="69"/>
    </row>
    <row r="135" spans="4:4" ht="15.75" customHeight="1">
      <c r="D135" s="69"/>
    </row>
    <row r="136" spans="4:4" ht="15.75" customHeight="1">
      <c r="D136" s="69"/>
    </row>
    <row r="137" spans="4:4" ht="15.75" customHeight="1">
      <c r="D137" s="69"/>
    </row>
    <row r="138" spans="4:4" ht="15.75" customHeight="1">
      <c r="D138" s="69"/>
    </row>
    <row r="139" spans="4:4" ht="15.75" customHeight="1">
      <c r="D139" s="69"/>
    </row>
    <row r="140" spans="4:4" ht="15.75" customHeight="1">
      <c r="D140" s="69"/>
    </row>
    <row r="141" spans="4:4" ht="15.75" customHeight="1">
      <c r="D141" s="69"/>
    </row>
    <row r="142" spans="4:4" ht="15.75" customHeight="1">
      <c r="D142" s="69"/>
    </row>
    <row r="143" spans="4:4" ht="15.75" customHeight="1">
      <c r="D143" s="69"/>
    </row>
    <row r="144" spans="4:4" ht="15.75" customHeight="1">
      <c r="D144" s="69"/>
    </row>
    <row r="145" spans="4:4" ht="15.75" customHeight="1">
      <c r="D145" s="69"/>
    </row>
    <row r="146" spans="4:4" ht="15.75" customHeight="1">
      <c r="D146" s="69"/>
    </row>
    <row r="147" spans="4:4" ht="15.75" customHeight="1">
      <c r="D147" s="69"/>
    </row>
    <row r="148" spans="4:4" ht="15.75" customHeight="1">
      <c r="D148" s="69"/>
    </row>
    <row r="149" spans="4:4" ht="15.75" customHeight="1">
      <c r="D149" s="69"/>
    </row>
    <row r="150" spans="4:4" ht="15.75" customHeight="1">
      <c r="D150" s="69"/>
    </row>
    <row r="151" spans="4:4" ht="15.75" customHeight="1">
      <c r="D151" s="69"/>
    </row>
    <row r="152" spans="4:4" ht="15.75" customHeight="1">
      <c r="D152" s="69"/>
    </row>
    <row r="153" spans="4:4" ht="15.75" customHeight="1">
      <c r="D153" s="69"/>
    </row>
    <row r="154" spans="4:4" ht="15.75" customHeight="1">
      <c r="D154" s="69"/>
    </row>
    <row r="155" spans="4:4" ht="15.75" customHeight="1">
      <c r="D155" s="69"/>
    </row>
    <row r="156" spans="4:4" ht="15.75" customHeight="1">
      <c r="D156" s="69"/>
    </row>
    <row r="157" spans="4:4" ht="15.75" customHeight="1">
      <c r="D157" s="69"/>
    </row>
    <row r="158" spans="4:4" ht="15.75" customHeight="1">
      <c r="D158" s="69"/>
    </row>
    <row r="159" spans="4:4" ht="15.75" customHeight="1">
      <c r="D159" s="69"/>
    </row>
    <row r="160" spans="4:4" ht="15.75" customHeight="1">
      <c r="D160" s="69"/>
    </row>
    <row r="161" spans="4:4" ht="15.75" customHeight="1">
      <c r="D161" s="69"/>
    </row>
    <row r="162" spans="4:4" ht="15.75" customHeight="1">
      <c r="D162" s="69"/>
    </row>
    <row r="163" spans="4:4" ht="15.75" customHeight="1">
      <c r="D163" s="69"/>
    </row>
    <row r="164" spans="4:4" ht="15.75" customHeight="1">
      <c r="D164" s="69"/>
    </row>
    <row r="165" spans="4:4" ht="15.75" customHeight="1">
      <c r="D165" s="69"/>
    </row>
    <row r="166" spans="4:4" ht="15.75" customHeight="1">
      <c r="D166" s="69"/>
    </row>
    <row r="167" spans="4:4" ht="15.75" customHeight="1">
      <c r="D167" s="69"/>
    </row>
    <row r="168" spans="4:4" ht="15.75" customHeight="1">
      <c r="D168" s="69"/>
    </row>
    <row r="169" spans="4:4" ht="15.75" customHeight="1">
      <c r="D169" s="69"/>
    </row>
    <row r="170" spans="4:4" ht="15.75" customHeight="1">
      <c r="D170" s="69"/>
    </row>
    <row r="171" spans="4:4" ht="15.75" customHeight="1">
      <c r="D171" s="69"/>
    </row>
    <row r="172" spans="4:4" ht="15.75" customHeight="1">
      <c r="D172" s="69"/>
    </row>
    <row r="173" spans="4:4" ht="15.75" customHeight="1">
      <c r="D173" s="69"/>
    </row>
    <row r="174" spans="4:4" ht="15.75" customHeight="1">
      <c r="D174" s="69"/>
    </row>
    <row r="175" spans="4:4" ht="15.75" customHeight="1">
      <c r="D175" s="69"/>
    </row>
    <row r="176" spans="4:4" ht="15.75" customHeight="1">
      <c r="D176" s="69"/>
    </row>
    <row r="177" spans="4:4" ht="15.75" customHeight="1">
      <c r="D177" s="69"/>
    </row>
    <row r="178" spans="4:4" ht="15.75" customHeight="1">
      <c r="D178" s="69"/>
    </row>
    <row r="179" spans="4:4" ht="15.75" customHeight="1">
      <c r="D179" s="69"/>
    </row>
    <row r="180" spans="4:4" ht="15.75" customHeight="1">
      <c r="D180" s="69"/>
    </row>
    <row r="181" spans="4:4" ht="15.75" customHeight="1">
      <c r="D181" s="69"/>
    </row>
    <row r="182" spans="4:4" ht="15.75" customHeight="1">
      <c r="D182" s="69"/>
    </row>
    <row r="183" spans="4:4" ht="15.75" customHeight="1">
      <c r="D183" s="69"/>
    </row>
    <row r="184" spans="4:4" ht="15.75" customHeight="1">
      <c r="D184" s="69"/>
    </row>
    <row r="185" spans="4:4" ht="15.75" customHeight="1">
      <c r="D185" s="69"/>
    </row>
    <row r="186" spans="4:4" ht="15.75" customHeight="1">
      <c r="D186" s="69"/>
    </row>
    <row r="187" spans="4:4" ht="15.75" customHeight="1">
      <c r="D187" s="69"/>
    </row>
    <row r="188" spans="4:4" ht="15.75" customHeight="1">
      <c r="D188" s="69"/>
    </row>
    <row r="189" spans="4:4" ht="15.75" customHeight="1">
      <c r="D189" s="69"/>
    </row>
    <row r="190" spans="4:4" ht="15.75" customHeight="1">
      <c r="D190" s="69"/>
    </row>
    <row r="191" spans="4:4" ht="15.75" customHeight="1">
      <c r="D191" s="69"/>
    </row>
    <row r="192" spans="4:4" ht="15.75" customHeight="1">
      <c r="D192" s="69"/>
    </row>
    <row r="193" spans="4:4" ht="15.75" customHeight="1">
      <c r="D193" s="69"/>
    </row>
    <row r="194" spans="4:4" ht="15.75" customHeight="1">
      <c r="D194" s="69"/>
    </row>
    <row r="195" spans="4:4" ht="15.75" customHeight="1">
      <c r="D195" s="69"/>
    </row>
    <row r="196" spans="4:4" ht="15.75" customHeight="1">
      <c r="D196" s="69"/>
    </row>
    <row r="197" spans="4:4" ht="15.75" customHeight="1">
      <c r="D197" s="69"/>
    </row>
    <row r="198" spans="4:4" ht="15.75" customHeight="1">
      <c r="D198" s="69"/>
    </row>
    <row r="199" spans="4:4" ht="15.75" customHeight="1">
      <c r="D199" s="69"/>
    </row>
    <row r="200" spans="4:4" ht="15.75" customHeight="1">
      <c r="D200" s="69"/>
    </row>
    <row r="201" spans="4:4" ht="15.75" customHeight="1">
      <c r="D201" s="69"/>
    </row>
    <row r="202" spans="4:4" ht="15.75" customHeight="1">
      <c r="D202" s="69"/>
    </row>
    <row r="203" spans="4:4" ht="15.75" customHeight="1">
      <c r="D203" s="69"/>
    </row>
    <row r="204" spans="4:4" ht="15.75" customHeight="1">
      <c r="D204" s="69"/>
    </row>
    <row r="205" spans="4:4" ht="15.75" customHeight="1">
      <c r="D205" s="69"/>
    </row>
    <row r="206" spans="4:4" ht="15.75" customHeight="1">
      <c r="D206" s="69"/>
    </row>
    <row r="207" spans="4:4" ht="15.75" customHeight="1">
      <c r="D207" s="69"/>
    </row>
    <row r="208" spans="4:4" ht="15.75" customHeight="1">
      <c r="D208" s="69"/>
    </row>
    <row r="209" spans="4:4" ht="15.75" customHeight="1">
      <c r="D209" s="69"/>
    </row>
    <row r="210" spans="4:4" ht="15.75" customHeight="1">
      <c r="D210" s="69"/>
    </row>
    <row r="211" spans="4:4" ht="15.75" customHeight="1">
      <c r="D211" s="69"/>
    </row>
    <row r="212" spans="4:4" ht="15.75" customHeight="1">
      <c r="D212" s="69"/>
    </row>
    <row r="213" spans="4:4" ht="15.75" customHeight="1">
      <c r="D213" s="69"/>
    </row>
    <row r="214" spans="4:4" ht="15.75" customHeight="1">
      <c r="D214" s="69"/>
    </row>
    <row r="215" spans="4:4" ht="15.75" customHeight="1">
      <c r="D215" s="69"/>
    </row>
    <row r="216" spans="4:4" ht="15.75" customHeight="1">
      <c r="D216" s="69"/>
    </row>
    <row r="217" spans="4:4" ht="15.75" customHeight="1">
      <c r="D217" s="69"/>
    </row>
    <row r="218" spans="4:4" ht="15.75" customHeight="1">
      <c r="D218" s="69"/>
    </row>
    <row r="219" spans="4:4" ht="15.75" customHeight="1">
      <c r="D219" s="69"/>
    </row>
    <row r="220" spans="4:4" ht="15.75" customHeight="1">
      <c r="D220" s="69"/>
    </row>
    <row r="221" spans="4:4" ht="15.75" customHeight="1">
      <c r="D221" s="69"/>
    </row>
    <row r="222" spans="4:4" ht="15.75" customHeight="1">
      <c r="D222" s="69"/>
    </row>
    <row r="223" spans="4:4" ht="15.75" customHeight="1">
      <c r="D223" s="69"/>
    </row>
    <row r="224" spans="4:4" ht="15.75" customHeight="1">
      <c r="D224" s="69"/>
    </row>
    <row r="225" spans="4:4" ht="15.75" customHeight="1">
      <c r="D225" s="69"/>
    </row>
    <row r="226" spans="4:4" ht="15.75" customHeight="1">
      <c r="D226" s="69"/>
    </row>
    <row r="227" spans="4:4" ht="15.75" customHeight="1">
      <c r="D227" s="69"/>
    </row>
    <row r="228" spans="4:4" ht="15.75" customHeight="1">
      <c r="D228" s="69"/>
    </row>
    <row r="229" spans="4:4" ht="15.75" customHeight="1">
      <c r="D229" s="69"/>
    </row>
    <row r="230" spans="4:4" ht="15.75" customHeight="1">
      <c r="D230" s="69"/>
    </row>
    <row r="231" spans="4:4" ht="15.75" customHeight="1">
      <c r="D231" s="69"/>
    </row>
    <row r="232" spans="4:4" ht="15.75" customHeight="1">
      <c r="D232" s="69"/>
    </row>
    <row r="233" spans="4:4" ht="15.75" customHeight="1">
      <c r="D233" s="69"/>
    </row>
    <row r="234" spans="4:4" ht="15.75" customHeight="1">
      <c r="D234" s="69"/>
    </row>
    <row r="235" spans="4:4" ht="15.75" customHeight="1">
      <c r="D235" s="69"/>
    </row>
    <row r="236" spans="4:4" ht="15.75" customHeight="1">
      <c r="D236" s="69"/>
    </row>
    <row r="237" spans="4:4" ht="15.75" customHeight="1">
      <c r="D237" s="69"/>
    </row>
    <row r="238" spans="4:4" ht="15.75" customHeight="1">
      <c r="D238" s="69"/>
    </row>
    <row r="239" spans="4:4" ht="15.75" customHeight="1">
      <c r="D239" s="69"/>
    </row>
    <row r="240" spans="4:4" ht="15.75" customHeight="1">
      <c r="D240" s="69"/>
    </row>
    <row r="241" spans="4:4" ht="15.75" customHeight="1">
      <c r="D241" s="69"/>
    </row>
    <row r="242" spans="4:4" ht="15.75" customHeight="1">
      <c r="D242" s="69"/>
    </row>
    <row r="243" spans="4:4" ht="15.75" customHeight="1">
      <c r="D243" s="69"/>
    </row>
    <row r="244" spans="4:4" ht="15.75" customHeight="1">
      <c r="D244" s="69"/>
    </row>
    <row r="245" spans="4:4" ht="15.75" customHeight="1">
      <c r="D245" s="69"/>
    </row>
    <row r="246" spans="4:4" ht="15.75" customHeight="1">
      <c r="D246" s="69"/>
    </row>
    <row r="247" spans="4:4" ht="15.75" customHeight="1">
      <c r="D247" s="69"/>
    </row>
    <row r="248" spans="4:4" ht="15.75" customHeight="1">
      <c r="D248" s="69"/>
    </row>
    <row r="249" spans="4:4" ht="15.75" customHeight="1">
      <c r="D249" s="69"/>
    </row>
    <row r="250" spans="4:4" ht="15.75" customHeight="1">
      <c r="D250" s="69"/>
    </row>
    <row r="251" spans="4:4" ht="15.75" customHeight="1">
      <c r="D251" s="69"/>
    </row>
    <row r="252" spans="4:4" ht="15.75" customHeight="1">
      <c r="D252" s="69"/>
    </row>
    <row r="253" spans="4:4" ht="15.75" customHeight="1">
      <c r="D253" s="69"/>
    </row>
    <row r="254" spans="4:4" ht="15.75" customHeight="1">
      <c r="D254" s="69"/>
    </row>
    <row r="255" spans="4:4" ht="15.75" customHeight="1">
      <c r="D255" s="69"/>
    </row>
    <row r="256" spans="4:4" ht="15.75" customHeight="1">
      <c r="D256" s="69"/>
    </row>
    <row r="257" spans="4:4" ht="15.75" customHeight="1">
      <c r="D257" s="69"/>
    </row>
    <row r="258" spans="4:4" ht="15.75" customHeight="1">
      <c r="D258" s="69"/>
    </row>
    <row r="259" spans="4:4" ht="15.75" customHeight="1">
      <c r="D259" s="69"/>
    </row>
    <row r="260" spans="4:4" ht="15.75" customHeight="1">
      <c r="D260" s="69"/>
    </row>
    <row r="261" spans="4:4" ht="15.75" customHeight="1">
      <c r="D261" s="69"/>
    </row>
    <row r="262" spans="4:4" ht="15.75" customHeight="1">
      <c r="D262" s="69"/>
    </row>
    <row r="263" spans="4:4" ht="15.75" customHeight="1">
      <c r="D263" s="69"/>
    </row>
    <row r="264" spans="4:4" ht="15.75" customHeight="1">
      <c r="D264" s="69"/>
    </row>
    <row r="265" spans="4:4" ht="15.75" customHeight="1">
      <c r="D265" s="69"/>
    </row>
    <row r="266" spans="4:4" ht="15.75" customHeight="1">
      <c r="D266" s="69"/>
    </row>
    <row r="267" spans="4:4" ht="15.75" customHeight="1">
      <c r="D267" s="69"/>
    </row>
    <row r="268" spans="4:4" ht="15.75" customHeight="1">
      <c r="D268" s="69"/>
    </row>
    <row r="269" spans="4:4" ht="15.75" customHeight="1">
      <c r="D269" s="69"/>
    </row>
    <row r="270" spans="4:4" ht="15.75" customHeight="1">
      <c r="D270" s="69"/>
    </row>
    <row r="271" spans="4:4" ht="15.75" customHeight="1">
      <c r="D271" s="69"/>
    </row>
    <row r="272" spans="4:4" ht="15.75" customHeight="1">
      <c r="D272" s="69"/>
    </row>
    <row r="273" spans="4:4" ht="15.75" customHeight="1">
      <c r="D273" s="69"/>
    </row>
    <row r="274" spans="4:4" ht="15.75" customHeight="1">
      <c r="D274" s="69"/>
    </row>
    <row r="275" spans="4:4" ht="15.75" customHeight="1">
      <c r="D275" s="69"/>
    </row>
    <row r="276" spans="4:4" ht="15.75" customHeight="1">
      <c r="D276" s="69"/>
    </row>
    <row r="277" spans="4:4" ht="15.75" customHeight="1">
      <c r="D277" s="69"/>
    </row>
    <row r="278" spans="4:4" ht="15.75" customHeight="1">
      <c r="D278" s="69"/>
    </row>
    <row r="279" spans="4:4" ht="15.75" customHeight="1">
      <c r="D279" s="69"/>
    </row>
    <row r="280" spans="4:4" ht="15.75" customHeight="1">
      <c r="D280" s="69"/>
    </row>
    <row r="281" spans="4:4" ht="15.75" customHeight="1">
      <c r="D281" s="69"/>
    </row>
    <row r="282" spans="4:4" ht="15.75" customHeight="1">
      <c r="D282" s="69"/>
    </row>
    <row r="283" spans="4:4" ht="15.75" customHeight="1">
      <c r="D283" s="69"/>
    </row>
    <row r="284" spans="4:4" ht="15.75" customHeight="1">
      <c r="D284" s="69"/>
    </row>
    <row r="285" spans="4:4" ht="15.75" customHeight="1">
      <c r="D285" s="69"/>
    </row>
    <row r="286" spans="4:4" ht="15.75" customHeight="1">
      <c r="D286" s="69"/>
    </row>
    <row r="287" spans="4:4" ht="15.75" customHeight="1">
      <c r="D287" s="69"/>
    </row>
    <row r="288" spans="4:4" ht="15.75" customHeight="1">
      <c r="D288" s="69"/>
    </row>
    <row r="289" spans="4:4" ht="15.75" customHeight="1">
      <c r="D289" s="69"/>
    </row>
    <row r="290" spans="4:4" ht="15.75" customHeight="1">
      <c r="D290" s="69"/>
    </row>
    <row r="291" spans="4:4" ht="15.75" customHeight="1">
      <c r="D291" s="69"/>
    </row>
    <row r="292" spans="4:4" ht="15.75" customHeight="1">
      <c r="D292" s="69"/>
    </row>
    <row r="293" spans="4:4" ht="15.75" customHeight="1">
      <c r="D293" s="69"/>
    </row>
    <row r="294" spans="4:4" ht="15.75" customHeight="1">
      <c r="D294" s="69"/>
    </row>
    <row r="295" spans="4:4" ht="15.75" customHeight="1">
      <c r="D295" s="69"/>
    </row>
    <row r="296" spans="4:4" ht="15.75" customHeight="1">
      <c r="D296" s="69"/>
    </row>
    <row r="297" spans="4:4" ht="15.75" customHeight="1">
      <c r="D297" s="69"/>
    </row>
    <row r="298" spans="4:4" ht="15.75" customHeight="1">
      <c r="D298" s="69"/>
    </row>
    <row r="299" spans="4:4" ht="15.75" customHeight="1">
      <c r="D299" s="69"/>
    </row>
    <row r="300" spans="4:4" ht="15.75" customHeight="1">
      <c r="D300" s="69"/>
    </row>
    <row r="301" spans="4:4" ht="15.75" customHeight="1">
      <c r="D301" s="69"/>
    </row>
    <row r="302" spans="4:4" ht="15.75" customHeight="1">
      <c r="D302" s="69"/>
    </row>
    <row r="303" spans="4:4" ht="15.75" customHeight="1">
      <c r="D303" s="69"/>
    </row>
    <row r="304" spans="4:4" ht="15.75" customHeight="1">
      <c r="D304" s="69"/>
    </row>
    <row r="305" spans="4:4" ht="15.75" customHeight="1">
      <c r="D305" s="69"/>
    </row>
    <row r="306" spans="4:4" ht="15.75" customHeight="1">
      <c r="D306" s="69"/>
    </row>
    <row r="307" spans="4:4" ht="15.75" customHeight="1">
      <c r="D307" s="69"/>
    </row>
    <row r="308" spans="4:4" ht="15.75" customHeight="1">
      <c r="D308" s="69"/>
    </row>
    <row r="309" spans="4:4" ht="15.75" customHeight="1">
      <c r="D309" s="69"/>
    </row>
    <row r="310" spans="4:4" ht="15.75" customHeight="1">
      <c r="D310" s="69"/>
    </row>
    <row r="311" spans="4:4" ht="15.75" customHeight="1">
      <c r="D311" s="69"/>
    </row>
    <row r="312" spans="4:4" ht="15.75" customHeight="1">
      <c r="D312" s="69"/>
    </row>
    <row r="313" spans="4:4" ht="15.75" customHeight="1">
      <c r="D313" s="69"/>
    </row>
    <row r="314" spans="4:4" ht="15.75" customHeight="1">
      <c r="D314" s="69"/>
    </row>
    <row r="315" spans="4:4" ht="15.75" customHeight="1">
      <c r="D315" s="69"/>
    </row>
    <row r="316" spans="4:4" ht="15.75" customHeight="1">
      <c r="D316" s="69"/>
    </row>
    <row r="317" spans="4:4" ht="15.75" customHeight="1">
      <c r="D317" s="69"/>
    </row>
    <row r="318" spans="4:4" ht="15.75" customHeight="1">
      <c r="D318" s="69"/>
    </row>
    <row r="319" spans="4:4" ht="15.75" customHeight="1">
      <c r="D319" s="69"/>
    </row>
    <row r="320" spans="4:4" ht="15.75" customHeight="1">
      <c r="D320" s="69"/>
    </row>
    <row r="321" spans="4:4" ht="15.75" customHeight="1">
      <c r="D321" s="69"/>
    </row>
    <row r="322" spans="4:4" ht="15.75" customHeight="1">
      <c r="D322" s="69"/>
    </row>
    <row r="323" spans="4:4" ht="15.75" customHeight="1">
      <c r="D323" s="69"/>
    </row>
    <row r="324" spans="4:4" ht="15.75" customHeight="1">
      <c r="D324" s="69"/>
    </row>
    <row r="325" spans="4:4" ht="15.75" customHeight="1">
      <c r="D325" s="69"/>
    </row>
    <row r="326" spans="4:4" ht="15.75" customHeight="1">
      <c r="D326" s="69"/>
    </row>
    <row r="327" spans="4:4" ht="15.75" customHeight="1">
      <c r="D327" s="69"/>
    </row>
    <row r="328" spans="4:4" ht="15.75" customHeight="1">
      <c r="D328" s="69"/>
    </row>
    <row r="329" spans="4:4" ht="15.75" customHeight="1">
      <c r="D329" s="69"/>
    </row>
    <row r="330" spans="4:4" ht="15.75" customHeight="1">
      <c r="D330" s="69"/>
    </row>
    <row r="331" spans="4:4" ht="15.75" customHeight="1">
      <c r="D331" s="69"/>
    </row>
    <row r="332" spans="4:4" ht="15.75" customHeight="1">
      <c r="D332" s="69"/>
    </row>
    <row r="333" spans="4:4" ht="15.75" customHeight="1">
      <c r="D333" s="69"/>
    </row>
    <row r="334" spans="4:4" ht="15.75" customHeight="1">
      <c r="D334" s="69"/>
    </row>
    <row r="335" spans="4:4" ht="15.75" customHeight="1">
      <c r="D335" s="69"/>
    </row>
    <row r="336" spans="4:4" ht="15.75" customHeight="1">
      <c r="D336" s="69"/>
    </row>
    <row r="337" spans="4:4" ht="15.75" customHeight="1">
      <c r="D337" s="69"/>
    </row>
    <row r="338" spans="4:4" ht="15.75" customHeight="1">
      <c r="D338" s="69"/>
    </row>
    <row r="339" spans="4:4" ht="15.75" customHeight="1">
      <c r="D339" s="69"/>
    </row>
    <row r="340" spans="4:4" ht="15.75" customHeight="1">
      <c r="D340" s="69"/>
    </row>
    <row r="341" spans="4:4" ht="15.75" customHeight="1">
      <c r="D341" s="69"/>
    </row>
    <row r="342" spans="4:4" ht="15.75" customHeight="1">
      <c r="D342" s="69"/>
    </row>
    <row r="343" spans="4:4" ht="15.75" customHeight="1">
      <c r="D343" s="69"/>
    </row>
    <row r="344" spans="4:4" ht="15.75" customHeight="1">
      <c r="D344" s="69"/>
    </row>
    <row r="345" spans="4:4" ht="15.75" customHeight="1">
      <c r="D345" s="69"/>
    </row>
    <row r="346" spans="4:4" ht="15.75" customHeight="1">
      <c r="D346" s="69"/>
    </row>
    <row r="347" spans="4:4" ht="15.75" customHeight="1">
      <c r="D347" s="69"/>
    </row>
    <row r="348" spans="4:4" ht="15.75" customHeight="1">
      <c r="D348" s="69"/>
    </row>
    <row r="349" spans="4:4" ht="15.75" customHeight="1">
      <c r="D349" s="69"/>
    </row>
    <row r="350" spans="4:4" ht="15.75" customHeight="1">
      <c r="D350" s="69"/>
    </row>
    <row r="351" spans="4:4" ht="15.75" customHeight="1">
      <c r="D351" s="69"/>
    </row>
    <row r="352" spans="4:4" ht="15.75" customHeight="1">
      <c r="D352" s="69"/>
    </row>
    <row r="353" spans="4:4" ht="15.75" customHeight="1">
      <c r="D353" s="69"/>
    </row>
    <row r="354" spans="4:4" ht="15.75" customHeight="1">
      <c r="D354" s="69"/>
    </row>
    <row r="355" spans="4:4" ht="15.75" customHeight="1">
      <c r="D355" s="69"/>
    </row>
    <row r="356" spans="4:4" ht="15.75" customHeight="1">
      <c r="D356" s="69"/>
    </row>
    <row r="357" spans="4:4" ht="15.75" customHeight="1">
      <c r="D357" s="69"/>
    </row>
    <row r="358" spans="4:4" ht="15.75" customHeight="1">
      <c r="D358" s="69"/>
    </row>
    <row r="359" spans="4:4" ht="15.75" customHeight="1">
      <c r="D359" s="69"/>
    </row>
    <row r="360" spans="4:4" ht="15.75" customHeight="1">
      <c r="D360" s="69"/>
    </row>
    <row r="361" spans="4:4" ht="15.75" customHeight="1">
      <c r="D361" s="69"/>
    </row>
    <row r="362" spans="4:4" ht="15.75" customHeight="1">
      <c r="D362" s="69"/>
    </row>
    <row r="363" spans="4:4" ht="15.75" customHeight="1">
      <c r="D363" s="69"/>
    </row>
    <row r="364" spans="4:4" ht="15.75" customHeight="1">
      <c r="D364" s="69"/>
    </row>
    <row r="365" spans="4:4" ht="15.75" customHeight="1">
      <c r="D365" s="69"/>
    </row>
    <row r="366" spans="4:4" ht="15.75" customHeight="1">
      <c r="D366" s="69"/>
    </row>
    <row r="367" spans="4:4" ht="15.75" customHeight="1">
      <c r="D367" s="69"/>
    </row>
    <row r="368" spans="4:4" ht="15.75" customHeight="1">
      <c r="D368" s="69"/>
    </row>
    <row r="369" spans="4:4" ht="15.75" customHeight="1">
      <c r="D369" s="69"/>
    </row>
    <row r="370" spans="4:4" ht="15.75" customHeight="1">
      <c r="D370" s="69"/>
    </row>
    <row r="371" spans="4:4" ht="15.75" customHeight="1">
      <c r="D371" s="69"/>
    </row>
    <row r="372" spans="4:4" ht="15.75" customHeight="1">
      <c r="D372" s="69"/>
    </row>
    <row r="373" spans="4:4" ht="15.75" customHeight="1">
      <c r="D373" s="69"/>
    </row>
    <row r="374" spans="4:4" ht="15.75" customHeight="1">
      <c r="D374" s="69"/>
    </row>
    <row r="375" spans="4:4" ht="15.75" customHeight="1">
      <c r="D375" s="69"/>
    </row>
    <row r="376" spans="4:4" ht="15.75" customHeight="1">
      <c r="D376" s="69"/>
    </row>
    <row r="377" spans="4:4" ht="15.75" customHeight="1">
      <c r="D377" s="69"/>
    </row>
    <row r="378" spans="4:4" ht="15.75" customHeight="1">
      <c r="D378" s="69"/>
    </row>
    <row r="379" spans="4:4" ht="15.75" customHeight="1">
      <c r="D379" s="69"/>
    </row>
    <row r="380" spans="4:4" ht="15.75" customHeight="1">
      <c r="D380" s="69"/>
    </row>
    <row r="381" spans="4:4" ht="15.75" customHeight="1">
      <c r="D381" s="69"/>
    </row>
    <row r="382" spans="4:4" ht="15.75" customHeight="1">
      <c r="D382" s="69"/>
    </row>
    <row r="383" spans="4:4" ht="15.75" customHeight="1">
      <c r="D383" s="69"/>
    </row>
    <row r="384" spans="4:4" ht="15.75" customHeight="1">
      <c r="D384" s="69"/>
    </row>
    <row r="385" spans="4:4" ht="15.75" customHeight="1">
      <c r="D385" s="69"/>
    </row>
    <row r="386" spans="4:4" ht="15.75" customHeight="1">
      <c r="D386" s="69"/>
    </row>
    <row r="387" spans="4:4" ht="15.75" customHeight="1">
      <c r="D387" s="69"/>
    </row>
    <row r="388" spans="4:4" ht="15.75" customHeight="1">
      <c r="D388" s="69"/>
    </row>
    <row r="389" spans="4:4" ht="15.75" customHeight="1">
      <c r="D389" s="69"/>
    </row>
    <row r="390" spans="4:4" ht="15.75" customHeight="1">
      <c r="D390" s="69"/>
    </row>
    <row r="391" spans="4:4" ht="15.75" customHeight="1">
      <c r="D391" s="69"/>
    </row>
    <row r="392" spans="4:4" ht="15.75" customHeight="1">
      <c r="D392" s="69"/>
    </row>
    <row r="393" spans="4:4" ht="15.75" customHeight="1">
      <c r="D393" s="69"/>
    </row>
    <row r="394" spans="4:4" ht="15.75" customHeight="1">
      <c r="D394" s="69"/>
    </row>
    <row r="395" spans="4:4" ht="15.75" customHeight="1">
      <c r="D395" s="69"/>
    </row>
    <row r="396" spans="4:4" ht="15.75" customHeight="1">
      <c r="D396" s="69"/>
    </row>
    <row r="397" spans="4:4" ht="15.75" customHeight="1">
      <c r="D397" s="69"/>
    </row>
    <row r="398" spans="4:4" ht="15.75" customHeight="1">
      <c r="D398" s="69"/>
    </row>
    <row r="399" spans="4:4" ht="15.75" customHeight="1">
      <c r="D399" s="69"/>
    </row>
    <row r="400" spans="4:4" ht="15.75" customHeight="1">
      <c r="D400" s="69"/>
    </row>
    <row r="401" spans="4:4" ht="15.75" customHeight="1">
      <c r="D401" s="69"/>
    </row>
    <row r="402" spans="4:4" ht="15.75" customHeight="1">
      <c r="D402" s="69"/>
    </row>
    <row r="403" spans="4:4" ht="15.75" customHeight="1">
      <c r="D403" s="69"/>
    </row>
    <row r="404" spans="4:4" ht="15.75" customHeight="1">
      <c r="D404" s="69"/>
    </row>
    <row r="405" spans="4:4" ht="15.75" customHeight="1">
      <c r="D405" s="69"/>
    </row>
    <row r="406" spans="4:4" ht="15.75" customHeight="1">
      <c r="D406" s="69"/>
    </row>
    <row r="407" spans="4:4" ht="15.75" customHeight="1">
      <c r="D407" s="69"/>
    </row>
    <row r="408" spans="4:4" ht="15.75" customHeight="1">
      <c r="D408" s="69"/>
    </row>
    <row r="409" spans="4:4" ht="15.75" customHeight="1">
      <c r="D409" s="69"/>
    </row>
    <row r="410" spans="4:4" ht="15.75" customHeight="1">
      <c r="D410" s="69"/>
    </row>
    <row r="411" spans="4:4" ht="15.75" customHeight="1">
      <c r="D411" s="69"/>
    </row>
    <row r="412" spans="4:4" ht="15.75" customHeight="1">
      <c r="D412" s="69"/>
    </row>
    <row r="413" spans="4:4" ht="15.75" customHeight="1">
      <c r="D413" s="69"/>
    </row>
    <row r="414" spans="4:4" ht="15.75" customHeight="1">
      <c r="D414" s="69"/>
    </row>
    <row r="415" spans="4:4" ht="15.75" customHeight="1">
      <c r="D415" s="69"/>
    </row>
    <row r="416" spans="4:4" ht="15.75" customHeight="1">
      <c r="D416" s="69"/>
    </row>
    <row r="417" spans="4:4" ht="15.75" customHeight="1">
      <c r="D417" s="69"/>
    </row>
    <row r="418" spans="4:4" ht="15.75" customHeight="1">
      <c r="D418" s="69"/>
    </row>
    <row r="419" spans="4:4" ht="15.75" customHeight="1">
      <c r="D419" s="69"/>
    </row>
    <row r="420" spans="4:4" ht="15.75" customHeight="1">
      <c r="D420" s="69"/>
    </row>
    <row r="421" spans="4:4" ht="15.75" customHeight="1">
      <c r="D421" s="69"/>
    </row>
    <row r="422" spans="4:4" ht="15.75" customHeight="1">
      <c r="D422" s="69"/>
    </row>
    <row r="423" spans="4:4" ht="15.75" customHeight="1">
      <c r="D423" s="69"/>
    </row>
    <row r="424" spans="4:4" ht="15.75" customHeight="1">
      <c r="D424" s="69"/>
    </row>
    <row r="425" spans="4:4" ht="15.75" customHeight="1">
      <c r="D425" s="69"/>
    </row>
    <row r="426" spans="4:4" ht="15.75" customHeight="1">
      <c r="D426" s="69"/>
    </row>
    <row r="427" spans="4:4" ht="15.75" customHeight="1">
      <c r="D427" s="69"/>
    </row>
    <row r="428" spans="4:4" ht="15.75" customHeight="1">
      <c r="D428" s="69"/>
    </row>
    <row r="429" spans="4:4" ht="15.75" customHeight="1">
      <c r="D429" s="69"/>
    </row>
    <row r="430" spans="4:4" ht="15.75" customHeight="1">
      <c r="D430" s="69"/>
    </row>
    <row r="431" spans="4:4" ht="15.75" customHeight="1">
      <c r="D431" s="69"/>
    </row>
    <row r="432" spans="4:4" ht="15.75" customHeight="1">
      <c r="D432" s="69"/>
    </row>
    <row r="433" spans="4:4" ht="15.75" customHeight="1">
      <c r="D433" s="69"/>
    </row>
    <row r="434" spans="4:4" ht="15.75" customHeight="1">
      <c r="D434" s="69"/>
    </row>
    <row r="435" spans="4:4" ht="15.75" customHeight="1">
      <c r="D435" s="69"/>
    </row>
    <row r="436" spans="4:4" ht="15.75" customHeight="1">
      <c r="D436" s="69"/>
    </row>
    <row r="437" spans="4:4" ht="15.75" customHeight="1">
      <c r="D437" s="69"/>
    </row>
    <row r="438" spans="4:4" ht="15.75" customHeight="1">
      <c r="D438" s="69"/>
    </row>
    <row r="439" spans="4:4" ht="15.75" customHeight="1">
      <c r="D439" s="69"/>
    </row>
    <row r="440" spans="4:4" ht="15.75" customHeight="1">
      <c r="D440" s="69"/>
    </row>
    <row r="441" spans="4:4" ht="15.75" customHeight="1">
      <c r="D441" s="69"/>
    </row>
    <row r="442" spans="4:4" ht="15.75" customHeight="1">
      <c r="D442" s="69"/>
    </row>
    <row r="443" spans="4:4" ht="15.75" customHeight="1">
      <c r="D443" s="69"/>
    </row>
    <row r="444" spans="4:4" ht="15.75" customHeight="1">
      <c r="D444" s="69"/>
    </row>
    <row r="445" spans="4:4" ht="15.75" customHeight="1">
      <c r="D445" s="69"/>
    </row>
    <row r="446" spans="4:4" ht="15.75" customHeight="1">
      <c r="D446" s="69"/>
    </row>
    <row r="447" spans="4:4" ht="15.75" customHeight="1">
      <c r="D447" s="69"/>
    </row>
    <row r="448" spans="4:4" ht="15.75" customHeight="1">
      <c r="D448" s="69"/>
    </row>
    <row r="449" spans="4:4" ht="15.75" customHeight="1">
      <c r="D449" s="69"/>
    </row>
    <row r="450" spans="4:4" ht="15.75" customHeight="1">
      <c r="D450" s="69"/>
    </row>
    <row r="451" spans="4:4" ht="15.75" customHeight="1">
      <c r="D451" s="69"/>
    </row>
    <row r="452" spans="4:4" ht="15.75" customHeight="1">
      <c r="D452" s="69"/>
    </row>
    <row r="453" spans="4:4" ht="15.75" customHeight="1">
      <c r="D453" s="69"/>
    </row>
    <row r="454" spans="4:4" ht="15.75" customHeight="1">
      <c r="D454" s="69"/>
    </row>
    <row r="455" spans="4:4" ht="15.75" customHeight="1">
      <c r="D455" s="69"/>
    </row>
    <row r="456" spans="4:4" ht="15.75" customHeight="1">
      <c r="D456" s="69"/>
    </row>
    <row r="457" spans="4:4" ht="15.75" customHeight="1">
      <c r="D457" s="69"/>
    </row>
    <row r="458" spans="4:4" ht="15.75" customHeight="1">
      <c r="D458" s="69"/>
    </row>
    <row r="459" spans="4:4" ht="15.75" customHeight="1">
      <c r="D459" s="69"/>
    </row>
    <row r="460" spans="4:4" ht="15.75" customHeight="1">
      <c r="D460" s="69"/>
    </row>
    <row r="461" spans="4:4" ht="15.75" customHeight="1">
      <c r="D461" s="69"/>
    </row>
    <row r="462" spans="4:4" ht="15.75" customHeight="1">
      <c r="D462" s="69"/>
    </row>
    <row r="463" spans="4:4" ht="15.75" customHeight="1">
      <c r="D463" s="69"/>
    </row>
    <row r="464" spans="4:4" ht="15.75" customHeight="1">
      <c r="D464" s="69"/>
    </row>
    <row r="465" spans="4:4" ht="15.75" customHeight="1">
      <c r="D465" s="69"/>
    </row>
    <row r="466" spans="4:4" ht="15.75" customHeight="1">
      <c r="D466" s="69"/>
    </row>
    <row r="467" spans="4:4" ht="15.75" customHeight="1">
      <c r="D467" s="69"/>
    </row>
    <row r="468" spans="4:4" ht="15.75" customHeight="1">
      <c r="D468" s="69"/>
    </row>
    <row r="469" spans="4:4" ht="15.75" customHeight="1">
      <c r="D469" s="69"/>
    </row>
    <row r="470" spans="4:4" ht="15.75" customHeight="1">
      <c r="D470" s="69"/>
    </row>
    <row r="471" spans="4:4" ht="15.75" customHeight="1">
      <c r="D471" s="69"/>
    </row>
    <row r="472" spans="4:4" ht="15.75" customHeight="1">
      <c r="D472" s="69"/>
    </row>
    <row r="473" spans="4:4" ht="15.75" customHeight="1">
      <c r="D473" s="69"/>
    </row>
    <row r="474" spans="4:4" ht="15.75" customHeight="1">
      <c r="D474" s="69"/>
    </row>
    <row r="475" spans="4:4" ht="15.75" customHeight="1">
      <c r="D475" s="69"/>
    </row>
    <row r="476" spans="4:4" ht="15.75" customHeight="1">
      <c r="D476" s="69"/>
    </row>
    <row r="477" spans="4:4" ht="15.75" customHeight="1">
      <c r="D477" s="69"/>
    </row>
    <row r="478" spans="4:4" ht="15.75" customHeight="1">
      <c r="D478" s="69"/>
    </row>
    <row r="479" spans="4:4" ht="15.75" customHeight="1">
      <c r="D479" s="69"/>
    </row>
    <row r="480" spans="4:4" ht="15.75" customHeight="1">
      <c r="D480" s="69"/>
    </row>
    <row r="481" spans="4:4" ht="15.75" customHeight="1">
      <c r="D481" s="69"/>
    </row>
    <row r="482" spans="4:4" ht="15.75" customHeight="1">
      <c r="D482" s="69"/>
    </row>
    <row r="483" spans="4:4" ht="15.75" customHeight="1">
      <c r="D483" s="69"/>
    </row>
    <row r="484" spans="4:4" ht="15.75" customHeight="1">
      <c r="D484" s="69"/>
    </row>
    <row r="485" spans="4:4" ht="15.75" customHeight="1">
      <c r="D485" s="69"/>
    </row>
    <row r="486" spans="4:4" ht="15.75" customHeight="1">
      <c r="D486" s="69"/>
    </row>
    <row r="487" spans="4:4" ht="15.75" customHeight="1">
      <c r="D487" s="69"/>
    </row>
    <row r="488" spans="4:4" ht="15.75" customHeight="1">
      <c r="D488" s="69"/>
    </row>
    <row r="489" spans="4:4" ht="15.75" customHeight="1">
      <c r="D489" s="69"/>
    </row>
    <row r="490" spans="4:4" ht="15.75" customHeight="1">
      <c r="D490" s="69"/>
    </row>
    <row r="491" spans="4:4" ht="15.75" customHeight="1">
      <c r="D491" s="69"/>
    </row>
    <row r="492" spans="4:4" ht="15.75" customHeight="1">
      <c r="D492" s="69"/>
    </row>
    <row r="493" spans="4:4" ht="15.75" customHeight="1">
      <c r="D493" s="69"/>
    </row>
    <row r="494" spans="4:4" ht="15.75" customHeight="1">
      <c r="D494" s="69"/>
    </row>
    <row r="495" spans="4:4" ht="15.75" customHeight="1">
      <c r="D495" s="69"/>
    </row>
    <row r="496" spans="4:4" ht="15.75" customHeight="1">
      <c r="D496" s="69"/>
    </row>
    <row r="497" spans="4:4" ht="15.75" customHeight="1">
      <c r="D497" s="69"/>
    </row>
    <row r="498" spans="4:4" ht="15.75" customHeight="1">
      <c r="D498" s="69"/>
    </row>
    <row r="499" spans="4:4" ht="15.75" customHeight="1">
      <c r="D499" s="69"/>
    </row>
    <row r="500" spans="4:4" ht="15.75" customHeight="1">
      <c r="D500" s="69"/>
    </row>
    <row r="501" spans="4:4" ht="15.75" customHeight="1">
      <c r="D501" s="69"/>
    </row>
    <row r="502" spans="4:4" ht="15.75" customHeight="1">
      <c r="D502" s="69"/>
    </row>
    <row r="503" spans="4:4" ht="15.75" customHeight="1">
      <c r="D503" s="69"/>
    </row>
    <row r="504" spans="4:4" ht="15.75" customHeight="1">
      <c r="D504" s="69"/>
    </row>
    <row r="505" spans="4:4" ht="15.75" customHeight="1">
      <c r="D505" s="69"/>
    </row>
    <row r="506" spans="4:4" ht="15.75" customHeight="1">
      <c r="D506" s="69"/>
    </row>
    <row r="507" spans="4:4" ht="15.75" customHeight="1">
      <c r="D507" s="69"/>
    </row>
    <row r="508" spans="4:4" ht="15.75" customHeight="1">
      <c r="D508" s="69"/>
    </row>
    <row r="509" spans="4:4" ht="15.75" customHeight="1">
      <c r="D509" s="69"/>
    </row>
    <row r="510" spans="4:4" ht="15.75" customHeight="1">
      <c r="D510" s="69"/>
    </row>
    <row r="511" spans="4:4" ht="15.75" customHeight="1">
      <c r="D511" s="69"/>
    </row>
    <row r="512" spans="4:4" ht="15.75" customHeight="1">
      <c r="D512" s="69"/>
    </row>
    <row r="513" spans="4:4" ht="15.75" customHeight="1">
      <c r="D513" s="69"/>
    </row>
    <row r="514" spans="4:4" ht="15.75" customHeight="1">
      <c r="D514" s="69"/>
    </row>
    <row r="515" spans="4:4" ht="15.75" customHeight="1">
      <c r="D515" s="69"/>
    </row>
    <row r="516" spans="4:4" ht="15.75" customHeight="1">
      <c r="D516" s="69"/>
    </row>
    <row r="517" spans="4:4" ht="15.75" customHeight="1">
      <c r="D517" s="69"/>
    </row>
    <row r="518" spans="4:4" ht="15.75" customHeight="1">
      <c r="D518" s="69"/>
    </row>
    <row r="519" spans="4:4" ht="15.75" customHeight="1">
      <c r="D519" s="69"/>
    </row>
    <row r="520" spans="4:4" ht="15.75" customHeight="1">
      <c r="D520" s="69"/>
    </row>
    <row r="521" spans="4:4" ht="15.75" customHeight="1">
      <c r="D521" s="69"/>
    </row>
    <row r="522" spans="4:4" ht="15.75" customHeight="1">
      <c r="D522" s="69"/>
    </row>
    <row r="523" spans="4:4" ht="15.75" customHeight="1">
      <c r="D523" s="69"/>
    </row>
    <row r="524" spans="4:4" ht="15.75" customHeight="1">
      <c r="D524" s="69"/>
    </row>
    <row r="525" spans="4:4" ht="15.75" customHeight="1">
      <c r="D525" s="69"/>
    </row>
    <row r="526" spans="4:4" ht="15.75" customHeight="1">
      <c r="D526" s="69"/>
    </row>
    <row r="527" spans="4:4" ht="15.75" customHeight="1">
      <c r="D527" s="69"/>
    </row>
    <row r="528" spans="4:4" ht="15.75" customHeight="1">
      <c r="D528" s="69"/>
    </row>
    <row r="529" spans="4:4" ht="15.75" customHeight="1">
      <c r="D529" s="69"/>
    </row>
    <row r="530" spans="4:4" ht="15.75" customHeight="1">
      <c r="D530" s="69"/>
    </row>
    <row r="531" spans="4:4" ht="15.75" customHeight="1">
      <c r="D531" s="69"/>
    </row>
    <row r="532" spans="4:4" ht="15.75" customHeight="1">
      <c r="D532" s="69"/>
    </row>
    <row r="533" spans="4:4" ht="15.75" customHeight="1">
      <c r="D533" s="69"/>
    </row>
    <row r="534" spans="4:4" ht="15.75" customHeight="1">
      <c r="D534" s="69"/>
    </row>
    <row r="535" spans="4:4" ht="15.75" customHeight="1">
      <c r="D535" s="69"/>
    </row>
    <row r="536" spans="4:4" ht="15.75" customHeight="1">
      <c r="D536" s="69"/>
    </row>
    <row r="537" spans="4:4" ht="15.75" customHeight="1">
      <c r="D537" s="69"/>
    </row>
    <row r="538" spans="4:4" ht="15.75" customHeight="1">
      <c r="D538" s="69"/>
    </row>
    <row r="539" spans="4:4" ht="15.75" customHeight="1">
      <c r="D539" s="69"/>
    </row>
    <row r="540" spans="4:4" ht="15.75" customHeight="1">
      <c r="D540" s="69"/>
    </row>
    <row r="541" spans="4:4" ht="15.75" customHeight="1">
      <c r="D541" s="69"/>
    </row>
    <row r="542" spans="4:4" ht="15.75" customHeight="1">
      <c r="D542" s="69"/>
    </row>
    <row r="543" spans="4:4" ht="15.75" customHeight="1">
      <c r="D543" s="69"/>
    </row>
    <row r="544" spans="4:4" ht="15.75" customHeight="1">
      <c r="D544" s="69"/>
    </row>
    <row r="545" spans="4:4" ht="15.75" customHeight="1">
      <c r="D545" s="69"/>
    </row>
    <row r="546" spans="4:4" ht="15.75" customHeight="1">
      <c r="D546" s="69"/>
    </row>
    <row r="547" spans="4:4" ht="15.75" customHeight="1">
      <c r="D547" s="69"/>
    </row>
    <row r="548" spans="4:4" ht="15.75" customHeight="1">
      <c r="D548" s="69"/>
    </row>
    <row r="549" spans="4:4" ht="15.75" customHeight="1">
      <c r="D549" s="69"/>
    </row>
    <row r="550" spans="4:4" ht="15.75" customHeight="1">
      <c r="D550" s="69"/>
    </row>
    <row r="551" spans="4:4" ht="15.75" customHeight="1">
      <c r="D551" s="69"/>
    </row>
    <row r="552" spans="4:4" ht="15.75" customHeight="1">
      <c r="D552" s="69"/>
    </row>
    <row r="553" spans="4:4" ht="15.75" customHeight="1">
      <c r="D553" s="69"/>
    </row>
    <row r="554" spans="4:4" ht="15.75" customHeight="1">
      <c r="D554" s="69"/>
    </row>
    <row r="555" spans="4:4" ht="15.75" customHeight="1">
      <c r="D555" s="69"/>
    </row>
    <row r="556" spans="4:4" ht="15.75" customHeight="1">
      <c r="D556" s="69"/>
    </row>
    <row r="557" spans="4:4" ht="15.75" customHeight="1">
      <c r="D557" s="69"/>
    </row>
    <row r="558" spans="4:4" ht="15.75" customHeight="1">
      <c r="D558" s="69"/>
    </row>
    <row r="559" spans="4:4" ht="15.75" customHeight="1">
      <c r="D559" s="69"/>
    </row>
    <row r="560" spans="4:4" ht="15.75" customHeight="1">
      <c r="D560" s="69"/>
    </row>
    <row r="561" spans="4:4" ht="15.75" customHeight="1">
      <c r="D561" s="69"/>
    </row>
    <row r="562" spans="4:4" ht="15.75" customHeight="1">
      <c r="D562" s="69"/>
    </row>
    <row r="563" spans="4:4" ht="15.75" customHeight="1">
      <c r="D563" s="69"/>
    </row>
    <row r="564" spans="4:4" ht="15.75" customHeight="1">
      <c r="D564" s="69"/>
    </row>
    <row r="565" spans="4:4" ht="15.75" customHeight="1">
      <c r="D565" s="69"/>
    </row>
    <row r="566" spans="4:4" ht="15.75" customHeight="1">
      <c r="D566" s="69"/>
    </row>
    <row r="567" spans="4:4" ht="15.75" customHeight="1">
      <c r="D567" s="69"/>
    </row>
    <row r="568" spans="4:4" ht="15.75" customHeight="1">
      <c r="D568" s="69"/>
    </row>
    <row r="569" spans="4:4" ht="15.75" customHeight="1">
      <c r="D569" s="69"/>
    </row>
    <row r="570" spans="4:4" ht="15.75" customHeight="1">
      <c r="D570" s="69"/>
    </row>
    <row r="571" spans="4:4" ht="15.75" customHeight="1">
      <c r="D571" s="69"/>
    </row>
    <row r="572" spans="4:4" ht="15.75" customHeight="1">
      <c r="D572" s="69"/>
    </row>
    <row r="573" spans="4:4" ht="15.75" customHeight="1">
      <c r="D573" s="69"/>
    </row>
    <row r="574" spans="4:4" ht="15.75" customHeight="1">
      <c r="D574" s="69"/>
    </row>
    <row r="575" spans="4:4" ht="15.75" customHeight="1">
      <c r="D575" s="69"/>
    </row>
    <row r="576" spans="4:4" ht="15.75" customHeight="1">
      <c r="D576" s="69"/>
    </row>
    <row r="577" spans="4:4" ht="15.75" customHeight="1">
      <c r="D577" s="69"/>
    </row>
    <row r="578" spans="4:4" ht="15.75" customHeight="1">
      <c r="D578" s="69"/>
    </row>
    <row r="579" spans="4:4" ht="15.75" customHeight="1">
      <c r="D579" s="69"/>
    </row>
    <row r="580" spans="4:4" ht="15.75" customHeight="1">
      <c r="D580" s="69"/>
    </row>
    <row r="581" spans="4:4" ht="15.75" customHeight="1">
      <c r="D581" s="69"/>
    </row>
    <row r="582" spans="4:4" ht="15.75" customHeight="1">
      <c r="D582" s="69"/>
    </row>
    <row r="583" spans="4:4" ht="15.75" customHeight="1">
      <c r="D583" s="69"/>
    </row>
    <row r="584" spans="4:4" ht="15.75" customHeight="1">
      <c r="D584" s="69"/>
    </row>
    <row r="585" spans="4:4" ht="15.75" customHeight="1">
      <c r="D585" s="69"/>
    </row>
    <row r="586" spans="4:4" ht="15.75" customHeight="1">
      <c r="D586" s="69"/>
    </row>
    <row r="587" spans="4:4" ht="15.75" customHeight="1">
      <c r="D587" s="69"/>
    </row>
    <row r="588" spans="4:4" ht="15.75" customHeight="1">
      <c r="D588" s="69"/>
    </row>
    <row r="589" spans="4:4" ht="15.75" customHeight="1">
      <c r="D589" s="69"/>
    </row>
    <row r="590" spans="4:4" ht="15.75" customHeight="1">
      <c r="D590" s="69"/>
    </row>
    <row r="591" spans="4:4" ht="15.75" customHeight="1">
      <c r="D591" s="69"/>
    </row>
    <row r="592" spans="4:4" ht="15.75" customHeight="1">
      <c r="D592" s="69"/>
    </row>
    <row r="593" spans="4:4" ht="15.75" customHeight="1">
      <c r="D593" s="69"/>
    </row>
    <row r="594" spans="4:4" ht="15.75" customHeight="1">
      <c r="D594" s="69"/>
    </row>
    <row r="595" spans="4:4" ht="15.75" customHeight="1">
      <c r="D595" s="69"/>
    </row>
    <row r="596" spans="4:4" ht="15.75" customHeight="1">
      <c r="D596" s="69"/>
    </row>
    <row r="597" spans="4:4" ht="15.75" customHeight="1">
      <c r="D597" s="69"/>
    </row>
    <row r="598" spans="4:4" ht="15.75" customHeight="1">
      <c r="D598" s="69"/>
    </row>
    <row r="599" spans="4:4" ht="15.75" customHeight="1">
      <c r="D599" s="69"/>
    </row>
    <row r="600" spans="4:4" ht="15.75" customHeight="1">
      <c r="D600" s="69"/>
    </row>
    <row r="601" spans="4:4" ht="15.75" customHeight="1">
      <c r="D601" s="69"/>
    </row>
    <row r="602" spans="4:4" ht="15.75" customHeight="1">
      <c r="D602" s="69"/>
    </row>
    <row r="603" spans="4:4" ht="15.75" customHeight="1">
      <c r="D603" s="69"/>
    </row>
    <row r="604" spans="4:4" ht="15.75" customHeight="1">
      <c r="D604" s="69"/>
    </row>
    <row r="605" spans="4:4" ht="15.75" customHeight="1">
      <c r="D605" s="69"/>
    </row>
    <row r="606" spans="4:4" ht="15.75" customHeight="1">
      <c r="D606" s="69"/>
    </row>
    <row r="607" spans="4:4" ht="15.75" customHeight="1">
      <c r="D607" s="69"/>
    </row>
    <row r="608" spans="4:4" ht="15.75" customHeight="1">
      <c r="D608" s="69"/>
    </row>
    <row r="609" spans="4:4" ht="15.75" customHeight="1">
      <c r="D609" s="69"/>
    </row>
    <row r="610" spans="4:4" ht="15.75" customHeight="1">
      <c r="D610" s="69"/>
    </row>
    <row r="611" spans="4:4" ht="15.75" customHeight="1">
      <c r="D611" s="69"/>
    </row>
    <row r="612" spans="4:4" ht="15.75" customHeight="1">
      <c r="D612" s="69"/>
    </row>
    <row r="613" spans="4:4" ht="15.75" customHeight="1">
      <c r="D613" s="69"/>
    </row>
    <row r="614" spans="4:4" ht="15.75" customHeight="1">
      <c r="D614" s="69"/>
    </row>
    <row r="615" spans="4:4" ht="15.75" customHeight="1">
      <c r="D615" s="69"/>
    </row>
    <row r="616" spans="4:4" ht="15.75" customHeight="1">
      <c r="D616" s="69"/>
    </row>
    <row r="617" spans="4:4" ht="15.75" customHeight="1">
      <c r="D617" s="69"/>
    </row>
    <row r="618" spans="4:4" ht="15.75" customHeight="1">
      <c r="D618" s="69"/>
    </row>
    <row r="619" spans="4:4" ht="15.75" customHeight="1">
      <c r="D619" s="69"/>
    </row>
    <row r="620" spans="4:4" ht="15.75" customHeight="1">
      <c r="D620" s="69"/>
    </row>
    <row r="621" spans="4:4" ht="15.75" customHeight="1">
      <c r="D621" s="69"/>
    </row>
    <row r="622" spans="4:4" ht="15.75" customHeight="1">
      <c r="D622" s="69"/>
    </row>
    <row r="623" spans="4:4" ht="15.75" customHeight="1">
      <c r="D623" s="69"/>
    </row>
    <row r="624" spans="4:4" ht="15.75" customHeight="1">
      <c r="D624" s="69"/>
    </row>
    <row r="625" spans="4:4" ht="15.75" customHeight="1">
      <c r="D625" s="69"/>
    </row>
    <row r="626" spans="4:4" ht="15.75" customHeight="1">
      <c r="D626" s="69"/>
    </row>
    <row r="627" spans="4:4" ht="15.75" customHeight="1">
      <c r="D627" s="69"/>
    </row>
    <row r="628" spans="4:4" ht="15.75" customHeight="1">
      <c r="D628" s="69"/>
    </row>
    <row r="629" spans="4:4" ht="15.75" customHeight="1">
      <c r="D629" s="69"/>
    </row>
    <row r="630" spans="4:4" ht="15.75" customHeight="1">
      <c r="D630" s="69"/>
    </row>
    <row r="631" spans="4:4" ht="15.75" customHeight="1">
      <c r="D631" s="69"/>
    </row>
    <row r="632" spans="4:4" ht="15.75" customHeight="1">
      <c r="D632" s="69"/>
    </row>
    <row r="633" spans="4:4" ht="15.75" customHeight="1">
      <c r="D633" s="69"/>
    </row>
    <row r="634" spans="4:4" ht="15.75" customHeight="1">
      <c r="D634" s="69"/>
    </row>
    <row r="635" spans="4:4" ht="15.75" customHeight="1">
      <c r="D635" s="69"/>
    </row>
    <row r="636" spans="4:4" ht="15.75" customHeight="1">
      <c r="D636" s="69"/>
    </row>
    <row r="637" spans="4:4" ht="15.75" customHeight="1">
      <c r="D637" s="69"/>
    </row>
    <row r="638" spans="4:4" ht="15.75" customHeight="1">
      <c r="D638" s="69"/>
    </row>
    <row r="639" spans="4:4" ht="15.75" customHeight="1">
      <c r="D639" s="69"/>
    </row>
    <row r="640" spans="4:4" ht="15.75" customHeight="1">
      <c r="D640" s="69"/>
    </row>
    <row r="641" spans="4:4" ht="15.75" customHeight="1">
      <c r="D641" s="69"/>
    </row>
    <row r="642" spans="4:4" ht="15.75" customHeight="1">
      <c r="D642" s="69"/>
    </row>
    <row r="643" spans="4:4" ht="15.75" customHeight="1">
      <c r="D643" s="69"/>
    </row>
    <row r="644" spans="4:4" ht="15.75" customHeight="1">
      <c r="D644" s="69"/>
    </row>
    <row r="645" spans="4:4" ht="15.75" customHeight="1">
      <c r="D645" s="69"/>
    </row>
    <row r="646" spans="4:4" ht="15.75" customHeight="1">
      <c r="D646" s="69"/>
    </row>
    <row r="647" spans="4:4" ht="15.75" customHeight="1">
      <c r="D647" s="69"/>
    </row>
    <row r="648" spans="4:4" ht="15.75" customHeight="1">
      <c r="D648" s="69"/>
    </row>
    <row r="649" spans="4:4" ht="15.75" customHeight="1">
      <c r="D649" s="69"/>
    </row>
    <row r="650" spans="4:4" ht="15.75" customHeight="1">
      <c r="D650" s="69"/>
    </row>
    <row r="651" spans="4:4" ht="15.75" customHeight="1">
      <c r="D651" s="69"/>
    </row>
    <row r="652" spans="4:4" ht="15.75" customHeight="1">
      <c r="D652" s="69"/>
    </row>
    <row r="653" spans="4:4" ht="15.75" customHeight="1">
      <c r="D653" s="69"/>
    </row>
    <row r="654" spans="4:4" ht="15.75" customHeight="1">
      <c r="D654" s="69"/>
    </row>
    <row r="655" spans="4:4" ht="15.75" customHeight="1">
      <c r="D655" s="69"/>
    </row>
    <row r="656" spans="4:4" ht="15.75" customHeight="1">
      <c r="D656" s="69"/>
    </row>
    <row r="657" spans="4:4" ht="15.75" customHeight="1">
      <c r="D657" s="69"/>
    </row>
    <row r="658" spans="4:4" ht="15.75" customHeight="1">
      <c r="D658" s="69"/>
    </row>
    <row r="659" spans="4:4" ht="15.75" customHeight="1">
      <c r="D659" s="69"/>
    </row>
    <row r="660" spans="4:4" ht="15.75" customHeight="1">
      <c r="D660" s="69"/>
    </row>
    <row r="661" spans="4:4" ht="15.75" customHeight="1">
      <c r="D661" s="69"/>
    </row>
    <row r="662" spans="4:4" ht="15.75" customHeight="1">
      <c r="D662" s="69"/>
    </row>
    <row r="663" spans="4:4" ht="15.75" customHeight="1">
      <c r="D663" s="69"/>
    </row>
    <row r="664" spans="4:4" ht="15.75" customHeight="1">
      <c r="D664" s="69"/>
    </row>
    <row r="665" spans="4:4" ht="15.75" customHeight="1">
      <c r="D665" s="69"/>
    </row>
    <row r="666" spans="4:4" ht="15.75" customHeight="1">
      <c r="D666" s="69"/>
    </row>
    <row r="667" spans="4:4" ht="15.75" customHeight="1">
      <c r="D667" s="69"/>
    </row>
    <row r="668" spans="4:4" ht="15.75" customHeight="1">
      <c r="D668" s="69"/>
    </row>
    <row r="669" spans="4:4" ht="15.75" customHeight="1">
      <c r="D669" s="69"/>
    </row>
    <row r="670" spans="4:4" ht="15.75" customHeight="1">
      <c r="D670" s="69"/>
    </row>
    <row r="671" spans="4:4" ht="15.75" customHeight="1">
      <c r="D671" s="69"/>
    </row>
    <row r="672" spans="4:4" ht="15.75" customHeight="1">
      <c r="D672" s="69"/>
    </row>
    <row r="673" spans="4:4" ht="15.75" customHeight="1">
      <c r="D673" s="69"/>
    </row>
    <row r="674" spans="4:4" ht="15.75" customHeight="1">
      <c r="D674" s="69"/>
    </row>
    <row r="675" spans="4:4" ht="15.75" customHeight="1">
      <c r="D675" s="69"/>
    </row>
    <row r="676" spans="4:4" ht="15.75" customHeight="1">
      <c r="D676" s="69"/>
    </row>
    <row r="677" spans="4:4" ht="15.75" customHeight="1">
      <c r="D677" s="69"/>
    </row>
    <row r="678" spans="4:4" ht="15.75" customHeight="1">
      <c r="D678" s="69"/>
    </row>
    <row r="679" spans="4:4" ht="15.75" customHeight="1">
      <c r="D679" s="69"/>
    </row>
    <row r="680" spans="4:4" ht="15.75" customHeight="1">
      <c r="D680" s="69"/>
    </row>
    <row r="681" spans="4:4" ht="15.75" customHeight="1">
      <c r="D681" s="69"/>
    </row>
    <row r="682" spans="4:4" ht="15.75" customHeight="1">
      <c r="D682" s="69"/>
    </row>
    <row r="683" spans="4:4" ht="15.75" customHeight="1">
      <c r="D683" s="69"/>
    </row>
    <row r="684" spans="4:4" ht="15.75" customHeight="1">
      <c r="D684" s="69"/>
    </row>
    <row r="685" spans="4:4" ht="15.75" customHeight="1">
      <c r="D685" s="69"/>
    </row>
    <row r="686" spans="4:4" ht="15.75" customHeight="1">
      <c r="D686" s="69"/>
    </row>
    <row r="687" spans="4:4" ht="15.75" customHeight="1">
      <c r="D687" s="69"/>
    </row>
    <row r="688" spans="4:4" ht="15.75" customHeight="1">
      <c r="D688" s="69"/>
    </row>
    <row r="689" spans="4:4" ht="15.75" customHeight="1">
      <c r="D689" s="69"/>
    </row>
    <row r="690" spans="4:4" ht="15.75" customHeight="1">
      <c r="D690" s="69"/>
    </row>
    <row r="691" spans="4:4" ht="15.75" customHeight="1">
      <c r="D691" s="69"/>
    </row>
    <row r="692" spans="4:4" ht="15.75" customHeight="1">
      <c r="D692" s="69"/>
    </row>
    <row r="693" spans="4:4" ht="15.75" customHeight="1">
      <c r="D693" s="69"/>
    </row>
    <row r="694" spans="4:4" ht="15.75" customHeight="1">
      <c r="D694" s="69"/>
    </row>
    <row r="695" spans="4:4" ht="15.75" customHeight="1">
      <c r="D695" s="69"/>
    </row>
    <row r="696" spans="4:4" ht="15.75" customHeight="1">
      <c r="D696" s="69"/>
    </row>
    <row r="697" spans="4:4" ht="15.75" customHeight="1">
      <c r="D697" s="69"/>
    </row>
    <row r="698" spans="4:4" ht="15.75" customHeight="1">
      <c r="D698" s="69"/>
    </row>
    <row r="699" spans="4:4" ht="15.75" customHeight="1">
      <c r="D699" s="69"/>
    </row>
    <row r="700" spans="4:4" ht="15.75" customHeight="1">
      <c r="D700" s="69"/>
    </row>
    <row r="701" spans="4:4" ht="15.75" customHeight="1">
      <c r="D701" s="69"/>
    </row>
    <row r="702" spans="4:4" ht="15.75" customHeight="1">
      <c r="D702" s="69"/>
    </row>
    <row r="703" spans="4:4" ht="15.75" customHeight="1">
      <c r="D703" s="69"/>
    </row>
    <row r="704" spans="4:4" ht="15.75" customHeight="1">
      <c r="D704" s="69"/>
    </row>
    <row r="705" spans="4:4" ht="15.75" customHeight="1">
      <c r="D705" s="69"/>
    </row>
    <row r="706" spans="4:4" ht="15.75" customHeight="1">
      <c r="D706" s="69"/>
    </row>
    <row r="707" spans="4:4" ht="15.75" customHeight="1">
      <c r="D707" s="69"/>
    </row>
    <row r="708" spans="4:4" ht="15.75" customHeight="1">
      <c r="D708" s="69"/>
    </row>
    <row r="709" spans="4:4" ht="15.75" customHeight="1">
      <c r="D709" s="69"/>
    </row>
    <row r="710" spans="4:4" ht="15.75" customHeight="1">
      <c r="D710" s="69"/>
    </row>
    <row r="711" spans="4:4" ht="15.75" customHeight="1">
      <c r="D711" s="69"/>
    </row>
    <row r="712" spans="4:4" ht="15.75" customHeight="1">
      <c r="D712" s="69"/>
    </row>
    <row r="713" spans="4:4" ht="15.75" customHeight="1">
      <c r="D713" s="69"/>
    </row>
    <row r="714" spans="4:4" ht="15.75" customHeight="1">
      <c r="D714" s="69"/>
    </row>
    <row r="715" spans="4:4" ht="15.75" customHeight="1">
      <c r="D715" s="69"/>
    </row>
    <row r="716" spans="4:4" ht="15.75" customHeight="1">
      <c r="D716" s="69"/>
    </row>
    <row r="717" spans="4:4" ht="15.75" customHeight="1">
      <c r="D717" s="69"/>
    </row>
    <row r="718" spans="4:4" ht="15.75" customHeight="1">
      <c r="D718" s="69"/>
    </row>
    <row r="719" spans="4:4" ht="15.75" customHeight="1">
      <c r="D719" s="69"/>
    </row>
    <row r="720" spans="4:4" ht="15.75" customHeight="1">
      <c r="D720" s="69"/>
    </row>
    <row r="721" spans="4:4" ht="15.75" customHeight="1">
      <c r="D721" s="69"/>
    </row>
    <row r="722" spans="4:4" ht="15.75" customHeight="1">
      <c r="D722" s="69"/>
    </row>
    <row r="723" spans="4:4" ht="15.75" customHeight="1">
      <c r="D723" s="69"/>
    </row>
    <row r="724" spans="4:4" ht="15.75" customHeight="1">
      <c r="D724" s="69"/>
    </row>
    <row r="725" spans="4:4" ht="15.75" customHeight="1">
      <c r="D725" s="69"/>
    </row>
    <row r="726" spans="4:4" ht="15.75" customHeight="1">
      <c r="D726" s="69"/>
    </row>
    <row r="727" spans="4:4" ht="15.75" customHeight="1">
      <c r="D727" s="69"/>
    </row>
    <row r="728" spans="4:4" ht="15.75" customHeight="1">
      <c r="D728" s="69"/>
    </row>
    <row r="729" spans="4:4" ht="15.75" customHeight="1">
      <c r="D729" s="69"/>
    </row>
    <row r="730" spans="4:4" ht="15.75" customHeight="1">
      <c r="D730" s="69"/>
    </row>
    <row r="731" spans="4:4" ht="15.75" customHeight="1">
      <c r="D731" s="69"/>
    </row>
    <row r="732" spans="4:4" ht="15.75" customHeight="1">
      <c r="D732" s="69"/>
    </row>
    <row r="733" spans="4:4" ht="15.75" customHeight="1">
      <c r="D733" s="69"/>
    </row>
    <row r="734" spans="4:4" ht="15.75" customHeight="1">
      <c r="D734" s="69"/>
    </row>
    <row r="735" spans="4:4" ht="15.75" customHeight="1">
      <c r="D735" s="69"/>
    </row>
    <row r="736" spans="4:4" ht="15.75" customHeight="1">
      <c r="D736" s="69"/>
    </row>
    <row r="737" spans="4:4" ht="15.75" customHeight="1">
      <c r="D737" s="69"/>
    </row>
    <row r="738" spans="4:4" ht="15.75" customHeight="1">
      <c r="D738" s="69"/>
    </row>
    <row r="739" spans="4:4" ht="15.75" customHeight="1">
      <c r="D739" s="69"/>
    </row>
    <row r="740" spans="4:4" ht="15.75" customHeight="1">
      <c r="D740" s="69"/>
    </row>
    <row r="741" spans="4:4" ht="15.75" customHeight="1">
      <c r="D741" s="69"/>
    </row>
    <row r="742" spans="4:4" ht="15.75" customHeight="1">
      <c r="D742" s="69"/>
    </row>
    <row r="743" spans="4:4" ht="15.75" customHeight="1">
      <c r="D743" s="69"/>
    </row>
    <row r="744" spans="4:4" ht="15.75" customHeight="1">
      <c r="D744" s="69"/>
    </row>
    <row r="745" spans="4:4" ht="15.75" customHeight="1">
      <c r="D745" s="69"/>
    </row>
    <row r="746" spans="4:4" ht="15.75" customHeight="1">
      <c r="D746" s="69"/>
    </row>
    <row r="747" spans="4:4" ht="15.75" customHeight="1">
      <c r="D747" s="69"/>
    </row>
    <row r="748" spans="4:4" ht="15.75" customHeight="1">
      <c r="D748" s="69"/>
    </row>
    <row r="749" spans="4:4" ht="15.75" customHeight="1">
      <c r="D749" s="69"/>
    </row>
    <row r="750" spans="4:4" ht="15.75" customHeight="1">
      <c r="D750" s="69"/>
    </row>
    <row r="751" spans="4:4" ht="15.75" customHeight="1">
      <c r="D751" s="69"/>
    </row>
    <row r="752" spans="4:4" ht="15.75" customHeight="1">
      <c r="D752" s="69"/>
    </row>
    <row r="753" spans="4:4" ht="15.75" customHeight="1">
      <c r="D753" s="69"/>
    </row>
    <row r="754" spans="4:4" ht="15.75" customHeight="1">
      <c r="D754" s="69"/>
    </row>
    <row r="755" spans="4:4" ht="15.75" customHeight="1">
      <c r="D755" s="69"/>
    </row>
    <row r="756" spans="4:4" ht="15.75" customHeight="1">
      <c r="D756" s="69"/>
    </row>
    <row r="757" spans="4:4" ht="15.75" customHeight="1">
      <c r="D757" s="69"/>
    </row>
    <row r="758" spans="4:4" ht="15.75" customHeight="1">
      <c r="D758" s="69"/>
    </row>
    <row r="759" spans="4:4" ht="15.75" customHeight="1">
      <c r="D759" s="69"/>
    </row>
    <row r="760" spans="4:4" ht="15.75" customHeight="1">
      <c r="D760" s="69"/>
    </row>
    <row r="761" spans="4:4" ht="15.75" customHeight="1">
      <c r="D761" s="69"/>
    </row>
    <row r="762" spans="4:4" ht="15.75" customHeight="1">
      <c r="D762" s="69"/>
    </row>
    <row r="763" spans="4:4" ht="15.75" customHeight="1">
      <c r="D763" s="69"/>
    </row>
    <row r="764" spans="4:4" ht="15.75" customHeight="1">
      <c r="D764" s="69"/>
    </row>
    <row r="765" spans="4:4" ht="15.75" customHeight="1">
      <c r="D765" s="69"/>
    </row>
    <row r="766" spans="4:4" ht="15.75" customHeight="1">
      <c r="D766" s="69"/>
    </row>
    <row r="767" spans="4:4" ht="15.75" customHeight="1">
      <c r="D767" s="69"/>
    </row>
    <row r="768" spans="4:4" ht="15.75" customHeight="1">
      <c r="D768" s="69"/>
    </row>
    <row r="769" spans="4:4" ht="15.75" customHeight="1">
      <c r="D769" s="69"/>
    </row>
    <row r="770" spans="4:4" ht="15.75" customHeight="1">
      <c r="D770" s="69"/>
    </row>
    <row r="771" spans="4:4" ht="15.75" customHeight="1">
      <c r="D771" s="69"/>
    </row>
    <row r="772" spans="4:4" ht="15.75" customHeight="1">
      <c r="D772" s="69"/>
    </row>
    <row r="773" spans="4:4" ht="15.75" customHeight="1">
      <c r="D773" s="69"/>
    </row>
    <row r="774" spans="4:4" ht="15.75" customHeight="1">
      <c r="D774" s="69"/>
    </row>
    <row r="775" spans="4:4" ht="15.75" customHeight="1">
      <c r="D775" s="69"/>
    </row>
    <row r="776" spans="4:4" ht="15.75" customHeight="1">
      <c r="D776" s="69"/>
    </row>
    <row r="777" spans="4:4" ht="15.75" customHeight="1">
      <c r="D777" s="69"/>
    </row>
    <row r="778" spans="4:4" ht="15.75" customHeight="1">
      <c r="D778" s="69"/>
    </row>
    <row r="779" spans="4:4" ht="15.75" customHeight="1">
      <c r="D779" s="69"/>
    </row>
    <row r="780" spans="4:4" ht="15.75" customHeight="1">
      <c r="D780" s="69"/>
    </row>
    <row r="781" spans="4:4" ht="15.75" customHeight="1">
      <c r="D781" s="69"/>
    </row>
    <row r="782" spans="4:4" ht="15.75" customHeight="1">
      <c r="D782" s="69"/>
    </row>
    <row r="783" spans="4:4" ht="15.75" customHeight="1">
      <c r="D783" s="69"/>
    </row>
    <row r="784" spans="4:4" ht="15.75" customHeight="1">
      <c r="D784" s="69"/>
    </row>
    <row r="785" spans="4:4" ht="15.75" customHeight="1">
      <c r="D785" s="69"/>
    </row>
    <row r="786" spans="4:4" ht="15.75" customHeight="1">
      <c r="D786" s="69"/>
    </row>
    <row r="787" spans="4:4" ht="15.75" customHeight="1">
      <c r="D787" s="69"/>
    </row>
    <row r="788" spans="4:4" ht="15.75" customHeight="1">
      <c r="D788" s="69"/>
    </row>
    <row r="789" spans="4:4" ht="15.75" customHeight="1">
      <c r="D789" s="69"/>
    </row>
    <row r="790" spans="4:4" ht="15.75" customHeight="1">
      <c r="D790" s="69"/>
    </row>
    <row r="791" spans="4:4" ht="15.75" customHeight="1">
      <c r="D791" s="69"/>
    </row>
    <row r="792" spans="4:4" ht="15.75" customHeight="1">
      <c r="D792" s="69"/>
    </row>
    <row r="793" spans="4:4" ht="15.75" customHeight="1">
      <c r="D793" s="69"/>
    </row>
    <row r="794" spans="4:4" ht="15.75" customHeight="1">
      <c r="D794" s="69"/>
    </row>
    <row r="795" spans="4:4" ht="15.75" customHeight="1">
      <c r="D795" s="69"/>
    </row>
    <row r="796" spans="4:4" ht="15.75" customHeight="1">
      <c r="D796" s="69"/>
    </row>
    <row r="797" spans="4:4" ht="15.75" customHeight="1">
      <c r="D797" s="69"/>
    </row>
    <row r="798" spans="4:4" ht="15.75" customHeight="1">
      <c r="D798" s="69"/>
    </row>
    <row r="799" spans="4:4" ht="15.75" customHeight="1">
      <c r="D799" s="69"/>
    </row>
    <row r="800" spans="4:4" ht="15.75" customHeight="1">
      <c r="D800" s="69"/>
    </row>
    <row r="801" spans="4:4" ht="15.75" customHeight="1">
      <c r="D801" s="69"/>
    </row>
    <row r="802" spans="4:4" ht="15.75" customHeight="1">
      <c r="D802" s="69"/>
    </row>
    <row r="803" spans="4:4" ht="15.75" customHeight="1">
      <c r="D803" s="69"/>
    </row>
    <row r="804" spans="4:4" ht="15.75" customHeight="1">
      <c r="D804" s="69"/>
    </row>
    <row r="805" spans="4:4" ht="15.75" customHeight="1">
      <c r="D805" s="69"/>
    </row>
    <row r="806" spans="4:4" ht="15.75" customHeight="1">
      <c r="D806" s="69"/>
    </row>
    <row r="807" spans="4:4" ht="15.75" customHeight="1">
      <c r="D807" s="69"/>
    </row>
    <row r="808" spans="4:4" ht="15.75" customHeight="1">
      <c r="D808" s="69"/>
    </row>
    <row r="809" spans="4:4" ht="15.75" customHeight="1">
      <c r="D809" s="69"/>
    </row>
    <row r="810" spans="4:4" ht="15.75" customHeight="1">
      <c r="D810" s="69"/>
    </row>
    <row r="811" spans="4:4" ht="15.75" customHeight="1">
      <c r="D811" s="69"/>
    </row>
    <row r="812" spans="4:4" ht="15.75" customHeight="1">
      <c r="D812" s="69"/>
    </row>
    <row r="813" spans="4:4" ht="15.75" customHeight="1">
      <c r="D813" s="69"/>
    </row>
    <row r="814" spans="4:4" ht="15.75" customHeight="1">
      <c r="D814" s="69"/>
    </row>
    <row r="815" spans="4:4" ht="15.75" customHeight="1">
      <c r="D815" s="69"/>
    </row>
    <row r="816" spans="4:4" ht="15.75" customHeight="1">
      <c r="D816" s="69"/>
    </row>
    <row r="817" spans="4:4" ht="15.75" customHeight="1">
      <c r="D817" s="69"/>
    </row>
    <row r="818" spans="4:4" ht="15.75" customHeight="1">
      <c r="D818" s="69"/>
    </row>
    <row r="819" spans="4:4" ht="15.75" customHeight="1">
      <c r="D819" s="69"/>
    </row>
    <row r="820" spans="4:4" ht="15.75" customHeight="1">
      <c r="D820" s="69"/>
    </row>
    <row r="821" spans="4:4" ht="15.75" customHeight="1">
      <c r="D821" s="69"/>
    </row>
    <row r="822" spans="4:4" ht="15.75" customHeight="1">
      <c r="D822" s="69"/>
    </row>
    <row r="823" spans="4:4" ht="15.75" customHeight="1">
      <c r="D823" s="69"/>
    </row>
    <row r="824" spans="4:4" ht="15.75" customHeight="1">
      <c r="D824" s="69"/>
    </row>
    <row r="825" spans="4:4" ht="15.75" customHeight="1">
      <c r="D825" s="69"/>
    </row>
    <row r="826" spans="4:4" ht="15.75" customHeight="1">
      <c r="D826" s="69"/>
    </row>
    <row r="827" spans="4:4" ht="15.75" customHeight="1">
      <c r="D827" s="69"/>
    </row>
    <row r="828" spans="4:4" ht="15.75" customHeight="1">
      <c r="D828" s="69"/>
    </row>
    <row r="829" spans="4:4" ht="15.75" customHeight="1">
      <c r="D829" s="69"/>
    </row>
    <row r="830" spans="4:4" ht="15.75" customHeight="1">
      <c r="D830" s="69"/>
    </row>
    <row r="831" spans="4:4" ht="15.75" customHeight="1">
      <c r="D831" s="69"/>
    </row>
    <row r="832" spans="4:4" ht="15.75" customHeight="1">
      <c r="D832" s="69"/>
    </row>
    <row r="833" spans="4:4" ht="15.75" customHeight="1">
      <c r="D833" s="69"/>
    </row>
    <row r="834" spans="4:4" ht="15.75" customHeight="1">
      <c r="D834" s="69"/>
    </row>
    <row r="835" spans="4:4" ht="15.75" customHeight="1">
      <c r="D835" s="69"/>
    </row>
    <row r="836" spans="4:4" ht="15.75" customHeight="1">
      <c r="D836" s="69"/>
    </row>
    <row r="837" spans="4:4" ht="15.75" customHeight="1">
      <c r="D837" s="69"/>
    </row>
    <row r="838" spans="4:4" ht="15.75" customHeight="1">
      <c r="D838" s="69"/>
    </row>
    <row r="839" spans="4:4" ht="15.75" customHeight="1">
      <c r="D839" s="69"/>
    </row>
    <row r="840" spans="4:4" ht="15.75" customHeight="1">
      <c r="D840" s="69"/>
    </row>
    <row r="841" spans="4:4" ht="15.75" customHeight="1">
      <c r="D841" s="69"/>
    </row>
    <row r="842" spans="4:4" ht="15.75" customHeight="1">
      <c r="D842" s="69"/>
    </row>
    <row r="843" spans="4:4" ht="15.75" customHeight="1">
      <c r="D843" s="69"/>
    </row>
    <row r="844" spans="4:4" ht="15.75" customHeight="1">
      <c r="D844" s="69"/>
    </row>
    <row r="845" spans="4:4" ht="15.75" customHeight="1">
      <c r="D845" s="69"/>
    </row>
    <row r="846" spans="4:4" ht="15.75" customHeight="1">
      <c r="D846" s="69"/>
    </row>
    <row r="847" spans="4:4" ht="15.75" customHeight="1">
      <c r="D847" s="69"/>
    </row>
    <row r="848" spans="4:4" ht="15.75" customHeight="1">
      <c r="D848" s="69"/>
    </row>
    <row r="849" spans="4:4" ht="15.75" customHeight="1">
      <c r="D849" s="69"/>
    </row>
    <row r="850" spans="4:4" ht="15.75" customHeight="1">
      <c r="D850" s="69"/>
    </row>
    <row r="851" spans="4:4" ht="15.75" customHeight="1">
      <c r="D851" s="69"/>
    </row>
    <row r="852" spans="4:4" ht="15.75" customHeight="1">
      <c r="D852" s="69"/>
    </row>
    <row r="853" spans="4:4" ht="15.75" customHeight="1">
      <c r="D853" s="69"/>
    </row>
    <row r="854" spans="4:4" ht="15.75" customHeight="1">
      <c r="D854" s="69"/>
    </row>
    <row r="855" spans="4:4" ht="15.75" customHeight="1">
      <c r="D855" s="69"/>
    </row>
    <row r="856" spans="4:4" ht="15.75" customHeight="1">
      <c r="D856" s="69"/>
    </row>
    <row r="857" spans="4:4" ht="15.75" customHeight="1">
      <c r="D857" s="69"/>
    </row>
    <row r="858" spans="4:4" ht="15.75" customHeight="1">
      <c r="D858" s="69"/>
    </row>
    <row r="859" spans="4:4" ht="15.75" customHeight="1">
      <c r="D859" s="69"/>
    </row>
    <row r="860" spans="4:4" ht="15.75" customHeight="1">
      <c r="D860" s="69"/>
    </row>
    <row r="861" spans="4:4" ht="15.75" customHeight="1">
      <c r="D861" s="69"/>
    </row>
    <row r="862" spans="4:4" ht="15.75" customHeight="1">
      <c r="D862" s="69"/>
    </row>
    <row r="863" spans="4:4" ht="15.75" customHeight="1">
      <c r="D863" s="69"/>
    </row>
    <row r="864" spans="4:4" ht="15.75" customHeight="1">
      <c r="D864" s="69"/>
    </row>
    <row r="865" spans="4:4" ht="15.75" customHeight="1">
      <c r="D865" s="69"/>
    </row>
    <row r="866" spans="4:4" ht="15.75" customHeight="1">
      <c r="D866" s="69"/>
    </row>
    <row r="867" spans="4:4" ht="15.75" customHeight="1">
      <c r="D867" s="69"/>
    </row>
    <row r="868" spans="4:4" ht="15.75" customHeight="1">
      <c r="D868" s="69"/>
    </row>
    <row r="869" spans="4:4" ht="15.75" customHeight="1">
      <c r="D869" s="69"/>
    </row>
    <row r="870" spans="4:4" ht="15.75" customHeight="1">
      <c r="D870" s="69"/>
    </row>
    <row r="871" spans="4:4" ht="15.75" customHeight="1">
      <c r="D871" s="69"/>
    </row>
    <row r="872" spans="4:4" ht="15.75" customHeight="1">
      <c r="D872" s="69"/>
    </row>
    <row r="873" spans="4:4" ht="15.75" customHeight="1">
      <c r="D873" s="69"/>
    </row>
    <row r="874" spans="4:4" ht="15.75" customHeight="1">
      <c r="D874" s="69"/>
    </row>
    <row r="875" spans="4:4" ht="15.75" customHeight="1">
      <c r="D875" s="69"/>
    </row>
    <row r="876" spans="4:4" ht="15.75" customHeight="1">
      <c r="D876" s="69"/>
    </row>
    <row r="877" spans="4:4" ht="15.75" customHeight="1">
      <c r="D877" s="69"/>
    </row>
    <row r="878" spans="4:4" ht="15.75" customHeight="1">
      <c r="D878" s="69"/>
    </row>
    <row r="879" spans="4:4" ht="15.75" customHeight="1">
      <c r="D879" s="69"/>
    </row>
    <row r="880" spans="4:4" ht="15.75" customHeight="1">
      <c r="D880" s="69"/>
    </row>
    <row r="881" spans="4:4" ht="15.75" customHeight="1">
      <c r="D881" s="69"/>
    </row>
    <row r="882" spans="4:4" ht="15.75" customHeight="1">
      <c r="D882" s="69"/>
    </row>
    <row r="883" spans="4:4" ht="15.75" customHeight="1">
      <c r="D883" s="69"/>
    </row>
    <row r="884" spans="4:4" ht="15.75" customHeight="1">
      <c r="D884" s="69"/>
    </row>
    <row r="885" spans="4:4" ht="15.75" customHeight="1">
      <c r="D885" s="69"/>
    </row>
    <row r="886" spans="4:4" ht="15.75" customHeight="1">
      <c r="D886" s="69"/>
    </row>
    <row r="887" spans="4:4" ht="15.75" customHeight="1">
      <c r="D887" s="69"/>
    </row>
    <row r="888" spans="4:4" ht="15.75" customHeight="1">
      <c r="D888" s="69"/>
    </row>
    <row r="889" spans="4:4" ht="15.75" customHeight="1">
      <c r="D889" s="69"/>
    </row>
    <row r="890" spans="4:4" ht="15.75" customHeight="1">
      <c r="D890" s="69"/>
    </row>
    <row r="891" spans="4:4" ht="15.75" customHeight="1">
      <c r="D891" s="69"/>
    </row>
    <row r="892" spans="4:4" ht="15.75" customHeight="1">
      <c r="D892" s="69"/>
    </row>
    <row r="893" spans="4:4" ht="15.75" customHeight="1">
      <c r="D893" s="69"/>
    </row>
    <row r="894" spans="4:4" ht="15.75" customHeight="1">
      <c r="D894" s="69"/>
    </row>
    <row r="895" spans="4:4" ht="15.75" customHeight="1">
      <c r="D895" s="69"/>
    </row>
    <row r="896" spans="4:4" ht="15.75" customHeight="1">
      <c r="D896" s="69"/>
    </row>
    <row r="897" spans="4:4" ht="15.75" customHeight="1">
      <c r="D897" s="69"/>
    </row>
    <row r="898" spans="4:4" ht="15.75" customHeight="1">
      <c r="D898" s="69"/>
    </row>
    <row r="899" spans="4:4" ht="15.75" customHeight="1">
      <c r="D899" s="69"/>
    </row>
    <row r="900" spans="4:4" ht="15.75" customHeight="1">
      <c r="D900" s="69"/>
    </row>
    <row r="901" spans="4:4" ht="15.75" customHeight="1">
      <c r="D901" s="69"/>
    </row>
    <row r="902" spans="4:4" ht="15.75" customHeight="1">
      <c r="D902" s="69"/>
    </row>
    <row r="903" spans="4:4" ht="15.75" customHeight="1">
      <c r="D903" s="69"/>
    </row>
    <row r="904" spans="4:4" ht="15.75" customHeight="1">
      <c r="D904" s="69"/>
    </row>
    <row r="905" spans="4:4" ht="15.75" customHeight="1">
      <c r="D905" s="69"/>
    </row>
    <row r="906" spans="4:4" ht="15.75" customHeight="1">
      <c r="D906" s="69"/>
    </row>
    <row r="907" spans="4:4" ht="15.75" customHeight="1">
      <c r="D907" s="69"/>
    </row>
    <row r="908" spans="4:4" ht="15.75" customHeight="1">
      <c r="D908" s="69"/>
    </row>
    <row r="909" spans="4:4" ht="15.75" customHeight="1">
      <c r="D909" s="69"/>
    </row>
    <row r="910" spans="4:4" ht="15.75" customHeight="1">
      <c r="D910" s="69"/>
    </row>
    <row r="911" spans="4:4" ht="15.75" customHeight="1">
      <c r="D911" s="69"/>
    </row>
    <row r="912" spans="4:4" ht="15.75" customHeight="1">
      <c r="D912" s="69"/>
    </row>
    <row r="913" spans="4:4" ht="15.75" customHeight="1">
      <c r="D913" s="69"/>
    </row>
    <row r="914" spans="4:4" ht="15.75" customHeight="1">
      <c r="D914" s="69"/>
    </row>
    <row r="915" spans="4:4" ht="15.75" customHeight="1">
      <c r="D915" s="69"/>
    </row>
    <row r="916" spans="4:4" ht="15.75" customHeight="1">
      <c r="D916" s="69"/>
    </row>
    <row r="917" spans="4:4" ht="15.75" customHeight="1">
      <c r="D917" s="69"/>
    </row>
    <row r="918" spans="4:4" ht="15.75" customHeight="1">
      <c r="D918" s="69"/>
    </row>
    <row r="919" spans="4:4" ht="15.75" customHeight="1">
      <c r="D919" s="69"/>
    </row>
    <row r="920" spans="4:4" ht="15.75" customHeight="1">
      <c r="D920" s="69"/>
    </row>
    <row r="921" spans="4:4" ht="15.75" customHeight="1">
      <c r="D921" s="69"/>
    </row>
    <row r="922" spans="4:4" ht="15.75" customHeight="1">
      <c r="D922" s="69"/>
    </row>
    <row r="923" spans="4:4" ht="15.75" customHeight="1">
      <c r="D923" s="69"/>
    </row>
    <row r="924" spans="4:4" ht="15.75" customHeight="1">
      <c r="D924" s="69"/>
    </row>
    <row r="925" spans="4:4" ht="15.75" customHeight="1">
      <c r="D925" s="69"/>
    </row>
    <row r="926" spans="4:4" ht="15.75" customHeight="1">
      <c r="D926" s="69"/>
    </row>
    <row r="927" spans="4:4" ht="15.75" customHeight="1">
      <c r="D927" s="69"/>
    </row>
    <row r="928" spans="4:4" ht="15.75" customHeight="1">
      <c r="D928" s="69"/>
    </row>
    <row r="929" spans="4:4" ht="15.75" customHeight="1">
      <c r="D929" s="69"/>
    </row>
    <row r="930" spans="4:4" ht="15.75" customHeight="1">
      <c r="D930" s="69"/>
    </row>
    <row r="931" spans="4:4" ht="15.75" customHeight="1">
      <c r="D931" s="69"/>
    </row>
    <row r="932" spans="4:4" ht="15.75" customHeight="1">
      <c r="D932" s="69"/>
    </row>
    <row r="933" spans="4:4" ht="15.75" customHeight="1">
      <c r="D933" s="69"/>
    </row>
    <row r="934" spans="4:4" ht="15.75" customHeight="1">
      <c r="D934" s="69"/>
    </row>
    <row r="935" spans="4:4" ht="15.75" customHeight="1">
      <c r="D935" s="69"/>
    </row>
    <row r="936" spans="4:4" ht="15.75" customHeight="1">
      <c r="D936" s="69"/>
    </row>
    <row r="937" spans="4:4" ht="15.75" customHeight="1">
      <c r="D937" s="69"/>
    </row>
    <row r="938" spans="4:4" ht="15.75" customHeight="1">
      <c r="D938" s="69"/>
    </row>
    <row r="939" spans="4:4" ht="15.75" customHeight="1">
      <c r="D939" s="69"/>
    </row>
    <row r="940" spans="4:4" ht="15.75" customHeight="1">
      <c r="D940" s="69"/>
    </row>
    <row r="941" spans="4:4" ht="15.75" customHeight="1">
      <c r="D941" s="69"/>
    </row>
    <row r="942" spans="4:4" ht="15.75" customHeight="1">
      <c r="D942" s="69"/>
    </row>
    <row r="943" spans="4:4" ht="15.75" customHeight="1">
      <c r="D943" s="69"/>
    </row>
    <row r="944" spans="4:4" ht="15.75" customHeight="1">
      <c r="D944" s="69"/>
    </row>
    <row r="945" spans="4:4" ht="15.75" customHeight="1">
      <c r="D945" s="69"/>
    </row>
    <row r="946" spans="4:4" ht="15.75" customHeight="1">
      <c r="D946" s="69"/>
    </row>
    <row r="947" spans="4:4" ht="15.75" customHeight="1">
      <c r="D947" s="69"/>
    </row>
    <row r="948" spans="4:4" ht="15.75" customHeight="1">
      <c r="D948" s="69"/>
    </row>
    <row r="949" spans="4:4" ht="15.75" customHeight="1">
      <c r="D949" s="69"/>
    </row>
    <row r="950" spans="4:4" ht="15.75" customHeight="1">
      <c r="D950" s="69"/>
    </row>
    <row r="951" spans="4:4" ht="15.75" customHeight="1">
      <c r="D951" s="69"/>
    </row>
    <row r="952" spans="4:4" ht="15.75" customHeight="1">
      <c r="D952" s="69"/>
    </row>
    <row r="953" spans="4:4" ht="15.75" customHeight="1">
      <c r="D953" s="69"/>
    </row>
    <row r="954" spans="4:4" ht="15.75" customHeight="1">
      <c r="D954" s="69"/>
    </row>
    <row r="955" spans="4:4" ht="15.75" customHeight="1">
      <c r="D955" s="69"/>
    </row>
    <row r="956" spans="4:4" ht="15.75" customHeight="1">
      <c r="D956" s="69"/>
    </row>
    <row r="957" spans="4:4" ht="15.75" customHeight="1">
      <c r="D957" s="69"/>
    </row>
    <row r="958" spans="4:4" ht="15.75" customHeight="1">
      <c r="D958" s="69"/>
    </row>
    <row r="959" spans="4:4" ht="15.75" customHeight="1">
      <c r="D959" s="69"/>
    </row>
    <row r="960" spans="4:4" ht="15.75" customHeight="1">
      <c r="D960" s="69"/>
    </row>
    <row r="961" spans="4:4" ht="15.75" customHeight="1">
      <c r="D961" s="69"/>
    </row>
    <row r="962" spans="4:4" ht="15.75" customHeight="1">
      <c r="D962" s="69"/>
    </row>
    <row r="963" spans="4:4" ht="15.75" customHeight="1">
      <c r="D963" s="69"/>
    </row>
    <row r="964" spans="4:4" ht="15.75" customHeight="1">
      <c r="D964" s="69"/>
    </row>
    <row r="965" spans="4:4" ht="15.75" customHeight="1">
      <c r="D965" s="69"/>
    </row>
    <row r="966" spans="4:4" ht="15.75" customHeight="1">
      <c r="D966" s="69"/>
    </row>
    <row r="967" spans="4:4" ht="15.75" customHeight="1">
      <c r="D967" s="69"/>
    </row>
    <row r="968" spans="4:4" ht="15.75" customHeight="1">
      <c r="D968" s="69"/>
    </row>
    <row r="969" spans="4:4" ht="15.75" customHeight="1">
      <c r="D969" s="69"/>
    </row>
    <row r="970" spans="4:4" ht="15.75" customHeight="1">
      <c r="D970" s="69"/>
    </row>
    <row r="971" spans="4:4" ht="15.75" customHeight="1">
      <c r="D971" s="69"/>
    </row>
    <row r="972" spans="4:4" ht="15.75" customHeight="1">
      <c r="D972" s="69"/>
    </row>
    <row r="973" spans="4:4" ht="15.75" customHeight="1">
      <c r="D973" s="69"/>
    </row>
    <row r="974" spans="4:4" ht="15.75" customHeight="1">
      <c r="D974" s="69"/>
    </row>
    <row r="975" spans="4:4" ht="15.75" customHeight="1">
      <c r="D975" s="69"/>
    </row>
    <row r="976" spans="4:4" ht="15.75" customHeight="1">
      <c r="D976" s="69"/>
    </row>
    <row r="977" spans="4:4" ht="15.75" customHeight="1">
      <c r="D977" s="69"/>
    </row>
    <row r="978" spans="4:4" ht="15.75" customHeight="1">
      <c r="D978" s="69"/>
    </row>
    <row r="979" spans="4:4" ht="15.75" customHeight="1">
      <c r="D979" s="69"/>
    </row>
    <row r="980" spans="4:4" ht="15.75" customHeight="1">
      <c r="D980" s="69"/>
    </row>
    <row r="981" spans="4:4" ht="15.75" customHeight="1">
      <c r="D981" s="69"/>
    </row>
    <row r="982" spans="4:4" ht="15.75" customHeight="1">
      <c r="D982" s="69"/>
    </row>
    <row r="983" spans="4:4" ht="15.75" customHeight="1">
      <c r="D983" s="69"/>
    </row>
    <row r="984" spans="4:4" ht="15.75" customHeight="1">
      <c r="D984" s="69"/>
    </row>
    <row r="985" spans="4:4" ht="15.75" customHeight="1">
      <c r="D985" s="69"/>
    </row>
    <row r="986" spans="4:4" ht="15.75" customHeight="1">
      <c r="D986" s="69"/>
    </row>
    <row r="987" spans="4:4" ht="15.75" customHeight="1">
      <c r="D987" s="69"/>
    </row>
    <row r="988" spans="4:4" ht="15.75" customHeight="1">
      <c r="D988" s="69"/>
    </row>
    <row r="989" spans="4:4" ht="15.75" customHeight="1">
      <c r="D989" s="69"/>
    </row>
    <row r="990" spans="4:4" ht="15.75" customHeight="1">
      <c r="D990" s="69"/>
    </row>
    <row r="991" spans="4:4" ht="15.75" customHeight="1">
      <c r="D991" s="69"/>
    </row>
    <row r="992" spans="4:4" ht="15.75" customHeight="1">
      <c r="D992" s="69"/>
    </row>
    <row r="993" spans="4:4" ht="15.75" customHeight="1">
      <c r="D993" s="69"/>
    </row>
    <row r="994" spans="4:4" ht="15.75" customHeight="1">
      <c r="D994" s="69"/>
    </row>
    <row r="995" spans="4:4" ht="15.75" customHeight="1">
      <c r="D995" s="69"/>
    </row>
    <row r="996" spans="4:4" ht="15.75" customHeight="1">
      <c r="D996" s="69"/>
    </row>
    <row r="997" spans="4:4" ht="15.75" customHeight="1">
      <c r="D997" s="69"/>
    </row>
    <row r="998" spans="4:4" ht="15.75" customHeight="1">
      <c r="D998" s="69"/>
    </row>
    <row r="999" spans="4:4" ht="15.75" customHeight="1">
      <c r="D999" s="69"/>
    </row>
    <row r="1000" spans="4:4" ht="15.75" customHeight="1">
      <c r="D1000" s="69"/>
    </row>
  </sheetData>
  <autoFilter ref="A5:F23" xr:uid="{00000000-0009-0000-0000-000004000000}"/>
  <mergeCells count="4">
    <mergeCell ref="D2:E2"/>
    <mergeCell ref="H2:J5"/>
    <mergeCell ref="D3:E3"/>
    <mergeCell ref="D4:E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1000"/>
  <sheetViews>
    <sheetView showGridLines="0" workbookViewId="0"/>
  </sheetViews>
  <sheetFormatPr baseColWidth="10" defaultColWidth="12.5" defaultRowHeight="15" customHeight="1"/>
  <cols>
    <col min="1" max="1" width="12.83203125" customWidth="1"/>
    <col min="2" max="2" width="5.5" customWidth="1"/>
    <col min="3" max="3" width="14" customWidth="1"/>
    <col min="4" max="4" width="7" customWidth="1"/>
    <col min="5" max="5" width="23.1640625" customWidth="1"/>
    <col min="6" max="6" width="7" customWidth="1"/>
    <col min="7" max="7" width="13.1640625" customWidth="1"/>
    <col min="8" max="8" width="7" customWidth="1"/>
    <col min="9" max="26" width="15.1640625" customWidth="1"/>
  </cols>
  <sheetData>
    <row r="1" spans="1:8" ht="16.5" customHeight="1">
      <c r="A1" s="70" t="s">
        <v>91</v>
      </c>
      <c r="B1" s="2"/>
      <c r="C1" s="70" t="s">
        <v>92</v>
      </c>
      <c r="D1" s="71"/>
      <c r="E1" s="100"/>
      <c r="F1" s="98"/>
      <c r="G1" s="98"/>
      <c r="H1" s="71"/>
    </row>
    <row r="2" spans="1:8" ht="15" customHeight="1">
      <c r="A2" s="72"/>
      <c r="B2" s="2"/>
      <c r="C2" s="72"/>
      <c r="D2" s="71"/>
      <c r="E2" s="98"/>
      <c r="F2" s="98"/>
      <c r="G2" s="98"/>
      <c r="H2" s="71"/>
    </row>
    <row r="3" spans="1:8" ht="15" customHeight="1">
      <c r="A3" s="72" t="s">
        <v>93</v>
      </c>
      <c r="B3" s="2"/>
      <c r="C3" s="72" t="s">
        <v>6</v>
      </c>
      <c r="D3" s="71"/>
      <c r="E3" s="98"/>
      <c r="F3" s="98"/>
      <c r="G3" s="98"/>
      <c r="H3" s="71"/>
    </row>
    <row r="4" spans="1:8" ht="15" customHeight="1">
      <c r="A4" s="72" t="s">
        <v>94</v>
      </c>
      <c r="B4" s="2"/>
      <c r="C4" s="72" t="s">
        <v>95</v>
      </c>
      <c r="D4" s="71"/>
      <c r="E4" s="98"/>
      <c r="F4" s="98"/>
      <c r="G4" s="98"/>
      <c r="H4" s="71"/>
    </row>
    <row r="5" spans="1:8" ht="15" customHeight="1">
      <c r="A5" s="72" t="s">
        <v>96</v>
      </c>
      <c r="B5" s="2"/>
      <c r="C5" s="72" t="s">
        <v>97</v>
      </c>
      <c r="D5" s="71"/>
      <c r="E5" s="71" t="s">
        <v>98</v>
      </c>
      <c r="F5" s="71"/>
      <c r="G5" s="71"/>
      <c r="H5" s="71"/>
    </row>
    <row r="6" spans="1:8" ht="15" customHeight="1">
      <c r="A6" s="72" t="s">
        <v>16</v>
      </c>
      <c r="B6" s="2"/>
      <c r="C6" s="72" t="s">
        <v>17</v>
      </c>
      <c r="D6" s="71"/>
      <c r="E6" s="71"/>
      <c r="F6" s="71"/>
      <c r="G6" s="71"/>
      <c r="H6" s="71"/>
    </row>
    <row r="7" spans="1:8" ht="15" customHeight="1">
      <c r="A7" s="72" t="s">
        <v>20</v>
      </c>
      <c r="B7" s="2"/>
      <c r="C7" s="72" t="s">
        <v>21</v>
      </c>
      <c r="D7" s="71"/>
      <c r="F7" s="71"/>
      <c r="G7" s="71"/>
      <c r="H7" s="71"/>
    </row>
    <row r="8" spans="1:8" ht="15" customHeight="1">
      <c r="A8" s="72" t="s">
        <v>24</v>
      </c>
      <c r="B8" s="2"/>
      <c r="C8" s="72" t="s">
        <v>99</v>
      </c>
      <c r="D8" s="71"/>
      <c r="E8" s="71"/>
      <c r="F8" s="71"/>
      <c r="G8" s="71"/>
      <c r="H8" s="71"/>
    </row>
    <row r="9" spans="1:8" ht="15" customHeight="1">
      <c r="A9" s="72"/>
      <c r="B9" s="2"/>
      <c r="C9" s="72" t="s">
        <v>100</v>
      </c>
      <c r="D9" s="71"/>
      <c r="E9" s="71"/>
      <c r="F9" s="71"/>
      <c r="G9" s="71"/>
      <c r="H9" s="71"/>
    </row>
    <row r="10" spans="1:8" ht="15" customHeight="1">
      <c r="A10" s="72"/>
      <c r="B10" s="2"/>
      <c r="C10" s="72"/>
      <c r="D10" s="71"/>
      <c r="E10" s="71"/>
      <c r="F10" s="71"/>
      <c r="G10" s="71"/>
      <c r="H10" s="71"/>
    </row>
    <row r="11" spans="1:8" ht="15" customHeight="1">
      <c r="A11" s="72"/>
      <c r="B11" s="2"/>
      <c r="C11" s="72"/>
      <c r="D11" s="71"/>
      <c r="E11" s="71"/>
      <c r="F11" s="71"/>
      <c r="G11" s="71"/>
      <c r="H11" s="71"/>
    </row>
    <row r="12" spans="1:8" ht="15" customHeight="1">
      <c r="A12" s="72"/>
      <c r="B12" s="2"/>
      <c r="C12" s="72"/>
      <c r="D12" s="71"/>
      <c r="E12" s="71"/>
      <c r="F12" s="71"/>
      <c r="G12" s="71"/>
      <c r="H12" s="71"/>
    </row>
    <row r="13" spans="1:8" ht="15" customHeight="1">
      <c r="A13" s="72"/>
      <c r="B13" s="2"/>
      <c r="C13" s="72"/>
      <c r="D13" s="71"/>
      <c r="E13" s="71"/>
      <c r="F13" s="71"/>
      <c r="G13" s="71"/>
      <c r="H13" s="71"/>
    </row>
    <row r="14" spans="1:8" ht="15" customHeight="1">
      <c r="A14" s="72"/>
      <c r="B14" s="2"/>
      <c r="C14" s="72"/>
      <c r="D14" s="71"/>
      <c r="E14" s="71"/>
      <c r="F14" s="71"/>
      <c r="G14" s="71"/>
      <c r="H14" s="71"/>
    </row>
    <row r="15" spans="1:8" ht="15" customHeight="1">
      <c r="A15" s="72"/>
      <c r="B15" s="2"/>
      <c r="C15" s="72"/>
      <c r="D15" s="71"/>
      <c r="E15" s="71"/>
      <c r="F15" s="71"/>
      <c r="G15" s="71"/>
      <c r="H15" s="71"/>
    </row>
    <row r="16" spans="1:8" ht="15" customHeight="1">
      <c r="A16" s="72"/>
      <c r="B16" s="2"/>
      <c r="C16" s="72"/>
      <c r="D16" s="71"/>
      <c r="E16" s="71"/>
      <c r="F16" s="71"/>
      <c r="G16" s="71"/>
      <c r="H16" s="71"/>
    </row>
    <row r="17" spans="1:8" ht="15" customHeight="1">
      <c r="A17" s="2"/>
      <c r="B17" s="2"/>
      <c r="C17" s="2"/>
      <c r="D17" s="71"/>
      <c r="E17" s="71"/>
      <c r="F17" s="71"/>
      <c r="G17" s="71"/>
      <c r="H17" s="71"/>
    </row>
    <row r="18" spans="1:8" ht="15" customHeight="1">
      <c r="A18" s="2"/>
      <c r="B18" s="2"/>
      <c r="C18" s="2"/>
      <c r="D18" s="71"/>
      <c r="E18" s="71"/>
      <c r="F18" s="71"/>
      <c r="G18" s="71"/>
      <c r="H18" s="71"/>
    </row>
    <row r="19" spans="1:8" ht="15" customHeight="1">
      <c r="A19" s="2"/>
      <c r="B19" s="2"/>
      <c r="C19" s="2"/>
      <c r="D19" s="71"/>
      <c r="E19" s="71"/>
      <c r="F19" s="71"/>
      <c r="G19" s="71"/>
      <c r="H19" s="71"/>
    </row>
    <row r="20" spans="1:8" ht="15" customHeight="1">
      <c r="A20" s="2"/>
      <c r="B20" s="2"/>
      <c r="C20" s="2"/>
      <c r="D20" s="71"/>
      <c r="E20" s="71"/>
      <c r="F20" s="71"/>
      <c r="G20" s="71"/>
      <c r="H20" s="71"/>
    </row>
    <row r="21" spans="1:8" ht="15.75" customHeight="1"/>
    <row r="22" spans="1:8" ht="15.75" customHeight="1"/>
    <row r="23" spans="1:8" ht="15.75" customHeight="1"/>
    <row r="24" spans="1:8" ht="15.75" customHeight="1"/>
    <row r="25" spans="1:8" ht="15.75" customHeight="1"/>
    <row r="26" spans="1:8" ht="15.75" customHeight="1"/>
    <row r="27" spans="1:8" ht="15.75" customHeight="1"/>
    <row r="28" spans="1:8" ht="15.75" customHeight="1"/>
    <row r="29" spans="1:8" ht="15.75" customHeight="1"/>
    <row r="30" spans="1:8" ht="15.75" customHeight="1"/>
    <row r="31" spans="1:8" ht="15.75" customHeight="1"/>
    <row r="32" spans="1: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E1:G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1000"/>
  <sheetViews>
    <sheetView showGridLines="0" topLeftCell="A26" workbookViewId="0">
      <selection activeCell="H27" sqref="H27"/>
    </sheetView>
  </sheetViews>
  <sheetFormatPr baseColWidth="10" defaultColWidth="12.5" defaultRowHeight="15" customHeight="1"/>
  <cols>
    <col min="1" max="1" width="7.5" customWidth="1"/>
    <col min="2" max="2" width="68.83203125" customWidth="1"/>
    <col min="3" max="3" width="16.83203125" customWidth="1"/>
    <col min="4" max="26" width="15.1640625" customWidth="1"/>
  </cols>
  <sheetData>
    <row r="1" spans="1:3" ht="31.5" customHeight="1">
      <c r="A1" s="73" t="s">
        <v>101</v>
      </c>
      <c r="B1" s="73"/>
      <c r="C1" s="74"/>
    </row>
    <row r="2" spans="1:3" ht="15.75" customHeight="1">
      <c r="A2" s="75"/>
      <c r="B2" s="76"/>
      <c r="C2" s="77"/>
    </row>
    <row r="3" spans="1:3" ht="15.75" customHeight="1">
      <c r="A3" s="78"/>
      <c r="B3" s="78"/>
    </row>
    <row r="4" spans="1:3" ht="15.75" customHeight="1">
      <c r="A4" s="79" t="s">
        <v>102</v>
      </c>
      <c r="B4" s="80"/>
      <c r="C4" s="80"/>
    </row>
    <row r="5" spans="1:3" ht="15.75" customHeight="1">
      <c r="A5" s="81"/>
      <c r="B5" s="82" t="s">
        <v>103</v>
      </c>
    </row>
    <row r="6" spans="1:3" ht="15.75" customHeight="1">
      <c r="A6" s="81"/>
      <c r="B6" s="82"/>
    </row>
    <row r="7" spans="1:3" ht="15.75" customHeight="1">
      <c r="A7" s="81"/>
      <c r="B7" s="82" t="s">
        <v>104</v>
      </c>
    </row>
    <row r="8" spans="1:3" ht="15.75" customHeight="1">
      <c r="A8" s="81"/>
      <c r="B8" s="78"/>
    </row>
    <row r="9" spans="1:3" ht="15.75" customHeight="1">
      <c r="A9" s="79" t="s">
        <v>105</v>
      </c>
      <c r="B9" s="83"/>
      <c r="C9" s="83"/>
    </row>
    <row r="10" spans="1:3" ht="15.75" customHeight="1">
      <c r="A10" s="84" t="s">
        <v>106</v>
      </c>
      <c r="B10" s="82"/>
      <c r="C10" s="82"/>
    </row>
    <row r="11" spans="1:3" ht="15.75" customHeight="1">
      <c r="A11" s="85" t="s">
        <v>107</v>
      </c>
      <c r="B11" s="86" t="s">
        <v>108</v>
      </c>
      <c r="C11" s="86"/>
    </row>
    <row r="12" spans="1:3" ht="15.75" customHeight="1">
      <c r="A12" s="85" t="s">
        <v>109</v>
      </c>
      <c r="B12" s="86" t="s">
        <v>110</v>
      </c>
      <c r="C12" s="86"/>
    </row>
    <row r="13" spans="1:3" ht="15.75" customHeight="1">
      <c r="A13" s="85" t="s">
        <v>111</v>
      </c>
      <c r="B13" s="86" t="s">
        <v>112</v>
      </c>
      <c r="C13" s="86"/>
    </row>
    <row r="14" spans="1:3" ht="15.75" customHeight="1">
      <c r="A14" s="85" t="s">
        <v>113</v>
      </c>
      <c r="B14" s="86" t="s">
        <v>114</v>
      </c>
      <c r="C14" s="86"/>
    </row>
    <row r="15" spans="1:3" ht="15.75" customHeight="1">
      <c r="A15" s="85" t="s">
        <v>115</v>
      </c>
      <c r="B15" s="86" t="s">
        <v>116</v>
      </c>
      <c r="C15" s="86"/>
    </row>
    <row r="16" spans="1:3" ht="15.75" customHeight="1">
      <c r="A16" s="85" t="s">
        <v>117</v>
      </c>
      <c r="B16" s="86" t="s">
        <v>118</v>
      </c>
      <c r="C16" s="86"/>
    </row>
    <row r="17" spans="1:3" ht="15.75" customHeight="1">
      <c r="A17" s="87"/>
      <c r="B17" s="86"/>
      <c r="C17" s="86"/>
    </row>
    <row r="18" spans="1:3" ht="15.75" customHeight="1">
      <c r="A18" s="84" t="s">
        <v>119</v>
      </c>
      <c r="B18" s="82"/>
      <c r="C18" s="82"/>
    </row>
    <row r="19" spans="1:3" ht="15.75" customHeight="1">
      <c r="A19" s="88" t="s">
        <v>107</v>
      </c>
      <c r="B19" s="86" t="s">
        <v>120</v>
      </c>
      <c r="C19" s="86"/>
    </row>
    <row r="20" spans="1:3" ht="15.75" customHeight="1">
      <c r="A20" s="88" t="s">
        <v>109</v>
      </c>
      <c r="B20" s="86" t="s">
        <v>121</v>
      </c>
      <c r="C20" s="86"/>
    </row>
    <row r="21" spans="1:3" ht="15.75" customHeight="1">
      <c r="A21" s="88" t="s">
        <v>111</v>
      </c>
      <c r="B21" s="89" t="s">
        <v>122</v>
      </c>
      <c r="C21" s="86"/>
    </row>
    <row r="22" spans="1:3" ht="15.75" customHeight="1">
      <c r="A22" s="88" t="s">
        <v>113</v>
      </c>
      <c r="B22" s="86" t="s">
        <v>123</v>
      </c>
      <c r="C22" s="86"/>
    </row>
    <row r="23" spans="1:3" ht="15.75" customHeight="1">
      <c r="A23" s="82"/>
      <c r="B23" s="82"/>
      <c r="C23" s="86"/>
    </row>
    <row r="24" spans="1:3" ht="15.75" customHeight="1">
      <c r="A24" s="79" t="s">
        <v>124</v>
      </c>
      <c r="B24" s="80"/>
      <c r="C24" s="80"/>
    </row>
    <row r="25" spans="1:3" ht="15.75" customHeight="1">
      <c r="A25" s="90"/>
      <c r="B25" s="82" t="s">
        <v>125</v>
      </c>
      <c r="C25" s="82"/>
    </row>
    <row r="26" spans="1:3" ht="15.75" customHeight="1">
      <c r="A26" s="90"/>
      <c r="B26" s="82"/>
      <c r="C26" s="82"/>
    </row>
    <row r="27" spans="1:3" ht="15.75" customHeight="1">
      <c r="A27" s="90"/>
      <c r="B27" s="82" t="s">
        <v>126</v>
      </c>
      <c r="C27" s="82"/>
    </row>
    <row r="28" spans="1:3" ht="15.75" customHeight="1">
      <c r="A28" s="90"/>
      <c r="B28" s="82" t="s">
        <v>127</v>
      </c>
      <c r="C28" s="82"/>
    </row>
    <row r="29" spans="1:3" ht="15.75" customHeight="1">
      <c r="A29" s="90"/>
      <c r="B29" s="82"/>
      <c r="C29" s="82"/>
    </row>
    <row r="30" spans="1:3" ht="15.75" customHeight="1">
      <c r="A30" s="90"/>
      <c r="B30" s="82" t="s">
        <v>128</v>
      </c>
      <c r="C30" s="82"/>
    </row>
    <row r="31" spans="1:3" ht="15.75" customHeight="1">
      <c r="A31" s="90"/>
      <c r="B31" s="82"/>
      <c r="C31" s="82"/>
    </row>
    <row r="32" spans="1:3" ht="15.75" customHeight="1">
      <c r="A32" s="79" t="s">
        <v>129</v>
      </c>
      <c r="B32" s="83"/>
      <c r="C32" s="83"/>
    </row>
    <row r="33" spans="1:3" ht="15.75" customHeight="1">
      <c r="A33" s="88" t="s">
        <v>107</v>
      </c>
      <c r="B33" s="91" t="s">
        <v>130</v>
      </c>
      <c r="C33" s="82"/>
    </row>
    <row r="34" spans="1:3" ht="15.75" customHeight="1">
      <c r="A34" s="88" t="s">
        <v>109</v>
      </c>
      <c r="B34" s="91" t="s">
        <v>131</v>
      </c>
      <c r="C34" s="82"/>
    </row>
    <row r="35" spans="1:3" ht="15.75" customHeight="1">
      <c r="A35" s="88" t="s">
        <v>111</v>
      </c>
      <c r="B35" s="91" t="s">
        <v>132</v>
      </c>
      <c r="C35" s="82"/>
    </row>
    <row r="36" spans="1:3" ht="15.75" customHeight="1">
      <c r="A36" s="88" t="s">
        <v>113</v>
      </c>
      <c r="B36" s="91" t="s">
        <v>133</v>
      </c>
      <c r="C36" s="82"/>
    </row>
    <row r="37" spans="1:3" ht="15.75" customHeight="1">
      <c r="A37" s="92"/>
      <c r="B37" s="82"/>
      <c r="C37" s="82"/>
    </row>
    <row r="38" spans="1:3" ht="15.75" customHeight="1">
      <c r="A38" s="93"/>
      <c r="B38" s="94"/>
      <c r="C38" s="94"/>
    </row>
    <row r="39" spans="1:3" ht="22.5" customHeight="1">
      <c r="A39" s="40"/>
      <c r="B39" s="95"/>
      <c r="C39" s="40"/>
    </row>
    <row r="40" spans="1:3" ht="22.5" customHeight="1">
      <c r="A40" s="40"/>
      <c r="B40" s="95"/>
      <c r="C40" s="40"/>
    </row>
    <row r="41" spans="1:3" ht="22.5" customHeight="1">
      <c r="A41" s="40"/>
      <c r="B41" s="95"/>
      <c r="C41" s="40"/>
    </row>
    <row r="42" spans="1:3" ht="22.5" customHeight="1">
      <c r="A42" s="40"/>
      <c r="B42" s="95"/>
      <c r="C42" s="40"/>
    </row>
    <row r="43" spans="1:3" ht="22.5" customHeight="1">
      <c r="A43" s="40"/>
      <c r="B43" s="95"/>
      <c r="C43" s="40"/>
    </row>
    <row r="44" spans="1:3" ht="15.75" customHeight="1">
      <c r="A44" s="82"/>
      <c r="B44" s="96"/>
      <c r="C44" s="82"/>
    </row>
    <row r="45" spans="1:3" ht="15.75" customHeight="1">
      <c r="A45" s="82"/>
      <c r="B45" s="96"/>
      <c r="C45" s="82"/>
    </row>
    <row r="46" spans="1:3" ht="15.75" customHeight="1">
      <c r="A46" s="82"/>
      <c r="B46" s="96"/>
      <c r="C46" s="82"/>
    </row>
    <row r="47" spans="1:3" ht="15.75" customHeight="1"/>
    <row r="48" spans="1:3"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14</vt:i4>
      </vt:variant>
    </vt:vector>
  </HeadingPairs>
  <TitlesOfParts>
    <vt:vector size="21" baseType="lpstr">
      <vt:lpstr>CRM</vt:lpstr>
      <vt:lpstr>ContactLog</vt:lpstr>
      <vt:lpstr>SalesLog</vt:lpstr>
      <vt:lpstr>ContactDetails</vt:lpstr>
      <vt:lpstr>Team</vt:lpstr>
      <vt:lpstr>Pengaturan</vt:lpstr>
      <vt:lpstr>Bantuan</vt:lpstr>
      <vt:lpstr>Customers</vt:lpstr>
      <vt:lpstr>lead_source</vt:lpstr>
      <vt:lpstr>lead_status</vt:lpstr>
      <vt:lpstr>ContactDetails!Print_Area</vt:lpstr>
      <vt:lpstr>ContactLog!Print_Area</vt:lpstr>
      <vt:lpstr>CRM!Print_Area</vt:lpstr>
      <vt:lpstr>SalesLog!Print_Area</vt:lpstr>
      <vt:lpstr>Team!Print_Area</vt:lpstr>
      <vt:lpstr>ContactDetails!Print_Titles</vt:lpstr>
      <vt:lpstr>ContactLog!Print_Titles</vt:lpstr>
      <vt:lpstr>CRM!Print_Titles</vt:lpstr>
      <vt:lpstr>SalesLog!Print_Titles</vt:lpstr>
      <vt:lpstr>Team!Print_Titles</vt:lpstr>
      <vt:lpstr>team_names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Software Solution</cp:lastModifiedBy>
  <dcterms:modified xsi:type="dcterms:W3CDTF">2025-02-19T03:00:59Z</dcterms:modified>
</cp:coreProperties>
</file>