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emplate Project\Smart Business Owner\Forecasts\"/>
    </mc:Choice>
  </mc:AlternateContent>
  <xr:revisionPtr revIDLastSave="0" documentId="13_ncr:1_{798EB9EE-1BFE-4D84-B093-DF2D90FD2CD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COGS" sheetId="1" r:id="rId1"/>
  </sheets>
  <definedNames>
    <definedName name="_xlnm.Print_Area" localSheetId="0">COGS!$B$1:$L$47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  <c r="F11" i="1" l="1"/>
  <c r="G11" i="1"/>
  <c r="D8" i="1" s="1"/>
  <c r="H15" i="1"/>
  <c r="H14" i="1"/>
  <c r="H13" i="1"/>
  <c r="H12" i="1"/>
  <c r="G6" i="1" l="1"/>
  <c r="H6" i="1" s="1"/>
  <c r="K11" i="1"/>
  <c r="K12" i="1" s="1"/>
  <c r="L12" i="1" s="1"/>
  <c r="H11" i="1"/>
  <c r="I11" i="1"/>
  <c r="I12" i="1" s="1"/>
  <c r="K13" i="1" l="1"/>
  <c r="L13" i="1" s="1"/>
  <c r="L11" i="1"/>
  <c r="J12" i="1"/>
  <c r="I13" i="1"/>
  <c r="J11" i="1"/>
  <c r="K14" i="1" l="1"/>
  <c r="K15" i="1" s="1"/>
  <c r="I14" i="1"/>
  <c r="J13" i="1"/>
  <c r="L14" i="1" l="1"/>
  <c r="J14" i="1"/>
  <c r="I15" i="1"/>
  <c r="L15" i="1"/>
  <c r="K16" i="1"/>
  <c r="I16" i="1" l="1"/>
  <c r="J15" i="1"/>
  <c r="K17" i="1"/>
  <c r="L16" i="1"/>
  <c r="L17" i="1" l="1"/>
  <c r="K18" i="1"/>
  <c r="I17" i="1"/>
  <c r="J16" i="1"/>
  <c r="I18" i="1" l="1"/>
  <c r="J17" i="1"/>
  <c r="L18" i="1"/>
  <c r="K19" i="1"/>
  <c r="K20" i="1" l="1"/>
  <c r="L19" i="1"/>
  <c r="J18" i="1"/>
  <c r="I19" i="1"/>
  <c r="J19" i="1" l="1"/>
  <c r="I20" i="1"/>
  <c r="K21" i="1"/>
  <c r="L20" i="1"/>
  <c r="L21" i="1" l="1"/>
  <c r="K22" i="1"/>
  <c r="J20" i="1"/>
  <c r="I21" i="1"/>
  <c r="I22" i="1" l="1"/>
  <c r="J21" i="1"/>
  <c r="L22" i="1"/>
  <c r="K23" i="1"/>
  <c r="J22" i="1" l="1"/>
  <c r="I23" i="1"/>
  <c r="K24" i="1"/>
  <c r="L23" i="1"/>
  <c r="K25" i="1" l="1"/>
  <c r="L24" i="1"/>
  <c r="I24" i="1"/>
  <c r="J23" i="1"/>
  <c r="I25" i="1" l="1"/>
  <c r="J24" i="1"/>
  <c r="L25" i="1"/>
  <c r="K26" i="1"/>
  <c r="L26" i="1" l="1"/>
  <c r="K27" i="1"/>
  <c r="I26" i="1"/>
  <c r="J25" i="1"/>
  <c r="K28" i="1" l="1"/>
  <c r="L27" i="1"/>
  <c r="J26" i="1"/>
  <c r="I27" i="1"/>
  <c r="J27" i="1" l="1"/>
  <c r="I28" i="1"/>
  <c r="K29" i="1"/>
  <c r="L28" i="1"/>
  <c r="L29" i="1" l="1"/>
  <c r="K30" i="1"/>
  <c r="J28" i="1"/>
  <c r="I29" i="1"/>
  <c r="I30" i="1" l="1"/>
  <c r="J29" i="1"/>
  <c r="L30" i="1"/>
  <c r="K31" i="1"/>
  <c r="K32" i="1" l="1"/>
  <c r="L31" i="1"/>
  <c r="J30" i="1"/>
  <c r="I31" i="1"/>
  <c r="I32" i="1" l="1"/>
  <c r="J31" i="1"/>
  <c r="L32" i="1"/>
  <c r="K33" i="1"/>
  <c r="L33" i="1" l="1"/>
  <c r="K34" i="1"/>
  <c r="I33" i="1"/>
  <c r="J32" i="1"/>
  <c r="I34" i="1" l="1"/>
  <c r="J33" i="1"/>
  <c r="L34" i="1"/>
  <c r="K35" i="1"/>
  <c r="K36" i="1" l="1"/>
  <c r="L35" i="1"/>
  <c r="J34" i="1"/>
  <c r="I35" i="1"/>
  <c r="J35" i="1" l="1"/>
  <c r="I36" i="1"/>
  <c r="K37" i="1"/>
  <c r="L36" i="1"/>
  <c r="J36" i="1" l="1"/>
  <c r="I37" i="1"/>
  <c r="L37" i="1"/>
  <c r="K38" i="1"/>
  <c r="L38" i="1" l="1"/>
  <c r="K39" i="1"/>
  <c r="I38" i="1"/>
  <c r="J37" i="1"/>
  <c r="K40" i="1" l="1"/>
  <c r="L39" i="1"/>
  <c r="J38" i="1"/>
  <c r="I39" i="1"/>
  <c r="I40" i="1" l="1"/>
  <c r="J39" i="1"/>
  <c r="L40" i="1"/>
  <c r="K41" i="1"/>
  <c r="L41" i="1" l="1"/>
  <c r="K42" i="1"/>
  <c r="I41" i="1"/>
  <c r="J40" i="1"/>
  <c r="I42" i="1" l="1"/>
  <c r="J41" i="1"/>
  <c r="K43" i="1"/>
  <c r="L42" i="1"/>
  <c r="K44" i="1" l="1"/>
  <c r="L43" i="1"/>
  <c r="J42" i="1"/>
  <c r="I43" i="1"/>
  <c r="J43" i="1" l="1"/>
  <c r="I44" i="1"/>
  <c r="K45" i="1"/>
  <c r="L44" i="1"/>
  <c r="J44" i="1" l="1"/>
  <c r="I45" i="1"/>
  <c r="L45" i="1"/>
  <c r="K46" i="1"/>
  <c r="L46" i="1" s="1"/>
  <c r="G8" i="1" s="1"/>
  <c r="H8" i="1" s="1"/>
  <c r="I46" i="1" l="1"/>
  <c r="J46" i="1" s="1"/>
  <c r="J45" i="1"/>
  <c r="G7" i="1" l="1"/>
  <c r="H7" i="1" s="1"/>
</calcChain>
</file>

<file path=xl/sharedStrings.xml><?xml version="1.0" encoding="utf-8"?>
<sst xmlns="http://schemas.openxmlformats.org/spreadsheetml/2006/main" count="30" uniqueCount="23">
  <si>
    <t>Date</t>
  </si>
  <si>
    <t>Unit</t>
  </si>
  <si>
    <t>PO #</t>
  </si>
  <si>
    <t>FIFO</t>
  </si>
  <si>
    <t>LIFO</t>
  </si>
  <si>
    <t xml:space="preserve"> unit</t>
  </si>
  <si>
    <t>Item Name</t>
  </si>
  <si>
    <t xml:space="preserve"> </t>
  </si>
  <si>
    <t>Average</t>
  </si>
  <si>
    <t>Total</t>
  </si>
  <si>
    <t>Per Unit</t>
  </si>
  <si>
    <t>ABC</t>
  </si>
  <si>
    <t>BEBAN POKOK PENJUALAN</t>
  </si>
  <si>
    <t>Nama Perusahaan :</t>
  </si>
  <si>
    <t>Periode Bulan</t>
  </si>
  <si>
    <t>Persediaan Awal :</t>
  </si>
  <si>
    <t>Harga Persediaan Awal (IDR) :</t>
  </si>
  <si>
    <t>Satuan yang Dijual :</t>
  </si>
  <si>
    <t>Persediaan akhir :</t>
  </si>
  <si>
    <t>COGS (IDR)</t>
  </si>
  <si>
    <t>Nama Item</t>
  </si>
  <si>
    <t>Harga (IDR)</t>
  </si>
  <si>
    <t>Total 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</si>
</sst>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[$-409]d\-mmm;@"/>
    <numFmt numFmtId="166" formatCode="[$-409]mmmm\-yy;@"/>
    <numFmt numFmtId="167" formatCode="_(* #,##0_);_(* \(#,##0\);_(* &quot;-&quot;??_);_(@_)"/>
    <numFmt numFmtId="168" formatCode="_(* #,##0.000_);_(* \(#,##0.000\);_(* &quot;-&quot;??_);_(@_)"/>
  </numFmts>
  <fonts count="22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58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b/>
      <sz val="14"/>
      <color indexed="9"/>
      <name val="Arial"/>
      <family val="2"/>
    </font>
    <font>
      <b/>
      <sz val="10"/>
      <color indexed="9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3"/>
      </patternFill>
    </fill>
    <fill>
      <patternFill patternType="solid">
        <fgColor indexed="50"/>
      </patternFill>
    </fill>
    <fill>
      <patternFill patternType="solid">
        <fgColor indexed="27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29"/>
      </patternFill>
    </fill>
    <fill>
      <patternFill patternType="solid">
        <fgColor indexed="54"/>
      </patternFill>
    </fill>
    <fill>
      <patternFill patternType="solid">
        <fgColor indexed="21"/>
      </patternFill>
    </fill>
    <fill>
      <patternFill patternType="solid">
        <fgColor indexed="23"/>
      </patternFill>
    </fill>
    <fill>
      <patternFill patternType="solid">
        <fgColor indexed="53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55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2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16" borderId="1" applyNumberFormat="0" applyAlignment="0" applyProtection="0"/>
    <xf numFmtId="0" fontId="6" fillId="17" borderId="2" applyNumberFormat="0" applyAlignment="0" applyProtection="0"/>
    <xf numFmtId="164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10" borderId="1" applyNumberFormat="0" applyAlignment="0" applyProtection="0"/>
    <xf numFmtId="0" fontId="13" fillId="0" borderId="6" applyNumberFormat="0" applyFill="0" applyAlignment="0" applyProtection="0"/>
    <xf numFmtId="0" fontId="14" fillId="6" borderId="0" applyNumberFormat="0" applyBorder="0" applyAlignment="0" applyProtection="0"/>
    <xf numFmtId="0" fontId="1" fillId="6" borderId="7" applyNumberFormat="0" applyFont="0" applyAlignment="0" applyProtection="0"/>
    <xf numFmtId="0" fontId="15" fillId="16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right" vertical="center"/>
      <protection locked="0"/>
    </xf>
    <xf numFmtId="0" fontId="1" fillId="0" borderId="11" xfId="0" applyFont="1" applyBorder="1" applyAlignment="1" applyProtection="1">
      <alignment horizontal="left" vertical="center"/>
      <protection locked="0"/>
    </xf>
    <xf numFmtId="166" fontId="1" fillId="0" borderId="12" xfId="0" applyNumberFormat="1" applyFont="1" applyBorder="1" applyAlignment="1" applyProtection="1">
      <alignment vertical="center"/>
      <protection locked="0"/>
    </xf>
    <xf numFmtId="167" fontId="1" fillId="0" borderId="12" xfId="28" applyNumberFormat="1" applyFont="1" applyBorder="1" applyAlignment="1" applyProtection="1">
      <alignment vertical="center"/>
      <protection locked="0"/>
    </xf>
    <xf numFmtId="167" fontId="1" fillId="0" borderId="11" xfId="28" applyNumberFormat="1" applyFont="1" applyBorder="1" applyAlignment="1" applyProtection="1">
      <alignment vertical="center"/>
      <protection locked="0"/>
    </xf>
    <xf numFmtId="0" fontId="1" fillId="0" borderId="16" xfId="0" applyFont="1" applyBorder="1" applyAlignment="1" applyProtection="1">
      <alignment horizontal="center" vertical="center"/>
      <protection locked="0"/>
    </xf>
    <xf numFmtId="167" fontId="1" fillId="0" borderId="0" xfId="0" applyNumberFormat="1" applyFont="1" applyAlignment="1" applyProtection="1">
      <alignment vertical="center"/>
      <protection locked="0"/>
    </xf>
    <xf numFmtId="167" fontId="1" fillId="18" borderId="13" xfId="28" applyNumberFormat="1" applyFont="1" applyFill="1" applyBorder="1" applyAlignment="1" applyProtection="1">
      <alignment vertical="center"/>
      <protection hidden="1"/>
    </xf>
    <xf numFmtId="167" fontId="1" fillId="18" borderId="13" xfId="0" applyNumberFormat="1" applyFont="1" applyFill="1" applyBorder="1" applyAlignment="1" applyProtection="1">
      <alignment vertical="center"/>
      <protection hidden="1"/>
    </xf>
    <xf numFmtId="167" fontId="1" fillId="18" borderId="14" xfId="28" applyNumberFormat="1" applyFont="1" applyFill="1" applyBorder="1" applyAlignment="1" applyProtection="1">
      <alignment vertical="center"/>
      <protection hidden="1"/>
    </xf>
    <xf numFmtId="167" fontId="1" fillId="18" borderId="10" xfId="28" applyNumberFormat="1" applyFont="1" applyFill="1" applyBorder="1" applyAlignment="1" applyProtection="1">
      <alignment vertical="center"/>
      <protection hidden="1"/>
    </xf>
    <xf numFmtId="165" fontId="1" fillId="0" borderId="10" xfId="0" applyNumberFormat="1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5" xfId="0" applyFont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center" vertical="center"/>
      <protection locked="0"/>
    </xf>
    <xf numFmtId="167" fontId="1" fillId="0" borderId="10" xfId="28" applyNumberFormat="1" applyFont="1" applyBorder="1" applyAlignment="1" applyProtection="1">
      <alignment vertical="center"/>
      <protection locked="0"/>
    </xf>
    <xf numFmtId="0" fontId="20" fillId="19" borderId="0" xfId="0" applyFont="1" applyFill="1" applyAlignment="1" applyProtection="1">
      <alignment horizontal="center" vertical="center"/>
      <protection locked="0"/>
    </xf>
    <xf numFmtId="0" fontId="21" fillId="19" borderId="16" xfId="0" applyFont="1" applyFill="1" applyBorder="1" applyAlignment="1" applyProtection="1">
      <alignment horizontal="right" vertical="center"/>
      <protection locked="0"/>
    </xf>
    <xf numFmtId="167" fontId="21" fillId="19" borderId="16" xfId="0" applyNumberFormat="1" applyFont="1" applyFill="1" applyBorder="1" applyAlignment="1" applyProtection="1">
      <alignment horizontal="center" vertical="center"/>
      <protection locked="0"/>
    </xf>
    <xf numFmtId="0" fontId="21" fillId="19" borderId="16" xfId="0" applyFont="1" applyFill="1" applyBorder="1" applyAlignment="1" applyProtection="1">
      <alignment vertical="center"/>
      <protection locked="0"/>
    </xf>
    <xf numFmtId="0" fontId="21" fillId="19" borderId="10" xfId="0" applyFont="1" applyFill="1" applyBorder="1" applyAlignment="1" applyProtection="1">
      <alignment horizontal="center" vertical="center"/>
      <protection locked="0"/>
    </xf>
    <xf numFmtId="0" fontId="21" fillId="19" borderId="15" xfId="0" applyFont="1" applyFill="1" applyBorder="1" applyAlignment="1" applyProtection="1">
      <alignment horizontal="center" vertical="center"/>
      <protection locked="0"/>
    </xf>
    <xf numFmtId="0" fontId="21" fillId="19" borderId="14" xfId="0" applyFont="1" applyFill="1" applyBorder="1" applyAlignment="1" applyProtection="1">
      <alignment horizontal="center" vertical="center"/>
      <protection locked="0"/>
    </xf>
    <xf numFmtId="167" fontId="1" fillId="20" borderId="12" xfId="28" applyNumberFormat="1" applyFont="1" applyFill="1" applyBorder="1" applyAlignment="1" applyProtection="1">
      <alignment vertical="center"/>
      <protection hidden="1"/>
    </xf>
    <xf numFmtId="167" fontId="1" fillId="20" borderId="16" xfId="28" applyNumberFormat="1" applyFont="1" applyFill="1" applyBorder="1" applyAlignment="1" applyProtection="1">
      <alignment horizontal="center" vertical="center"/>
      <protection locked="0" hidden="1"/>
    </xf>
    <xf numFmtId="168" fontId="1" fillId="20" borderId="16" xfId="28" applyNumberFormat="1" applyFont="1" applyFill="1" applyBorder="1" applyAlignment="1" applyProtection="1">
      <alignment horizontal="center" vertical="center"/>
      <protection locked="0" hidden="1"/>
    </xf>
    <xf numFmtId="167" fontId="1" fillId="20" borderId="16" xfId="28" applyNumberFormat="1" applyFont="1" applyFill="1" applyBorder="1" applyAlignment="1" applyProtection="1">
      <alignment horizontal="center" vertical="center"/>
      <protection hidden="1"/>
    </xf>
    <xf numFmtId="168" fontId="1" fillId="20" borderId="16" xfId="28" applyNumberFormat="1" applyFont="1" applyFill="1" applyBorder="1" applyAlignment="1" applyProtection="1">
      <alignment horizontal="center" vertical="center"/>
      <protection hidden="1"/>
    </xf>
    <xf numFmtId="0" fontId="1" fillId="20" borderId="15" xfId="0" applyFont="1" applyFill="1" applyBorder="1" applyAlignment="1" applyProtection="1">
      <alignment horizontal="left" vertical="center"/>
      <protection hidden="1"/>
    </xf>
    <xf numFmtId="0" fontId="1" fillId="20" borderId="0" xfId="0" applyFont="1" applyFill="1" applyAlignment="1" applyProtection="1">
      <alignment vertical="center"/>
      <protection hidden="1"/>
    </xf>
    <xf numFmtId="0" fontId="1" fillId="20" borderId="13" xfId="0" applyFont="1" applyFill="1" applyBorder="1" applyAlignment="1" applyProtection="1">
      <alignment vertical="center"/>
      <protection hidden="1"/>
    </xf>
    <xf numFmtId="167" fontId="1" fillId="20" borderId="13" xfId="28" applyNumberFormat="1" applyFont="1" applyFill="1" applyBorder="1" applyAlignment="1" applyProtection="1">
      <alignment vertical="center"/>
      <protection hidden="1"/>
    </xf>
    <xf numFmtId="167" fontId="1" fillId="20" borderId="10" xfId="28" applyNumberFormat="1" applyFont="1" applyFill="1" applyBorder="1" applyAlignment="1" applyProtection="1">
      <alignment horizontal="center" vertical="center"/>
      <protection hidden="1"/>
    </xf>
    <xf numFmtId="0" fontId="1" fillId="20" borderId="10" xfId="0" applyFont="1" applyFill="1" applyBorder="1" applyAlignment="1" applyProtection="1">
      <alignment horizontal="center" vertical="center"/>
      <protection hidden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1">
    <dxf>
      <fill>
        <patternFill>
          <bgColor indexed="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EFEFEF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127"/>
  <sheetViews>
    <sheetView showGridLines="0" showRowColHeaders="0" tabSelected="1" zoomScale="85" zoomScaleNormal="85" workbookViewId="0">
      <selection activeCell="N10" sqref="N10"/>
    </sheetView>
  </sheetViews>
  <sheetFormatPr defaultColWidth="9.140625" defaultRowHeight="12.75" x14ac:dyDescent="0.2"/>
  <cols>
    <col min="1" max="1" width="1.7109375" style="1" customWidth="1"/>
    <col min="2" max="2" width="15.140625" style="2" customWidth="1"/>
    <col min="3" max="3" width="20" style="1" customWidth="1"/>
    <col min="4" max="4" width="12.28515625" style="1" customWidth="1"/>
    <col min="5" max="5" width="21.42578125" style="1" customWidth="1"/>
    <col min="6" max="6" width="14.7109375" style="1" customWidth="1"/>
    <col min="7" max="7" width="10" style="1" customWidth="1"/>
    <col min="8" max="8" width="12.140625" style="2" bestFit="1" customWidth="1"/>
    <col min="9" max="12" width="11.7109375" style="1" customWidth="1"/>
    <col min="13" max="13" width="1.7109375" style="1" customWidth="1"/>
    <col min="14" max="16384" width="9.140625" style="1"/>
  </cols>
  <sheetData>
    <row r="1" spans="2:12" ht="18" customHeight="1" x14ac:dyDescent="0.2">
      <c r="B1" s="19" t="s">
        <v>12</v>
      </c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2:12" ht="18" customHeight="1" x14ac:dyDescent="0.2"/>
    <row r="3" spans="2:12" ht="18" customHeight="1" x14ac:dyDescent="0.2">
      <c r="C3" s="3" t="s">
        <v>13</v>
      </c>
      <c r="D3" s="4" t="s">
        <v>11</v>
      </c>
      <c r="E3" s="4"/>
      <c r="F3" s="4"/>
    </row>
    <row r="4" spans="2:12" ht="18" customHeight="1" x14ac:dyDescent="0.2">
      <c r="C4" s="3" t="s">
        <v>14</v>
      </c>
      <c r="D4" s="5">
        <v>45200</v>
      </c>
    </row>
    <row r="5" spans="2:12" ht="18" customHeight="1" x14ac:dyDescent="0.2">
      <c r="C5" s="3" t="s">
        <v>15</v>
      </c>
      <c r="D5" s="6">
        <v>100</v>
      </c>
      <c r="E5" s="1" t="s">
        <v>5</v>
      </c>
      <c r="F5" s="20" t="s">
        <v>19</v>
      </c>
      <c r="G5" s="21" t="s">
        <v>9</v>
      </c>
      <c r="H5" s="22" t="s">
        <v>10</v>
      </c>
    </row>
    <row r="6" spans="2:12" ht="18" customHeight="1" x14ac:dyDescent="0.2">
      <c r="C6" s="3" t="s">
        <v>16</v>
      </c>
      <c r="D6" s="7">
        <v>30</v>
      </c>
      <c r="E6" s="1" t="s">
        <v>7</v>
      </c>
      <c r="F6" s="8" t="s">
        <v>8</v>
      </c>
      <c r="G6" s="27">
        <f>D8*SUMPRODUCT(F11:F46,G11:G46)/SUM(G11:G46)</f>
        <v>17875</v>
      </c>
      <c r="H6" s="28">
        <f>G6/D8</f>
        <v>32.5</v>
      </c>
    </row>
    <row r="7" spans="2:12" ht="18" customHeight="1" x14ac:dyDescent="0.2">
      <c r="C7" s="3" t="s">
        <v>17</v>
      </c>
      <c r="D7" s="7">
        <v>450</v>
      </c>
      <c r="E7" s="1" t="s">
        <v>5</v>
      </c>
      <c r="F7" s="8" t="s">
        <v>3</v>
      </c>
      <c r="G7" s="29">
        <f>SUMPRODUCT(J11:J46,F11:F46)</f>
        <v>13150</v>
      </c>
      <c r="H7" s="30">
        <f>G7/D8</f>
        <v>23.90909090909091</v>
      </c>
    </row>
    <row r="8" spans="2:12" ht="18" customHeight="1" x14ac:dyDescent="0.2">
      <c r="C8" s="3" t="s">
        <v>18</v>
      </c>
      <c r="D8" s="26">
        <f>SUM(G11:G46)-D7</f>
        <v>550</v>
      </c>
      <c r="E8" s="1" t="s">
        <v>5</v>
      </c>
      <c r="F8" s="8" t="s">
        <v>4</v>
      </c>
      <c r="G8" s="29">
        <f>SUMPRODUCT(L11:L46,F11:F46)</f>
        <v>16450</v>
      </c>
      <c r="H8" s="30">
        <f>G8/D8</f>
        <v>29.90909090909091</v>
      </c>
    </row>
    <row r="9" spans="2:12" ht="18" customHeight="1" x14ac:dyDescent="0.2">
      <c r="G9" s="9"/>
    </row>
    <row r="10" spans="2:12" s="2" customFormat="1" ht="18" customHeight="1" x14ac:dyDescent="0.2">
      <c r="B10" s="23" t="s">
        <v>0</v>
      </c>
      <c r="C10" s="23" t="s">
        <v>2</v>
      </c>
      <c r="D10" s="24" t="s">
        <v>20</v>
      </c>
      <c r="E10" s="25"/>
      <c r="F10" s="23" t="s">
        <v>21</v>
      </c>
      <c r="G10" s="23" t="s">
        <v>1</v>
      </c>
      <c r="H10" s="23" t="s">
        <v>22</v>
      </c>
      <c r="I10" s="24" t="s">
        <v>3</v>
      </c>
      <c r="J10" s="25"/>
      <c r="K10" s="24" t="s">
        <v>4</v>
      </c>
      <c r="L10" s="25"/>
    </row>
    <row r="11" spans="2:12" ht="18" customHeight="1" x14ac:dyDescent="0.2">
      <c r="B11" s="31" t="str">
        <f>"  Persediaan Awal pada  "&amp; TEXT(D4,"d mmm yy")</f>
        <v xml:space="preserve">  Persediaan Awal pada  1 Oct 23</v>
      </c>
      <c r="C11" s="32"/>
      <c r="D11" s="33"/>
      <c r="E11" s="33"/>
      <c r="F11" s="34">
        <f>D6</f>
        <v>30</v>
      </c>
      <c r="G11" s="34">
        <f>D5</f>
        <v>100</v>
      </c>
      <c r="H11" s="34">
        <f>G11*F11</f>
        <v>3000</v>
      </c>
      <c r="I11" s="10">
        <f>D7-G11</f>
        <v>350</v>
      </c>
      <c r="J11" s="11">
        <f>IF(G11&lt;I11,G11,IF(ABS(I11)&lt;G11,G11-ABS(I11),0))</f>
        <v>100</v>
      </c>
      <c r="K11" s="12">
        <f>D8-G11</f>
        <v>450</v>
      </c>
      <c r="L11" s="13">
        <f>IF(K11&gt;G11,0,IF(ABS(K11)&gt;G11,G11,ABS(K11)))</f>
        <v>0</v>
      </c>
    </row>
    <row r="12" spans="2:12" ht="18" customHeight="1" x14ac:dyDescent="0.2">
      <c r="B12" s="14">
        <v>44655</v>
      </c>
      <c r="C12" s="15">
        <v>101</v>
      </c>
      <c r="D12" s="16" t="s">
        <v>6</v>
      </c>
      <c r="E12" s="17"/>
      <c r="F12" s="18">
        <v>29</v>
      </c>
      <c r="G12" s="18">
        <v>500</v>
      </c>
      <c r="H12" s="35">
        <f>G12*F12</f>
        <v>14500</v>
      </c>
      <c r="I12" s="13">
        <f>I11-G12</f>
        <v>-150</v>
      </c>
      <c r="J12" s="11">
        <f>IF(G12&lt;I12,G12,IF(ABS(I12)&lt;G12,G12-ABS(I12),0))</f>
        <v>350</v>
      </c>
      <c r="K12" s="13">
        <f>K11-G12</f>
        <v>-50</v>
      </c>
      <c r="L12" s="13">
        <f>IF(K12&gt;G12,0,IF(ABS(K12)&gt;G12,G12,ABS(K12)))</f>
        <v>50</v>
      </c>
    </row>
    <row r="13" spans="2:12" ht="18" customHeight="1" x14ac:dyDescent="0.2">
      <c r="B13" s="14">
        <v>44663</v>
      </c>
      <c r="C13" s="15">
        <v>102</v>
      </c>
      <c r="D13" s="16" t="s">
        <v>6</v>
      </c>
      <c r="E13" s="17"/>
      <c r="F13" s="18">
        <v>35</v>
      </c>
      <c r="G13" s="18">
        <v>250</v>
      </c>
      <c r="H13" s="35">
        <f>G13*F13</f>
        <v>8750</v>
      </c>
      <c r="I13" s="13">
        <f>I12-G13</f>
        <v>-400</v>
      </c>
      <c r="J13" s="11">
        <f>IF(G13&lt;I13,G13,IF(ABS(I13)&lt;G13,G13-ABS(I13),0))</f>
        <v>0</v>
      </c>
      <c r="K13" s="13">
        <f>K12-G13</f>
        <v>-300</v>
      </c>
      <c r="L13" s="13">
        <f>IF(K13&gt;G13,0,IF(ABS(K13)&gt;G13,G13,ABS(K13)))</f>
        <v>250</v>
      </c>
    </row>
    <row r="14" spans="2:12" ht="18" customHeight="1" x14ac:dyDescent="0.2">
      <c r="B14" s="14">
        <v>44670</v>
      </c>
      <c r="C14" s="15">
        <v>103</v>
      </c>
      <c r="D14" s="16" t="s">
        <v>6</v>
      </c>
      <c r="E14" s="17"/>
      <c r="F14" s="18">
        <v>40</v>
      </c>
      <c r="G14" s="18">
        <v>100</v>
      </c>
      <c r="H14" s="35">
        <f>G14*F14</f>
        <v>4000</v>
      </c>
      <c r="I14" s="13">
        <f>I13-G14</f>
        <v>-500</v>
      </c>
      <c r="J14" s="11">
        <f>IF(G14&lt;I14,G14,IF(ABS(I14)&lt;G14,G14-ABS(I14),0))</f>
        <v>0</v>
      </c>
      <c r="K14" s="13">
        <f>K13-G14</f>
        <v>-400</v>
      </c>
      <c r="L14" s="13">
        <f>IF(K14&gt;G14,0,IF(ABS(K14)&gt;G14,G14,ABS(K14)))</f>
        <v>100</v>
      </c>
    </row>
    <row r="15" spans="2:12" ht="18" customHeight="1" x14ac:dyDescent="0.2">
      <c r="B15" s="14">
        <v>44676</v>
      </c>
      <c r="C15" s="15">
        <v>104</v>
      </c>
      <c r="D15" s="16" t="s">
        <v>6</v>
      </c>
      <c r="E15" s="17"/>
      <c r="F15" s="18">
        <v>45</v>
      </c>
      <c r="G15" s="18">
        <v>50</v>
      </c>
      <c r="H15" s="35">
        <f>G15*F15</f>
        <v>2250</v>
      </c>
      <c r="I15" s="13">
        <f>I14-G15</f>
        <v>-550</v>
      </c>
      <c r="J15" s="11">
        <f>IF(G15&lt;I15,G15,IF(ABS(I15)&lt;G15,G15-ABS(I15),0))</f>
        <v>0</v>
      </c>
      <c r="K15" s="13">
        <f>K14-G15</f>
        <v>-450</v>
      </c>
      <c r="L15" s="13">
        <f>IF(K15&gt;G15,0,IF(ABS(K15)&gt;G15,G15,ABS(K15)))</f>
        <v>50</v>
      </c>
    </row>
    <row r="16" spans="2:12" ht="18" customHeight="1" x14ac:dyDescent="0.2">
      <c r="B16" s="14"/>
      <c r="C16" s="15"/>
      <c r="D16" s="16"/>
      <c r="E16" s="17"/>
      <c r="F16" s="18"/>
      <c r="G16" s="18"/>
      <c r="H16" s="35"/>
      <c r="I16" s="13">
        <f t="shared" ref="I16:I46" si="0">I15-G16</f>
        <v>-550</v>
      </c>
      <c r="J16" s="11">
        <f t="shared" ref="J16:J46" si="1">IF(G16&lt;I16,G16,IF(ABS(I16)&lt;G16,G16-ABS(I16),0))</f>
        <v>0</v>
      </c>
      <c r="K16" s="13">
        <f t="shared" ref="K16:K46" si="2">K15-G16</f>
        <v>-450</v>
      </c>
      <c r="L16" s="13">
        <f t="shared" ref="L16:L46" si="3">IF(K16&gt;G16,0,IF(ABS(K16)&gt;G16,G16,ABS(K16)))</f>
        <v>0</v>
      </c>
    </row>
    <row r="17" spans="2:12" ht="18" customHeight="1" x14ac:dyDescent="0.2">
      <c r="B17" s="14"/>
      <c r="C17" s="15"/>
      <c r="D17" s="16"/>
      <c r="E17" s="17"/>
      <c r="F17" s="18"/>
      <c r="G17" s="18"/>
      <c r="H17" s="36"/>
      <c r="I17" s="13">
        <f t="shared" si="0"/>
        <v>-550</v>
      </c>
      <c r="J17" s="11">
        <f t="shared" si="1"/>
        <v>0</v>
      </c>
      <c r="K17" s="13">
        <f t="shared" si="2"/>
        <v>-450</v>
      </c>
      <c r="L17" s="13">
        <f t="shared" si="3"/>
        <v>0</v>
      </c>
    </row>
    <row r="18" spans="2:12" ht="18" customHeight="1" x14ac:dyDescent="0.2">
      <c r="B18" s="14"/>
      <c r="C18" s="15"/>
      <c r="D18" s="16"/>
      <c r="E18" s="17"/>
      <c r="F18" s="18"/>
      <c r="G18" s="18"/>
      <c r="H18" s="36"/>
      <c r="I18" s="13">
        <f t="shared" si="0"/>
        <v>-550</v>
      </c>
      <c r="J18" s="11">
        <f t="shared" si="1"/>
        <v>0</v>
      </c>
      <c r="K18" s="13">
        <f t="shared" si="2"/>
        <v>-450</v>
      </c>
      <c r="L18" s="13">
        <f t="shared" si="3"/>
        <v>0</v>
      </c>
    </row>
    <row r="19" spans="2:12" ht="18" customHeight="1" x14ac:dyDescent="0.2">
      <c r="B19" s="14"/>
      <c r="C19" s="15"/>
      <c r="D19" s="16"/>
      <c r="E19" s="17"/>
      <c r="F19" s="18"/>
      <c r="G19" s="18"/>
      <c r="H19" s="36"/>
      <c r="I19" s="13">
        <f t="shared" si="0"/>
        <v>-550</v>
      </c>
      <c r="J19" s="11">
        <f t="shared" si="1"/>
        <v>0</v>
      </c>
      <c r="K19" s="13">
        <f t="shared" si="2"/>
        <v>-450</v>
      </c>
      <c r="L19" s="13">
        <f t="shared" si="3"/>
        <v>0</v>
      </c>
    </row>
    <row r="20" spans="2:12" ht="18" customHeight="1" x14ac:dyDescent="0.2">
      <c r="B20" s="14"/>
      <c r="C20" s="15"/>
      <c r="D20" s="16"/>
      <c r="E20" s="17"/>
      <c r="F20" s="18"/>
      <c r="G20" s="18"/>
      <c r="H20" s="36"/>
      <c r="I20" s="13">
        <f t="shared" si="0"/>
        <v>-550</v>
      </c>
      <c r="J20" s="11">
        <f t="shared" si="1"/>
        <v>0</v>
      </c>
      <c r="K20" s="13">
        <f t="shared" si="2"/>
        <v>-450</v>
      </c>
      <c r="L20" s="13">
        <f t="shared" si="3"/>
        <v>0</v>
      </c>
    </row>
    <row r="21" spans="2:12" ht="18" customHeight="1" x14ac:dyDescent="0.2">
      <c r="B21" s="14"/>
      <c r="C21" s="15"/>
      <c r="D21" s="16"/>
      <c r="E21" s="17"/>
      <c r="F21" s="18"/>
      <c r="G21" s="18"/>
      <c r="H21" s="36"/>
      <c r="I21" s="13">
        <f t="shared" si="0"/>
        <v>-550</v>
      </c>
      <c r="J21" s="11">
        <f t="shared" si="1"/>
        <v>0</v>
      </c>
      <c r="K21" s="13">
        <f t="shared" si="2"/>
        <v>-450</v>
      </c>
      <c r="L21" s="13">
        <f t="shared" si="3"/>
        <v>0</v>
      </c>
    </row>
    <row r="22" spans="2:12" ht="18" customHeight="1" x14ac:dyDescent="0.2">
      <c r="B22" s="14"/>
      <c r="C22" s="15"/>
      <c r="D22" s="16"/>
      <c r="E22" s="17"/>
      <c r="F22" s="18"/>
      <c r="G22" s="18"/>
      <c r="H22" s="36"/>
      <c r="I22" s="13">
        <f t="shared" si="0"/>
        <v>-550</v>
      </c>
      <c r="J22" s="11">
        <f t="shared" si="1"/>
        <v>0</v>
      </c>
      <c r="K22" s="13">
        <f t="shared" si="2"/>
        <v>-450</v>
      </c>
      <c r="L22" s="13">
        <f t="shared" si="3"/>
        <v>0</v>
      </c>
    </row>
    <row r="23" spans="2:12" ht="18" customHeight="1" x14ac:dyDescent="0.2">
      <c r="B23" s="14"/>
      <c r="C23" s="15"/>
      <c r="D23" s="16"/>
      <c r="E23" s="17"/>
      <c r="F23" s="18"/>
      <c r="G23" s="18"/>
      <c r="H23" s="36"/>
      <c r="I23" s="13">
        <f t="shared" si="0"/>
        <v>-550</v>
      </c>
      <c r="J23" s="11">
        <f t="shared" si="1"/>
        <v>0</v>
      </c>
      <c r="K23" s="13">
        <f t="shared" si="2"/>
        <v>-450</v>
      </c>
      <c r="L23" s="13">
        <f t="shared" si="3"/>
        <v>0</v>
      </c>
    </row>
    <row r="24" spans="2:12" ht="18" customHeight="1" x14ac:dyDescent="0.2">
      <c r="B24" s="14"/>
      <c r="C24" s="15"/>
      <c r="D24" s="16"/>
      <c r="E24" s="17"/>
      <c r="F24" s="18"/>
      <c r="G24" s="18"/>
      <c r="H24" s="36"/>
      <c r="I24" s="13">
        <f t="shared" si="0"/>
        <v>-550</v>
      </c>
      <c r="J24" s="11">
        <f t="shared" si="1"/>
        <v>0</v>
      </c>
      <c r="K24" s="13">
        <f t="shared" si="2"/>
        <v>-450</v>
      </c>
      <c r="L24" s="13">
        <f t="shared" si="3"/>
        <v>0</v>
      </c>
    </row>
    <row r="25" spans="2:12" ht="18" customHeight="1" x14ac:dyDescent="0.2">
      <c r="B25" s="14"/>
      <c r="C25" s="15"/>
      <c r="D25" s="16"/>
      <c r="E25" s="17"/>
      <c r="F25" s="18"/>
      <c r="G25" s="18"/>
      <c r="H25" s="36"/>
      <c r="I25" s="13">
        <f t="shared" si="0"/>
        <v>-550</v>
      </c>
      <c r="J25" s="11">
        <f t="shared" si="1"/>
        <v>0</v>
      </c>
      <c r="K25" s="13">
        <f t="shared" si="2"/>
        <v>-450</v>
      </c>
      <c r="L25" s="13">
        <f t="shared" si="3"/>
        <v>0</v>
      </c>
    </row>
    <row r="26" spans="2:12" ht="18" customHeight="1" x14ac:dyDescent="0.2">
      <c r="B26" s="14"/>
      <c r="C26" s="15"/>
      <c r="D26" s="16"/>
      <c r="E26" s="17"/>
      <c r="F26" s="18"/>
      <c r="G26" s="18"/>
      <c r="H26" s="36"/>
      <c r="I26" s="13">
        <f t="shared" si="0"/>
        <v>-550</v>
      </c>
      <c r="J26" s="11">
        <f t="shared" si="1"/>
        <v>0</v>
      </c>
      <c r="K26" s="13">
        <f t="shared" si="2"/>
        <v>-450</v>
      </c>
      <c r="L26" s="13">
        <f t="shared" si="3"/>
        <v>0</v>
      </c>
    </row>
    <row r="27" spans="2:12" ht="18" customHeight="1" x14ac:dyDescent="0.2">
      <c r="B27" s="14"/>
      <c r="C27" s="15"/>
      <c r="D27" s="16"/>
      <c r="E27" s="17"/>
      <c r="F27" s="18"/>
      <c r="G27" s="18"/>
      <c r="H27" s="36"/>
      <c r="I27" s="13">
        <f t="shared" si="0"/>
        <v>-550</v>
      </c>
      <c r="J27" s="11">
        <f t="shared" si="1"/>
        <v>0</v>
      </c>
      <c r="K27" s="13">
        <f t="shared" si="2"/>
        <v>-450</v>
      </c>
      <c r="L27" s="13">
        <f t="shared" si="3"/>
        <v>0</v>
      </c>
    </row>
    <row r="28" spans="2:12" ht="18" customHeight="1" x14ac:dyDescent="0.2">
      <c r="B28" s="14"/>
      <c r="C28" s="15"/>
      <c r="D28" s="16"/>
      <c r="E28" s="17"/>
      <c r="F28" s="18"/>
      <c r="G28" s="18"/>
      <c r="H28" s="36"/>
      <c r="I28" s="13">
        <f t="shared" si="0"/>
        <v>-550</v>
      </c>
      <c r="J28" s="11">
        <f t="shared" si="1"/>
        <v>0</v>
      </c>
      <c r="K28" s="13">
        <f t="shared" si="2"/>
        <v>-450</v>
      </c>
      <c r="L28" s="13">
        <f t="shared" si="3"/>
        <v>0</v>
      </c>
    </row>
    <row r="29" spans="2:12" ht="18" customHeight="1" x14ac:dyDescent="0.2">
      <c r="B29" s="14"/>
      <c r="C29" s="15"/>
      <c r="D29" s="16"/>
      <c r="E29" s="17"/>
      <c r="F29" s="18"/>
      <c r="G29" s="18"/>
      <c r="H29" s="36"/>
      <c r="I29" s="13">
        <f t="shared" si="0"/>
        <v>-550</v>
      </c>
      <c r="J29" s="11">
        <f t="shared" si="1"/>
        <v>0</v>
      </c>
      <c r="K29" s="13">
        <f t="shared" si="2"/>
        <v>-450</v>
      </c>
      <c r="L29" s="13">
        <f t="shared" si="3"/>
        <v>0</v>
      </c>
    </row>
    <row r="30" spans="2:12" ht="18" customHeight="1" x14ac:dyDescent="0.2">
      <c r="B30" s="14"/>
      <c r="C30" s="15"/>
      <c r="D30" s="16"/>
      <c r="E30" s="17"/>
      <c r="F30" s="18"/>
      <c r="G30" s="18"/>
      <c r="H30" s="36"/>
      <c r="I30" s="13">
        <f t="shared" si="0"/>
        <v>-550</v>
      </c>
      <c r="J30" s="11">
        <f t="shared" si="1"/>
        <v>0</v>
      </c>
      <c r="K30" s="13">
        <f t="shared" si="2"/>
        <v>-450</v>
      </c>
      <c r="L30" s="13">
        <f t="shared" si="3"/>
        <v>0</v>
      </c>
    </row>
    <row r="31" spans="2:12" ht="18" customHeight="1" x14ac:dyDescent="0.2">
      <c r="B31" s="14"/>
      <c r="C31" s="15"/>
      <c r="D31" s="16"/>
      <c r="E31" s="17"/>
      <c r="F31" s="18"/>
      <c r="G31" s="18"/>
      <c r="H31" s="36"/>
      <c r="I31" s="13">
        <f t="shared" si="0"/>
        <v>-550</v>
      </c>
      <c r="J31" s="11">
        <f t="shared" si="1"/>
        <v>0</v>
      </c>
      <c r="K31" s="13">
        <f t="shared" si="2"/>
        <v>-450</v>
      </c>
      <c r="L31" s="13">
        <f t="shared" si="3"/>
        <v>0</v>
      </c>
    </row>
    <row r="32" spans="2:12" ht="18" customHeight="1" x14ac:dyDescent="0.2">
      <c r="B32" s="14"/>
      <c r="C32" s="15"/>
      <c r="D32" s="16"/>
      <c r="E32" s="17"/>
      <c r="F32" s="18"/>
      <c r="G32" s="18"/>
      <c r="H32" s="36"/>
      <c r="I32" s="13">
        <f t="shared" si="0"/>
        <v>-550</v>
      </c>
      <c r="J32" s="11">
        <f t="shared" si="1"/>
        <v>0</v>
      </c>
      <c r="K32" s="13">
        <f t="shared" si="2"/>
        <v>-450</v>
      </c>
      <c r="L32" s="13">
        <f t="shared" si="3"/>
        <v>0</v>
      </c>
    </row>
    <row r="33" spans="2:12" ht="18" customHeight="1" x14ac:dyDescent="0.2">
      <c r="B33" s="14"/>
      <c r="C33" s="15"/>
      <c r="D33" s="16"/>
      <c r="E33" s="17"/>
      <c r="F33" s="18"/>
      <c r="G33" s="18"/>
      <c r="H33" s="36"/>
      <c r="I33" s="13">
        <f t="shared" si="0"/>
        <v>-550</v>
      </c>
      <c r="J33" s="11">
        <f t="shared" si="1"/>
        <v>0</v>
      </c>
      <c r="K33" s="13">
        <f t="shared" si="2"/>
        <v>-450</v>
      </c>
      <c r="L33" s="13">
        <f t="shared" si="3"/>
        <v>0</v>
      </c>
    </row>
    <row r="34" spans="2:12" ht="18" customHeight="1" x14ac:dyDescent="0.2">
      <c r="B34" s="14"/>
      <c r="C34" s="15"/>
      <c r="D34" s="16"/>
      <c r="E34" s="17"/>
      <c r="F34" s="18"/>
      <c r="G34" s="18"/>
      <c r="H34" s="36"/>
      <c r="I34" s="13">
        <f t="shared" si="0"/>
        <v>-550</v>
      </c>
      <c r="J34" s="11">
        <f t="shared" si="1"/>
        <v>0</v>
      </c>
      <c r="K34" s="13">
        <f t="shared" si="2"/>
        <v>-450</v>
      </c>
      <c r="L34" s="13">
        <f t="shared" si="3"/>
        <v>0</v>
      </c>
    </row>
    <row r="35" spans="2:12" ht="18" customHeight="1" x14ac:dyDescent="0.2">
      <c r="B35" s="14"/>
      <c r="C35" s="15"/>
      <c r="D35" s="16"/>
      <c r="E35" s="17"/>
      <c r="F35" s="18"/>
      <c r="G35" s="18"/>
      <c r="H35" s="36"/>
      <c r="I35" s="13">
        <f t="shared" si="0"/>
        <v>-550</v>
      </c>
      <c r="J35" s="11">
        <f t="shared" si="1"/>
        <v>0</v>
      </c>
      <c r="K35" s="13">
        <f t="shared" si="2"/>
        <v>-450</v>
      </c>
      <c r="L35" s="13">
        <f t="shared" si="3"/>
        <v>0</v>
      </c>
    </row>
    <row r="36" spans="2:12" ht="18" customHeight="1" x14ac:dyDescent="0.2">
      <c r="B36" s="14"/>
      <c r="C36" s="15"/>
      <c r="D36" s="16"/>
      <c r="E36" s="17"/>
      <c r="F36" s="18"/>
      <c r="G36" s="18"/>
      <c r="H36" s="36"/>
      <c r="I36" s="13">
        <f t="shared" si="0"/>
        <v>-550</v>
      </c>
      <c r="J36" s="11">
        <f t="shared" si="1"/>
        <v>0</v>
      </c>
      <c r="K36" s="13">
        <f t="shared" si="2"/>
        <v>-450</v>
      </c>
      <c r="L36" s="13">
        <f t="shared" si="3"/>
        <v>0</v>
      </c>
    </row>
    <row r="37" spans="2:12" ht="18" customHeight="1" x14ac:dyDescent="0.2">
      <c r="B37" s="14"/>
      <c r="C37" s="15"/>
      <c r="D37" s="16"/>
      <c r="E37" s="17"/>
      <c r="F37" s="18"/>
      <c r="G37" s="18"/>
      <c r="H37" s="36"/>
      <c r="I37" s="13">
        <f t="shared" si="0"/>
        <v>-550</v>
      </c>
      <c r="J37" s="11">
        <f t="shared" si="1"/>
        <v>0</v>
      </c>
      <c r="K37" s="13">
        <f t="shared" si="2"/>
        <v>-450</v>
      </c>
      <c r="L37" s="13">
        <f t="shared" si="3"/>
        <v>0</v>
      </c>
    </row>
    <row r="38" spans="2:12" ht="18" customHeight="1" x14ac:dyDescent="0.2">
      <c r="B38" s="14"/>
      <c r="C38" s="15"/>
      <c r="D38" s="16"/>
      <c r="E38" s="17"/>
      <c r="F38" s="18"/>
      <c r="G38" s="18"/>
      <c r="H38" s="36"/>
      <c r="I38" s="13">
        <f t="shared" si="0"/>
        <v>-550</v>
      </c>
      <c r="J38" s="11">
        <f t="shared" si="1"/>
        <v>0</v>
      </c>
      <c r="K38" s="13">
        <f t="shared" si="2"/>
        <v>-450</v>
      </c>
      <c r="L38" s="13">
        <f t="shared" si="3"/>
        <v>0</v>
      </c>
    </row>
    <row r="39" spans="2:12" ht="18" customHeight="1" x14ac:dyDescent="0.2">
      <c r="B39" s="14"/>
      <c r="C39" s="15"/>
      <c r="D39" s="16"/>
      <c r="E39" s="17"/>
      <c r="F39" s="18"/>
      <c r="G39" s="18"/>
      <c r="H39" s="36"/>
      <c r="I39" s="13">
        <f t="shared" si="0"/>
        <v>-550</v>
      </c>
      <c r="J39" s="11">
        <f t="shared" si="1"/>
        <v>0</v>
      </c>
      <c r="K39" s="13">
        <f t="shared" si="2"/>
        <v>-450</v>
      </c>
      <c r="L39" s="13">
        <f t="shared" si="3"/>
        <v>0</v>
      </c>
    </row>
    <row r="40" spans="2:12" ht="18" customHeight="1" x14ac:dyDescent="0.2">
      <c r="B40" s="14"/>
      <c r="C40" s="15"/>
      <c r="D40" s="16"/>
      <c r="E40" s="17"/>
      <c r="F40" s="18"/>
      <c r="G40" s="18"/>
      <c r="H40" s="36"/>
      <c r="I40" s="13">
        <f t="shared" si="0"/>
        <v>-550</v>
      </c>
      <c r="J40" s="11">
        <f t="shared" si="1"/>
        <v>0</v>
      </c>
      <c r="K40" s="13">
        <f t="shared" si="2"/>
        <v>-450</v>
      </c>
      <c r="L40" s="13">
        <f t="shared" si="3"/>
        <v>0</v>
      </c>
    </row>
    <row r="41" spans="2:12" ht="18" customHeight="1" x14ac:dyDescent="0.2">
      <c r="B41" s="14"/>
      <c r="C41" s="15"/>
      <c r="D41" s="16"/>
      <c r="E41" s="17"/>
      <c r="F41" s="18"/>
      <c r="G41" s="18"/>
      <c r="H41" s="36"/>
      <c r="I41" s="13">
        <f t="shared" si="0"/>
        <v>-550</v>
      </c>
      <c r="J41" s="11">
        <f t="shared" si="1"/>
        <v>0</v>
      </c>
      <c r="K41" s="13">
        <f t="shared" si="2"/>
        <v>-450</v>
      </c>
      <c r="L41" s="13">
        <f t="shared" si="3"/>
        <v>0</v>
      </c>
    </row>
    <row r="42" spans="2:12" ht="18" customHeight="1" x14ac:dyDescent="0.2">
      <c r="B42" s="14"/>
      <c r="C42" s="15"/>
      <c r="D42" s="16"/>
      <c r="E42" s="17"/>
      <c r="F42" s="18"/>
      <c r="G42" s="18"/>
      <c r="H42" s="36"/>
      <c r="I42" s="13">
        <f t="shared" si="0"/>
        <v>-550</v>
      </c>
      <c r="J42" s="11">
        <f t="shared" si="1"/>
        <v>0</v>
      </c>
      <c r="K42" s="13">
        <f t="shared" si="2"/>
        <v>-450</v>
      </c>
      <c r="L42" s="13">
        <f t="shared" si="3"/>
        <v>0</v>
      </c>
    </row>
    <row r="43" spans="2:12" ht="18" customHeight="1" x14ac:dyDescent="0.2">
      <c r="B43" s="14"/>
      <c r="C43" s="15"/>
      <c r="D43" s="16"/>
      <c r="E43" s="17"/>
      <c r="F43" s="18"/>
      <c r="G43" s="18"/>
      <c r="H43" s="36"/>
      <c r="I43" s="13">
        <f t="shared" si="0"/>
        <v>-550</v>
      </c>
      <c r="J43" s="11">
        <f t="shared" si="1"/>
        <v>0</v>
      </c>
      <c r="K43" s="13">
        <f t="shared" si="2"/>
        <v>-450</v>
      </c>
      <c r="L43" s="13">
        <f t="shared" si="3"/>
        <v>0</v>
      </c>
    </row>
    <row r="44" spans="2:12" ht="18" customHeight="1" x14ac:dyDescent="0.2">
      <c r="B44" s="14"/>
      <c r="C44" s="15"/>
      <c r="D44" s="16"/>
      <c r="E44" s="17"/>
      <c r="F44" s="18"/>
      <c r="G44" s="18"/>
      <c r="H44" s="36"/>
      <c r="I44" s="13">
        <f t="shared" si="0"/>
        <v>-550</v>
      </c>
      <c r="J44" s="11">
        <f t="shared" si="1"/>
        <v>0</v>
      </c>
      <c r="K44" s="13">
        <f t="shared" si="2"/>
        <v>-450</v>
      </c>
      <c r="L44" s="13">
        <f t="shared" si="3"/>
        <v>0</v>
      </c>
    </row>
    <row r="45" spans="2:12" ht="18" customHeight="1" x14ac:dyDescent="0.2">
      <c r="B45" s="14"/>
      <c r="C45" s="15"/>
      <c r="D45" s="16"/>
      <c r="E45" s="17"/>
      <c r="F45" s="18"/>
      <c r="G45" s="18"/>
      <c r="H45" s="36"/>
      <c r="I45" s="13">
        <f t="shared" si="0"/>
        <v>-550</v>
      </c>
      <c r="J45" s="11">
        <f t="shared" si="1"/>
        <v>0</v>
      </c>
      <c r="K45" s="13">
        <f t="shared" si="2"/>
        <v>-450</v>
      </c>
      <c r="L45" s="13">
        <f t="shared" si="3"/>
        <v>0</v>
      </c>
    </row>
    <row r="46" spans="2:12" ht="18" customHeight="1" x14ac:dyDescent="0.2">
      <c r="B46" s="14"/>
      <c r="C46" s="15"/>
      <c r="D46" s="16"/>
      <c r="E46" s="17"/>
      <c r="F46" s="18"/>
      <c r="G46" s="18"/>
      <c r="H46" s="36"/>
      <c r="I46" s="13">
        <f t="shared" si="0"/>
        <v>-550</v>
      </c>
      <c r="J46" s="11">
        <f t="shared" si="1"/>
        <v>0</v>
      </c>
      <c r="K46" s="13">
        <f t="shared" si="2"/>
        <v>-450</v>
      </c>
      <c r="L46" s="13">
        <f t="shared" si="3"/>
        <v>0</v>
      </c>
    </row>
    <row r="47" spans="2:12" ht="18" customHeight="1" x14ac:dyDescent="0.2">
      <c r="C47" s="2"/>
    </row>
    <row r="48" spans="2:12" ht="18" customHeight="1" x14ac:dyDescent="0.2"/>
    <row r="49" ht="18" customHeight="1" x14ac:dyDescent="0.2"/>
    <row r="50" ht="18" customHeight="1" x14ac:dyDescent="0.2"/>
    <row r="51" ht="18" customHeight="1" x14ac:dyDescent="0.2"/>
    <row r="52" ht="18" customHeight="1" x14ac:dyDescent="0.2"/>
    <row r="53" ht="18" customHeight="1" x14ac:dyDescent="0.2"/>
    <row r="54" ht="18" customHeight="1" x14ac:dyDescent="0.2"/>
    <row r="55" ht="18" customHeight="1" x14ac:dyDescent="0.2"/>
    <row r="56" ht="18" customHeight="1" x14ac:dyDescent="0.2"/>
    <row r="57" ht="18" customHeight="1" x14ac:dyDescent="0.2"/>
    <row r="58" ht="18" customHeight="1" x14ac:dyDescent="0.2"/>
    <row r="59" ht="18" customHeight="1" x14ac:dyDescent="0.2"/>
    <row r="60" ht="18" customHeight="1" x14ac:dyDescent="0.2"/>
    <row r="61" ht="18" customHeight="1" x14ac:dyDescent="0.2"/>
    <row r="62" ht="18" customHeight="1" x14ac:dyDescent="0.2"/>
    <row r="63" ht="18" customHeight="1" x14ac:dyDescent="0.2"/>
    <row r="64" ht="18" customHeight="1" x14ac:dyDescent="0.2"/>
    <row r="65" ht="18" customHeight="1" x14ac:dyDescent="0.2"/>
    <row r="66" ht="18" customHeight="1" x14ac:dyDescent="0.2"/>
    <row r="67" ht="18" customHeight="1" x14ac:dyDescent="0.2"/>
    <row r="68" ht="18" customHeight="1" x14ac:dyDescent="0.2"/>
    <row r="69" ht="18" customHeight="1" x14ac:dyDescent="0.2"/>
    <row r="70" ht="18" customHeight="1" x14ac:dyDescent="0.2"/>
    <row r="71" ht="18" customHeight="1" x14ac:dyDescent="0.2"/>
    <row r="72" ht="18" customHeight="1" x14ac:dyDescent="0.2"/>
    <row r="73" ht="18" customHeight="1" x14ac:dyDescent="0.2"/>
    <row r="74" ht="18" customHeight="1" x14ac:dyDescent="0.2"/>
    <row r="75" ht="18" customHeight="1" x14ac:dyDescent="0.2"/>
    <row r="76" ht="18" customHeight="1" x14ac:dyDescent="0.2"/>
    <row r="77" ht="18" customHeight="1" x14ac:dyDescent="0.2"/>
    <row r="78" ht="18" customHeight="1" x14ac:dyDescent="0.2"/>
    <row r="79" ht="18" customHeight="1" x14ac:dyDescent="0.2"/>
    <row r="80" ht="18" customHeight="1" x14ac:dyDescent="0.2"/>
    <row r="81" ht="18" customHeight="1" x14ac:dyDescent="0.2"/>
    <row r="82" ht="18" customHeight="1" x14ac:dyDescent="0.2"/>
    <row r="83" ht="18" customHeight="1" x14ac:dyDescent="0.2"/>
    <row r="84" ht="18" customHeight="1" x14ac:dyDescent="0.2"/>
    <row r="85" ht="18" customHeight="1" x14ac:dyDescent="0.2"/>
    <row r="86" ht="18" customHeight="1" x14ac:dyDescent="0.2"/>
    <row r="87" ht="18" customHeight="1" x14ac:dyDescent="0.2"/>
    <row r="88" ht="18" customHeight="1" x14ac:dyDescent="0.2"/>
    <row r="89" ht="18" customHeight="1" x14ac:dyDescent="0.2"/>
    <row r="90" ht="18" customHeight="1" x14ac:dyDescent="0.2"/>
    <row r="91" ht="18" customHeight="1" x14ac:dyDescent="0.2"/>
    <row r="92" ht="18" customHeight="1" x14ac:dyDescent="0.2"/>
    <row r="93" ht="18" customHeight="1" x14ac:dyDescent="0.2"/>
    <row r="94" ht="18" customHeight="1" x14ac:dyDescent="0.2"/>
    <row r="95" ht="18" customHeight="1" x14ac:dyDescent="0.2"/>
    <row r="96" ht="18" customHeight="1" x14ac:dyDescent="0.2"/>
    <row r="97" ht="18" customHeight="1" x14ac:dyDescent="0.2"/>
    <row r="98" ht="18" customHeight="1" x14ac:dyDescent="0.2"/>
    <row r="99" ht="18" customHeight="1" x14ac:dyDescent="0.2"/>
    <row r="100" ht="18" customHeight="1" x14ac:dyDescent="0.2"/>
    <row r="101" ht="18" customHeight="1" x14ac:dyDescent="0.2"/>
    <row r="102" ht="18" customHeight="1" x14ac:dyDescent="0.2"/>
    <row r="103" ht="18" customHeight="1" x14ac:dyDescent="0.2"/>
    <row r="104" ht="18" customHeight="1" x14ac:dyDescent="0.2"/>
    <row r="105" ht="18" customHeight="1" x14ac:dyDescent="0.2"/>
    <row r="106" ht="18" customHeight="1" x14ac:dyDescent="0.2"/>
    <row r="107" ht="18" customHeight="1" x14ac:dyDescent="0.2"/>
    <row r="108" ht="18" customHeight="1" x14ac:dyDescent="0.2"/>
    <row r="109" ht="18" customHeight="1" x14ac:dyDescent="0.2"/>
    <row r="110" ht="18" customHeight="1" x14ac:dyDescent="0.2"/>
    <row r="111" ht="18" customHeight="1" x14ac:dyDescent="0.2"/>
    <row r="112" ht="18" customHeight="1" x14ac:dyDescent="0.2"/>
    <row r="113" ht="18" customHeight="1" x14ac:dyDescent="0.2"/>
    <row r="114" ht="18" customHeight="1" x14ac:dyDescent="0.2"/>
    <row r="115" ht="18" customHeight="1" x14ac:dyDescent="0.2"/>
    <row r="116" ht="18" customHeight="1" x14ac:dyDescent="0.2"/>
    <row r="117" ht="18" customHeight="1" x14ac:dyDescent="0.2"/>
    <row r="118" ht="18" customHeight="1" x14ac:dyDescent="0.2"/>
    <row r="119" ht="18" customHeight="1" x14ac:dyDescent="0.2"/>
    <row r="120" ht="18" customHeight="1" x14ac:dyDescent="0.2"/>
    <row r="121" ht="18" customHeight="1" x14ac:dyDescent="0.2"/>
    <row r="122" ht="18" customHeight="1" x14ac:dyDescent="0.2"/>
    <row r="123" ht="18" customHeight="1" x14ac:dyDescent="0.2"/>
    <row r="124" ht="18" customHeight="1" x14ac:dyDescent="0.2"/>
    <row r="125" ht="18" customHeight="1" x14ac:dyDescent="0.2"/>
    <row r="126" ht="18" customHeight="1" x14ac:dyDescent="0.2"/>
    <row r="127" ht="18" customHeight="1" x14ac:dyDescent="0.2"/>
  </sheetData>
  <sheetProtection formatCells="0" formatColumns="0" formatRows="0" insertColumns="0" insertRows="0" insertHyperlinks="0" deleteColumns="0" deleteRows="0" sort="0" autoFilter="0" pivotTables="0"/>
  <mergeCells count="40">
    <mergeCell ref="B1:L1"/>
    <mergeCell ref="D3:F3"/>
    <mergeCell ref="I10:J10"/>
    <mergeCell ref="K10:L10"/>
    <mergeCell ref="D10:E10"/>
    <mergeCell ref="D12:E12"/>
    <mergeCell ref="D13:E13"/>
    <mergeCell ref="D14:E14"/>
    <mergeCell ref="D15:E15"/>
    <mergeCell ref="D20:E20"/>
    <mergeCell ref="D21:E21"/>
    <mergeCell ref="D22:E22"/>
    <mergeCell ref="D23:E23"/>
    <mergeCell ref="D16:E16"/>
    <mergeCell ref="D17:E17"/>
    <mergeCell ref="D18:E18"/>
    <mergeCell ref="D19:E19"/>
    <mergeCell ref="D28:E28"/>
    <mergeCell ref="D29:E29"/>
    <mergeCell ref="D30:E30"/>
    <mergeCell ref="D31:E31"/>
    <mergeCell ref="D24:E24"/>
    <mergeCell ref="D25:E25"/>
    <mergeCell ref="D26:E26"/>
    <mergeCell ref="D27:E27"/>
    <mergeCell ref="D36:E36"/>
    <mergeCell ref="D37:E37"/>
    <mergeCell ref="D38:E38"/>
    <mergeCell ref="D39:E39"/>
    <mergeCell ref="D32:E32"/>
    <mergeCell ref="D33:E33"/>
    <mergeCell ref="D34:E34"/>
    <mergeCell ref="D35:E35"/>
    <mergeCell ref="D44:E44"/>
    <mergeCell ref="D45:E45"/>
    <mergeCell ref="D46:E46"/>
    <mergeCell ref="D40:E40"/>
    <mergeCell ref="D41:E41"/>
    <mergeCell ref="D42:E42"/>
    <mergeCell ref="D43:E43"/>
  </mergeCells>
  <phoneticPr fontId="19" type="noConversion"/>
  <conditionalFormatting sqref="B12:I46 K12:K46">
    <cfRule type="expression" dxfId="0" priority="1" stopIfTrue="1">
      <formula>$H12="C"</formula>
    </cfRule>
  </conditionalFormatting>
  <pageMargins left="0.76" right="0.41" top="0.39" bottom="0.77" header="0.3" footer="0.5"/>
  <pageSetup scale="81"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COGS</vt:lpstr>
      <vt:lpstr>COGS!Print_Area</vt:lpstr>
    </vt:vector>
  </TitlesOfParts>
  <Company>Exceltemplate.net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Jamshaid Ali</dc:creator>
  <cp:lastModifiedBy>ihsan nur rahman</cp:lastModifiedBy>
  <cp:lastPrinted>2009-07-06T12:51:07Z</cp:lastPrinted>
  <dcterms:created xsi:type="dcterms:W3CDTF">2009-06-20T15:23:12Z</dcterms:created>
  <dcterms:modified xsi:type="dcterms:W3CDTF">2024-07-11T07:36:13Z</dcterms:modified>
</cp:coreProperties>
</file>